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308a964c9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86555e5ba884c3a"/>
    <x:sheet xmlns:r="http://schemas.openxmlformats.org/officeDocument/2006/relationships" name="Assumptions" sheetId="2" r:id="R6834324a8a214613"/>
    <x:sheet xmlns:r="http://schemas.openxmlformats.org/officeDocument/2006/relationships" name="Generator" sheetId="3" r:id="R7b245cc8470a4912"/>
    <x:sheet xmlns:r="http://schemas.openxmlformats.org/officeDocument/2006/relationships" name="Analysis" sheetId="4" r:id="R869f380a59f64e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%"/>
    <x:numFmt numFmtId="202" formatCode="0.00"/>
    <x:numFmt numFmtId="203" formatCode="0%"/>
    <x:numFmt numFmtId="204" formatCode="#,##0.0"/>
    <x:numFmt numFmtId="205" formatCode="0.000"/>
    <x:numFmt numFmtId="206" formatCode="#,##0"/>
  </x:numFmts>
  <x:fonts count="9">
    <x:font>
      <x:sz val="11"/>
      <x:name val="Carlito"/>
    </x:font>
    <x:font>
      <x:b/>
      <x:sz val="15"/>
      <x:color rgb="FF17324D"/>
      <x:name val="Arial"/>
    </x:font>
    <x:font>
      <x:b/>
      <x:sz val="11"/>
      <x:color rgb="FFFFFFFF"/>
      <x:name val="Arial"/>
    </x:font>
    <x:font>
      <x:b/>
      <x:sz val="16"/>
      <x:color rgb="FF17324D"/>
      <x:name val="Arial"/>
    </x:font>
    <x:font>
      <x:i/>
      <x:sz val="11"/>
      <x:color rgb="FF5D6D7E"/>
      <x:name val="Arial"/>
    </x:font>
    <x:font>
      <x:b/>
      <x:sz val="11"/>
      <x:color rgb="FF17324D"/>
      <x:name val="Arial"/>
    </x:font>
    <x:font>
      <x:b/>
      <x:sz val="12"/>
      <x:color rgb="FF17324D"/>
      <x:name val="Arial"/>
    </x:font>
    <x:font>
      <x:b/>
      <x:sz val="12"/>
      <x:color rgb="FF8A4B08"/>
      <x:name val="Arial"/>
    </x:font>
    <x:font>
      <x:b/>
      <x:sz val="11"/>
      <x:color rgb="FF275D3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FF7E6"/>
      </x:patternFill>
    </x:fill>
    <x:fill>
      <x:patternFill patternType="solid">
        <x:fgColor rgb="FFE2F0D9"/>
      </x:patternFill>
    </x:fill>
  </x:fills>
  <x:borders count="9">
    <x:border>
      <x:left/>
      <x:right/>
      <x:top/>
      <x:bottom/>
      <x:diagonal/>
    </x:border>
    <x:border>
      <x:left style="thin">
        <x:color rgb="FFCAD5E0"/>
      </x:left>
      <x:right/>
      <x:top style="thin">
        <x:color rgb="FFCAD5E0"/>
      </x:top>
      <x:bottom/>
      <x:diagonal/>
    </x:border>
    <x:border>
      <x:left/>
      <x:right/>
      <x:top style="thin">
        <x:color rgb="FFCAD5E0"/>
      </x:top>
      <x:bottom/>
      <x:diagonal/>
    </x:border>
    <x:border>
      <x:left/>
      <x:right style="thin">
        <x:color rgb="FFCAD5E0"/>
      </x:right>
      <x:top style="thin">
        <x:color rgb="FFCAD5E0"/>
      </x:top>
      <x:bottom/>
      <x:diagonal/>
    </x:border>
    <x:border>
      <x:left style="thin">
        <x:color rgb="FFCAD5E0"/>
      </x:left>
      <x:right/>
      <x:top/>
      <x:bottom/>
      <x:diagonal/>
    </x:border>
    <x:border>
      <x:left/>
      <x:right style="thin">
        <x:color rgb="FFCAD5E0"/>
      </x:right>
      <x:top/>
      <x:bottom/>
      <x:diagonal/>
    </x:border>
    <x:border>
      <x:left style="thin">
        <x:color rgb="FFCAD5E0"/>
      </x:left>
      <x:right/>
      <x:top/>
      <x:bottom style="thin">
        <x:color rgb="FFCAD5E0"/>
      </x:bottom>
      <x:diagonal/>
    </x:border>
    <x:border>
      <x:left/>
      <x:right/>
      <x:top/>
      <x:bottom style="thin">
        <x:color rgb="FFCAD5E0"/>
      </x:bottom>
      <x:diagonal/>
    </x:border>
    <x:border>
      <x:left/>
      <x:right style="thin">
        <x:color rgb="FFCAD5E0"/>
      </x:right>
      <x:top/>
      <x:bottom style="thin">
        <x:color rgb="FFCAD5E0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203" fontId="0" fillId="3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4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206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0" fillId="0" borderId="4" xfId="0" applyNumberFormat="1" applyFont="1" applyFill="1" applyBorder="1"/>
    <x:xf numFmtId="204" fontId="0" fillId="0" borderId="5" xfId="0" applyNumberFormat="1" applyFont="1" applyFill="1" applyBorder="1"/>
    <x:xf numFmtId="200" fontId="0" fillId="0" borderId="6" xfId="0" applyNumberFormat="1" applyFont="1" applyFill="1" applyBorder="1"/>
    <x:xf numFmtId="204" fontId="0" fillId="0" borderId="7" xfId="0" applyNumberFormat="1" applyFont="1" applyFill="1" applyBorder="1"/>
    <x:xf numFmtId="204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206" fontId="7" fillId="5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b7bb82a674ea1" /><Relationship Type="http://schemas.openxmlformats.org/officeDocument/2006/relationships/theme" Target="/xl/theme/theme1.xml" Id="R50be7ec905d54902" /><Relationship Type="http://schemas.openxmlformats.org/officeDocument/2006/relationships/sharedStrings" Target="/xl/sharedStrings.xml" Id="Re67e9bb58eb34bf4" /><Relationship Type="http://schemas.openxmlformats.org/officeDocument/2006/relationships/worksheet" Target="/xl/worksheets/sheet1.xml" Id="R486555e5ba884c3a" /><Relationship Type="http://schemas.openxmlformats.org/officeDocument/2006/relationships/worksheet" Target="/xl/worksheets/sheet2.xml" Id="R6834324a8a214613" /><Relationship Type="http://schemas.openxmlformats.org/officeDocument/2006/relationships/worksheet" Target="/xl/worksheets/sheet3.xml" Id="R7b245cc8470a4912" /><Relationship Type="http://schemas.openxmlformats.org/officeDocument/2006/relationships/worksheet" Target="/xl/worksheets/sheet4.xml" Id="R869f380a59f64e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de2e40aa244255" /><Relationship Type="http://schemas.openxmlformats.org/officeDocument/2006/relationships/chart" Target="/xl/drawings/charts/chart2.xml" Id="R486a93d34099476f" /><Relationship Type="http://schemas.openxmlformats.org/officeDocument/2006/relationships/chart" Target="/xl/drawings/charts/chart3.xml" Id="R7840c22afc1a45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Daily output and moving average (tonnes)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Output</c:v>
          </c:tx>
          <c:marker>
            <c:symbol val="none"/>
          </c:marker>
          <c:trendline>
            <c:trendlineType val="poly"/>
            <c:order val="2"/>
          </c:trendline>
          <c:cat>
            <c:strRef>
              <c:f>'Dashboard'!$T$2:$T$366</c:f>
              <c:strCache>
                <c:ptCount val="0"/>
              </c:strCache>
            </c:strRef>
          </c:cat>
          <c:val>
            <c:numRef>
              <c:f>'Dashboard'!$U$2:$U$366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Moving average</c:v>
          </c:tx>
          <c:marker>
            <c:symbol val="none"/>
          </c:marker>
          <c:cat>
            <c:strRef>
              <c:f>'Dashboard'!$T$2:$T$366</c:f>
              <c:strCache>
                <c:ptCount val="0"/>
              </c:strCache>
            </c:strRef>
          </c:cat>
          <c:val>
            <c:numRef>
              <c:f>'Dashboard'!$V$2:$V$366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and variability by mine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Observations</c:v>
          </c:tx>
          <c:invertIfNegative val="0"/>
          <c:cat>
            <c:strRef>
              <c:f>'Analysis'!$A$5:$A$9</c:f>
              <c:strCache>
                <c:ptCount val="0"/>
              </c:strCache>
            </c:strRef>
          </c:cat>
          <c:val>
            <c:numRef>
              <c:f>'Analysis'!$B$5:$B$9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Mean</c:v>
          </c:tx>
          <c:invertIfNegative val="0"/>
          <c:cat>
            <c:strRef>
              <c:f>'Analysis'!$A$5:$A$9</c:f>
              <c:strCache>
                <c:ptCount val="0"/>
              </c:strCache>
            </c:strRef>
          </c:cat>
          <c:val>
            <c:numRef>
              <c:f>'Analysis'!$C$5:$C$9</c:f>
              <c:numCache>
                <c:formatCode>#,##0.0</c:formatCode>
                <c:ptCount val="0"/>
              </c:numCache>
            </c:numRef>
          </c:val>
        </c:ser>
        <c:ser>
          <c:idx val="2"/>
          <c:order val="2"/>
          <c:tx>
            <c:v>Std dev</c:v>
          </c:tx>
          <c:invertIfNegative val="0"/>
          <c:cat>
            <c:strRef>
              <c:f>'Analysis'!$A$5:$A$9</c:f>
              <c:strCache>
                <c:ptCount val="0"/>
              </c:strCache>
            </c:strRef>
          </c:cat>
          <c:val>
            <c:numRef>
              <c:f>'Analysis'!$D$5:$D$9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Anomaly flags by mine</a:t>
            </a:r>
          </a:p>
        </c:rich>
      </c:tx>
      <c:overlay val="0"/>
    </c:title>
    <c:plotArea>
      <c:barChart>
        <c:barDir val="col"/>
        <c:grouping val="stacked"/>
        <c:varyColors val="0"/>
        <c:ser>
          <c:idx val="0"/>
          <c:order val="0"/>
          <c:tx>
            <c:v>IQR flags</c:v>
          </c:tx>
          <c:invertIfNegative val="0"/>
          <c:cat>
            <c:strRef>
              <c:f>'Dashboard'!$X$2:$X$6</c:f>
              <c:strCache>
                <c:ptCount val="0"/>
              </c:strCache>
            </c:strRef>
          </c:cat>
          <c:val>
            <c:numRef>
              <c:f>'Dashboard'!$Y$2:$Y$6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Z-score flags</c:v>
          </c:tx>
          <c:invertIfNegative val="0"/>
          <c:cat>
            <c:strRef>
              <c:f>'Dashboard'!$X$2:$X$6</c:f>
              <c:strCache>
                <c:ptCount val="0"/>
              </c:strCache>
            </c:strRef>
          </c:cat>
          <c:val>
            <c:numRef>
              <c:f>'Dashboard'!$Z$2:$Z$6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MA-distance flags</c:v>
          </c:tx>
          <c:invertIfNegative val="0"/>
          <c:cat>
            <c:strRef>
              <c:f>'Dashboard'!$X$2:$X$6</c:f>
              <c:strCache>
                <c:ptCount val="0"/>
              </c:strCache>
            </c:strRef>
          </c:cat>
          <c:val>
            <c:numRef>
              <c:f>'Dashboard'!$AA$2:$AA$6</c:f>
              <c:numCache>
                <c:formatCode>General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de2e40aa244255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17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6a93d34099476f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17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40c22afc1a456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acecb54d714a8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T1" t="str">
        <x:v>Chart date</x:v>
      </x:c>
      <x:c r="U1" t="str">
        <x:v>Output</x:v>
      </x:c>
      <x:c r="V1" t="str">
        <x:v>Moving average</x:v>
      </x:c>
      <x:c r="X1" t="str">
        <x:v>Mine</x:v>
      </x:c>
      <x:c r="Y1" t="str">
        <x:v>IQR flags</x:v>
      </x:c>
      <x:c r="Z1" t="str">
        <x:v>Z-score flags</x:v>
      </x:c>
      <x:c r="AA1" t="str">
        <x:v>MA-distance flags</x:v>
      </x:c>
    </x:row>
    <x:row r="2" ht="26" customHeight="1">
      <x:c r="A2" s="33" t="str">
        <x:v>Weyland-Yutani mine output dashboard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2"/>
      <x:c r="O2" s="32"/>
      <x:c r="P2" s="32"/>
      <x:c r="Q2" s="32"/>
      <x:c r="T2" s="10" t="n">
        <x:f>IFERROR(INDEX(Generator!$A$2:$A$1826,(ROW()-2)*Assumptions!$B$7+MATCH($B$6,Assumptions!$D$5:$D$12,0)),"")</x:f>
        <x:v>46023</x:v>
      </x:c>
      <x:c r="U2" s="11" t="n">
        <x:f>IFERROR(INDEX(Generator!$H$2:$H$1826,(ROW()-2)*Assumptions!$B$7+MATCH($B$6,Assumptions!$D$5:$D$12,0)),"")</x:f>
        <x:v>1144.606086217529</x:v>
      </x:c>
      <x:c r="V2" s="11" t="n">
        <x:f>IFERROR(INDEX(Generator!$I$2:$I$1826,(ROW()-2)*Assumptions!$B$7+MATCH($B$6,Assumptions!$D$5:$D$12,0)),"")</x:f>
        <x:v>1144.606086217529</x:v>
      </x:c>
      <x:c r="X2" t="str">
        <x:f>Analysis!A5</x:f>
        <x:v>Acheron Prime</x:v>
      </x:c>
      <x:c r="Y2" t="n">
        <x:f>Analysis!I5</x:f>
        <x:v>1</x:v>
      </x:c>
      <x:c r="Z2" t="n">
        <x:f>Analysis!J5</x:f>
        <x:v>0</x:v>
      </x:c>
      <x:c r="AA2" t="n">
        <x:f>Analysis!K5</x:f>
        <x:v>0</x:v>
      </x:c>
    </x:row>
    <x:row r="3" ht="20" customHeight="1">
      <x:c r="A3" s="34" t="str">
        <x:v>Formula-driven synthetic production, anomaly detection and trend review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2"/>
      <x:c r="O3" s="32"/>
      <x:c r="P3" s="32"/>
      <x:c r="Q3" s="32"/>
      <x:c r="T3" s="10" t="n">
        <x:f>IFERROR(INDEX(Generator!$A$2:$A$1826,(ROW()-2)*Assumptions!$B$7+MATCH($B$6,Assumptions!$D$5:$D$12,0)),"")</x:f>
        <x:v>46024</x:v>
      </x:c>
      <x:c r="U3" s="11" t="n">
        <x:f>IFERROR(INDEX(Generator!$H$2:$H$1826,(ROW()-2)*Assumptions!$B$7+MATCH($B$6,Assumptions!$D$5:$D$12,0)),"")</x:f>
        <x:v>1075.0548379691256</x:v>
      </x:c>
      <x:c r="V3" s="11" t="n">
        <x:f>IFERROR(INDEX(Generator!$I$2:$I$1826,(ROW()-2)*Assumptions!$B$7+MATCH($B$6,Assumptions!$D$5:$D$12,0)),"")</x:f>
        <x:v>1109.8304620933272</x:v>
      </x:c>
      <x:c r="X3" t="str">
        <x:f>Analysis!A6</x:f>
        <x:v>LV-426 North</x:v>
      </x:c>
      <x:c r="Y3" t="n">
        <x:f>Analysis!I6</x:f>
        <x:v>3</x:v>
      </x:c>
      <x:c r="Z3" t="n">
        <x:f>Analysis!J6</x:f>
        <x:v>0</x:v>
      </x:c>
      <x:c r="AA3" t="n">
        <x:f>Analysis!K6</x:f>
        <x:v>0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T4" s="10" t="n">
        <x:f>IFERROR(INDEX(Generator!$A$2:$A$1826,(ROW()-2)*Assumptions!$B$7+MATCH($B$6,Assumptions!$D$5:$D$12,0)),"")</x:f>
        <x:v>46025</x:v>
      </x:c>
      <x:c r="U4" s="11" t="n">
        <x:f>IFERROR(INDEX(Generator!$H$2:$H$1826,(ROW()-2)*Assumptions!$B$7+MATCH($B$6,Assumptions!$D$5:$D$12,0)),"")</x:f>
        <x:v>1124.0153479664268</x:v>
      </x:c>
      <x:c r="V4" s="11" t="n">
        <x:f>IFERROR(INDEX(Generator!$I$2:$I$1826,(ROW()-2)*Assumptions!$B$7+MATCH($B$6,Assumptions!$D$5:$D$12,0)),"")</x:f>
        <x:v>1114.5587573843604</x:v>
      </x:c>
      <x:c r="X4" t="str">
        <x:f>Analysis!A7</x:f>
        <x:v>Nostromo Deep</x:v>
      </x:c>
      <x:c r="Y4" t="n">
        <x:f>Analysis!I7</x:f>
        <x:v>4</x:v>
      </x:c>
      <x:c r="Z4" t="n">
        <x:f>Analysis!J7</x:f>
        <x:v>0</x:v>
      </x:c>
      <x:c r="AA4" t="n">
        <x:f>Analysis!K7</x:f>
        <x:v>0</x:v>
      </x:c>
    </x:row>
    <x:row r="5">
      <x:c r="A5" s="4" t="str">
        <x:v>Control</x:v>
      </x:c>
      <x:c r="B5" s="4" t="str">
        <x:v>Selection</x:v>
      </x:c>
      <x:c r="C5" s="32"/>
      <x:c r="D5" s="4" t="str">
        <x:v>Mean</x:v>
      </x:c>
      <x:c r="E5" s="4" t="str">
        <x:v>Std dev</x:v>
      </x:c>
      <x:c r="F5" s="4" t="str">
        <x:v>Median</x:v>
      </x:c>
      <x:c r="G5" s="4" t="str">
        <x:v>IQR</x:v>
      </x:c>
      <x:c r="H5" s="4" t="str">
        <x:v>IQR flags</x:v>
      </x:c>
      <x:c r="I5" s="4" t="str">
        <x:v>Z flags</x:v>
      </x:c>
      <x:c r="J5" s="4" t="str">
        <x:v>MA flags</x:v>
      </x:c>
      <x:c r="K5" s="4" t="str">
        <x:v>Grubbs</x:v>
      </x:c>
      <x:c r="L5" s="32"/>
      <x:c r="M5" s="32"/>
      <x:c r="N5" s="32"/>
      <x:c r="O5" s="32"/>
      <x:c r="P5" s="32"/>
      <x:c r="Q5" s="32"/>
      <x:c r="T5" s="10" t="n">
        <x:f>IFERROR(INDEX(Generator!$A$2:$A$1826,(ROW()-2)*Assumptions!$B$7+MATCH($B$6,Assumptions!$D$5:$D$12,0)),"")</x:f>
        <x:v>46026</x:v>
      </x:c>
      <x:c r="U5" s="11" t="n">
        <x:f>IFERROR(INDEX(Generator!$H$2:$H$1826,(ROW()-2)*Assumptions!$B$7+MATCH($B$6,Assumptions!$D$5:$D$12,0)),"")</x:f>
        <x:v>1024.8705156015121</x:v>
      </x:c>
      <x:c r="V5" s="11" t="n">
        <x:f>IFERROR(INDEX(Generator!$I$2:$I$1826,(ROW()-2)*Assumptions!$B$7+MATCH($B$6,Assumptions!$D$5:$D$12,0)),"")</x:f>
        <x:v>1092.1366969386484</x:v>
      </x:c>
      <x:c r="X5" t="str">
        <x:f>Analysis!A8</x:f>
        <x:v>Hadley's Hope</x:v>
      </x:c>
      <x:c r="Y5" t="n">
        <x:f>Analysis!I8</x:f>
        <x:v>1</x:v>
      </x:c>
      <x:c r="Z5" t="n">
        <x:f>Analysis!J8</x:f>
        <x:v>0</x:v>
      </x:c>
      <x:c r="AA5" t="n">
        <x:f>Analysis!K8</x:f>
        <x:v>0</x:v>
      </x:c>
    </x:row>
    <x:row r="6">
      <x:c r="A6" s="32" t="str">
        <x:v>Selected mine</x:v>
      </x:c>
      <x:c r="B6" s="35" t="str">
        <x:f>Assumptions!B8</x:f>
        <x:v>Acheron Prime</x:v>
      </x:c>
      <x:c r="C6" s="32"/>
      <x:c r="D6" s="36" t="n">
        <x:f>INDEX(Analysis!$C$5:$C$12,MATCH($B$6,Analysis!$A$5:$A$12,0))</x:f>
        <x:v>1113.9861542547537</x:v>
      </x:c>
      <x:c r="E6" s="36" t="n">
        <x:f>INDEX(Analysis!$D$5:$D$12,MATCH($B$6,Analysis!$A$5:$A$12,0))</x:f>
        <x:v>50.74742431851323</x:v>
      </x:c>
      <x:c r="F6" s="36" t="n">
        <x:f>INDEX(Analysis!$E$5:$E$12,MATCH($B$6,Analysis!$A$5:$A$12,0))</x:f>
        <x:v>1119.1655340908464</x:v>
      </x:c>
      <x:c r="G6" s="36" t="n">
        <x:f>INDEX(Analysis!$H$5:$H$12,MATCH($B$6,Analysis!$A$5:$A$12,0))</x:f>
        <x:v>70.16182441677734</x:v>
      </x:c>
      <x:c r="H6" s="37" t="n">
        <x:f>INDEX(Analysis!$I$5:$I$12,MATCH($B$6,Analysis!$A$5:$A$12,0))</x:f>
        <x:v>1</x:v>
      </x:c>
      <x:c r="I6" s="37" t="n">
        <x:f>INDEX(Analysis!$J$5:$J$12,MATCH($B$6,Analysis!$A$5:$A$12,0))</x:f>
        <x:v>0</x:v>
      </x:c>
      <x:c r="J6" s="37" t="n">
        <x:f>INDEX(Analysis!$K$5:$K$12,MATCH($B$6,Analysis!$A$5:$A$12,0))</x:f>
        <x:v>0</x:v>
      </x:c>
      <x:c r="K6" s="38" t="str">
        <x:f>INDEX(Analysis!$N$5:$N$12,MATCH($B$6,Analysis!$A$5:$A$12,0))</x:f>
      </x:c>
      <x:c r="L6" s="32"/>
      <x:c r="M6" s="32"/>
      <x:c r="N6" s="32"/>
      <x:c r="O6" s="32"/>
      <x:c r="P6" s="32"/>
      <x:c r="Q6" s="32"/>
      <x:c r="T6" s="10" t="n">
        <x:f>IFERROR(INDEX(Generator!$A$2:$A$1826,(ROW()-2)*Assumptions!$B$7+MATCH($B$6,Assumptions!$D$5:$D$12,0)),"")</x:f>
        <x:v>46027</x:v>
      </x:c>
      <x:c r="U6" s="11" t="n">
        <x:f>IFERROR(INDEX(Generator!$H$2:$H$1826,(ROW()-2)*Assumptions!$B$7+MATCH($B$6,Assumptions!$D$5:$D$12,0)),"")</x:f>
        <x:v>1221.1540877173582</x:v>
      </x:c>
      <x:c r="V6" s="11" t="n">
        <x:f>IFERROR(INDEX(Generator!$I$2:$I$1826,(ROW()-2)*Assumptions!$B$7+MATCH($B$6,Assumptions!$D$5:$D$12,0)),"")</x:f>
        <x:v>1117.9401750943903</x:v>
      </x:c>
      <x:c r="X6" t="str">
        <x:f>Analysis!A9</x:f>
        <x:v>Yutani Ridge</x:v>
      </x:c>
      <x:c r="Y6" t="n">
        <x:f>Analysis!I9</x:f>
        <x:v>2</x:v>
      </x:c>
      <x:c r="Z6" t="n">
        <x:f>Analysis!J9</x:f>
        <x:v>0</x:v>
      </x:c>
      <x:c r="AA6" t="n">
        <x:f>Analysis!K9</x:f>
        <x:v>0</x:v>
      </x:c>
    </x:row>
    <x:row r="7">
      <x:c r="A7" s="32" t="str">
        <x:v>Chart type</x:v>
      </x:c>
      <x:c r="B7" s="35" t="str">
        <x:f>Assumptions!B9</x:f>
        <x:v>Line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T7" s="10" t="n">
        <x:f>IFERROR(INDEX(Generator!$A$2:$A$1826,(ROW()-2)*Assumptions!$B$7+MATCH($B$6,Assumptions!$D$5:$D$12,0)),"")</x:f>
        <x:v>46028</x:v>
      </x:c>
      <x:c r="U7" s="11" t="n">
        <x:f>IFERROR(INDEX(Generator!$H$2:$H$1826,(ROW()-2)*Assumptions!$B$7+MATCH($B$6,Assumptions!$D$5:$D$12,0)),"")</x:f>
        <x:v>1104.8209429265276</x:v>
      </x:c>
      <x:c r="V7" s="11" t="n">
        <x:f>IFERROR(INDEX(Generator!$I$2:$I$1826,(ROW()-2)*Assumptions!$B$7+MATCH($B$6,Assumptions!$D$5:$D$12,0)),"")</x:f>
        <x:v>1115.7536363997465</x:v>
      </x:c>
    </x:row>
    <x:row r="8">
      <x:c r="A8" s="32" t="str">
        <x:v>Polynomial degree</x:v>
      </x:c>
      <x:c r="B8" s="35" t="n">
        <x:f>Assumptions!B10</x:f>
        <x:v>2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T8" s="10" t="n">
        <x:f>IFERROR(INDEX(Generator!$A$2:$A$1826,(ROW()-2)*Assumptions!$B$7+MATCH($B$6,Assumptions!$D$5:$D$12,0)),"")</x:f>
        <x:v>46029</x:v>
      </x:c>
      <x:c r="U8" s="11" t="n">
        <x:f>IFERROR(INDEX(Generator!$H$2:$H$1826,(ROW()-2)*Assumptions!$B$7+MATCH($B$6,Assumptions!$D$5:$D$12,0)),"")</x:f>
        <x:v>1092.1118462896357</x:v>
      </x:c>
      <x:c r="V8" s="11" t="n">
        <x:f>IFERROR(INDEX(Generator!$I$2:$I$1826,(ROW()-2)*Assumptions!$B$7+MATCH($B$6,Assumptions!$D$5:$D$12,0)),"")</x:f>
        <x:v>1112.3762378125878</x:v>
      </x:c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T9" s="10" t="n">
        <x:f>IFERROR(INDEX(Generator!$A$2:$A$1826,(ROW()-2)*Assumptions!$B$7+MATCH($B$6,Assumptions!$D$5:$D$12,0)),"")</x:f>
        <x:v>46030</x:v>
      </x:c>
      <x:c r="U9" s="11" t="n">
        <x:f>IFERROR(INDEX(Generator!$H$2:$H$1826,(ROW()-2)*Assumptions!$B$7+MATCH($B$6,Assumptions!$D$5:$D$12,0)),"")</x:f>
        <x:v>1038.1426448958432</x:v>
      </x:c>
      <x:c r="V9" s="11" t="n">
        <x:f>IFERROR(INDEX(Generator!$I$2:$I$1826,(ROW()-2)*Assumptions!$B$7+MATCH($B$6,Assumptions!$D$5:$D$12,0)),"")</x:f>
        <x:v>1097.1671747666328</x:v>
      </x:c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T10" s="10" t="n">
        <x:f>IFERROR(INDEX(Generator!$A$2:$A$1826,(ROW()-2)*Assumptions!$B$7+MATCH($B$6,Assumptions!$D$5:$D$12,0)),"")</x:f>
        <x:v>46031</x:v>
      </x:c>
      <x:c r="U10" s="11" t="n">
        <x:f>IFERROR(INDEX(Generator!$H$2:$H$1826,(ROW()-2)*Assumptions!$B$7+MATCH($B$6,Assumptions!$D$5:$D$12,0)),"")</x:f>
        <x:v>1040.431359828669</x:v>
      </x:c>
      <x:c r="V10" s="11" t="n">
        <x:f>IFERROR(INDEX(Generator!$I$2:$I$1826,(ROW()-2)*Assumptions!$B$7+MATCH($B$6,Assumptions!$D$5:$D$12,0)),"")</x:f>
        <x:v>1092.2209636037103</x:v>
      </x:c>
    </x:row>
    <x:row r="11">
      <x:c r="A11" s="39" t="str">
        <x:v>Date</x:v>
      </x:c>
      <x:c r="B11" s="40" t="str">
        <x:v>Output</x:v>
      </x:c>
      <x:c r="C11" s="41" t="str">
        <x:v>7-day moving average</x:v>
      </x:c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T11" s="10" t="n">
        <x:f>IFERROR(INDEX(Generator!$A$2:$A$1826,(ROW()-2)*Assumptions!$B$7+MATCH($B$6,Assumptions!$D$5:$D$12,0)),"")</x:f>
        <x:v>46032</x:v>
      </x:c>
      <x:c r="U11" s="11" t="n">
        <x:f>IFERROR(INDEX(Generator!$H$2:$H$1826,(ROW()-2)*Assumptions!$B$7+MATCH($B$6,Assumptions!$D$5:$D$12,0)),"")</x:f>
        <x:v>1046.202704733279</x:v>
      </x:c>
      <x:c r="V11" s="11" t="n">
        <x:f>IFERROR(INDEX(Generator!$I$2:$I$1826,(ROW()-2)*Assumptions!$B$7+MATCH($B$6,Assumptions!$D$5:$D$12,0)),"")</x:f>
        <x:v>1081.1048717132605</x:v>
      </x:c>
    </x:row>
    <x:row r="12">
      <x:c r="A12" s="42" t="n">
        <x:f>IFERROR(_xlfn._xlws.FILTER(Generator!$A$2:$A$1826,Generator!$B$2:$B$1826=$B$6),"")</x:f>
        <x:v>46023</x:v>
      </x:c>
      <x:c r="B12" s="43" t="n">
        <x:f>IFERROR(_xlfn._xlws.FILTER(Generator!$H$2:$H$1826,Generator!$B$2:$B$1826=$B$6),"")</x:f>
        <x:v>1144.606086217529</x:v>
      </x:c>
      <x:c r="C12" s="44" t="n">
        <x:f>IFERROR(_xlfn._xlws.FILTER(Generator!$I$2:$I$1826,Generator!$B$2:$B$1826=$B$6),"")</x:f>
        <x:v>1144.606086217529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T12" s="10" t="n">
        <x:f>IFERROR(INDEX(Generator!$A$2:$A$1826,(ROW()-2)*Assumptions!$B$7+MATCH($B$6,Assumptions!$D$5:$D$12,0)),"")</x:f>
        <x:v>46033</x:v>
      </x:c>
      <x:c r="U12" s="11" t="n">
        <x:f>IFERROR(INDEX(Generator!$H$2:$H$1826,(ROW()-2)*Assumptions!$B$7+MATCH($B$6,Assumptions!$D$5:$D$12,0)),"")</x:f>
        <x:v>1072.1884642721784</x:v>
      </x:c>
      <x:c r="V12" s="11" t="n">
        <x:f>IFERROR(INDEX(Generator!$I$2:$I$1826,(ROW()-2)*Assumptions!$B$7+MATCH($B$6,Assumptions!$D$5:$D$12,0)),"")</x:f>
        <x:v>1087.8645786662132</x:v>
      </x:c>
    </x:row>
    <x:row r="13">
      <x:c r="A13" s="42"/>
      <x:c r="B13" s="43"/>
      <x:c r="C13" s="44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T13" s="10" t="n">
        <x:f>IFERROR(INDEX(Generator!$A$2:$A$1826,(ROW()-2)*Assumptions!$B$7+MATCH($B$6,Assumptions!$D$5:$D$12,0)),"")</x:f>
        <x:v>46034</x:v>
      </x:c>
      <x:c r="U13" s="11" t="n">
        <x:f>IFERROR(INDEX(Generator!$H$2:$H$1826,(ROW()-2)*Assumptions!$B$7+MATCH($B$6,Assumptions!$D$5:$D$12,0)),"")</x:f>
        <x:v>1157.3883900747871</x:v>
      </x:c>
      <x:c r="V13" s="11" t="n">
        <x:f>IFERROR(INDEX(Generator!$I$2:$I$1826,(ROW()-2)*Assumptions!$B$7+MATCH($B$6,Assumptions!$D$5:$D$12,0)),"")</x:f>
        <x:v>1078.755193288703</x:v>
      </x:c>
    </x:row>
    <x:row r="14">
      <x:c r="A14" s="42"/>
      <x:c r="B14" s="43"/>
      <x:c r="C14" s="44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T14" s="10" t="n">
        <x:f>IFERROR(INDEX(Generator!$A$2:$A$1826,(ROW()-2)*Assumptions!$B$7+MATCH($B$6,Assumptions!$D$5:$D$12,0)),"")</x:f>
        <x:v>46035</x:v>
      </x:c>
      <x:c r="U14" s="11" t="n">
        <x:f>IFERROR(INDEX(Generator!$H$2:$H$1826,(ROW()-2)*Assumptions!$B$7+MATCH($B$6,Assumptions!$D$5:$D$12,0)),"")</x:f>
        <x:v>1027.1975264355333</x:v>
      </x:c>
      <x:c r="V14" s="11" t="n">
        <x:f>IFERROR(INDEX(Generator!$I$2:$I$1826,(ROW()-2)*Assumptions!$B$7+MATCH($B$6,Assumptions!$D$5:$D$12,0)),"")</x:f>
        <x:v>1067.6661337899893</x:v>
      </x:c>
    </x:row>
    <x:row r="15">
      <x:c r="A15" s="42"/>
      <x:c r="B15" s="43"/>
      <x:c r="C15" s="44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T15" s="10" t="n">
        <x:f>IFERROR(INDEX(Generator!$A$2:$A$1826,(ROW()-2)*Assumptions!$B$7+MATCH($B$6,Assumptions!$D$5:$D$12,0)),"")</x:f>
        <x:v>46036</x:v>
      </x:c>
      <x:c r="U15" s="11" t="n">
        <x:f>IFERROR(INDEX(Generator!$H$2:$H$1826,(ROW()-2)*Assumptions!$B$7+MATCH($B$6,Assumptions!$D$5:$D$12,0)),"")</x:f>
        <x:v>1157.796018541545</x:v>
      </x:c>
      <x:c r="V15" s="11" t="n">
        <x:f>IFERROR(INDEX(Generator!$I$2:$I$1826,(ROW()-2)*Assumptions!$B$7+MATCH($B$6,Assumptions!$D$5:$D$12,0)),"")</x:f>
        <x:v>1077.0495869688336</x:v>
      </x:c>
    </x:row>
    <x:row r="16">
      <x:c r="A16" s="42"/>
      <x:c r="B16" s="43"/>
      <x:c r="C16" s="44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T16" s="10" t="n">
        <x:f>IFERROR(INDEX(Generator!$A$2:$A$1826,(ROW()-2)*Assumptions!$B$7+MATCH($B$6,Assumptions!$D$5:$D$12,0)),"")</x:f>
        <x:v>46037</x:v>
      </x:c>
      <x:c r="U16" s="11" t="n">
        <x:f>IFERROR(INDEX(Generator!$H$2:$H$1826,(ROW()-2)*Assumptions!$B$7+MATCH($B$6,Assumptions!$D$5:$D$12,0)),"")</x:f>
        <x:v>1119.5791358485353</x:v>
      </x:c>
      <x:c r="V16" s="11" t="n">
        <x:f>IFERROR(INDEX(Generator!$I$2:$I$1826,(ROW()-2)*Assumptions!$B$7+MATCH($B$6,Assumptions!$D$5:$D$12,0)),"")</x:f>
        <x:v>1088.6833713906467</x:v>
      </x:c>
    </x:row>
    <x:row r="17">
      <x:c r="A17" s="42"/>
      <x:c r="B17" s="43"/>
      <x:c r="C17" s="44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T17" s="10" t="n">
        <x:f>IFERROR(INDEX(Generator!$A$2:$A$1826,(ROW()-2)*Assumptions!$B$7+MATCH($B$6,Assumptions!$D$5:$D$12,0)),"")</x:f>
        <x:v>46038</x:v>
      </x:c>
      <x:c r="U17" s="11" t="n">
        <x:f>IFERROR(INDEX(Generator!$H$2:$H$1826,(ROW()-2)*Assumptions!$B$7+MATCH($B$6,Assumptions!$D$5:$D$12,0)),"")</x:f>
        <x:v>1093.2864358106613</x:v>
      </x:c>
      <x:c r="V17" s="11" t="n">
        <x:f>IFERROR(INDEX(Generator!$I$2:$I$1826,(ROW()-2)*Assumptions!$B$7+MATCH($B$6,Assumptions!$D$5:$D$12,0)),"")</x:f>
        <x:v>1096.2340965309315</x:v>
      </x:c>
    </x:row>
    <x:row r="18">
      <x:c r="A18" s="42"/>
      <x:c r="B18" s="43"/>
      <x:c r="C18" s="44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T18" s="10" t="n">
        <x:f>IFERROR(INDEX(Generator!$A$2:$A$1826,(ROW()-2)*Assumptions!$B$7+MATCH($B$6,Assumptions!$D$5:$D$12,0)),"")</x:f>
        <x:v>46039</x:v>
      </x:c>
      <x:c r="U18" s="11" t="n">
        <x:f>IFERROR(INDEX(Generator!$H$2:$H$1826,(ROW()-2)*Assumptions!$B$7+MATCH($B$6,Assumptions!$D$5:$D$12,0)),"")</x:f>
        <x:v>1066.3127658423655</x:v>
      </x:c>
      <x:c r="V18" s="11" t="n">
        <x:f>IFERROR(INDEX(Generator!$I$2:$I$1826,(ROW()-2)*Assumptions!$B$7+MATCH($B$6,Assumptions!$D$5:$D$12,0)),"")</x:f>
        <x:v>1099.106962403658</x:v>
      </x:c>
    </x:row>
    <x:row r="19">
      <x:c r="A19" s="42"/>
      <x:c r="B19" s="43"/>
      <x:c r="C19" s="44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T19" s="10" t="n">
        <x:f>IFERROR(INDEX(Generator!$A$2:$A$1826,(ROW()-2)*Assumptions!$B$7+MATCH($B$6,Assumptions!$D$5:$D$12,0)),"")</x:f>
        <x:v>46040</x:v>
      </x:c>
      <x:c r="U19" s="11" t="n">
        <x:f>IFERROR(INDEX(Generator!$H$2:$H$1826,(ROW()-2)*Assumptions!$B$7+MATCH($B$6,Assumptions!$D$5:$D$12,0)),"")</x:f>
        <x:v>1065.8653066997858</x:v>
      </x:c>
      <x:c r="V19" s="11" t="n">
        <x:f>IFERROR(INDEX(Generator!$I$2:$I$1826,(ROW()-2)*Assumptions!$B$7+MATCH($B$6,Assumptions!$D$5:$D$12,0)),"")</x:f>
        <x:v>1098.2036541790305</x:v>
      </x:c>
    </x:row>
    <x:row r="20">
      <x:c r="A20" s="42"/>
      <x:c r="B20" s="43"/>
      <x:c r="C20" s="44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T20" s="10" t="n">
        <x:f>IFERROR(INDEX(Generator!$A$2:$A$1826,(ROW()-2)*Assumptions!$B$7+MATCH($B$6,Assumptions!$D$5:$D$12,0)),"")</x:f>
        <x:v>46041</x:v>
      </x:c>
      <x:c r="U20" s="11" t="n">
        <x:f>IFERROR(INDEX(Generator!$H$2:$H$1826,(ROW()-2)*Assumptions!$B$7+MATCH($B$6,Assumptions!$D$5:$D$12,0)),"")</x:f>
        <x:v>1093.115418024353</x:v>
      </x:c>
      <x:c r="V20" s="11" t="n">
        <x:f>IFERROR(INDEX(Generator!$I$2:$I$1826,(ROW()-2)*Assumptions!$B$7+MATCH($B$6,Assumptions!$D$5:$D$12,0)),"")</x:f>
        <x:v>1089.0218010289684</x:v>
      </x:c>
    </x:row>
    <x:row r="21">
      <x:c r="A21" s="42"/>
      <x:c r="B21" s="43"/>
      <x:c r="C21" s="44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T21" s="10" t="n">
        <x:f>IFERROR(INDEX(Generator!$A$2:$A$1826,(ROW()-2)*Assumptions!$B$7+MATCH($B$6,Assumptions!$D$5:$D$12,0)),"")</x:f>
        <x:v>46042</x:v>
      </x:c>
      <x:c r="U21" s="11" t="n">
        <x:f>IFERROR(INDEX(Generator!$H$2:$H$1826,(ROW()-2)*Assumptions!$B$7+MATCH($B$6,Assumptions!$D$5:$D$12,0)),"")</x:f>
        <x:v>1152.478548509729</x:v>
      </x:c>
      <x:c r="V21" s="11" t="n">
        <x:f>IFERROR(INDEX(Generator!$I$2:$I$1826,(ROW()-2)*Assumptions!$B$7+MATCH($B$6,Assumptions!$D$5:$D$12,0)),"")</x:f>
        <x:v>1106.9190898967106</x:v>
      </x:c>
    </x:row>
    <x:row r="22">
      <x:c r="A22" s="42"/>
      <x:c r="B22" s="43"/>
      <x:c r="C22" s="44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T22" s="10" t="n">
        <x:f>IFERROR(INDEX(Generator!$A$2:$A$1826,(ROW()-2)*Assumptions!$B$7+MATCH($B$6,Assumptions!$D$5:$D$12,0)),"")</x:f>
        <x:v>46043</x:v>
      </x:c>
      <x:c r="U22" s="11" t="n">
        <x:f>IFERROR(INDEX(Generator!$H$2:$H$1826,(ROW()-2)*Assumptions!$B$7+MATCH($B$6,Assumptions!$D$5:$D$12,0)),"")</x:f>
        <x:v>1061.1125808972536</x:v>
      </x:c>
      <x:c r="V22" s="11" t="n">
        <x:f>IFERROR(INDEX(Generator!$I$2:$I$1826,(ROW()-2)*Assumptions!$B$7+MATCH($B$6,Assumptions!$D$5:$D$12,0)),"")</x:f>
        <x:v>1093.1071702332406</x:v>
      </x:c>
    </x:row>
    <x:row r="23">
      <x:c r="A23" s="42"/>
      <x:c r="B23" s="43"/>
      <x:c r="C23" s="44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T23" s="10" t="n">
        <x:f>IFERROR(INDEX(Generator!$A$2:$A$1826,(ROW()-2)*Assumptions!$B$7+MATCH($B$6,Assumptions!$D$5:$D$12,0)),"")</x:f>
        <x:v>46044</x:v>
      </x:c>
      <x:c r="U23" s="11" t="n">
        <x:f>IFERROR(INDEX(Generator!$H$2:$H$1826,(ROW()-2)*Assumptions!$B$7+MATCH($B$6,Assumptions!$D$5:$D$12,0)),"")</x:f>
        <x:v>1204.6611164718868</x:v>
      </x:c>
      <x:c r="V23" s="11" t="n">
        <x:f>IFERROR(INDEX(Generator!$I$2:$I$1826,(ROW()-2)*Assumptions!$B$7+MATCH($B$6,Assumptions!$D$5:$D$12,0)),"")</x:f>
        <x:v>1105.2617388937192</x:v>
      </x:c>
    </x:row>
    <x:row r="24">
      <x:c r="A24" s="42"/>
      <x:c r="B24" s="43"/>
      <x:c r="C24" s="44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T24" s="10" t="n">
        <x:f>IFERROR(INDEX(Generator!$A$2:$A$1826,(ROW()-2)*Assumptions!$B$7+MATCH($B$6,Assumptions!$D$5:$D$12,0)),"")</x:f>
        <x:v>46045</x:v>
      </x:c>
      <x:c r="U24" s="11" t="n">
        <x:f>IFERROR(INDEX(Generator!$H$2:$H$1826,(ROW()-2)*Assumptions!$B$7+MATCH($B$6,Assumptions!$D$5:$D$12,0)),"")</x:f>
        <x:v>1109.1973832397507</x:v>
      </x:c>
      <x:c r="V24" s="11" t="n">
        <x:f>IFERROR(INDEX(Generator!$I$2:$I$1826,(ROW()-2)*Assumptions!$B$7+MATCH($B$6,Assumptions!$D$5:$D$12,0)),"")</x:f>
        <x:v>1107.5347313835894</x:v>
      </x:c>
    </x:row>
    <x:row r="25">
      <x:c r="A25" s="42"/>
      <x:c r="B25" s="43"/>
      <x:c r="C25" s="44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T25" s="10" t="n">
        <x:f>IFERROR(INDEX(Generator!$A$2:$A$1826,(ROW()-2)*Assumptions!$B$7+MATCH($B$6,Assumptions!$D$5:$D$12,0)),"")</x:f>
        <x:v>46046</x:v>
      </x:c>
      <x:c r="U25" s="11" t="n">
        <x:f>IFERROR(INDEX(Generator!$H$2:$H$1826,(ROW()-2)*Assumptions!$B$7+MATCH($B$6,Assumptions!$D$5:$D$12,0)),"")</x:f>
        <x:v>1039.3586160688471</x:v>
      </x:c>
      <x:c r="V25" s="11" t="n">
        <x:f>IFERROR(INDEX(Generator!$I$2:$I$1826,(ROW()-2)*Assumptions!$B$7+MATCH($B$6,Assumptions!$D$5:$D$12,0)),"")</x:f>
        <x:v>1103.684138558801</x:v>
      </x:c>
    </x:row>
    <x:row r="26">
      <x:c r="A26" s="42"/>
      <x:c r="B26" s="43"/>
      <x:c r="C26" s="44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T26" s="10" t="n">
        <x:f>IFERROR(INDEX(Generator!$A$2:$A$1826,(ROW()-2)*Assumptions!$B$7+MATCH($B$6,Assumptions!$D$5:$D$12,0)),"")</x:f>
        <x:v>46047</x:v>
      </x:c>
      <x:c r="U26" s="11" t="n">
        <x:f>IFERROR(INDEX(Generator!$H$2:$H$1826,(ROW()-2)*Assumptions!$B$7+MATCH($B$6,Assumptions!$D$5:$D$12,0)),"")</x:f>
        <x:v>1106.082662519084</x:v>
      </x:c>
      <x:c r="V26" s="11" t="n">
        <x:f>IFERROR(INDEX(Generator!$I$2:$I$1826,(ROW()-2)*Assumptions!$B$7+MATCH($B$6,Assumptions!$D$5:$D$12,0)),"")</x:f>
        <x:v>1109.429475104415</x:v>
      </x:c>
    </x:row>
    <x:row r="27">
      <x:c r="A27" s="42"/>
      <x:c r="B27" s="43"/>
      <x:c r="C27" s="44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T27" s="10" t="n">
        <x:f>IFERROR(INDEX(Generator!$A$2:$A$1826,(ROW()-2)*Assumptions!$B$7+MATCH($B$6,Assumptions!$D$5:$D$12,0)),"")</x:f>
        <x:v>46048</x:v>
      </x:c>
      <x:c r="U27" s="11" t="n">
        <x:f>IFERROR(INDEX(Generator!$H$2:$H$1826,(ROW()-2)*Assumptions!$B$7+MATCH($B$6,Assumptions!$D$5:$D$12,0)),"")</x:f>
        <x:v>1171.532377577084</x:v>
      </x:c>
      <x:c r="V27" s="11" t="n">
        <x:f>IFERROR(INDEX(Generator!$I$2:$I$1826,(ROW()-2)*Assumptions!$B$7+MATCH($B$6,Assumptions!$D$5:$D$12,0)),"")</x:f>
        <x:v>1120.6318978976622</x:v>
      </x:c>
    </x:row>
    <x:row r="28">
      <x:c r="A28" s="42"/>
      <x:c r="B28" s="43"/>
      <x:c r="C28" s="44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T28" s="10" t="n">
        <x:f>IFERROR(INDEX(Generator!$A$2:$A$1826,(ROW()-2)*Assumptions!$B$7+MATCH($B$6,Assumptions!$D$5:$D$12,0)),"")</x:f>
        <x:v>46049</x:v>
      </x:c>
      <x:c r="U28" s="11" t="n">
        <x:f>IFERROR(INDEX(Generator!$H$2:$H$1826,(ROW()-2)*Assumptions!$B$7+MATCH($B$6,Assumptions!$D$5:$D$12,0)),"")</x:f>
        <x:v>1088.3567518908703</x:v>
      </x:c>
      <x:c r="V28" s="11" t="n">
        <x:f>IFERROR(INDEX(Generator!$I$2:$I$1826,(ROW()-2)*Assumptions!$B$7+MATCH($B$6,Assumptions!$D$5:$D$12,0)),"")</x:f>
        <x:v>1111.4716412378252</x:v>
      </x:c>
    </x:row>
    <x:row r="29">
      <x:c r="A29" s="42"/>
      <x:c r="B29" s="43"/>
      <x:c r="C29" s="44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T29" s="10" t="n">
        <x:f>IFERROR(INDEX(Generator!$A$2:$A$1826,(ROW()-2)*Assumptions!$B$7+MATCH($B$6,Assumptions!$D$5:$D$12,0)),"")</x:f>
        <x:v>46050</x:v>
      </x:c>
      <x:c r="U29" s="11" t="n">
        <x:f>IFERROR(INDEX(Generator!$H$2:$H$1826,(ROW()-2)*Assumptions!$B$7+MATCH($B$6,Assumptions!$D$5:$D$12,0)),"")</x:f>
        <x:v>1134.1606714681957</x:v>
      </x:c>
      <x:c r="V29" s="11" t="n">
        <x:f>IFERROR(INDEX(Generator!$I$2:$I$1826,(ROW()-2)*Assumptions!$B$7+MATCH($B$6,Assumptions!$D$5:$D$12,0)),"")</x:f>
        <x:v>1121.9070827479597</x:v>
      </x:c>
    </x:row>
    <x:row r="30">
      <x:c r="A30" s="42"/>
      <x:c r="B30" s="43"/>
      <x:c r="C30" s="44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T30" s="10" t="n">
        <x:f>IFERROR(INDEX(Generator!$A$2:$A$1826,(ROW()-2)*Assumptions!$B$7+MATCH($B$6,Assumptions!$D$5:$D$12,0)),"")</x:f>
        <x:v>46051</x:v>
      </x:c>
      <x:c r="U30" s="11" t="n">
        <x:f>IFERROR(INDEX(Generator!$H$2:$H$1826,(ROW()-2)*Assumptions!$B$7+MATCH($B$6,Assumptions!$D$5:$D$12,0)),"")</x:f>
        <x:v>1089.2887930512597</x:v>
      </x:c>
      <x:c r="V30" s="11" t="n">
        <x:f>IFERROR(INDEX(Generator!$I$2:$I$1826,(ROW()-2)*Assumptions!$B$7+MATCH($B$6,Assumptions!$D$5:$D$12,0)),"")</x:f>
        <x:v>1105.4253222592988</x:v>
      </x:c>
    </x:row>
    <x:row r="31">
      <x:c r="A31" s="42"/>
      <x:c r="B31" s="43"/>
      <x:c r="C31" s="44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T31" s="10" t="n">
        <x:f>IFERROR(INDEX(Generator!$A$2:$A$1826,(ROW()-2)*Assumptions!$B$7+MATCH($B$6,Assumptions!$D$5:$D$12,0)),"")</x:f>
        <x:v>46052</x:v>
      </x:c>
      <x:c r="U31" s="11" t="n">
        <x:f>IFERROR(INDEX(Generator!$H$2:$H$1826,(ROW()-2)*Assumptions!$B$7+MATCH($B$6,Assumptions!$D$5:$D$12,0)),"")</x:f>
        <x:v>1095.924004614167</x:v>
      </x:c>
      <x:c r="V31" s="11" t="n">
        <x:f>IFERROR(INDEX(Generator!$I$2:$I$1826,(ROW()-2)*Assumptions!$B$7+MATCH($B$6,Assumptions!$D$5:$D$12,0)),"")</x:f>
        <x:v>1103.5291253127868</x:v>
      </x:c>
    </x:row>
    <x:row r="32">
      <x:c r="A32" s="42"/>
      <x:c r="B32" s="43"/>
      <x:c r="C32" s="44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T32" s="10" t="n">
        <x:f>IFERROR(INDEX(Generator!$A$2:$A$1826,(ROW()-2)*Assumptions!$B$7+MATCH($B$6,Assumptions!$D$5:$D$12,0)),"")</x:f>
        <x:v>46053</x:v>
      </x:c>
      <x:c r="U32" s="11" t="n">
        <x:f>IFERROR(INDEX(Generator!$H$2:$H$1826,(ROW()-2)*Assumptions!$B$7+MATCH($B$6,Assumptions!$D$5:$D$12,0)),"")</x:f>
        <x:v>1089.3208986140278</x:v>
      </x:c>
      <x:c r="V32" s="11" t="n">
        <x:f>IFERROR(INDEX(Generator!$I$2:$I$1826,(ROW()-2)*Assumptions!$B$7+MATCH($B$6,Assumptions!$D$5:$D$12,0)),"")</x:f>
        <x:v>1110.6665942478126</x:v>
      </x:c>
    </x:row>
    <x:row r="33">
      <x:c r="A33" s="42"/>
      <x:c r="B33" s="43"/>
      <x:c r="C33" s="44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T33" s="10" t="n">
        <x:f>IFERROR(INDEX(Generator!$A$2:$A$1826,(ROW()-2)*Assumptions!$B$7+MATCH($B$6,Assumptions!$D$5:$D$12,0)),"")</x:f>
        <x:v>46054</x:v>
      </x:c>
      <x:c r="U33" s="11" t="n">
        <x:f>IFERROR(INDEX(Generator!$H$2:$H$1826,(ROW()-2)*Assumptions!$B$7+MATCH($B$6,Assumptions!$D$5:$D$12,0)),"")</x:f>
        <x:v>1092.816860001115</x:v>
      </x:c>
      <x:c r="V33" s="11" t="n">
        <x:f>IFERROR(INDEX(Generator!$I$2:$I$1826,(ROW()-2)*Assumptions!$B$7+MATCH($B$6,Assumptions!$D$5:$D$12,0)),"")</x:f>
        <x:v>1108.7714796023886</x:v>
      </x:c>
    </x:row>
    <x:row r="34">
      <x:c r="A34" s="42"/>
      <x:c r="B34" s="43"/>
      <x:c r="C34" s="44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T34" s="10" t="n">
        <x:f>IFERROR(INDEX(Generator!$A$2:$A$1826,(ROW()-2)*Assumptions!$B$7+MATCH($B$6,Assumptions!$D$5:$D$12,0)),"")</x:f>
        <x:v>46055</x:v>
      </x:c>
      <x:c r="U34" s="11" t="n">
        <x:f>IFERROR(INDEX(Generator!$H$2:$H$1826,(ROW()-2)*Assumptions!$B$7+MATCH($B$6,Assumptions!$D$5:$D$12,0)),"")</x:f>
        <x:v>1077.0964907384387</x:v>
      </x:c>
      <x:c r="V34" s="11" t="n">
        <x:f>IFERROR(INDEX(Generator!$I$2:$I$1826,(ROW()-2)*Assumptions!$B$7+MATCH($B$6,Assumptions!$D$5:$D$12,0)),"")</x:f>
        <x:v>1095.2806386254392</x:v>
      </x:c>
    </x:row>
    <x:row r="35">
      <x:c r="A35" s="42"/>
      <x:c r="B35" s="43"/>
      <x:c r="C35" s="44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T35" s="10" t="n">
        <x:f>IFERROR(INDEX(Generator!$A$2:$A$1826,(ROW()-2)*Assumptions!$B$7+MATCH($B$6,Assumptions!$D$5:$D$12,0)),"")</x:f>
        <x:v>46056</x:v>
      </x:c>
      <x:c r="U35" s="11" t="n">
        <x:f>IFERROR(INDEX(Generator!$H$2:$H$1826,(ROW()-2)*Assumptions!$B$7+MATCH($B$6,Assumptions!$D$5:$D$12,0)),"")</x:f>
        <x:v>1135.9620814718232</x:v>
      </x:c>
      <x:c r="V35" s="11" t="n">
        <x:f>IFERROR(INDEX(Generator!$I$2:$I$1826,(ROW()-2)*Assumptions!$B$7+MATCH($B$6,Assumptions!$D$5:$D$12,0)),"")</x:f>
        <x:v>1102.0813999941468</x:v>
      </x:c>
    </x:row>
    <x:row r="36">
      <x:c r="A36" s="42"/>
      <x:c r="B36" s="43"/>
      <x:c r="C36" s="44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T36" s="10" t="n">
        <x:f>IFERROR(INDEX(Generator!$A$2:$A$1826,(ROW()-2)*Assumptions!$B$7+MATCH($B$6,Assumptions!$D$5:$D$12,0)),"")</x:f>
        <x:v>46057</x:v>
      </x:c>
      <x:c r="U36" s="11" t="n">
        <x:f>IFERROR(INDEX(Generator!$H$2:$H$1826,(ROW()-2)*Assumptions!$B$7+MATCH($B$6,Assumptions!$D$5:$D$12,0)),"")</x:f>
        <x:v>1092.4413069237708</x:v>
      </x:c>
      <x:c r="V36" s="11" t="n">
        <x:f>IFERROR(INDEX(Generator!$I$2:$I$1826,(ROW()-2)*Assumptions!$B$7+MATCH($B$6,Assumptions!$D$5:$D$12,0)),"")</x:f>
        <x:v>1096.1214907735146</x:v>
      </x:c>
    </x:row>
    <x:row r="37">
      <x:c r="A37" s="42"/>
      <x:c r="B37" s="43"/>
      <x:c r="C37" s="44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T37" s="10" t="n">
        <x:f>IFERROR(INDEX(Generator!$A$2:$A$1826,(ROW()-2)*Assumptions!$B$7+MATCH($B$6,Assumptions!$D$5:$D$12,0)),"")</x:f>
        <x:v>46058</x:v>
      </x:c>
      <x:c r="U37" s="11" t="n">
        <x:f>IFERROR(INDEX(Generator!$H$2:$H$1826,(ROW()-2)*Assumptions!$B$7+MATCH($B$6,Assumptions!$D$5:$D$12,0)),"")</x:f>
        <x:v>1188.106094136334</x:v>
      </x:c>
      <x:c r="V37" s="11" t="n">
        <x:f>IFERROR(INDEX(Generator!$I$2:$I$1826,(ROW()-2)*Assumptions!$B$7+MATCH($B$6,Assumptions!$D$5:$D$12,0)),"")</x:f>
        <x:v>1110.2382480713825</x:v>
      </x:c>
    </x:row>
    <x:row r="38">
      <x:c r="A38" s="42"/>
      <x:c r="B38" s="43"/>
      <x:c r="C38" s="44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T38" s="10" t="n">
        <x:f>IFERROR(INDEX(Generator!$A$2:$A$1826,(ROW()-2)*Assumptions!$B$7+MATCH($B$6,Assumptions!$D$5:$D$12,0)),"")</x:f>
        <x:v>46059</x:v>
      </x:c>
      <x:c r="U38" s="11" t="n">
        <x:f>IFERROR(INDEX(Generator!$H$2:$H$1826,(ROW()-2)*Assumptions!$B$7+MATCH($B$6,Assumptions!$D$5:$D$12,0)),"")</x:f>
        <x:v>1194.2892715023304</x:v>
      </x:c>
      <x:c r="V38" s="11" t="n">
        <x:f>IFERROR(INDEX(Generator!$I$2:$I$1826,(ROW()-2)*Assumptions!$B$7+MATCH($B$6,Assumptions!$D$5:$D$12,0)),"")</x:f>
        <x:v>1124.2904290554056</x:v>
      </x:c>
    </x:row>
    <x:row r="39">
      <x:c r="A39" s="42"/>
      <x:c r="B39" s="43"/>
      <x:c r="C39" s="44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T39" s="10" t="n">
        <x:f>IFERROR(INDEX(Generator!$A$2:$A$1826,(ROW()-2)*Assumptions!$B$7+MATCH($B$6,Assumptions!$D$5:$D$12,0)),"")</x:f>
        <x:v>46060</x:v>
      </x:c>
      <x:c r="U39" s="11" t="n">
        <x:f>IFERROR(INDEX(Generator!$H$2:$H$1826,(ROW()-2)*Assumptions!$B$7+MATCH($B$6,Assumptions!$D$5:$D$12,0)),"")</x:f>
        <x:v>1099.069898543851</x:v>
      </x:c>
      <x:c r="V39" s="11" t="n">
        <x:f>IFERROR(INDEX(Generator!$I$2:$I$1826,(ROW()-2)*Assumptions!$B$7+MATCH($B$6,Assumptions!$D$5:$D$12,0)),"")</x:f>
        <x:v>1125.6831433310947</x:v>
      </x:c>
    </x:row>
    <x:row r="40">
      <x:c r="A40" s="42"/>
      <x:c r="B40" s="43"/>
      <x:c r="C40" s="44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T40" s="10" t="n">
        <x:f>IFERROR(INDEX(Generator!$A$2:$A$1826,(ROW()-2)*Assumptions!$B$7+MATCH($B$6,Assumptions!$D$5:$D$12,0)),"")</x:f>
        <x:v>46061</x:v>
      </x:c>
      <x:c r="U40" s="11" t="n">
        <x:f>IFERROR(INDEX(Generator!$H$2:$H$1826,(ROW()-2)*Assumptions!$B$7+MATCH($B$6,Assumptions!$D$5:$D$12,0)),"")</x:f>
        <x:v>1102.5676189700994</x:v>
      </x:c>
      <x:c r="V40" s="11" t="n">
        <x:f>IFERROR(INDEX(Generator!$I$2:$I$1826,(ROW()-2)*Assumptions!$B$7+MATCH($B$6,Assumptions!$D$5:$D$12,0)),"")</x:f>
        <x:v>1127.0761088980926</x:v>
      </x:c>
    </x:row>
    <x:row r="41">
      <x:c r="A41" s="42"/>
      <x:c r="B41" s="43"/>
      <x:c r="C41" s="44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T41" s="10" t="n">
        <x:f>IFERROR(INDEX(Generator!$A$2:$A$1826,(ROW()-2)*Assumptions!$B$7+MATCH($B$6,Assumptions!$D$5:$D$12,0)),"")</x:f>
        <x:v>46062</x:v>
      </x:c>
      <x:c r="U41" s="11" t="n">
        <x:f>IFERROR(INDEX(Generator!$H$2:$H$1826,(ROW()-2)*Assumptions!$B$7+MATCH($B$6,Assumptions!$D$5:$D$12,0)),"")</x:f>
        <x:v>1138.1760429216904</x:v>
      </x:c>
      <x:c r="V41" s="11" t="n">
        <x:f>IFERROR(INDEX(Generator!$I$2:$I$1826,(ROW()-2)*Assumptions!$B$7+MATCH($B$6,Assumptions!$D$5:$D$12,0)),"")</x:f>
        <x:v>1135.8017592099857</x:v>
      </x:c>
    </x:row>
    <x:row r="42">
      <x:c r="A42" s="42"/>
      <x:c r="B42" s="43"/>
      <x:c r="C42" s="44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T42" s="10" t="n">
        <x:f>IFERROR(INDEX(Generator!$A$2:$A$1826,(ROW()-2)*Assumptions!$B$7+MATCH($B$6,Assumptions!$D$5:$D$12,0)),"")</x:f>
        <x:v>46063</x:v>
      </x:c>
      <x:c r="U42" s="11" t="n">
        <x:f>IFERROR(INDEX(Generator!$H$2:$H$1826,(ROW()-2)*Assumptions!$B$7+MATCH($B$6,Assumptions!$D$5:$D$12,0)),"")</x:f>
        <x:v>1144.4616273853833</x:v>
      </x:c>
      <x:c r="V42" s="11" t="n">
        <x:f>IFERROR(INDEX(Generator!$I$2:$I$1826,(ROW()-2)*Assumptions!$B$7+MATCH($B$6,Assumptions!$D$5:$D$12,0)),"")</x:f>
        <x:v>1137.0159800547797</x:v>
      </x:c>
    </x:row>
    <x:row r="43">
      <x:c r="A43" s="42"/>
      <x:c r="B43" s="43"/>
      <x:c r="C43" s="44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T43" s="10" t="n">
        <x:f>IFERROR(INDEX(Generator!$A$2:$A$1826,(ROW()-2)*Assumptions!$B$7+MATCH($B$6,Assumptions!$D$5:$D$12,0)),"")</x:f>
        <x:v>46064</x:v>
      </x:c>
      <x:c r="U43" s="11" t="n">
        <x:f>IFERROR(INDEX(Generator!$H$2:$H$1826,(ROW()-2)*Assumptions!$B$7+MATCH($B$6,Assumptions!$D$5:$D$12,0)),"")</x:f>
        <x:v>1121.9175460519832</x:v>
      </x:c>
      <x:c r="V43" s="11" t="n">
        <x:f>IFERROR(INDEX(Generator!$I$2:$I$1826,(ROW()-2)*Assumptions!$B$7+MATCH($B$6,Assumptions!$D$5:$D$12,0)),"")</x:f>
        <x:v>1141.2268713588103</x:v>
      </x:c>
    </x:row>
    <x:row r="44">
      <x:c r="A44" s="42"/>
      <x:c r="B44" s="43"/>
      <x:c r="C44" s="44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T44" s="10" t="n">
        <x:f>IFERROR(INDEX(Generator!$A$2:$A$1826,(ROW()-2)*Assumptions!$B$7+MATCH($B$6,Assumptions!$D$5:$D$12,0)),"")</x:f>
        <x:v>46065</x:v>
      </x:c>
      <x:c r="U44" s="11" t="n">
        <x:f>IFERROR(INDEX(Generator!$H$2:$H$1826,(ROW()-2)*Assumptions!$B$7+MATCH($B$6,Assumptions!$D$5:$D$12,0)),"")</x:f>
        <x:v>994</x:v>
      </x:c>
      <x:c r="V44" s="11" t="n">
        <x:f>IFERROR(INDEX(Generator!$I$2:$I$1826,(ROW()-2)*Assumptions!$B$7+MATCH($B$6,Assumptions!$D$5:$D$12,0)),"")</x:f>
        <x:v>1113.4974293393338</x:v>
      </x:c>
    </x:row>
    <x:row r="45">
      <x:c r="A45" s="42"/>
      <x:c r="B45" s="43"/>
      <x:c r="C45" s="44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T45" s="10" t="n">
        <x:f>IFERROR(INDEX(Generator!$A$2:$A$1826,(ROW()-2)*Assumptions!$B$7+MATCH($B$6,Assumptions!$D$5:$D$12,0)),"")</x:f>
        <x:v>46066</x:v>
      </x:c>
      <x:c r="U45" s="11" t="n">
        <x:f>IFERROR(INDEX(Generator!$H$2:$H$1826,(ROW()-2)*Assumptions!$B$7+MATCH($B$6,Assumptions!$D$5:$D$12,0)),"")</x:f>
        <x:v>994</x:v>
      </x:c>
      <x:c r="V45" s="11" t="n">
        <x:f>IFERROR(INDEX(Generator!$I$2:$I$1826,(ROW()-2)*Assumptions!$B$7+MATCH($B$6,Assumptions!$D$5:$D$12,0)),"")</x:f>
        <x:v>1084.8846762675723</x:v>
      </x:c>
    </x:row>
    <x:row r="46">
      <x:c r="A46" s="42"/>
      <x:c r="B46" s="43"/>
      <x:c r="C46" s="44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T46" s="10" t="n">
        <x:f>IFERROR(INDEX(Generator!$A$2:$A$1826,(ROW()-2)*Assumptions!$B$7+MATCH($B$6,Assumptions!$D$5:$D$12,0)),"")</x:f>
        <x:v>46067</x:v>
      </x:c>
      <x:c r="U46" s="11" t="n">
        <x:f>IFERROR(INDEX(Generator!$H$2:$H$1826,(ROW()-2)*Assumptions!$B$7+MATCH($B$6,Assumptions!$D$5:$D$12,0)),"")</x:f>
        <x:v>994</x:v>
      </x:c>
      <x:c r="V46" s="11" t="n">
        <x:f>IFERROR(INDEX(Generator!$I$2:$I$1826,(ROW()-2)*Assumptions!$B$7+MATCH($B$6,Assumptions!$D$5:$D$12,0)),"")</x:f>
        <x:v>1069.874690761308</x:v>
      </x:c>
    </x:row>
    <x:row r="47">
      <x:c r="A47" s="42"/>
      <x:c r="B47" s="43"/>
      <x:c r="C47" s="44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T47" s="10" t="n">
        <x:f>IFERROR(INDEX(Generator!$A$2:$A$1826,(ROW()-2)*Assumptions!$B$7+MATCH($B$6,Assumptions!$D$5:$D$12,0)),"")</x:f>
        <x:v>46068</x:v>
      </x:c>
      <x:c r="U47" s="11" t="n">
        <x:f>IFERROR(INDEX(Generator!$H$2:$H$1826,(ROW()-2)*Assumptions!$B$7+MATCH($B$6,Assumptions!$D$5:$D$12,0)),"")</x:f>
        <x:v>994</x:v>
      </x:c>
      <x:c r="V47" s="11" t="n">
        <x:f>IFERROR(INDEX(Generator!$I$2:$I$1826,(ROW()-2)*Assumptions!$B$7+MATCH($B$6,Assumptions!$D$5:$D$12,0)),"")</x:f>
        <x:v>1054.3650309084367</x:v>
      </x:c>
    </x:row>
    <x:row r="48">
      <x:c r="A48" s="42"/>
      <x:c r="B48" s="43"/>
      <x:c r="C48" s="44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T48" s="10" t="n">
        <x:f>IFERROR(INDEX(Generator!$A$2:$A$1826,(ROW()-2)*Assumptions!$B$7+MATCH($B$6,Assumptions!$D$5:$D$12,0)),"")</x:f>
        <x:v>46069</x:v>
      </x:c>
      <x:c r="U48" s="11" t="n">
        <x:f>IFERROR(INDEX(Generator!$H$2:$H$1826,(ROW()-2)*Assumptions!$B$7+MATCH($B$6,Assumptions!$D$5:$D$12,0)),"")</x:f>
        <x:v>994</x:v>
      </x:c>
      <x:c r="V48" s="11" t="n">
        <x:f>IFERROR(INDEX(Generator!$I$2:$I$1826,(ROW()-2)*Assumptions!$B$7+MATCH($B$6,Assumptions!$D$5:$D$12,0)),"")</x:f>
        <x:v>1033.7684533481954</x:v>
      </x:c>
    </x:row>
    <x:row r="49">
      <x:c r="A49" s="42"/>
      <x:c r="B49" s="43"/>
      <x:c r="C49" s="44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T49" s="10" t="n">
        <x:f>IFERROR(INDEX(Generator!$A$2:$A$1826,(ROW()-2)*Assumptions!$B$7+MATCH($B$6,Assumptions!$D$5:$D$12,0)),"")</x:f>
        <x:v>46070</x:v>
      </x:c>
      <x:c r="U49" s="11" t="n">
        <x:f>IFERROR(INDEX(Generator!$H$2:$H$1826,(ROW()-2)*Assumptions!$B$7+MATCH($B$6,Assumptions!$D$5:$D$12,0)),"")</x:f>
        <x:v>994</x:v>
      </x:c>
      <x:c r="V49" s="11" t="n">
        <x:f>IFERROR(INDEX(Generator!$I$2:$I$1826,(ROW()-2)*Assumptions!$B$7+MATCH($B$6,Assumptions!$D$5:$D$12,0)),"")</x:f>
        <x:v>1012.2739351502834</x:v>
      </x:c>
    </x:row>
    <x:row r="50">
      <x:c r="A50" s="42"/>
      <x:c r="B50" s="43"/>
      <x:c r="C50" s="44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T50" s="10" t="n">
        <x:f>IFERROR(INDEX(Generator!$A$2:$A$1826,(ROW()-2)*Assumptions!$B$7+MATCH($B$6,Assumptions!$D$5:$D$12,0)),"")</x:f>
        <x:v>46071</x:v>
      </x:c>
      <x:c r="U50" s="11" t="n">
        <x:f>IFERROR(INDEX(Generator!$H$2:$H$1826,(ROW()-2)*Assumptions!$B$7+MATCH($B$6,Assumptions!$D$5:$D$12,0)),"")</x:f>
        <x:v>994</x:v>
      </x:c>
      <x:c r="V50" s="11" t="n">
        <x:f>IFERROR(INDEX(Generator!$I$2:$I$1826,(ROW()-2)*Assumptions!$B$7+MATCH($B$6,Assumptions!$D$5:$D$12,0)),"")</x:f>
        <x:v>994</x:v>
      </x:c>
    </x:row>
    <x:row r="51">
      <x:c r="A51" s="42"/>
      <x:c r="B51" s="43"/>
      <x:c r="C51" s="44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T51" s="10" t="n">
        <x:f>IFERROR(INDEX(Generator!$A$2:$A$1826,(ROW()-2)*Assumptions!$B$7+MATCH($B$6,Assumptions!$D$5:$D$12,0)),"")</x:f>
        <x:v>46072</x:v>
      </x:c>
      <x:c r="U51" s="11" t="n">
        <x:f>IFERROR(INDEX(Generator!$H$2:$H$1826,(ROW()-2)*Assumptions!$B$7+MATCH($B$6,Assumptions!$D$5:$D$12,0)),"")</x:f>
        <x:v>1148.4482688473165</x:v>
      </x:c>
      <x:c r="V51" s="11" t="n">
        <x:f>IFERROR(INDEX(Generator!$I$2:$I$1826,(ROW()-2)*Assumptions!$B$7+MATCH($B$6,Assumptions!$D$5:$D$12,0)),"")</x:f>
        <x:v>1016.0640384067594</x:v>
      </x:c>
    </x:row>
    <x:row r="52">
      <x:c r="A52" s="42"/>
      <x:c r="B52" s="43"/>
      <x:c r="C52" s="44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T52" s="10" t="n">
        <x:f>IFERROR(INDEX(Generator!$A$2:$A$1826,(ROW()-2)*Assumptions!$B$7+MATCH($B$6,Assumptions!$D$5:$D$12,0)),"")</x:f>
        <x:v>46073</x:v>
      </x:c>
      <x:c r="U52" s="11" t="n">
        <x:f>IFERROR(INDEX(Generator!$H$2:$H$1826,(ROW()-2)*Assumptions!$B$7+MATCH($B$6,Assumptions!$D$5:$D$12,0)),"")</x:f>
        <x:v>1070.4272234308585</x:v>
      </x:c>
      <x:c r="V52" s="11" t="n">
        <x:f>IFERROR(INDEX(Generator!$I$2:$I$1826,(ROW()-2)*Assumptions!$B$7+MATCH($B$6,Assumptions!$D$5:$D$12,0)),"")</x:f>
        <x:v>1026.9822131825965</x:v>
      </x:c>
    </x:row>
    <x:row r="53">
      <x:c r="A53" s="42"/>
      <x:c r="B53" s="43"/>
      <x:c r="C53" s="44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T53" s="10" t="n">
        <x:f>IFERROR(INDEX(Generator!$A$2:$A$1826,(ROW()-2)*Assumptions!$B$7+MATCH($B$6,Assumptions!$D$5:$D$12,0)),"")</x:f>
        <x:v>46074</x:v>
      </x:c>
      <x:c r="U53" s="11" t="n">
        <x:f>IFERROR(INDEX(Generator!$H$2:$H$1826,(ROW()-2)*Assumptions!$B$7+MATCH($B$6,Assumptions!$D$5:$D$12,0)),"")</x:f>
        <x:v>1069.7708781549495</x:v>
      </x:c>
      <x:c r="V53" s="11" t="n">
        <x:f>IFERROR(INDEX(Generator!$I$2:$I$1826,(ROW()-2)*Assumptions!$B$7+MATCH($B$6,Assumptions!$D$5:$D$12,0)),"")</x:f>
        <x:v>1037.8066243475891</x:v>
      </x:c>
    </x:row>
    <x:row r="54">
      <x:c r="A54" s="42"/>
      <x:c r="B54" s="43"/>
      <x:c r="C54" s="44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T54" s="10" t="n">
        <x:f>IFERROR(INDEX(Generator!$A$2:$A$1826,(ROW()-2)*Assumptions!$B$7+MATCH($B$6,Assumptions!$D$5:$D$12,0)),"")</x:f>
        <x:v>46075</x:v>
      </x:c>
      <x:c r="U54" s="11" t="n">
        <x:f>IFERROR(INDEX(Generator!$H$2:$H$1826,(ROW()-2)*Assumptions!$B$7+MATCH($B$6,Assumptions!$D$5:$D$12,0)),"")</x:f>
        <x:v>1130.8832760660307</x:v>
      </x:c>
      <x:c r="V54" s="11" t="n">
        <x:f>IFERROR(INDEX(Generator!$I$2:$I$1826,(ROW()-2)*Assumptions!$B$7+MATCH($B$6,Assumptions!$D$5:$D$12,0)),"")</x:f>
        <x:v>1057.3613780713079</x:v>
      </x:c>
    </x:row>
    <x:row r="55">
      <x:c r="A55" s="42"/>
      <x:c r="B55" s="43"/>
      <x:c r="C55" s="44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T55" s="10" t="n">
        <x:f>IFERROR(INDEX(Generator!$A$2:$A$1826,(ROW()-2)*Assumptions!$B$7+MATCH($B$6,Assumptions!$D$5:$D$12,0)),"")</x:f>
        <x:v>46076</x:v>
      </x:c>
      <x:c r="U55" s="11" t="n">
        <x:f>IFERROR(INDEX(Generator!$H$2:$H$1826,(ROW()-2)*Assumptions!$B$7+MATCH($B$6,Assumptions!$D$5:$D$12,0)),"")</x:f>
        <x:v>1143.648179464773</x:v>
      </x:c>
      <x:c r="V55" s="11" t="n">
        <x:f>IFERROR(INDEX(Generator!$I$2:$I$1826,(ROW()-2)*Assumptions!$B$7+MATCH($B$6,Assumptions!$D$5:$D$12,0)),"")</x:f>
        <x:v>1078.7396894234182</x:v>
      </x:c>
    </x:row>
    <x:row r="56">
      <x:c r="A56" s="42"/>
      <x:c r="B56" s="43"/>
      <x:c r="C56" s="44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T56" s="10" t="n">
        <x:f>IFERROR(INDEX(Generator!$A$2:$A$1826,(ROW()-2)*Assumptions!$B$7+MATCH($B$6,Assumptions!$D$5:$D$12,0)),"")</x:f>
        <x:v>46077</x:v>
      </x:c>
      <x:c r="U56" s="11" t="n">
        <x:f>IFERROR(INDEX(Generator!$H$2:$H$1826,(ROW()-2)*Assumptions!$B$7+MATCH($B$6,Assumptions!$D$5:$D$12,0)),"")</x:f>
        <x:v>1200.0138048831132</x:v>
      </x:c>
      <x:c r="V56" s="11" t="n">
        <x:f>IFERROR(INDEX(Generator!$I$2:$I$1826,(ROW()-2)*Assumptions!$B$7+MATCH($B$6,Assumptions!$D$5:$D$12,0)),"")</x:f>
        <x:v>1108.1702329781488</x:v>
      </x:c>
    </x:row>
    <x:row r="57">
      <x:c r="A57" s="42"/>
      <x:c r="B57" s="43"/>
      <x:c r="C57" s="44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T57" s="10" t="n">
        <x:f>IFERROR(INDEX(Generator!$A$2:$A$1826,(ROW()-2)*Assumptions!$B$7+MATCH($B$6,Assumptions!$D$5:$D$12,0)),"")</x:f>
        <x:v>46078</x:v>
      </x:c>
      <x:c r="U57" s="11" t="n">
        <x:f>IFERROR(INDEX(Generator!$H$2:$H$1826,(ROW()-2)*Assumptions!$B$7+MATCH($B$6,Assumptions!$D$5:$D$12,0)),"")</x:f>
        <x:v>1122.7678429927682</x:v>
      </x:c>
      <x:c r="V57" s="11" t="n">
        <x:f>IFERROR(INDEX(Generator!$I$2:$I$1826,(ROW()-2)*Assumptions!$B$7+MATCH($B$6,Assumptions!$D$5:$D$12,0)),"")</x:f>
        <x:v>1126.5656391199727</x:v>
      </x:c>
    </x:row>
    <x:row r="58">
      <x:c r="A58" s="42"/>
      <x:c r="B58" s="43"/>
      <x:c r="C58" s="44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T58" s="10" t="n">
        <x:f>IFERROR(INDEX(Generator!$A$2:$A$1826,(ROW()-2)*Assumptions!$B$7+MATCH($B$6,Assumptions!$D$5:$D$12,0)),"")</x:f>
        <x:v>46079</x:v>
      </x:c>
      <x:c r="U58" s="11" t="n">
        <x:f>IFERROR(INDEX(Generator!$H$2:$H$1826,(ROW()-2)*Assumptions!$B$7+MATCH($B$6,Assumptions!$D$5:$D$12,0)),"")</x:f>
        <x:v>1076.1686172989196</x:v>
      </x:c>
      <x:c r="V58" s="11" t="n">
        <x:f>IFERROR(INDEX(Generator!$I$2:$I$1826,(ROW()-2)*Assumptions!$B$7+MATCH($B$6,Assumptions!$D$5:$D$12,0)),"")</x:f>
        <x:v>1116.2399746130588</x:v>
      </x:c>
    </x:row>
    <x:row r="59">
      <x:c r="A59" s="42"/>
      <x:c r="B59" s="43"/>
      <x:c r="C59" s="44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T59" s="10" t="n">
        <x:f>IFERROR(INDEX(Generator!$A$2:$A$1826,(ROW()-2)*Assumptions!$B$7+MATCH($B$6,Assumptions!$D$5:$D$12,0)),"")</x:f>
        <x:v>46080</x:v>
      </x:c>
      <x:c r="U59" s="11" t="n">
        <x:f>IFERROR(INDEX(Generator!$H$2:$H$1826,(ROW()-2)*Assumptions!$B$7+MATCH($B$6,Assumptions!$D$5:$D$12,0)),"")</x:f>
        <x:v>1092.2533658489779</x:v>
      </x:c>
      <x:c r="V59" s="11" t="n">
        <x:f>IFERROR(INDEX(Generator!$I$2:$I$1826,(ROW()-2)*Assumptions!$B$7+MATCH($B$6,Assumptions!$D$5:$D$12,0)),"")</x:f>
        <x:v>1119.3579949585044</x:v>
      </x:c>
    </x:row>
    <x:row r="60">
      <x:c r="A60" s="42"/>
      <x:c r="B60" s="43"/>
      <x:c r="C60" s="44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T60" s="10" t="n">
        <x:f>IFERROR(INDEX(Generator!$A$2:$A$1826,(ROW()-2)*Assumptions!$B$7+MATCH($B$6,Assumptions!$D$5:$D$12,0)),"")</x:f>
        <x:v>46081</x:v>
      </x:c>
      <x:c r="U60" s="11" t="n">
        <x:f>IFERROR(INDEX(Generator!$H$2:$H$1826,(ROW()-2)*Assumptions!$B$7+MATCH($B$6,Assumptions!$D$5:$D$12,0)),"")</x:f>
        <x:v>1113.3643603366086</x:v>
      </x:c>
      <x:c r="V60" s="11" t="n">
        <x:f>IFERROR(INDEX(Generator!$I$2:$I$1826,(ROW()-2)*Assumptions!$B$7+MATCH($B$6,Assumptions!$D$5:$D$12,0)),"")</x:f>
        <x:v>1125.58563527017</x:v>
      </x:c>
    </x:row>
    <x:row r="61">
      <x:c r="A61" s="42"/>
      <x:c r="B61" s="43"/>
      <x:c r="C61" s="44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T61" s="10" t="n">
        <x:f>IFERROR(INDEX(Generator!$A$2:$A$1826,(ROW()-2)*Assumptions!$B$7+MATCH($B$6,Assumptions!$D$5:$D$12,0)),"")</x:f>
        <x:v>46082</x:v>
      </x:c>
      <x:c r="U61" s="11" t="n">
        <x:f>IFERROR(INDEX(Generator!$H$2:$H$1826,(ROW()-2)*Assumptions!$B$7+MATCH($B$6,Assumptions!$D$5:$D$12,0)),"")</x:f>
        <x:v>1031.6325711621503</x:v>
      </x:c>
      <x:c r="V61" s="11" t="n">
        <x:f>IFERROR(INDEX(Generator!$I$2:$I$1826,(ROW()-2)*Assumptions!$B$7+MATCH($B$6,Assumptions!$D$5:$D$12,0)),"")</x:f>
        <x:v>1111.4069631410443</x:v>
      </x:c>
    </x:row>
    <x:row r="62">
      <x:c r="A62" s="42"/>
      <x:c r="B62" s="43"/>
      <x:c r="C62" s="44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T62" s="10" t="n">
        <x:f>IFERROR(INDEX(Generator!$A$2:$A$1826,(ROW()-2)*Assumptions!$B$7+MATCH($B$6,Assumptions!$D$5:$D$12,0)),"")</x:f>
        <x:v>46083</x:v>
      </x:c>
      <x:c r="U62" s="11" t="n">
        <x:f>IFERROR(INDEX(Generator!$H$2:$H$1826,(ROW()-2)*Assumptions!$B$7+MATCH($B$6,Assumptions!$D$5:$D$12,0)),"")</x:f>
        <x:v>1114.606387433151</x:v>
      </x:c>
      <x:c r="V62" s="11" t="n">
        <x:f>IFERROR(INDEX(Generator!$I$2:$I$1826,(ROW()-2)*Assumptions!$B$7+MATCH($B$6,Assumptions!$D$5:$D$12,0)),"")</x:f>
        <x:v>1107.2581357079555</x:v>
      </x:c>
    </x:row>
    <x:row r="63">
      <x:c r="A63" s="42"/>
      <x:c r="B63" s="43"/>
      <x:c r="C63" s="44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T63" s="10" t="n">
        <x:f>IFERROR(INDEX(Generator!$A$2:$A$1826,(ROW()-2)*Assumptions!$B$7+MATCH($B$6,Assumptions!$D$5:$D$12,0)),"")</x:f>
        <x:v>46084</x:v>
      </x:c>
      <x:c r="U63" s="11" t="n">
        <x:f>IFERROR(INDEX(Generator!$H$2:$H$1826,(ROW()-2)*Assumptions!$B$7+MATCH($B$6,Assumptions!$D$5:$D$12,0)),"")</x:f>
        <x:v>1058.0068443680116</x:v>
      </x:c>
      <x:c r="V63" s="11" t="n">
        <x:f>IFERROR(INDEX(Generator!$I$2:$I$1826,(ROW()-2)*Assumptions!$B$7+MATCH($B$6,Assumptions!$D$5:$D$12,0)),"")</x:f>
        <x:v>1086.9714270629408</x:v>
      </x:c>
    </x:row>
    <x:row r="64">
      <x:c r="A64" s="42"/>
      <x:c r="B64" s="43"/>
      <x:c r="C64" s="44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T64" s="10" t="n">
        <x:f>IFERROR(INDEX(Generator!$A$2:$A$1826,(ROW()-2)*Assumptions!$B$7+MATCH($B$6,Assumptions!$D$5:$D$12,0)),"")</x:f>
        <x:v>46085</x:v>
      </x:c>
      <x:c r="U64" s="11" t="n">
        <x:f>IFERROR(INDEX(Generator!$H$2:$H$1826,(ROW()-2)*Assumptions!$B$7+MATCH($B$6,Assumptions!$D$5:$D$12,0)),"")</x:f>
        <x:v>1103.7565296071796</x:v>
      </x:c>
      <x:c r="V64" s="11" t="n">
        <x:f>IFERROR(INDEX(Generator!$I$2:$I$1826,(ROW()-2)*Assumptions!$B$7+MATCH($B$6,Assumptions!$D$5:$D$12,0)),"")</x:f>
        <x:v>1084.255525150714</x:v>
      </x:c>
    </x:row>
    <x:row r="65">
      <x:c r="A65" s="42"/>
      <x:c r="B65" s="43"/>
      <x:c r="C65" s="44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T65" s="10" t="n">
        <x:f>IFERROR(INDEX(Generator!$A$2:$A$1826,(ROW()-2)*Assumptions!$B$7+MATCH($B$6,Assumptions!$D$5:$D$12,0)),"")</x:f>
        <x:v>46086</x:v>
      </x:c>
      <x:c r="U65" s="11" t="n">
        <x:f>IFERROR(INDEX(Generator!$H$2:$H$1826,(ROW()-2)*Assumptions!$B$7+MATCH($B$6,Assumptions!$D$5:$D$12,0)),"")</x:f>
        <x:v>1131.1402049746243</x:v>
      </x:c>
      <x:c r="V65" s="11" t="n">
        <x:f>IFERROR(INDEX(Generator!$I$2:$I$1826,(ROW()-2)*Assumptions!$B$7+MATCH($B$6,Assumptions!$D$5:$D$12,0)),"")</x:f>
        <x:v>1092.108609104386</x:v>
      </x:c>
    </x:row>
    <x:row r="66">
      <x:c r="A66" s="27"/>
      <x:c r="B66" s="11"/>
      <x:c r="C66" s="28"/>
      <x:c r="T66" s="10" t="n">
        <x:f>IFERROR(INDEX(Generator!$A$2:$A$1826,(ROW()-2)*Assumptions!$B$7+MATCH($B$6,Assumptions!$D$5:$D$12,0)),"")</x:f>
        <x:v>46087</x:v>
      </x:c>
      <x:c r="U66" s="11" t="n">
        <x:f>IFERROR(INDEX(Generator!$H$2:$H$1826,(ROW()-2)*Assumptions!$B$7+MATCH($B$6,Assumptions!$D$5:$D$12,0)),"")</x:f>
        <x:v>1094.8774142112034</x:v>
      </x:c>
      <x:c r="V66" s="11" t="n">
        <x:f>IFERROR(INDEX(Generator!$I$2:$I$1826,(ROW()-2)*Assumptions!$B$7+MATCH($B$6,Assumptions!$D$5:$D$12,0)),"")</x:f>
        <x:v>1092.4834731561327</x:v>
      </x:c>
    </x:row>
    <x:row r="67">
      <x:c r="A67" s="27"/>
      <x:c r="B67" s="11"/>
      <x:c r="C67" s="28"/>
      <x:c r="T67" s="10" t="n">
        <x:f>IFERROR(INDEX(Generator!$A$2:$A$1826,(ROW()-2)*Assumptions!$B$7+MATCH($B$6,Assumptions!$D$5:$D$12,0)),"")</x:f>
        <x:v>46088</x:v>
      </x:c>
      <x:c r="U67" s="11" t="n">
        <x:f>IFERROR(INDEX(Generator!$H$2:$H$1826,(ROW()-2)*Assumptions!$B$7+MATCH($B$6,Assumptions!$D$5:$D$12,0)),"")</x:f>
        <x:v>1059.4655919126183</x:v>
      </x:c>
      <x:c r="V67" s="11" t="n">
        <x:f>IFERROR(INDEX(Generator!$I$2:$I$1826,(ROW()-2)*Assumptions!$B$7+MATCH($B$6,Assumptions!$D$5:$D$12,0)),"")</x:f>
        <x:v>1084.7836490955626</x:v>
      </x:c>
    </x:row>
    <x:row r="68">
      <x:c r="A68" s="27"/>
      <x:c r="B68" s="11"/>
      <x:c r="C68" s="28"/>
      <x:c r="T68" s="10" t="n">
        <x:f>IFERROR(INDEX(Generator!$A$2:$A$1826,(ROW()-2)*Assumptions!$B$7+MATCH($B$6,Assumptions!$D$5:$D$12,0)),"")</x:f>
        <x:v>46089</x:v>
      </x:c>
      <x:c r="U68" s="11" t="n">
        <x:f>IFERROR(INDEX(Generator!$H$2:$H$1826,(ROW()-2)*Assumptions!$B$7+MATCH($B$6,Assumptions!$D$5:$D$12,0)),"")</x:f>
        <x:v>1029.679649030512</x:v>
      </x:c>
      <x:c r="V68" s="11" t="n">
        <x:f>IFERROR(INDEX(Generator!$I$2:$I$1826,(ROW()-2)*Assumptions!$B$7+MATCH($B$6,Assumptions!$D$5:$D$12,0)),"")</x:f>
        <x:v>1084.5046602196142</x:v>
      </x:c>
    </x:row>
    <x:row r="69">
      <x:c r="A69" s="27"/>
      <x:c r="B69" s="11"/>
      <x:c r="C69" s="28"/>
      <x:c r="T69" s="10" t="n">
        <x:f>IFERROR(INDEX(Generator!$A$2:$A$1826,(ROW()-2)*Assumptions!$B$7+MATCH($B$6,Assumptions!$D$5:$D$12,0)),"")</x:f>
        <x:v>46090</x:v>
      </x:c>
      <x:c r="U69" s="11" t="n">
        <x:f>IFERROR(INDEX(Generator!$H$2:$H$1826,(ROW()-2)*Assumptions!$B$7+MATCH($B$6,Assumptions!$D$5:$D$12,0)),"")</x:f>
        <x:v>1138.9300560521046</x:v>
      </x:c>
      <x:c r="V69" s="11" t="n">
        <x:f>IFERROR(INDEX(Generator!$I$2:$I$1826,(ROW()-2)*Assumptions!$B$7+MATCH($B$6,Assumptions!$D$5:$D$12,0)),"")</x:f>
        <x:v>1087.9794700223217</x:v>
      </x:c>
    </x:row>
    <x:row r="70">
      <x:c r="A70" s="27"/>
      <x:c r="B70" s="11"/>
      <x:c r="C70" s="28"/>
      <x:c r="T70" s="10" t="n">
        <x:f>IFERROR(INDEX(Generator!$A$2:$A$1826,(ROW()-2)*Assumptions!$B$7+MATCH($B$6,Assumptions!$D$5:$D$12,0)),"")</x:f>
        <x:v>46091</x:v>
      </x:c>
      <x:c r="U70" s="11" t="n">
        <x:f>IFERROR(INDEX(Generator!$H$2:$H$1826,(ROW()-2)*Assumptions!$B$7+MATCH($B$6,Assumptions!$D$5:$D$12,0)),"")</x:f>
        <x:v>1166.423246166836</x:v>
      </x:c>
      <x:c r="V70" s="11" t="n">
        <x:f>IFERROR(INDEX(Generator!$I$2:$I$1826,(ROW()-2)*Assumptions!$B$7+MATCH($B$6,Assumptions!$D$5:$D$12,0)),"")</x:f>
        <x:v>1103.467527422154</x:v>
      </x:c>
    </x:row>
    <x:row r="71">
      <x:c r="A71" s="27"/>
      <x:c r="B71" s="11"/>
      <x:c r="C71" s="28"/>
      <x:c r="T71" s="10" t="n">
        <x:f>IFERROR(INDEX(Generator!$A$2:$A$1826,(ROW()-2)*Assumptions!$B$7+MATCH($B$6,Assumptions!$D$5:$D$12,0)),"")</x:f>
        <x:v>46092</x:v>
      </x:c>
      <x:c r="U71" s="11" t="n">
        <x:f>IFERROR(INDEX(Generator!$H$2:$H$1826,(ROW()-2)*Assumptions!$B$7+MATCH($B$6,Assumptions!$D$5:$D$12,0)),"")</x:f>
        <x:v>1118.1124842597458</x:v>
      </x:c>
      <x:c r="V71" s="11" t="n">
        <x:f>IFERROR(INDEX(Generator!$I$2:$I$1826,(ROW()-2)*Assumptions!$B$7+MATCH($B$6,Assumptions!$D$5:$D$12,0)),"")</x:f>
        <x:v>1105.5183780868063</x:v>
      </x:c>
    </x:row>
    <x:row r="72">
      <x:c r="A72" s="27"/>
      <x:c r="B72" s="11"/>
      <x:c r="C72" s="28"/>
      <x:c r="T72" s="10" t="n">
        <x:f>IFERROR(INDEX(Generator!$A$2:$A$1826,(ROW()-2)*Assumptions!$B$7+MATCH($B$6,Assumptions!$D$5:$D$12,0)),"")</x:f>
        <x:v>46093</x:v>
      </x:c>
      <x:c r="U72" s="11" t="n">
        <x:f>IFERROR(INDEX(Generator!$H$2:$H$1826,(ROW()-2)*Assumptions!$B$7+MATCH($B$6,Assumptions!$D$5:$D$12,0)),"")</x:f>
        <x:v>1101.6827848794928</x:v>
      </x:c>
      <x:c r="V72" s="11" t="n">
        <x:f>IFERROR(INDEX(Generator!$I$2:$I$1826,(ROW()-2)*Assumptions!$B$7+MATCH($B$6,Assumptions!$D$5:$D$12,0)),"")</x:f>
        <x:v>1101.3101752160733</x:v>
      </x:c>
    </x:row>
    <x:row r="73">
      <x:c r="A73" s="27"/>
      <x:c r="B73" s="11"/>
      <x:c r="C73" s="28"/>
      <x:c r="T73" s="10" t="n">
        <x:f>IFERROR(INDEX(Generator!$A$2:$A$1826,(ROW()-2)*Assumptions!$B$7+MATCH($B$6,Assumptions!$D$5:$D$12,0)),"")</x:f>
        <x:v>46094</x:v>
      </x:c>
      <x:c r="U73" s="11" t="n">
        <x:f>IFERROR(INDEX(Generator!$H$2:$H$1826,(ROW()-2)*Assumptions!$B$7+MATCH($B$6,Assumptions!$D$5:$D$12,0)),"")</x:f>
        <x:v>1091.2342888852409</x:v>
      </x:c>
      <x:c r="V73" s="11" t="n">
        <x:f>IFERROR(INDEX(Generator!$I$2:$I$1826,(ROW()-2)*Assumptions!$B$7+MATCH($B$6,Assumptions!$D$5:$D$12,0)),"")</x:f>
        <x:v>1100.7897287409357</x:v>
      </x:c>
    </x:row>
    <x:row r="74">
      <x:c r="A74" s="27"/>
      <x:c r="B74" s="11"/>
      <x:c r="C74" s="28"/>
      <x:c r="T74" s="10" t="n">
        <x:f>IFERROR(INDEX(Generator!$A$2:$A$1826,(ROW()-2)*Assumptions!$B$7+MATCH($B$6,Assumptions!$D$5:$D$12,0)),"")</x:f>
        <x:v>46095</x:v>
      </x:c>
      <x:c r="U74" s="11" t="n">
        <x:f>IFERROR(INDEX(Generator!$H$2:$H$1826,(ROW()-2)*Assumptions!$B$7+MATCH($B$6,Assumptions!$D$5:$D$12,0)),"")</x:f>
        <x:v>1127.7711934511378</x:v>
      </x:c>
      <x:c r="V74" s="11" t="n">
        <x:f>IFERROR(INDEX(Generator!$I$2:$I$1826,(ROW()-2)*Assumptions!$B$7+MATCH($B$6,Assumptions!$D$5:$D$12,0)),"")</x:f>
        <x:v>1110.5476718178672</x:v>
      </x:c>
    </x:row>
    <x:row r="75">
      <x:c r="A75" s="27"/>
      <x:c r="B75" s="11"/>
      <x:c r="C75" s="28"/>
      <x:c r="T75" s="10" t="n">
        <x:f>IFERROR(INDEX(Generator!$A$2:$A$1826,(ROW()-2)*Assumptions!$B$7+MATCH($B$6,Assumptions!$D$5:$D$12,0)),"")</x:f>
        <x:v>46096</x:v>
      </x:c>
      <x:c r="U75" s="11" t="n">
        <x:f>IFERROR(INDEX(Generator!$H$2:$H$1826,(ROW()-2)*Assumptions!$B$7+MATCH($B$6,Assumptions!$D$5:$D$12,0)),"")</x:f>
        <x:v>1042.381243653907</x:v>
      </x:c>
      <x:c r="V75" s="11" t="n">
        <x:f>IFERROR(INDEX(Generator!$I$2:$I$1826,(ROW()-2)*Assumptions!$B$7+MATCH($B$6,Assumptions!$D$5:$D$12,0)),"")</x:f>
        <x:v>1112.3621853354948</x:v>
      </x:c>
    </x:row>
    <x:row r="76">
      <x:c r="A76" s="27"/>
      <x:c r="B76" s="11"/>
      <x:c r="C76" s="28"/>
      <x:c r="T76" s="10" t="n">
        <x:f>IFERROR(INDEX(Generator!$A$2:$A$1826,(ROW()-2)*Assumptions!$B$7+MATCH($B$6,Assumptions!$D$5:$D$12,0)),"")</x:f>
        <x:v>46097</x:v>
      </x:c>
      <x:c r="U76" s="11" t="n">
        <x:f>IFERROR(INDEX(Generator!$H$2:$H$1826,(ROW()-2)*Assumptions!$B$7+MATCH($B$6,Assumptions!$D$5:$D$12,0)),"")</x:f>
        <x:v>1050.5213664055373</x:v>
      </x:c>
      <x:c r="V76" s="11" t="n">
        <x:f>IFERROR(INDEX(Generator!$I$2:$I$1826,(ROW()-2)*Assumptions!$B$7+MATCH($B$6,Assumptions!$D$5:$D$12,0)),"")</x:f>
        <x:v>1099.7323725288425</x:v>
      </x:c>
    </x:row>
    <x:row r="77">
      <x:c r="A77" s="27"/>
      <x:c r="B77" s="11"/>
      <x:c r="C77" s="28"/>
      <x:c r="T77" s="10" t="n">
        <x:f>IFERROR(INDEX(Generator!$A$2:$A$1826,(ROW()-2)*Assumptions!$B$7+MATCH($B$6,Assumptions!$D$5:$D$12,0)),"")</x:f>
        <x:v>46098</x:v>
      </x:c>
      <x:c r="U77" s="11" t="n">
        <x:f>IFERROR(INDEX(Generator!$H$2:$H$1826,(ROW()-2)*Assumptions!$B$7+MATCH($B$6,Assumptions!$D$5:$D$12,0)),"")</x:f>
        <x:v>1094.5786510326081</x:v>
      </x:c>
      <x:c r="V77" s="11" t="n">
        <x:f>IFERROR(INDEX(Generator!$I$2:$I$1826,(ROW()-2)*Assumptions!$B$7+MATCH($B$6,Assumptions!$D$5:$D$12,0)),"")</x:f>
        <x:v>1089.4688589382383</x:v>
      </x:c>
    </x:row>
    <x:row r="78">
      <x:c r="A78" s="27"/>
      <x:c r="B78" s="11"/>
      <x:c r="C78" s="28"/>
      <x:c r="T78" s="10" t="n">
        <x:f>IFERROR(INDEX(Generator!$A$2:$A$1826,(ROW()-2)*Assumptions!$B$7+MATCH($B$6,Assumptions!$D$5:$D$12,0)),"")</x:f>
        <x:v>46099</x:v>
      </x:c>
      <x:c r="U78" s="11" t="n">
        <x:f>IFERROR(INDEX(Generator!$H$2:$H$1826,(ROW()-2)*Assumptions!$B$7+MATCH($B$6,Assumptions!$D$5:$D$12,0)),"")</x:f>
        <x:v>1178.3313575592015</x:v>
      </x:c>
      <x:c r="V78" s="11" t="n">
        <x:f>IFERROR(INDEX(Generator!$I$2:$I$1826,(ROW()-2)*Assumptions!$B$7+MATCH($B$6,Assumptions!$D$5:$D$12,0)),"")</x:f>
        <x:v>1098.0715551238752</x:v>
      </x:c>
    </x:row>
    <x:row r="79">
      <x:c r="A79" s="27"/>
      <x:c r="B79" s="11"/>
      <x:c r="C79" s="28"/>
      <x:c r="T79" s="10" t="n">
        <x:f>IFERROR(INDEX(Generator!$A$2:$A$1826,(ROW()-2)*Assumptions!$B$7+MATCH($B$6,Assumptions!$D$5:$D$12,0)),"")</x:f>
        <x:v>46100</x:v>
      </x:c>
      <x:c r="U79" s="11" t="n">
        <x:f>IFERROR(INDEX(Generator!$H$2:$H$1826,(ROW()-2)*Assumptions!$B$7+MATCH($B$6,Assumptions!$D$5:$D$12,0)),"")</x:f>
        <x:v>1187.1650718928195</x:v>
      </x:c>
      <x:c r="V79" s="11" t="n">
        <x:f>IFERROR(INDEX(Generator!$I$2:$I$1826,(ROW()-2)*Assumptions!$B$7+MATCH($B$6,Assumptions!$D$5:$D$12,0)),"")</x:f>
        <x:v>1110.2833104114932</x:v>
      </x:c>
    </x:row>
    <x:row r="80">
      <x:c r="A80" s="27"/>
      <x:c r="B80" s="11"/>
      <x:c r="C80" s="28"/>
      <x:c r="T80" s="10" t="n">
        <x:f>IFERROR(INDEX(Generator!$A$2:$A$1826,(ROW()-2)*Assumptions!$B$7+MATCH($B$6,Assumptions!$D$5:$D$12,0)),"")</x:f>
        <x:v>46101</x:v>
      </x:c>
      <x:c r="U80" s="11" t="n">
        <x:f>IFERROR(INDEX(Generator!$H$2:$H$1826,(ROW()-2)*Assumptions!$B$7+MATCH($B$6,Assumptions!$D$5:$D$12,0)),"")</x:f>
        <x:v>1144.195178678869</x:v>
      </x:c>
      <x:c r="V80" s="11" t="n">
        <x:f>IFERROR(INDEX(Generator!$I$2:$I$1826,(ROW()-2)*Assumptions!$B$7+MATCH($B$6,Assumptions!$D$5:$D$12,0)),"")</x:f>
        <x:v>1117.849151810583</x:v>
      </x:c>
    </x:row>
    <x:row r="81">
      <x:c r="A81" s="27"/>
      <x:c r="B81" s="11"/>
      <x:c r="C81" s="28"/>
      <x:c r="T81" s="10" t="n">
        <x:f>IFERROR(INDEX(Generator!$A$2:$A$1826,(ROW()-2)*Assumptions!$B$7+MATCH($B$6,Assumptions!$D$5:$D$12,0)),"")</x:f>
        <x:v>46102</x:v>
      </x:c>
      <x:c r="U81" s="11" t="n">
        <x:f>IFERROR(INDEX(Generator!$H$2:$H$1826,(ROW()-2)*Assumptions!$B$7+MATCH($B$6,Assumptions!$D$5:$D$12,0)),"")</x:f>
        <x:v>1049.295859300568</x:v>
      </x:c>
      <x:c r="V81" s="11" t="n">
        <x:f>IFERROR(INDEX(Generator!$I$2:$I$1826,(ROW()-2)*Assumptions!$B$7+MATCH($B$6,Assumptions!$D$5:$D$12,0)),"")</x:f>
        <x:v>1106.638389789073</x:v>
      </x:c>
    </x:row>
    <x:row r="82">
      <x:c r="A82" s="27"/>
      <x:c r="B82" s="11"/>
      <x:c r="C82" s="28"/>
      <x:c r="T82" s="10" t="n">
        <x:f>IFERROR(INDEX(Generator!$A$2:$A$1826,(ROW()-2)*Assumptions!$B$7+MATCH($B$6,Assumptions!$D$5:$D$12,0)),"")</x:f>
        <x:v>46103</x:v>
      </x:c>
      <x:c r="U82" s="11" t="n">
        <x:f>IFERROR(INDEX(Generator!$H$2:$H$1826,(ROW()-2)*Assumptions!$B$7+MATCH($B$6,Assumptions!$D$5:$D$12,0)),"")</x:f>
        <x:v>1078.5976769326146</x:v>
      </x:c>
      <x:c r="V82" s="11" t="n">
        <x:f>IFERROR(INDEX(Generator!$I$2:$I$1826,(ROW()-2)*Assumptions!$B$7+MATCH($B$6,Assumptions!$D$5:$D$12,0)),"")</x:f>
        <x:v>1111.8121659717456</x:v>
      </x:c>
    </x:row>
    <x:row r="83">
      <x:c r="A83" s="27"/>
      <x:c r="B83" s="11"/>
      <x:c r="C83" s="28"/>
      <x:c r="T83" s="10" t="n">
        <x:f>IFERROR(INDEX(Generator!$A$2:$A$1826,(ROW()-2)*Assumptions!$B$7+MATCH($B$6,Assumptions!$D$5:$D$12,0)),"")</x:f>
        <x:v>46104</x:v>
      </x:c>
      <x:c r="U83" s="11" t="n">
        <x:f>IFERROR(INDEX(Generator!$H$2:$H$1826,(ROW()-2)*Assumptions!$B$7+MATCH($B$6,Assumptions!$D$5:$D$12,0)),"")</x:f>
        <x:v>1097.1134447404918</x:v>
      </x:c>
      <x:c r="V83" s="11" t="n">
        <x:f>IFERROR(INDEX(Generator!$I$2:$I$1826,(ROW()-2)*Assumptions!$B$7+MATCH($B$6,Assumptions!$D$5:$D$12,0)),"")</x:f>
        <x:v>1118.4681771624532</x:v>
      </x:c>
    </x:row>
    <x:row r="84">
      <x:c r="A84" s="27"/>
      <x:c r="B84" s="11"/>
      <x:c r="C84" s="28"/>
      <x:c r="T84" s="10" t="n">
        <x:f>IFERROR(INDEX(Generator!$A$2:$A$1826,(ROW()-2)*Assumptions!$B$7+MATCH($B$6,Assumptions!$D$5:$D$12,0)),"")</x:f>
        <x:v>46105</x:v>
      </x:c>
      <x:c r="U84" s="11" t="n">
        <x:f>IFERROR(INDEX(Generator!$H$2:$H$1826,(ROW()-2)*Assumptions!$B$7+MATCH($B$6,Assumptions!$D$5:$D$12,0)),"")</x:f>
        <x:v>1161.0631810381124</x:v>
      </x:c>
      <x:c r="V84" s="11" t="n">
        <x:f>IFERROR(INDEX(Generator!$I$2:$I$1826,(ROW()-2)*Assumptions!$B$7+MATCH($B$6,Assumptions!$D$5:$D$12,0)),"")</x:f>
        <x:v>1127.9659671632396</x:v>
      </x:c>
    </x:row>
    <x:row r="85">
      <x:c r="A85" s="27"/>
      <x:c r="B85" s="11"/>
      <x:c r="C85" s="28"/>
      <x:c r="T85" s="10" t="n">
        <x:f>IFERROR(INDEX(Generator!$A$2:$A$1826,(ROW()-2)*Assumptions!$B$7+MATCH($B$6,Assumptions!$D$5:$D$12,0)),"")</x:f>
        <x:v>46106</x:v>
      </x:c>
      <x:c r="U85" s="11" t="n">
        <x:f>IFERROR(INDEX(Generator!$H$2:$H$1826,(ROW()-2)*Assumptions!$B$7+MATCH($B$6,Assumptions!$D$5:$D$12,0)),"")</x:f>
        <x:v>1188.3193968114035</x:v>
      </x:c>
      <x:c r="V85" s="11" t="n">
        <x:f>IFERROR(INDEX(Generator!$I$2:$I$1826,(ROW()-2)*Assumptions!$B$7+MATCH($B$6,Assumptions!$D$5:$D$12,0)),"")</x:f>
        <x:v>1129.392829913554</x:v>
      </x:c>
    </x:row>
    <x:row r="86">
      <x:c r="A86" s="27"/>
      <x:c r="B86" s="11"/>
      <x:c r="C86" s="28"/>
      <x:c r="T86" s="10" t="n">
        <x:f>IFERROR(INDEX(Generator!$A$2:$A$1826,(ROW()-2)*Assumptions!$B$7+MATCH($B$6,Assumptions!$D$5:$D$12,0)),"")</x:f>
        <x:v>46107</x:v>
      </x:c>
      <x:c r="U86" s="11" t="n">
        <x:f>IFERROR(INDEX(Generator!$H$2:$H$1826,(ROW()-2)*Assumptions!$B$7+MATCH($B$6,Assumptions!$D$5:$D$12,0)),"")</x:f>
        <x:v>1262.0499277187628</x:v>
      </x:c>
      <x:c r="V86" s="11" t="n">
        <x:f>IFERROR(INDEX(Generator!$I$2:$I$1826,(ROW()-2)*Assumptions!$B$7+MATCH($B$6,Assumptions!$D$5:$D$12,0)),"")</x:f>
        <x:v>1140.0906664601173</x:v>
      </x:c>
    </x:row>
    <x:row r="87">
      <x:c r="A87" s="27"/>
      <x:c r="B87" s="11"/>
      <x:c r="C87" s="28"/>
      <x:c r="T87" s="10" t="n">
        <x:f>IFERROR(INDEX(Generator!$A$2:$A$1826,(ROW()-2)*Assumptions!$B$7+MATCH($B$6,Assumptions!$D$5:$D$12,0)),"")</x:f>
        <x:v>46108</x:v>
      </x:c>
      <x:c r="U87" s="11" t="n">
        <x:f>IFERROR(INDEX(Generator!$H$2:$H$1826,(ROW()-2)*Assumptions!$B$7+MATCH($B$6,Assumptions!$D$5:$D$12,0)),"")</x:f>
        <x:v>998.9701945945073</x:v>
      </x:c>
      <x:c r="V87" s="11" t="n">
        <x:f>IFERROR(INDEX(Generator!$I$2:$I$1826,(ROW()-2)*Assumptions!$B$7+MATCH($B$6,Assumptions!$D$5:$D$12,0)),"")</x:f>
        <x:v>1119.3442401623513</x:v>
      </x:c>
    </x:row>
    <x:row r="88">
      <x:c r="A88" s="27"/>
      <x:c r="B88" s="11"/>
      <x:c r="C88" s="28"/>
      <x:c r="T88" s="10" t="n">
        <x:f>IFERROR(INDEX(Generator!$A$2:$A$1826,(ROW()-2)*Assumptions!$B$7+MATCH($B$6,Assumptions!$D$5:$D$12,0)),"")</x:f>
        <x:v>46109</x:v>
      </x:c>
      <x:c r="U88" s="11" t="n">
        <x:f>IFERROR(INDEX(Generator!$H$2:$H$1826,(ROW()-2)*Assumptions!$B$7+MATCH($B$6,Assumptions!$D$5:$D$12,0)),"")</x:f>
        <x:v>1127.8299262297642</x:v>
      </x:c>
      <x:c r="V88" s="11" t="n">
        <x:f>IFERROR(INDEX(Generator!$I$2:$I$1826,(ROW()-2)*Assumptions!$B$7+MATCH($B$6,Assumptions!$D$5:$D$12,0)),"")</x:f>
        <x:v>1130.563392580808</x:v>
      </x:c>
    </x:row>
    <x:row r="89">
      <x:c r="A89" s="27"/>
      <x:c r="B89" s="11"/>
      <x:c r="C89" s="28"/>
      <x:c r="T89" s="10" t="n">
        <x:f>IFERROR(INDEX(Generator!$A$2:$A$1826,(ROW()-2)*Assumptions!$B$7+MATCH($B$6,Assumptions!$D$5:$D$12,0)),"")</x:f>
        <x:v>46110</x:v>
      </x:c>
      <x:c r="U89" s="11" t="n">
        <x:f>IFERROR(INDEX(Generator!$H$2:$H$1826,(ROW()-2)*Assumptions!$B$7+MATCH($B$6,Assumptions!$D$5:$D$12,0)),"")</x:f>
        <x:v>1086.5183692727267</x:v>
      </x:c>
      <x:c r="V89" s="11" t="n">
        <x:f>IFERROR(INDEX(Generator!$I$2:$I$1826,(ROW()-2)*Assumptions!$B$7+MATCH($B$6,Assumptions!$D$5:$D$12,0)),"")</x:f>
        <x:v>1131.694920057967</x:v>
      </x:c>
    </x:row>
    <x:row r="90">
      <x:c r="A90" s="27"/>
      <x:c r="B90" s="11"/>
      <x:c r="C90" s="28"/>
      <x:c r="T90" s="10" t="n">
        <x:f>IFERROR(INDEX(Generator!$A$2:$A$1826,(ROW()-2)*Assumptions!$B$7+MATCH($B$6,Assumptions!$D$5:$D$12,0)),"")</x:f>
        <x:v>46111</x:v>
      </x:c>
      <x:c r="U90" s="11" t="n">
        <x:f>IFERROR(INDEX(Generator!$H$2:$H$1826,(ROW()-2)*Assumptions!$B$7+MATCH($B$6,Assumptions!$D$5:$D$12,0)),"")</x:f>
        <x:v>1202.9689613765438</x:v>
      </x:c>
      <x:c r="V90" s="11" t="n">
        <x:f>IFERROR(INDEX(Generator!$I$2:$I$1826,(ROW()-2)*Assumptions!$B$7+MATCH($B$6,Assumptions!$D$5:$D$12,0)),"")</x:f>
        <x:v>1146.8171367202601</x:v>
      </x:c>
    </x:row>
    <x:row r="91">
      <x:c r="A91" s="27"/>
      <x:c r="B91" s="11"/>
      <x:c r="C91" s="28"/>
      <x:c r="T91" s="10" t="n">
        <x:f>IFERROR(INDEX(Generator!$A$2:$A$1826,(ROW()-2)*Assumptions!$B$7+MATCH($B$6,Assumptions!$D$5:$D$12,0)),"")</x:f>
        <x:v>46112</x:v>
      </x:c>
      <x:c r="U91" s="11" t="n">
        <x:f>IFERROR(INDEX(Generator!$H$2:$H$1826,(ROW()-2)*Assumptions!$B$7+MATCH($B$6,Assumptions!$D$5:$D$12,0)),"")</x:f>
        <x:v>1155.2301071670809</x:v>
      </x:c>
      <x:c r="V91" s="11" t="n">
        <x:f>IFERROR(INDEX(Generator!$I$2:$I$1826,(ROW()-2)*Assumptions!$B$7+MATCH($B$6,Assumptions!$D$5:$D$12,0)),"")</x:f>
        <x:v>1145.9838404529698</x:v>
      </x:c>
    </x:row>
    <x:row r="92">
      <x:c r="A92" s="27"/>
      <x:c r="B92" s="11"/>
      <x:c r="C92" s="28"/>
      <x:c r="T92" s="10" t="n">
        <x:f>IFERROR(INDEX(Generator!$A$2:$A$1826,(ROW()-2)*Assumptions!$B$7+MATCH($B$6,Assumptions!$D$5:$D$12,0)),"")</x:f>
        <x:v>46113</x:v>
      </x:c>
      <x:c r="U92" s="11" t="n">
        <x:f>IFERROR(INDEX(Generator!$H$2:$H$1826,(ROW()-2)*Assumptions!$B$7+MATCH($B$6,Assumptions!$D$5:$D$12,0)),"")</x:f>
        <x:v>1093.6996587524052</x:v>
      </x:c>
      <x:c r="V92" s="11" t="n">
        <x:f>IFERROR(INDEX(Generator!$I$2:$I$1826,(ROW()-2)*Assumptions!$B$7+MATCH($B$6,Assumptions!$D$5:$D$12,0)),"")</x:f>
        <x:v>1132.4667350159702</x:v>
      </x:c>
    </x:row>
    <x:row r="93">
      <x:c r="A93" s="27"/>
      <x:c r="B93" s="11"/>
      <x:c r="C93" s="28"/>
      <x:c r="T93" s="10" t="n">
        <x:f>IFERROR(INDEX(Generator!$A$2:$A$1826,(ROW()-2)*Assumptions!$B$7+MATCH($B$6,Assumptions!$D$5:$D$12,0)),"")</x:f>
        <x:v>46114</x:v>
      </x:c>
      <x:c r="U93" s="11" t="n">
        <x:f>IFERROR(INDEX(Generator!$H$2:$H$1826,(ROW()-2)*Assumptions!$B$7+MATCH($B$6,Assumptions!$D$5:$D$12,0)),"")</x:f>
        <x:v>1136.1345958700322</x:v>
      </x:c>
      <x:c r="V93" s="11" t="n">
        <x:f>IFERROR(INDEX(Generator!$I$2:$I$1826,(ROW()-2)*Assumptions!$B$7+MATCH($B$6,Assumptions!$D$5:$D$12,0)),"")</x:f>
        <x:v>1114.4788304661515</x:v>
      </x:c>
    </x:row>
    <x:row r="94">
      <x:c r="A94" s="27"/>
      <x:c r="B94" s="11"/>
      <x:c r="C94" s="28"/>
      <x:c r="T94" s="10" t="n">
        <x:f>IFERROR(INDEX(Generator!$A$2:$A$1826,(ROW()-2)*Assumptions!$B$7+MATCH($B$6,Assumptions!$D$5:$D$12,0)),"")</x:f>
        <x:v>46115</x:v>
      </x:c>
      <x:c r="U94" s="11" t="n">
        <x:f>IFERROR(INDEX(Generator!$H$2:$H$1826,(ROW()-2)*Assumptions!$B$7+MATCH($B$6,Assumptions!$D$5:$D$12,0)),"")</x:f>
        <x:v>1131.5831483415316</x:v>
      </x:c>
      <x:c r="V94" s="11" t="n">
        <x:f>IFERROR(INDEX(Generator!$I$2:$I$1826,(ROW()-2)*Assumptions!$B$7+MATCH($B$6,Assumptions!$D$5:$D$12,0)),"")</x:f>
        <x:v>1133.423538144298</x:v>
      </x:c>
    </x:row>
    <x:row r="95">
      <x:c r="A95" s="27"/>
      <x:c r="B95" s="11"/>
      <x:c r="C95" s="28"/>
      <x:c r="T95" s="10" t="n">
        <x:f>IFERROR(INDEX(Generator!$A$2:$A$1826,(ROW()-2)*Assumptions!$B$7+MATCH($B$6,Assumptions!$D$5:$D$12,0)),"")</x:f>
        <x:v>46116</x:v>
      </x:c>
      <x:c r="U95" s="11" t="n">
        <x:f>IFERROR(INDEX(Generator!$H$2:$H$1826,(ROW()-2)*Assumptions!$B$7+MATCH($B$6,Assumptions!$D$5:$D$12,0)),"")</x:f>
        <x:v>1079.1498129496147</x:v>
      </x:c>
      <x:c r="V95" s="11" t="n">
        <x:f>IFERROR(INDEX(Generator!$I$2:$I$1826,(ROW()-2)*Assumptions!$B$7+MATCH($B$6,Assumptions!$D$5:$D$12,0)),"")</x:f>
        <x:v>1126.4692362471337</x:v>
      </x:c>
    </x:row>
    <x:row r="96">
      <x:c r="A96" s="27"/>
      <x:c r="B96" s="11"/>
      <x:c r="C96" s="28"/>
      <x:c r="T96" s="10" t="n">
        <x:f>IFERROR(INDEX(Generator!$A$2:$A$1826,(ROW()-2)*Assumptions!$B$7+MATCH($B$6,Assumptions!$D$5:$D$12,0)),"")</x:f>
        <x:v>46117</x:v>
      </x:c>
      <x:c r="U96" s="11" t="n">
        <x:f>IFERROR(INDEX(Generator!$H$2:$H$1826,(ROW()-2)*Assumptions!$B$7+MATCH($B$6,Assumptions!$D$5:$D$12,0)),"")</x:f>
        <x:v>1095.746068683888</x:v>
      </x:c>
      <x:c r="V96" s="11" t="n">
        <x:f>IFERROR(INDEX(Generator!$I$2:$I$1826,(ROW()-2)*Assumptions!$B$7+MATCH($B$6,Assumptions!$D$5:$D$12,0)),"")</x:f>
        <x:v>1127.7874790201565</x:v>
      </x:c>
    </x:row>
    <x:row r="97">
      <x:c r="A97" s="27"/>
      <x:c r="B97" s="11"/>
      <x:c r="C97" s="28"/>
      <x:c r="T97" s="10" t="n">
        <x:f>IFERROR(INDEX(Generator!$A$2:$A$1826,(ROW()-2)*Assumptions!$B$7+MATCH($B$6,Assumptions!$D$5:$D$12,0)),"")</x:f>
        <x:v>46118</x:v>
      </x:c>
      <x:c r="U97" s="11" t="n">
        <x:f>IFERROR(INDEX(Generator!$H$2:$H$1826,(ROW()-2)*Assumptions!$B$7+MATCH($B$6,Assumptions!$D$5:$D$12,0)),"")</x:f>
        <x:v>1021.7291906640494</x:v>
      </x:c>
      <x:c r="V97" s="11" t="n">
        <x:f>IFERROR(INDEX(Generator!$I$2:$I$1826,(ROW()-2)*Assumptions!$B$7+MATCH($B$6,Assumptions!$D$5:$D$12,0)),"")</x:f>
        <x:v>1101.896083204086</x:v>
      </x:c>
    </x:row>
    <x:row r="98">
      <x:c r="A98" s="27"/>
      <x:c r="B98" s="11"/>
      <x:c r="C98" s="28"/>
      <x:c r="T98" s="10" t="n">
        <x:f>IFERROR(INDEX(Generator!$A$2:$A$1826,(ROW()-2)*Assumptions!$B$7+MATCH($B$6,Assumptions!$D$5:$D$12,0)),"")</x:f>
        <x:v>46119</x:v>
      </x:c>
      <x:c r="U98" s="11" t="n">
        <x:f>IFERROR(INDEX(Generator!$H$2:$H$1826,(ROW()-2)*Assumptions!$B$7+MATCH($B$6,Assumptions!$D$5:$D$12,0)),"")</x:f>
        <x:v>1098.4247291899565</x:v>
      </x:c>
      <x:c r="V98" s="11" t="n">
        <x:f>IFERROR(INDEX(Generator!$I$2:$I$1826,(ROW()-2)*Assumptions!$B$7+MATCH($B$6,Assumptions!$D$5:$D$12,0)),"")</x:f>
        <x:v>1093.7810292073539</x:v>
      </x:c>
    </x:row>
    <x:row r="99">
      <x:c r="A99" s="27"/>
      <x:c r="B99" s="11"/>
      <x:c r="C99" s="28"/>
      <x:c r="T99" s="10" t="n">
        <x:f>IFERROR(INDEX(Generator!$A$2:$A$1826,(ROW()-2)*Assumptions!$B$7+MATCH($B$6,Assumptions!$D$5:$D$12,0)),"")</x:f>
        <x:v>46120</x:v>
      </x:c>
      <x:c r="U99" s="11" t="n">
        <x:f>IFERROR(INDEX(Generator!$H$2:$H$1826,(ROW()-2)*Assumptions!$B$7+MATCH($B$6,Assumptions!$D$5:$D$12,0)),"")</x:f>
        <x:v>1037.1394771522348</x:v>
      </x:c>
      <x:c r="V99" s="11" t="n">
        <x:f>IFERROR(INDEX(Generator!$I$2:$I$1826,(ROW()-2)*Assumptions!$B$7+MATCH($B$6,Assumptions!$D$5:$D$12,0)),"")</x:f>
        <x:v>1085.7010032644723</x:v>
      </x:c>
    </x:row>
    <x:row r="100">
      <x:c r="A100" s="27"/>
      <x:c r="B100" s="11"/>
      <x:c r="C100" s="28"/>
      <x:c r="T100" s="10" t="n">
        <x:f>IFERROR(INDEX(Generator!$A$2:$A$1826,(ROW()-2)*Assumptions!$B$7+MATCH($B$6,Assumptions!$D$5:$D$12,0)),"")</x:f>
        <x:v>46121</x:v>
      </x:c>
      <x:c r="U100" s="11" t="n">
        <x:f>IFERROR(INDEX(Generator!$H$2:$H$1826,(ROW()-2)*Assumptions!$B$7+MATCH($B$6,Assumptions!$D$5:$D$12,0)),"")</x:f>
        <x:v>1056.4289575934183</x:v>
      </x:c>
      <x:c r="V100" s="11" t="n">
        <x:f>IFERROR(INDEX(Generator!$I$2:$I$1826,(ROW()-2)*Assumptions!$B$7+MATCH($B$6,Assumptions!$D$5:$D$12,0)),"")</x:f>
        <x:v>1074.3144835106702</x:v>
      </x:c>
    </x:row>
    <x:row r="101">
      <x:c r="A101" s="27"/>
      <x:c r="B101" s="11"/>
      <x:c r="C101" s="28"/>
      <x:c r="T101" s="10" t="n">
        <x:f>IFERROR(INDEX(Generator!$A$2:$A$1826,(ROW()-2)*Assumptions!$B$7+MATCH($B$6,Assumptions!$D$5:$D$12,0)),"")</x:f>
        <x:v>46122</x:v>
      </x:c>
      <x:c r="U101" s="11" t="n">
        <x:f>IFERROR(INDEX(Generator!$H$2:$H$1826,(ROW()-2)*Assumptions!$B$7+MATCH($B$6,Assumptions!$D$5:$D$12,0)),"")</x:f>
        <x:v>1119.0170195361698</x:v>
      </x:c>
      <x:c r="V101" s="11" t="n">
        <x:f>IFERROR(INDEX(Generator!$I$2:$I$1826,(ROW()-2)*Assumptions!$B$7+MATCH($B$6,Assumptions!$D$5:$D$12,0)),"")</x:f>
        <x:v>1072.5193222527616</x:v>
      </x:c>
    </x:row>
    <x:row r="102">
      <x:c r="A102" s="27"/>
      <x:c r="B102" s="11"/>
      <x:c r="C102" s="28"/>
      <x:c r="T102" s="10" t="n">
        <x:f>IFERROR(INDEX(Generator!$A$2:$A$1826,(ROW()-2)*Assumptions!$B$7+MATCH($B$6,Assumptions!$D$5:$D$12,0)),"")</x:f>
        <x:v>46123</x:v>
      </x:c>
      <x:c r="U102" s="11" t="n">
        <x:f>IFERROR(INDEX(Generator!$H$2:$H$1826,(ROW()-2)*Assumptions!$B$7+MATCH($B$6,Assumptions!$D$5:$D$12,0)),"")</x:f>
        <x:v>1120.140536561158</x:v>
      </x:c>
      <x:c r="V102" s="11" t="n">
        <x:f>IFERROR(INDEX(Generator!$I$2:$I$1826,(ROW()-2)*Assumptions!$B$7+MATCH($B$6,Assumptions!$D$5:$D$12,0)),"")</x:f>
        <x:v>1078.3751399115536</x:v>
      </x:c>
    </x:row>
    <x:row r="103">
      <x:c r="A103" s="27"/>
      <x:c r="B103" s="11"/>
      <x:c r="C103" s="28"/>
      <x:c r="T103" s="10" t="n">
        <x:f>IFERROR(INDEX(Generator!$A$2:$A$1826,(ROW()-2)*Assumptions!$B$7+MATCH($B$6,Assumptions!$D$5:$D$12,0)),"")</x:f>
        <x:v>46124</x:v>
      </x:c>
      <x:c r="U103" s="11" t="n">
        <x:f>IFERROR(INDEX(Generator!$H$2:$H$1826,(ROW()-2)*Assumptions!$B$7+MATCH($B$6,Assumptions!$D$5:$D$12,0)),"")</x:f>
        <x:v>1008.9820586401131</x:v>
      </x:c>
      <x:c r="V103" s="11" t="n">
        <x:f>IFERROR(INDEX(Generator!$I$2:$I$1826,(ROW()-2)*Assumptions!$B$7+MATCH($B$6,Assumptions!$D$5:$D$12,0)),"")</x:f>
        <x:v>1065.9802813338713</x:v>
      </x:c>
    </x:row>
    <x:row r="104">
      <x:c r="A104" s="27"/>
      <x:c r="B104" s="11"/>
      <x:c r="C104" s="28"/>
      <x:c r="T104" s="10" t="n">
        <x:f>IFERROR(INDEX(Generator!$A$2:$A$1826,(ROW()-2)*Assumptions!$B$7+MATCH($B$6,Assumptions!$D$5:$D$12,0)),"")</x:f>
        <x:v>46125</x:v>
      </x:c>
      <x:c r="U104" s="11" t="n">
        <x:f>IFERROR(INDEX(Generator!$H$2:$H$1826,(ROW()-2)*Assumptions!$B$7+MATCH($B$6,Assumptions!$D$5:$D$12,0)),"")</x:f>
        <x:v>1127.3151050503823</x:v>
      </x:c>
      <x:c r="V104" s="11" t="n">
        <x:f>IFERROR(INDEX(Generator!$I$2:$I$1826,(ROW()-2)*Assumptions!$B$7+MATCH($B$6,Assumptions!$D$5:$D$12,0)),"")</x:f>
        <x:v>1081.0639833890616</x:v>
      </x:c>
    </x:row>
    <x:row r="105">
      <x:c r="A105" s="27"/>
      <x:c r="B105" s="11"/>
      <x:c r="C105" s="28"/>
      <x:c r="T105" s="10" t="n">
        <x:f>IFERROR(INDEX(Generator!$A$2:$A$1826,(ROW()-2)*Assumptions!$B$7+MATCH($B$6,Assumptions!$D$5:$D$12,0)),"")</x:f>
        <x:v>46126</x:v>
      </x:c>
      <x:c r="U105" s="11" t="n">
        <x:f>IFERROR(INDEX(Generator!$H$2:$H$1826,(ROW()-2)*Assumptions!$B$7+MATCH($B$6,Assumptions!$D$5:$D$12,0)),"")</x:f>
        <x:v>1139.205697273281</x:v>
      </x:c>
      <x:c r="V105" s="11" t="n">
        <x:f>IFERROR(INDEX(Generator!$I$2:$I$1826,(ROW()-2)*Assumptions!$B$7+MATCH($B$6,Assumptions!$D$5:$D$12,0)),"")</x:f>
        <x:v>1086.889835972394</x:v>
      </x:c>
    </x:row>
    <x:row r="106">
      <x:c r="A106" s="27"/>
      <x:c r="B106" s="11"/>
      <x:c r="C106" s="28"/>
      <x:c r="T106" s="10" t="n">
        <x:f>IFERROR(INDEX(Generator!$A$2:$A$1826,(ROW()-2)*Assumptions!$B$7+MATCH($B$6,Assumptions!$D$5:$D$12,0)),"")</x:f>
        <x:v>46127</x:v>
      </x:c>
      <x:c r="U106" s="11" t="n">
        <x:f>IFERROR(INDEX(Generator!$H$2:$H$1826,(ROW()-2)*Assumptions!$B$7+MATCH($B$6,Assumptions!$D$5:$D$12,0)),"")</x:f>
        <x:v>1029.607281751129</x:v>
      </x:c>
      <x:c r="V106" s="11" t="n">
        <x:f>IFERROR(INDEX(Generator!$I$2:$I$1826,(ROW()-2)*Assumptions!$B$7+MATCH($B$6,Assumptions!$D$5:$D$12,0)),"")</x:f>
        <x:v>1085.8138080579502</x:v>
      </x:c>
    </x:row>
    <x:row r="107">
      <x:c r="A107" s="27"/>
      <x:c r="B107" s="11"/>
      <x:c r="C107" s="28"/>
      <x:c r="T107" s="10" t="n">
        <x:f>IFERROR(INDEX(Generator!$A$2:$A$1826,(ROW()-2)*Assumptions!$B$7+MATCH($B$6,Assumptions!$D$5:$D$12,0)),"")</x:f>
        <x:v>46128</x:v>
      </x:c>
      <x:c r="U107" s="11" t="n">
        <x:f>IFERROR(INDEX(Generator!$H$2:$H$1826,(ROW()-2)*Assumptions!$B$7+MATCH($B$6,Assumptions!$D$5:$D$12,0)),"")</x:f>
        <x:v>1229.7189831764754</x:v>
      </x:c>
      <x:c r="V107" s="11" t="n">
        <x:f>IFERROR(INDEX(Generator!$I$2:$I$1826,(ROW()-2)*Assumptions!$B$7+MATCH($B$6,Assumptions!$D$5:$D$12,0)),"")</x:f>
        <x:v>1110.569525998387</x:v>
      </x:c>
    </x:row>
    <x:row r="108">
      <x:c r="A108" s="27"/>
      <x:c r="B108" s="11"/>
      <x:c r="C108" s="28"/>
      <x:c r="T108" s="10" t="n">
        <x:f>IFERROR(INDEX(Generator!$A$2:$A$1826,(ROW()-2)*Assumptions!$B$7+MATCH($B$6,Assumptions!$D$5:$D$12,0)),"")</x:f>
        <x:v>46129</x:v>
      </x:c>
      <x:c r="U108" s="11" t="n">
        <x:f>IFERROR(INDEX(Generator!$H$2:$H$1826,(ROW()-2)*Assumptions!$B$7+MATCH($B$6,Assumptions!$D$5:$D$12,0)),"")</x:f>
        <x:v>1130.2867057340052</x:v>
      </x:c>
      <x:c r="V108" s="11" t="n">
        <x:f>IFERROR(INDEX(Generator!$I$2:$I$1826,(ROW()-2)*Assumptions!$B$7+MATCH($B$6,Assumptions!$D$5:$D$12,0)),"")</x:f>
        <x:v>1112.1794811695063</x:v>
      </x:c>
    </x:row>
    <x:row r="109">
      <x:c r="A109" s="27"/>
      <x:c r="B109" s="11"/>
      <x:c r="C109" s="28"/>
      <x:c r="T109" s="10" t="n">
        <x:f>IFERROR(INDEX(Generator!$A$2:$A$1826,(ROW()-2)*Assumptions!$B$7+MATCH($B$6,Assumptions!$D$5:$D$12,0)),"")</x:f>
        <x:v>46130</x:v>
      </x:c>
      <x:c r="U109" s="11" t="n">
        <x:f>IFERROR(INDEX(Generator!$H$2:$H$1826,(ROW()-2)*Assumptions!$B$7+MATCH($B$6,Assumptions!$D$5:$D$12,0)),"")</x:f>
        <x:v>1102.7123919197786</x:v>
      </x:c>
      <x:c r="V109" s="11" t="n">
        <x:f>IFERROR(INDEX(Generator!$I$2:$I$1826,(ROW()-2)*Assumptions!$B$7+MATCH($B$6,Assumptions!$D$5:$D$12,0)),"")</x:f>
        <x:v>1109.6897462207378</x:v>
      </x:c>
    </x:row>
    <x:row r="110">
      <x:c r="A110" s="27"/>
      <x:c r="B110" s="11"/>
      <x:c r="C110" s="28"/>
      <x:c r="T110" s="10" t="n">
        <x:f>IFERROR(INDEX(Generator!$A$2:$A$1826,(ROW()-2)*Assumptions!$B$7+MATCH($B$6,Assumptions!$D$5:$D$12,0)),"")</x:f>
        <x:v>46131</x:v>
      </x:c>
      <x:c r="U110" s="11" t="n">
        <x:f>IFERROR(INDEX(Generator!$H$2:$H$1826,(ROW()-2)*Assumptions!$B$7+MATCH($B$6,Assumptions!$D$5:$D$12,0)),"")</x:f>
        <x:v>1075.3659557487567</x:v>
      </x:c>
      <x:c r="V110" s="11" t="n">
        <x:f>IFERROR(INDEX(Generator!$I$2:$I$1826,(ROW()-2)*Assumptions!$B$7+MATCH($B$6,Assumptions!$D$5:$D$12,0)),"")</x:f>
        <x:v>1119.1731600934013</x:v>
      </x:c>
    </x:row>
    <x:row r="111">
      <x:c r="A111" s="27"/>
      <x:c r="B111" s="11"/>
      <x:c r="C111" s="28"/>
      <x:c r="T111" s="10" t="n">
        <x:f>IFERROR(INDEX(Generator!$A$2:$A$1826,(ROW()-2)*Assumptions!$B$7+MATCH($B$6,Assumptions!$D$5:$D$12,0)),"")</x:f>
        <x:v>46132</x:v>
      </x:c>
      <x:c r="U111" s="11" t="n">
        <x:f>IFERROR(INDEX(Generator!$H$2:$H$1826,(ROW()-2)*Assumptions!$B$7+MATCH($B$6,Assumptions!$D$5:$D$12,0)),"")</x:f>
        <x:v>1139.4984098269388</x:v>
      </x:c>
      <x:c r="V111" s="11" t="n">
        <x:f>IFERROR(INDEX(Generator!$I$2:$I$1826,(ROW()-2)*Assumptions!$B$7+MATCH($B$6,Assumptions!$D$5:$D$12,0)),"")</x:f>
        <x:v>1120.9136322043378</x:v>
      </x:c>
    </x:row>
    <x:row r="112">
      <x:c r="A112" s="27"/>
      <x:c r="B112" s="11"/>
      <x:c r="C112" s="28"/>
      <x:c r="T112" s="10" t="n">
        <x:f>IFERROR(INDEX(Generator!$A$2:$A$1826,(ROW()-2)*Assumptions!$B$7+MATCH($B$6,Assumptions!$D$5:$D$12,0)),"")</x:f>
        <x:v>46133</x:v>
      </x:c>
      <x:c r="U112" s="11" t="n">
        <x:f>IFERROR(INDEX(Generator!$H$2:$H$1826,(ROW()-2)*Assumptions!$B$7+MATCH($B$6,Assumptions!$D$5:$D$12,0)),"")</x:f>
        <x:v>1142.046401943316</x:v>
      </x:c>
      <x:c r="V112" s="11" t="n">
        <x:f>IFERROR(INDEX(Generator!$I$2:$I$1826,(ROW()-2)*Assumptions!$B$7+MATCH($B$6,Assumptions!$D$5:$D$12,0)),"")</x:f>
        <x:v>1121.3194471572</x:v>
      </x:c>
    </x:row>
    <x:row r="113">
      <x:c r="A113" s="27"/>
      <x:c r="B113" s="11"/>
      <x:c r="C113" s="28"/>
      <x:c r="T113" s="10" t="n">
        <x:f>IFERROR(INDEX(Generator!$A$2:$A$1826,(ROW()-2)*Assumptions!$B$7+MATCH($B$6,Assumptions!$D$5:$D$12,0)),"")</x:f>
        <x:v>46134</x:v>
      </x:c>
      <x:c r="U113" s="11" t="n">
        <x:f>IFERROR(INDEX(Generator!$H$2:$H$1826,(ROW()-2)*Assumptions!$B$7+MATCH($B$6,Assumptions!$D$5:$D$12,0)),"")</x:f>
        <x:v>1218.7829514040404</x:v>
      </x:c>
      <x:c r="V113" s="11" t="n">
        <x:f>IFERROR(INDEX(Generator!$I$2:$I$1826,(ROW()-2)*Assumptions!$B$7+MATCH($B$6,Assumptions!$D$5:$D$12,0)),"")</x:f>
        <x:v>1148.3445428219015</x:v>
      </x:c>
    </x:row>
    <x:row r="114">
      <x:c r="A114" s="27"/>
      <x:c r="B114" s="11"/>
      <x:c r="C114" s="28"/>
      <x:c r="T114" s="10" t="n">
        <x:f>IFERROR(INDEX(Generator!$A$2:$A$1826,(ROW()-2)*Assumptions!$B$7+MATCH($B$6,Assumptions!$D$5:$D$12,0)),"")</x:f>
        <x:v>46135</x:v>
      </x:c>
      <x:c r="U114" s="11" t="n">
        <x:f>IFERROR(INDEX(Generator!$H$2:$H$1826,(ROW()-2)*Assumptions!$B$7+MATCH($B$6,Assumptions!$D$5:$D$12,0)),"")</x:f>
        <x:v>1055.6786400307467</x:v>
      </x:c>
      <x:c r="V114" s="11" t="n">
        <x:f>IFERROR(INDEX(Generator!$I$2:$I$1826,(ROW()-2)*Assumptions!$B$7+MATCH($B$6,Assumptions!$D$5:$D$12,0)),"")</x:f>
        <x:v>1123.481636658226</x:v>
      </x:c>
    </x:row>
    <x:row r="115">
      <x:c r="A115" s="27"/>
      <x:c r="B115" s="11"/>
      <x:c r="C115" s="28"/>
      <x:c r="T115" s="10" t="n">
        <x:f>IFERROR(INDEX(Generator!$A$2:$A$1826,(ROW()-2)*Assumptions!$B$7+MATCH($B$6,Assumptions!$D$5:$D$12,0)),"")</x:f>
        <x:v>46136</x:v>
      </x:c>
      <x:c r="U115" s="11" t="n">
        <x:f>IFERROR(INDEX(Generator!$H$2:$H$1826,(ROW()-2)*Assumptions!$B$7+MATCH($B$6,Assumptions!$D$5:$D$12,0)),"")</x:f>
        <x:v>1174.5165956773158</x:v>
      </x:c>
      <x:c r="V115" s="11" t="n">
        <x:f>IFERROR(INDEX(Generator!$I$2:$I$1826,(ROW()-2)*Assumptions!$B$7+MATCH($B$6,Assumptions!$D$5:$D$12,0)),"")</x:f>
        <x:v>1129.8001923644133</x:v>
      </x:c>
    </x:row>
    <x:row r="116">
      <x:c r="A116" s="27"/>
      <x:c r="B116" s="11"/>
      <x:c r="C116" s="28"/>
      <x:c r="T116" s="10" t="n">
        <x:f>IFERROR(INDEX(Generator!$A$2:$A$1826,(ROW()-2)*Assumptions!$B$7+MATCH($B$6,Assumptions!$D$5:$D$12,0)),"")</x:f>
        <x:v>46137</x:v>
      </x:c>
      <x:c r="U116" s="11" t="n">
        <x:f>IFERROR(INDEX(Generator!$H$2:$H$1826,(ROW()-2)*Assumptions!$B$7+MATCH($B$6,Assumptions!$D$5:$D$12,0)),"")</x:f>
        <x:v>1109.1922595822928</x:v>
      </x:c>
      <x:c r="V116" s="11" t="n">
        <x:f>IFERROR(INDEX(Generator!$I$2:$I$1826,(ROW()-2)*Assumptions!$B$7+MATCH($B$6,Assumptions!$D$5:$D$12,0)),"")</x:f>
        <x:v>1130.7258877447725</x:v>
      </x:c>
    </x:row>
    <x:row r="117">
      <x:c r="A117" s="27"/>
      <x:c r="B117" s="11"/>
      <x:c r="C117" s="28"/>
      <x:c r="T117" s="10" t="n">
        <x:f>IFERROR(INDEX(Generator!$A$2:$A$1826,(ROW()-2)*Assumptions!$B$7+MATCH($B$6,Assumptions!$D$5:$D$12,0)),"")</x:f>
        <x:v>46138</x:v>
      </x:c>
      <x:c r="U117" s="11" t="n">
        <x:f>IFERROR(INDEX(Generator!$H$2:$H$1826,(ROW()-2)*Assumptions!$B$7+MATCH($B$6,Assumptions!$D$5:$D$12,0)),"")</x:f>
        <x:v>1044.2095085161666</x:v>
      </x:c>
      <x:c r="V117" s="11" t="n">
        <x:f>IFERROR(INDEX(Generator!$I$2:$I$1826,(ROW()-2)*Assumptions!$B$7+MATCH($B$6,Assumptions!$D$5:$D$12,0)),"")</x:f>
        <x:v>1126.2749667115452</x:v>
      </x:c>
    </x:row>
    <x:row r="118">
      <x:c r="A118" s="27"/>
      <x:c r="B118" s="11"/>
      <x:c r="C118" s="28"/>
      <x:c r="T118" s="10" t="n">
        <x:f>IFERROR(INDEX(Generator!$A$2:$A$1826,(ROW()-2)*Assumptions!$B$7+MATCH($B$6,Assumptions!$D$5:$D$12,0)),"")</x:f>
        <x:v>46139</x:v>
      </x:c>
      <x:c r="U118" s="11" t="n">
        <x:f>IFERROR(INDEX(Generator!$H$2:$H$1826,(ROW()-2)*Assumptions!$B$7+MATCH($B$6,Assumptions!$D$5:$D$12,0)),"")</x:f>
        <x:v>1209.3114416845651</x:v>
      </x:c>
      <x:c r="V118" s="11" t="n">
        <x:f>IFERROR(INDEX(Generator!$I$2:$I$1826,(ROW()-2)*Assumptions!$B$7+MATCH($B$6,Assumptions!$D$5:$D$12,0)),"")</x:f>
        <x:v>1136.2482569769204</x:v>
      </x:c>
    </x:row>
    <x:row r="119">
      <x:c r="A119" s="27"/>
      <x:c r="B119" s="11"/>
      <x:c r="C119" s="28"/>
      <x:c r="T119" s="10" t="n">
        <x:f>IFERROR(INDEX(Generator!$A$2:$A$1826,(ROW()-2)*Assumptions!$B$7+MATCH($B$6,Assumptions!$D$5:$D$12,0)),"")</x:f>
        <x:v>46140</x:v>
      </x:c>
      <x:c r="U119" s="11" t="n">
        <x:f>IFERROR(INDEX(Generator!$H$2:$H$1826,(ROW()-2)*Assumptions!$B$7+MATCH($B$6,Assumptions!$D$5:$D$12,0)),"")</x:f>
        <x:v>1163.881474827676</x:v>
      </x:c>
      <x:c r="V119" s="11" t="n">
        <x:f>IFERROR(INDEX(Generator!$I$2:$I$1826,(ROW()-2)*Assumptions!$B$7+MATCH($B$6,Assumptions!$D$5:$D$12,0)),"")</x:f>
        <x:v>1139.3675531032575</x:v>
      </x:c>
    </x:row>
    <x:row r="120">
      <x:c r="A120" s="27"/>
      <x:c r="B120" s="11"/>
      <x:c r="C120" s="28"/>
      <x:c r="T120" s="10" t="n">
        <x:f>IFERROR(INDEX(Generator!$A$2:$A$1826,(ROW()-2)*Assumptions!$B$7+MATCH($B$6,Assumptions!$D$5:$D$12,0)),"")</x:f>
        <x:v>46141</x:v>
      </x:c>
      <x:c r="U120" s="11" t="n">
        <x:f>IFERROR(INDEX(Generator!$H$2:$H$1826,(ROW()-2)*Assumptions!$B$7+MATCH($B$6,Assumptions!$D$5:$D$12,0)),"")</x:f>
        <x:v>1156.7208027254396</x:v>
      </x:c>
      <x:c r="V120" s="11" t="n">
        <x:f>IFERROR(INDEX(Generator!$I$2:$I$1826,(ROW()-2)*Assumptions!$B$7+MATCH($B$6,Assumptions!$D$5:$D$12,0)),"")</x:f>
        <x:v>1130.5015318634576</x:v>
      </x:c>
    </x:row>
    <x:row r="121">
      <x:c r="A121" s="27"/>
      <x:c r="B121" s="11"/>
      <x:c r="C121" s="28"/>
      <x:c r="T121" s="10" t="n">
        <x:f>IFERROR(INDEX(Generator!$A$2:$A$1826,(ROW()-2)*Assumptions!$B$7+MATCH($B$6,Assumptions!$D$5:$D$12,0)),"")</x:f>
        <x:v>46142</x:v>
      </x:c>
      <x:c r="U121" s="11" t="n">
        <x:f>IFERROR(INDEX(Generator!$H$2:$H$1826,(ROW()-2)*Assumptions!$B$7+MATCH($B$6,Assumptions!$D$5:$D$12,0)),"")</x:f>
        <x:v>1122.8322577512859</x:v>
      </x:c>
      <x:c r="V121" s="11" t="n">
        <x:f>IFERROR(INDEX(Generator!$I$2:$I$1826,(ROW()-2)*Assumptions!$B$7+MATCH($B$6,Assumptions!$D$5:$D$12,0)),"")</x:f>
        <x:v>1140.0949058235344</x:v>
      </x:c>
    </x:row>
    <x:row r="122">
      <x:c r="A122" s="27"/>
      <x:c r="B122" s="11"/>
      <x:c r="C122" s="28"/>
      <x:c r="T122" s="10" t="n">
        <x:f>IFERROR(INDEX(Generator!$A$2:$A$1826,(ROW()-2)*Assumptions!$B$7+MATCH($B$6,Assumptions!$D$5:$D$12,0)),"")</x:f>
        <x:v>46143</x:v>
      </x:c>
      <x:c r="U122" s="11" t="n">
        <x:f>IFERROR(INDEX(Generator!$H$2:$H$1826,(ROW()-2)*Assumptions!$B$7+MATCH($B$6,Assumptions!$D$5:$D$12,0)),"")</x:f>
        <x:v>1091.6177263914315</x:v>
      </x:c>
      <x:c r="V122" s="11" t="n">
        <x:f>IFERROR(INDEX(Generator!$I$2:$I$1826,(ROW()-2)*Assumptions!$B$7+MATCH($B$6,Assumptions!$D$5:$D$12,0)),"")</x:f>
        <x:v>1128.2522102112655</x:v>
      </x:c>
    </x:row>
    <x:row r="123">
      <x:c r="A123" s="27"/>
      <x:c r="B123" s="11"/>
      <x:c r="C123" s="28"/>
      <x:c r="T123" s="10" t="n">
        <x:f>IFERROR(INDEX(Generator!$A$2:$A$1826,(ROW()-2)*Assumptions!$B$7+MATCH($B$6,Assumptions!$D$5:$D$12,0)),"")</x:f>
        <x:v>46144</x:v>
      </x:c>
      <x:c r="U123" s="11" t="n">
        <x:f>IFERROR(INDEX(Generator!$H$2:$H$1826,(ROW()-2)*Assumptions!$B$7+MATCH($B$6,Assumptions!$D$5:$D$12,0)),"")</x:f>
        <x:v>1083.5454588441776</x:v>
      </x:c>
      <x:c r="V123" s="11" t="n">
        <x:f>IFERROR(INDEX(Generator!$I$2:$I$1826,(ROW()-2)*Assumptions!$B$7+MATCH($B$6,Assumptions!$D$5:$D$12,0)),"")</x:f>
        <x:v>1124.5883815343918</x:v>
      </x:c>
    </x:row>
    <x:row r="124">
      <x:c r="A124" s="27"/>
      <x:c r="B124" s="11"/>
      <x:c r="C124" s="28"/>
      <x:c r="T124" s="10" t="n">
        <x:f>IFERROR(INDEX(Generator!$A$2:$A$1826,(ROW()-2)*Assumptions!$B$7+MATCH($B$6,Assumptions!$D$5:$D$12,0)),"")</x:f>
        <x:v>46145</x:v>
      </x:c>
      <x:c r="U124" s="11" t="n">
        <x:f>IFERROR(INDEX(Generator!$H$2:$H$1826,(ROW()-2)*Assumptions!$B$7+MATCH($B$6,Assumptions!$D$5:$D$12,0)),"")</x:f>
        <x:v>1015.4303595072901</x:v>
      </x:c>
      <x:c r="V124" s="11" t="n">
        <x:f>IFERROR(INDEX(Generator!$I$2:$I$1826,(ROW()-2)*Assumptions!$B$7+MATCH($B$6,Assumptions!$D$5:$D$12,0)),"")</x:f>
        <x:v>1120.4770745331239</x:v>
      </x:c>
    </x:row>
    <x:row r="125">
      <x:c r="A125" s="27"/>
      <x:c r="B125" s="11"/>
      <x:c r="C125" s="28"/>
      <x:c r="T125" s="10" t="n">
        <x:f>IFERROR(INDEX(Generator!$A$2:$A$1826,(ROW()-2)*Assumptions!$B$7+MATCH($B$6,Assumptions!$D$5:$D$12,0)),"")</x:f>
        <x:v>46146</x:v>
      </x:c>
      <x:c r="U125" s="11" t="n">
        <x:f>IFERROR(INDEX(Generator!$H$2:$H$1826,(ROW()-2)*Assumptions!$B$7+MATCH($B$6,Assumptions!$D$5:$D$12,0)),"")</x:f>
        <x:v>1126.1388358890517</x:v>
      </x:c>
      <x:c r="V125" s="11" t="n">
        <x:f>IFERROR(INDEX(Generator!$I$2:$I$1826,(ROW()-2)*Assumptions!$B$7+MATCH($B$6,Assumptions!$D$5:$D$12,0)),"")</x:f>
        <x:v>1108.5952737051934</x:v>
      </x:c>
    </x:row>
    <x:row r="126">
      <x:c r="A126" s="27"/>
      <x:c r="B126" s="11"/>
      <x:c r="C126" s="28"/>
      <x:c r="T126" s="10" t="n">
        <x:f>IFERROR(INDEX(Generator!$A$2:$A$1826,(ROW()-2)*Assumptions!$B$7+MATCH($B$6,Assumptions!$D$5:$D$12,0)),"")</x:f>
        <x:v>46147</x:v>
      </x:c>
      <x:c r="U126" s="11" t="n">
        <x:f>IFERROR(INDEX(Generator!$H$2:$H$1826,(ROW()-2)*Assumptions!$B$7+MATCH($B$6,Assumptions!$D$5:$D$12,0)),"")</x:f>
        <x:v>1129.5131025701553</x:v>
      </x:c>
      <x:c r="V126" s="11" t="n">
        <x:f>IFERROR(INDEX(Generator!$I$2:$I$1826,(ROW()-2)*Assumptions!$B$7+MATCH($B$6,Assumptions!$D$5:$D$12,0)),"")</x:f>
        <x:v>1103.685506239833</x:v>
      </x:c>
    </x:row>
    <x:row r="127">
      <x:c r="A127" s="27"/>
      <x:c r="B127" s="11"/>
      <x:c r="C127" s="28"/>
      <x:c r="T127" s="10" t="n">
        <x:f>IFERROR(INDEX(Generator!$A$2:$A$1826,(ROW()-2)*Assumptions!$B$7+MATCH($B$6,Assumptions!$D$5:$D$12,0)),"")</x:f>
        <x:v>46148</x:v>
      </x:c>
      <x:c r="U127" s="11" t="n">
        <x:f>IFERROR(INDEX(Generator!$H$2:$H$1826,(ROW()-2)*Assumptions!$B$7+MATCH($B$6,Assumptions!$D$5:$D$12,0)),"")</x:f>
        <x:v>1125.1805400150506</x:v>
      </x:c>
      <x:c r="V127" s="11" t="n">
        <x:f>IFERROR(INDEX(Generator!$I$2:$I$1826,(ROW()-2)*Assumptions!$B$7+MATCH($B$6,Assumptions!$D$5:$D$12,0)),"")</x:f>
        <x:v>1099.1797544240633</x:v>
      </x:c>
    </x:row>
    <x:row r="128">
      <x:c r="A128" s="27"/>
      <x:c r="B128" s="11"/>
      <x:c r="C128" s="28"/>
      <x:c r="T128" s="10" t="n">
        <x:f>IFERROR(INDEX(Generator!$A$2:$A$1826,(ROW()-2)*Assumptions!$B$7+MATCH($B$6,Assumptions!$D$5:$D$12,0)),"")</x:f>
        <x:v>46149</x:v>
      </x:c>
      <x:c r="U128" s="11" t="n">
        <x:f>IFERROR(INDEX(Generator!$H$2:$H$1826,(ROW()-2)*Assumptions!$B$7+MATCH($B$6,Assumptions!$D$5:$D$12,0)),"")</x:f>
        <x:v>1131.3887025833487</x:v>
      </x:c>
      <x:c r="V128" s="11" t="n">
        <x:f>IFERROR(INDEX(Generator!$I$2:$I$1826,(ROW()-2)*Assumptions!$B$7+MATCH($B$6,Assumptions!$D$5:$D$12,0)),"")</x:f>
        <x:v>1100.4021036857864</x:v>
      </x:c>
    </x:row>
    <x:row r="129">
      <x:c r="A129" s="27"/>
      <x:c r="B129" s="11"/>
      <x:c r="C129" s="28"/>
      <x:c r="T129" s="10" t="n">
        <x:f>IFERROR(INDEX(Generator!$A$2:$A$1826,(ROW()-2)*Assumptions!$B$7+MATCH($B$6,Assumptions!$D$5:$D$12,0)),"")</x:f>
        <x:v>46150</x:v>
      </x:c>
      <x:c r="U129" s="11" t="n">
        <x:f>IFERROR(INDEX(Generator!$H$2:$H$1826,(ROW()-2)*Assumptions!$B$7+MATCH($B$6,Assumptions!$D$5:$D$12,0)),"")</x:f>
        <x:v>1105.2286954620622</x:v>
      </x:c>
      <x:c r="V129" s="11" t="n">
        <x:f>IFERROR(INDEX(Generator!$I$2:$I$1826,(ROW()-2)*Assumptions!$B$7+MATCH($B$6,Assumptions!$D$5:$D$12,0)),"")</x:f>
        <x:v>1102.3465278387337</x:v>
      </x:c>
    </x:row>
    <x:row r="130">
      <x:c r="A130" s="27"/>
      <x:c r="B130" s="11"/>
      <x:c r="C130" s="28"/>
      <x:c r="T130" s="10" t="n">
        <x:f>IFERROR(INDEX(Generator!$A$2:$A$1826,(ROW()-2)*Assumptions!$B$7+MATCH($B$6,Assumptions!$D$5:$D$12,0)),"")</x:f>
        <x:v>46151</x:v>
      </x:c>
      <x:c r="U130" s="11" t="n">
        <x:f>IFERROR(INDEX(Generator!$H$2:$H$1826,(ROW()-2)*Assumptions!$B$7+MATCH($B$6,Assumptions!$D$5:$D$12,0)),"")</x:f>
        <x:v>1121.0577436047897</x:v>
      </x:c>
      <x:c r="V130" s="11" t="n">
        <x:f>IFERROR(INDEX(Generator!$I$2:$I$1826,(ROW()-2)*Assumptions!$B$7+MATCH($B$6,Assumptions!$D$5:$D$12,0)),"")</x:f>
        <x:v>1107.7054256616782</x:v>
      </x:c>
    </x:row>
    <x:row r="131">
      <x:c r="A131" s="27"/>
      <x:c r="B131" s="11"/>
      <x:c r="C131" s="28"/>
      <x:c r="T131" s="10" t="n">
        <x:f>IFERROR(INDEX(Generator!$A$2:$A$1826,(ROW()-2)*Assumptions!$B$7+MATCH($B$6,Assumptions!$D$5:$D$12,0)),"")</x:f>
        <x:v>46152</x:v>
      </x:c>
      <x:c r="U131" s="11" t="n">
        <x:f>IFERROR(INDEX(Generator!$H$2:$H$1826,(ROW()-2)*Assumptions!$B$7+MATCH($B$6,Assumptions!$D$5:$D$12,0)),"")</x:f>
        <x:v>1073.10785882558</x:v>
      </x:c>
      <x:c r="V131" s="11" t="n">
        <x:f>IFERROR(INDEX(Generator!$I$2:$I$1826,(ROW()-2)*Assumptions!$B$7+MATCH($B$6,Assumptions!$D$5:$D$12,0)),"")</x:f>
        <x:v>1115.9450684214341</x:v>
      </x:c>
    </x:row>
    <x:row r="132">
      <x:c r="A132" s="27"/>
      <x:c r="B132" s="11"/>
      <x:c r="C132" s="28"/>
      <x:c r="T132" s="10" t="n">
        <x:f>IFERROR(INDEX(Generator!$A$2:$A$1826,(ROW()-2)*Assumptions!$B$7+MATCH($B$6,Assumptions!$D$5:$D$12,0)),"")</x:f>
        <x:v>46153</x:v>
      </x:c>
      <x:c r="U132" s="11" t="n">
        <x:f>IFERROR(INDEX(Generator!$H$2:$H$1826,(ROW()-2)*Assumptions!$B$7+MATCH($B$6,Assumptions!$D$5:$D$12,0)),"")</x:f>
        <x:v>1149.5868724826423</x:v>
      </x:c>
      <x:c r="V132" s="11" t="n">
        <x:f>IFERROR(INDEX(Generator!$I$2:$I$1826,(ROW()-2)*Assumptions!$B$7+MATCH($B$6,Assumptions!$D$5:$D$12,0)),"")</x:f>
        <x:v>1119.2947879348042</x:v>
      </x:c>
    </x:row>
    <x:row r="133">
      <x:c r="A133" s="27"/>
      <x:c r="B133" s="11"/>
      <x:c r="C133" s="28"/>
      <x:c r="T133" s="10" t="n">
        <x:f>IFERROR(INDEX(Generator!$A$2:$A$1826,(ROW()-2)*Assumptions!$B$7+MATCH($B$6,Assumptions!$D$5:$D$12,0)),"")</x:f>
        <x:v>46154</x:v>
      </x:c>
      <x:c r="U133" s="11" t="n">
        <x:f>IFERROR(INDEX(Generator!$H$2:$H$1826,(ROW()-2)*Assumptions!$B$7+MATCH($B$6,Assumptions!$D$5:$D$12,0)),"")</x:f>
        <x:v>1183.2305512589996</x:v>
      </x:c>
      <x:c r="V133" s="11" t="n">
        <x:f>IFERROR(INDEX(Generator!$I$2:$I$1826,(ROW()-2)*Assumptions!$B$7+MATCH($B$6,Assumptions!$D$5:$D$12,0)),"")</x:f>
        <x:v>1126.9687091760675</x:v>
      </x:c>
    </x:row>
    <x:row r="134">
      <x:c r="A134" s="27"/>
      <x:c r="B134" s="11"/>
      <x:c r="C134" s="28"/>
      <x:c r="T134" s="10" t="n">
        <x:f>IFERROR(INDEX(Generator!$A$2:$A$1826,(ROW()-2)*Assumptions!$B$7+MATCH($B$6,Assumptions!$D$5:$D$12,0)),"")</x:f>
        <x:v>46155</x:v>
      </x:c>
      <x:c r="U134" s="11" t="n">
        <x:f>IFERROR(INDEX(Generator!$H$2:$H$1826,(ROW()-2)*Assumptions!$B$7+MATCH($B$6,Assumptions!$D$5:$D$12,0)),"")</x:f>
        <x:v>1184.4627495748182</x:v>
      </x:c>
      <x:c r="V134" s="11" t="n">
        <x:f>IFERROR(INDEX(Generator!$I$2:$I$1826,(ROW()-2)*Assumptions!$B$7+MATCH($B$6,Assumptions!$D$5:$D$12,0)),"")</x:f>
        <x:v>1135.4375962560346</x:v>
      </x:c>
    </x:row>
    <x:row r="135">
      <x:c r="A135" s="27"/>
      <x:c r="B135" s="11"/>
      <x:c r="C135" s="28"/>
      <x:c r="T135" s="10" t="n">
        <x:f>IFERROR(INDEX(Generator!$A$2:$A$1826,(ROW()-2)*Assumptions!$B$7+MATCH($B$6,Assumptions!$D$5:$D$12,0)),"")</x:f>
        <x:v>46156</x:v>
      </x:c>
      <x:c r="U135" s="11" t="n">
        <x:f>IFERROR(INDEX(Generator!$H$2:$H$1826,(ROW()-2)*Assumptions!$B$7+MATCH($B$6,Assumptions!$D$5:$D$12,0)),"")</x:f>
        <x:v>1109.658638109217</x:v>
      </x:c>
      <x:c r="V135" s="11" t="n">
        <x:f>IFERROR(INDEX(Generator!$I$2:$I$1826,(ROW()-2)*Assumptions!$B$7+MATCH($B$6,Assumptions!$D$5:$D$12,0)),"")</x:f>
        <x:v>1132.3333013311583</x:v>
      </x:c>
    </x:row>
    <x:row r="136">
      <x:c r="A136" s="27"/>
      <x:c r="B136" s="11"/>
      <x:c r="C136" s="28"/>
      <x:c r="T136" s="10" t="n">
        <x:f>IFERROR(INDEX(Generator!$A$2:$A$1826,(ROW()-2)*Assumptions!$B$7+MATCH($B$6,Assumptions!$D$5:$D$12,0)),"")</x:f>
        <x:v>46157</x:v>
      </x:c>
      <x:c r="U136" s="11" t="n">
        <x:f>IFERROR(INDEX(Generator!$H$2:$H$1826,(ROW()-2)*Assumptions!$B$7+MATCH($B$6,Assumptions!$D$5:$D$12,0)),"")</x:f>
        <x:v>1085.5552238219043</x:v>
      </x:c>
      <x:c r="V136" s="11" t="n">
        <x:f>IFERROR(INDEX(Generator!$I$2:$I$1826,(ROW()-2)*Assumptions!$B$7+MATCH($B$6,Assumptions!$D$5:$D$12,0)),"")</x:f>
        <x:v>1129.5228053825645</x:v>
      </x:c>
    </x:row>
    <x:row r="137">
      <x:c r="A137" s="27"/>
      <x:c r="B137" s="11"/>
      <x:c r="C137" s="28"/>
      <x:c r="T137" s="10" t="n">
        <x:f>IFERROR(INDEX(Generator!$A$2:$A$1826,(ROW()-2)*Assumptions!$B$7+MATCH($B$6,Assumptions!$D$5:$D$12,0)),"")</x:f>
        <x:v>46158</x:v>
      </x:c>
      <x:c r="U137" s="11" t="n">
        <x:f>IFERROR(INDEX(Generator!$H$2:$H$1826,(ROW()-2)*Assumptions!$B$7+MATCH($B$6,Assumptions!$D$5:$D$12,0)),"")</x:f>
        <x:v>1098.25028656097</x:v>
      </x:c>
      <x:c r="V137" s="11" t="n">
        <x:f>IFERROR(INDEX(Generator!$I$2:$I$1826,(ROW()-2)*Assumptions!$B$7+MATCH($B$6,Assumptions!$D$5:$D$12,0)),"")</x:f>
        <x:v>1126.2645972334471</x:v>
      </x:c>
    </x:row>
    <x:row r="138">
      <x:c r="A138" s="27"/>
      <x:c r="B138" s="11"/>
      <x:c r="C138" s="28"/>
      <x:c r="T138" s="10" t="n">
        <x:f>IFERROR(INDEX(Generator!$A$2:$A$1826,(ROW()-2)*Assumptions!$B$7+MATCH($B$6,Assumptions!$D$5:$D$12,0)),"")</x:f>
        <x:v>46159</x:v>
      </x:c>
      <x:c r="U138" s="11" t="n">
        <x:f>IFERROR(INDEX(Generator!$H$2:$H$1826,(ROW()-2)*Assumptions!$B$7+MATCH($B$6,Assumptions!$D$5:$D$12,0)),"")</x:f>
        <x:v>1058.2687395709147</x:v>
      </x:c>
      <x:c r="V138" s="11" t="n">
        <x:f>IFERROR(INDEX(Generator!$I$2:$I$1826,(ROW()-2)*Assumptions!$B$7+MATCH($B$6,Assumptions!$D$5:$D$12,0)),"")</x:f>
        <x:v>1124.1447230542096</x:v>
      </x:c>
    </x:row>
    <x:row r="139">
      <x:c r="A139" s="27"/>
      <x:c r="B139" s="11"/>
      <x:c r="C139" s="28"/>
      <x:c r="T139" s="10" t="n">
        <x:f>IFERROR(INDEX(Generator!$A$2:$A$1826,(ROW()-2)*Assumptions!$B$7+MATCH($B$6,Assumptions!$D$5:$D$12,0)),"")</x:f>
        <x:v>46160</x:v>
      </x:c>
      <x:c r="U139" s="11" t="n">
        <x:f>IFERROR(INDEX(Generator!$H$2:$H$1826,(ROW()-2)*Assumptions!$B$7+MATCH($B$6,Assumptions!$D$5:$D$12,0)),"")</x:f>
        <x:v>1157.6104196534434</x:v>
      </x:c>
      <x:c r="V139" s="11" t="n">
        <x:f>IFERROR(INDEX(Generator!$I$2:$I$1826,(ROW()-2)*Assumptions!$B$7+MATCH($B$6,Assumptions!$D$5:$D$12,0)),"")</x:f>
        <x:v>1125.2909440786095</x:v>
      </x:c>
    </x:row>
    <x:row r="140">
      <x:c r="A140" s="27"/>
      <x:c r="B140" s="11"/>
      <x:c r="C140" s="28"/>
      <x:c r="T140" s="10" t="n">
        <x:f>IFERROR(INDEX(Generator!$A$2:$A$1826,(ROW()-2)*Assumptions!$B$7+MATCH($B$6,Assumptions!$D$5:$D$12,0)),"")</x:f>
        <x:v>46161</x:v>
      </x:c>
      <x:c r="U140" s="11" t="n">
        <x:f>IFERROR(INDEX(Generator!$H$2:$H$1826,(ROW()-2)*Assumptions!$B$7+MATCH($B$6,Assumptions!$D$5:$D$12,0)),"")</x:f>
        <x:v>1125.882895238684</x:v>
      </x:c>
      <x:c r="V140" s="11" t="n">
        <x:f>IFERROR(INDEX(Generator!$I$2:$I$1826,(ROW()-2)*Assumptions!$B$7+MATCH($B$6,Assumptions!$D$5:$D$12,0)),"")</x:f>
        <x:v>1117.098421789993</x:v>
      </x:c>
    </x:row>
    <x:row r="141">
      <x:c r="A141" s="27"/>
      <x:c r="B141" s="11"/>
      <x:c r="C141" s="28"/>
      <x:c r="T141" s="10" t="n">
        <x:f>IFERROR(INDEX(Generator!$A$2:$A$1826,(ROW()-2)*Assumptions!$B$7+MATCH($B$6,Assumptions!$D$5:$D$12,0)),"")</x:f>
        <x:v>46162</x:v>
      </x:c>
      <x:c r="U141" s="11" t="n">
        <x:f>IFERROR(INDEX(Generator!$H$2:$H$1826,(ROW()-2)*Assumptions!$B$7+MATCH($B$6,Assumptions!$D$5:$D$12,0)),"")</x:f>
        <x:v>1185.6867078550033</x:v>
      </x:c>
      <x:c r="V141" s="11" t="n">
        <x:f>IFERROR(INDEX(Generator!$I$2:$I$1826,(ROW()-2)*Assumptions!$B$7+MATCH($B$6,Assumptions!$D$5:$D$12,0)),"")</x:f>
        <x:v>1117.2732729728764</x:v>
      </x:c>
    </x:row>
    <x:row r="142">
      <x:c r="A142" s="27"/>
      <x:c r="B142" s="11"/>
      <x:c r="C142" s="28"/>
      <x:c r="T142" s="10" t="n">
        <x:f>IFERROR(INDEX(Generator!$A$2:$A$1826,(ROW()-2)*Assumptions!$B$7+MATCH($B$6,Assumptions!$D$5:$D$12,0)),"")</x:f>
        <x:v>46163</x:v>
      </x:c>
      <x:c r="U142" s="11" t="n">
        <x:f>IFERROR(INDEX(Generator!$H$2:$H$1826,(ROW()-2)*Assumptions!$B$7+MATCH($B$6,Assumptions!$D$5:$D$12,0)),"")</x:f>
        <x:v>1155.2569742409883</x:v>
      </x:c>
      <x:c r="V142" s="11" t="n">
        <x:f>IFERROR(INDEX(Generator!$I$2:$I$1826,(ROW()-2)*Assumptions!$B$7+MATCH($B$6,Assumptions!$D$5:$D$12,0)),"")</x:f>
        <x:v>1123.787320991701</x:v>
      </x:c>
    </x:row>
    <x:row r="143">
      <x:c r="A143" s="27"/>
      <x:c r="B143" s="11"/>
      <x:c r="C143" s="28"/>
      <x:c r="T143" s="10" t="n">
        <x:f>IFERROR(INDEX(Generator!$A$2:$A$1826,(ROW()-2)*Assumptions!$B$7+MATCH($B$6,Assumptions!$D$5:$D$12,0)),"")</x:f>
        <x:v>46164</x:v>
      </x:c>
      <x:c r="U143" s="11" t="n">
        <x:f>IFERROR(INDEX(Generator!$H$2:$H$1826,(ROW()-2)*Assumptions!$B$7+MATCH($B$6,Assumptions!$D$5:$D$12,0)),"")</x:f>
        <x:v>1136.355026408703</x:v>
      </x:c>
      <x:c r="V143" s="11" t="n">
        <x:f>IFERROR(INDEX(Generator!$I$2:$I$1826,(ROW()-2)*Assumptions!$B$7+MATCH($B$6,Assumptions!$D$5:$D$12,0)),"")</x:f>
        <x:v>1131.044435646958</x:v>
      </x:c>
    </x:row>
    <x:row r="144">
      <x:c r="A144" s="27"/>
      <x:c r="B144" s="11"/>
      <x:c r="C144" s="28"/>
      <x:c r="T144" s="10" t="n">
        <x:f>IFERROR(INDEX(Generator!$A$2:$A$1826,(ROW()-2)*Assumptions!$B$7+MATCH($B$6,Assumptions!$D$5:$D$12,0)),"")</x:f>
        <x:v>46165</x:v>
      </x:c>
      <x:c r="U144" s="11" t="n">
        <x:f>IFERROR(INDEX(Generator!$H$2:$H$1826,(ROW()-2)*Assumptions!$B$7+MATCH($B$6,Assumptions!$D$5:$D$12,0)),"")</x:f>
        <x:v>1055.7424982690206</x:v>
      </x:c>
      <x:c r="V144" s="11" t="n">
        <x:f>IFERROR(INDEX(Generator!$I$2:$I$1826,(ROW()-2)*Assumptions!$B$7+MATCH($B$6,Assumptions!$D$5:$D$12,0)),"")</x:f>
        <x:v>1124.971894462394</x:v>
      </x:c>
    </x:row>
    <x:row r="145">
      <x:c r="A145" s="27"/>
      <x:c r="B145" s="11"/>
      <x:c r="C145" s="28"/>
      <x:c r="T145" s="10" t="n">
        <x:f>IFERROR(INDEX(Generator!$A$2:$A$1826,(ROW()-2)*Assumptions!$B$7+MATCH($B$6,Assumptions!$D$5:$D$12,0)),"")</x:f>
        <x:v>46166</x:v>
      </x:c>
      <x:c r="U145" s="11" t="n">
        <x:f>IFERROR(INDEX(Generator!$H$2:$H$1826,(ROW()-2)*Assumptions!$B$7+MATCH($B$6,Assumptions!$D$5:$D$12,0)),"")</x:f>
        <x:v>1088.6182016058701</x:v>
      </x:c>
      <x:c r="V145" s="11" t="n">
        <x:f>IFERROR(INDEX(Generator!$I$2:$I$1826,(ROW()-2)*Assumptions!$B$7+MATCH($B$6,Assumptions!$D$5:$D$12,0)),"")</x:f>
        <x:v>1129.3075318959588</x:v>
      </x:c>
    </x:row>
    <x:row r="146">
      <x:c r="A146" s="27"/>
      <x:c r="B146" s="11"/>
      <x:c r="C146" s="28"/>
      <x:c r="T146" s="10" t="n">
        <x:f>IFERROR(INDEX(Generator!$A$2:$A$1826,(ROW()-2)*Assumptions!$B$7+MATCH($B$6,Assumptions!$D$5:$D$12,0)),"")</x:f>
        <x:v>46167</x:v>
      </x:c>
      <x:c r="U146" s="11" t="n">
        <x:f>IFERROR(INDEX(Generator!$H$2:$H$1826,(ROW()-2)*Assumptions!$B$7+MATCH($B$6,Assumptions!$D$5:$D$12,0)),"")</x:f>
        <x:v>1168.9273661820844</x:v>
      </x:c>
      <x:c r="V146" s="11" t="n">
        <x:f>IFERROR(INDEX(Generator!$I$2:$I$1826,(ROW()-2)*Assumptions!$B$7+MATCH($B$6,Assumptions!$D$5:$D$12,0)),"")</x:f>
        <x:v>1130.9242385429077</x:v>
      </x:c>
    </x:row>
    <x:row r="147">
      <x:c r="A147" s="27"/>
      <x:c r="B147" s="11"/>
      <x:c r="C147" s="28"/>
      <x:c r="T147" s="10" t="n">
        <x:f>IFERROR(INDEX(Generator!$A$2:$A$1826,(ROW()-2)*Assumptions!$B$7+MATCH($B$6,Assumptions!$D$5:$D$12,0)),"")</x:f>
        <x:v>46168</x:v>
      </x:c>
      <x:c r="U147" s="11" t="n">
        <x:f>IFERROR(INDEX(Generator!$H$2:$H$1826,(ROW()-2)*Assumptions!$B$7+MATCH($B$6,Assumptions!$D$5:$D$12,0)),"")</x:f>
        <x:v>1128.5041239433206</x:v>
      </x:c>
      <x:c r="V147" s="11" t="n">
        <x:f>IFERROR(INDEX(Generator!$I$2:$I$1826,(ROW()-2)*Assumptions!$B$7+MATCH($B$6,Assumptions!$D$5:$D$12,0)),"")</x:f>
        <x:v>1131.2986997864273</x:v>
      </x:c>
    </x:row>
    <x:row r="148">
      <x:c r="A148" s="27"/>
      <x:c r="B148" s="11"/>
      <x:c r="C148" s="28"/>
      <x:c r="T148" s="10" t="n">
        <x:f>IFERROR(INDEX(Generator!$A$2:$A$1826,(ROW()-2)*Assumptions!$B$7+MATCH($B$6,Assumptions!$D$5:$D$12,0)),"")</x:f>
        <x:v>46169</x:v>
      </x:c>
      <x:c r="U148" s="11" t="n">
        <x:f>IFERROR(INDEX(Generator!$H$2:$H$1826,(ROW()-2)*Assumptions!$B$7+MATCH($B$6,Assumptions!$D$5:$D$12,0)),"")</x:f>
        <x:v>1140.3209414958114</x:v>
      </x:c>
      <x:c r="V148" s="11" t="n">
        <x:f>IFERROR(INDEX(Generator!$I$2:$I$1826,(ROW()-2)*Assumptions!$B$7+MATCH($B$6,Assumptions!$D$5:$D$12,0)),"")</x:f>
        <x:v>1124.8178760208284</x:v>
      </x:c>
    </x:row>
    <x:row r="149">
      <x:c r="A149" s="27"/>
      <x:c r="B149" s="11"/>
      <x:c r="C149" s="28"/>
      <x:c r="T149" s="10" t="n">
        <x:f>IFERROR(INDEX(Generator!$A$2:$A$1826,(ROW()-2)*Assumptions!$B$7+MATCH($B$6,Assumptions!$D$5:$D$12,0)),"")</x:f>
        <x:v>46170</x:v>
      </x:c>
      <x:c r="U149" s="11" t="n">
        <x:f>IFERROR(INDEX(Generator!$H$2:$H$1826,(ROW()-2)*Assumptions!$B$7+MATCH($B$6,Assumptions!$D$5:$D$12,0)),"")</x:f>
        <x:v>1123.685657665821</x:v>
      </x:c>
      <x:c r="V149" s="11" t="n">
        <x:f>IFERROR(INDEX(Generator!$I$2:$I$1826,(ROW()-2)*Assumptions!$B$7+MATCH($B$6,Assumptions!$D$5:$D$12,0)),"")</x:f>
        <x:v>1120.3076879386615</x:v>
      </x:c>
    </x:row>
    <x:row r="150">
      <x:c r="A150" s="27"/>
      <x:c r="B150" s="11"/>
      <x:c r="C150" s="28"/>
      <x:c r="T150" s="10" t="n">
        <x:f>IFERROR(INDEX(Generator!$A$2:$A$1826,(ROW()-2)*Assumptions!$B$7+MATCH($B$6,Assumptions!$D$5:$D$12,0)),"")</x:f>
        <x:v>46171</x:v>
      </x:c>
      <x:c r="U150" s="11" t="n">
        <x:f>IFERROR(INDEX(Generator!$H$2:$H$1826,(ROW()-2)*Assumptions!$B$7+MATCH($B$6,Assumptions!$D$5:$D$12,0)),"")</x:f>
        <x:v>1050.6816644793598</x:v>
      </x:c>
      <x:c r="V150" s="11" t="n">
        <x:f>IFERROR(INDEX(Generator!$I$2:$I$1826,(ROW()-2)*Assumptions!$B$7+MATCH($B$6,Assumptions!$D$5:$D$12,0)),"")</x:f>
        <x:v>1108.0686362344697</x:v>
      </x:c>
    </x:row>
    <x:row r="151">
      <x:c r="A151" s="27"/>
      <x:c r="B151" s="11"/>
      <x:c r="C151" s="28"/>
      <x:c r="T151" s="10" t="n">
        <x:f>IFERROR(INDEX(Generator!$A$2:$A$1826,(ROW()-2)*Assumptions!$B$7+MATCH($B$6,Assumptions!$D$5:$D$12,0)),"")</x:f>
        <x:v>46172</x:v>
      </x:c>
      <x:c r="U151" s="11" t="n">
        <x:f>IFERROR(INDEX(Generator!$H$2:$H$1826,(ROW()-2)*Assumptions!$B$7+MATCH($B$6,Assumptions!$D$5:$D$12,0)),"")</x:f>
        <x:v>1066.6780738206037</x:v>
      </x:c>
      <x:c r="V151" s="11" t="n">
        <x:f>IFERROR(INDEX(Generator!$I$2:$I$1826,(ROW()-2)*Assumptions!$B$7+MATCH($B$6,Assumptions!$D$5:$D$12,0)),"")</x:f>
        <x:v>1109.6308613132671</x:v>
      </x:c>
    </x:row>
    <x:row r="152">
      <x:c r="A152" s="27"/>
      <x:c r="B152" s="11"/>
      <x:c r="C152" s="28"/>
      <x:c r="T152" s="10" t="n">
        <x:f>IFERROR(INDEX(Generator!$A$2:$A$1826,(ROW()-2)*Assumptions!$B$7+MATCH($B$6,Assumptions!$D$5:$D$12,0)),"")</x:f>
        <x:v>46173</x:v>
      </x:c>
      <x:c r="U152" s="11" t="n">
        <x:f>IFERROR(INDEX(Generator!$H$2:$H$1826,(ROW()-2)*Assumptions!$B$7+MATCH($B$6,Assumptions!$D$5:$D$12,0)),"")</x:f>
        <x:v>1034.7013679563756</x:v>
      </x:c>
      <x:c r="V152" s="11" t="n">
        <x:f>IFERROR(INDEX(Generator!$I$2:$I$1826,(ROW()-2)*Assumptions!$B$7+MATCH($B$6,Assumptions!$D$5:$D$12,0)),"")</x:f>
        <x:v>1101.9284565061967</x:v>
      </x:c>
    </x:row>
    <x:row r="153">
      <x:c r="A153" s="27"/>
      <x:c r="B153" s="11"/>
      <x:c r="C153" s="28"/>
      <x:c r="T153" s="10" t="n">
        <x:f>IFERROR(INDEX(Generator!$A$2:$A$1826,(ROW()-2)*Assumptions!$B$7+MATCH($B$6,Assumptions!$D$5:$D$12,0)),"")</x:f>
        <x:v>46174</x:v>
      </x:c>
      <x:c r="U153" s="11" t="n">
        <x:f>IFERROR(INDEX(Generator!$H$2:$H$1826,(ROW()-2)*Assumptions!$B$7+MATCH($B$6,Assumptions!$D$5:$D$12,0)),"")</x:f>
        <x:v>1131.0674135219756</x:v>
      </x:c>
      <x:c r="V153" s="11" t="n">
        <x:f>IFERROR(INDEX(Generator!$I$2:$I$1826,(ROW()-2)*Assumptions!$B$7+MATCH($B$6,Assumptions!$D$5:$D$12,0)),"")</x:f>
        <x:v>1096.5198918404667</x:v>
      </x:c>
    </x:row>
    <x:row r="154">
      <x:c r="A154" s="27"/>
      <x:c r="B154" s="11"/>
      <x:c r="C154" s="28"/>
      <x:c r="T154" s="10" t="n">
        <x:f>IFERROR(INDEX(Generator!$A$2:$A$1826,(ROW()-2)*Assumptions!$B$7+MATCH($B$6,Assumptions!$D$5:$D$12,0)),"")</x:f>
        <x:v>46175</x:v>
      </x:c>
      <x:c r="U154" s="11" t="n">
        <x:f>IFERROR(INDEX(Generator!$H$2:$H$1826,(ROW()-2)*Assumptions!$B$7+MATCH($B$6,Assumptions!$D$5:$D$12,0)),"")</x:f>
        <x:v>1105.02843488203</x:v>
      </x:c>
      <x:c r="V154" s="11" t="n">
        <x:f>IFERROR(INDEX(Generator!$I$2:$I$1826,(ROW()-2)*Assumptions!$B$7+MATCH($B$6,Assumptions!$D$5:$D$12,0)),"")</x:f>
        <x:v>1093.1662219745683</x:v>
      </x:c>
    </x:row>
    <x:row r="155">
      <x:c r="A155" s="27"/>
      <x:c r="B155" s="11"/>
      <x:c r="C155" s="28"/>
      <x:c r="T155" s="10" t="n">
        <x:f>IFERROR(INDEX(Generator!$A$2:$A$1826,(ROW()-2)*Assumptions!$B$7+MATCH($B$6,Assumptions!$D$5:$D$12,0)),"")</x:f>
        <x:v>46176</x:v>
      </x:c>
      <x:c r="U155" s="11" t="n">
        <x:f>IFERROR(INDEX(Generator!$H$2:$H$1826,(ROW()-2)*Assumptions!$B$7+MATCH($B$6,Assumptions!$D$5:$D$12,0)),"")</x:f>
        <x:v>1114.6571438148203</x:v>
      </x:c>
      <x:c r="V155" s="11" t="n">
        <x:f>IFERROR(INDEX(Generator!$I$2:$I$1826,(ROW()-2)*Assumptions!$B$7+MATCH($B$6,Assumptions!$D$5:$D$12,0)),"")</x:f>
        <x:v>1089.499965162998</x:v>
      </x:c>
    </x:row>
    <x:row r="156">
      <x:c r="A156" s="27"/>
      <x:c r="B156" s="11"/>
      <x:c r="C156" s="28"/>
      <x:c r="T156" s="10" t="n">
        <x:f>IFERROR(INDEX(Generator!$A$2:$A$1826,(ROW()-2)*Assumptions!$B$7+MATCH($B$6,Assumptions!$D$5:$D$12,0)),"")</x:f>
        <x:v>46177</x:v>
      </x:c>
      <x:c r="U156" s="11" t="n">
        <x:f>IFERROR(INDEX(Generator!$H$2:$H$1826,(ROW()-2)*Assumptions!$B$7+MATCH($B$6,Assumptions!$D$5:$D$12,0)),"")</x:f>
        <x:v>1084.9832803708252</x:v>
      </x:c>
      <x:c r="V156" s="11" t="n">
        <x:f>IFERROR(INDEX(Generator!$I$2:$I$1826,(ROW()-2)*Assumptions!$B$7+MATCH($B$6,Assumptions!$D$5:$D$12,0)),"")</x:f>
        <x:v>1083.9710541208556</x:v>
      </x:c>
    </x:row>
    <x:row r="157">
      <x:c r="A157" s="27"/>
      <x:c r="B157" s="11"/>
      <x:c r="C157" s="28"/>
      <x:c r="T157" s="10" t="n">
        <x:f>IFERROR(INDEX(Generator!$A$2:$A$1826,(ROW()-2)*Assumptions!$B$7+MATCH($B$6,Assumptions!$D$5:$D$12,0)),"")</x:f>
        <x:v>46178</x:v>
      </x:c>
      <x:c r="U157" s="11" t="n">
        <x:f>IFERROR(INDEX(Generator!$H$2:$H$1826,(ROW()-2)*Assumptions!$B$7+MATCH($B$6,Assumptions!$D$5:$D$12,0)),"")</x:f>
        <x:v>1062.3253196859323</x:v>
      </x:c>
      <x:c r="V157" s="11" t="n">
        <x:f>IFERROR(INDEX(Generator!$I$2:$I$1826,(ROW()-2)*Assumptions!$B$7+MATCH($B$6,Assumptions!$D$5:$D$12,0)),"")</x:f>
        <x:v>1085.6344334360804</x:v>
      </x:c>
    </x:row>
    <x:row r="158">
      <x:c r="A158" s="27"/>
      <x:c r="B158" s="11"/>
      <x:c r="C158" s="28"/>
      <x:c r="T158" s="10" t="n">
        <x:f>IFERROR(INDEX(Generator!$A$2:$A$1826,(ROW()-2)*Assumptions!$B$7+MATCH($B$6,Assumptions!$D$5:$D$12,0)),"")</x:f>
        <x:v>46179</x:v>
      </x:c>
      <x:c r="U158" s="11" t="n">
        <x:f>IFERROR(INDEX(Generator!$H$2:$H$1826,(ROW()-2)*Assumptions!$B$7+MATCH($B$6,Assumptions!$D$5:$D$12,0)),"")</x:f>
        <x:v>1077.1628943521725</x:v>
      </x:c>
      <x:c r="V158" s="11" t="n">
        <x:f>IFERROR(INDEX(Generator!$I$2:$I$1826,(ROW()-2)*Assumptions!$B$7+MATCH($B$6,Assumptions!$D$5:$D$12,0)),"")</x:f>
        <x:v>1087.1322649405902</x:v>
      </x:c>
    </x:row>
    <x:row r="159">
      <x:c r="A159" s="27"/>
      <x:c r="B159" s="11"/>
      <x:c r="C159" s="28"/>
      <x:c r="T159" s="10" t="n">
        <x:f>IFERROR(INDEX(Generator!$A$2:$A$1826,(ROW()-2)*Assumptions!$B$7+MATCH($B$6,Assumptions!$D$5:$D$12,0)),"")</x:f>
        <x:v>46180</x:v>
      </x:c>
      <x:c r="U159" s="11" t="n">
        <x:f>IFERROR(INDEX(Generator!$H$2:$H$1826,(ROW()-2)*Assumptions!$B$7+MATCH($B$6,Assumptions!$D$5:$D$12,0)),"")</x:f>
        <x:v>1104.081417800844</x:v>
      </x:c>
      <x:c r="V159" s="11" t="n">
        <x:f>IFERROR(INDEX(Generator!$I$2:$I$1826,(ROW()-2)*Assumptions!$B$7+MATCH($B$6,Assumptions!$D$5:$D$12,0)),"")</x:f>
        <x:v>1097.0437006326572</x:v>
      </x:c>
    </x:row>
    <x:row r="160">
      <x:c r="A160" s="27"/>
      <x:c r="B160" s="11"/>
      <x:c r="C160" s="28"/>
      <x:c r="T160" s="10" t="n">
        <x:f>IFERROR(INDEX(Generator!$A$2:$A$1826,(ROW()-2)*Assumptions!$B$7+MATCH($B$6,Assumptions!$D$5:$D$12,0)),"")</x:f>
        <x:v>46181</x:v>
      </x:c>
      <x:c r="U160" s="11" t="n">
        <x:f>IFERROR(INDEX(Generator!$H$2:$H$1826,(ROW()-2)*Assumptions!$B$7+MATCH($B$6,Assumptions!$D$5:$D$12,0)),"")</x:f>
        <x:v>1175.309485037509</x:v>
      </x:c>
      <x:c r="V160" s="11" t="n">
        <x:f>IFERROR(INDEX(Generator!$I$2:$I$1826,(ROW()-2)*Assumptions!$B$7+MATCH($B$6,Assumptions!$D$5:$D$12,0)),"")</x:f>
        <x:v>1103.3639965634477</x:v>
      </x:c>
    </x:row>
    <x:row r="161">
      <x:c r="A161" s="27"/>
      <x:c r="B161" s="11"/>
      <x:c r="C161" s="28"/>
      <x:c r="T161" s="10" t="n">
        <x:f>IFERROR(INDEX(Generator!$A$2:$A$1826,(ROW()-2)*Assumptions!$B$7+MATCH($B$6,Assumptions!$D$5:$D$12,0)),"")</x:f>
        <x:v>46182</x:v>
      </x:c>
      <x:c r="U161" s="11" t="n">
        <x:f>IFERROR(INDEX(Generator!$H$2:$H$1826,(ROW()-2)*Assumptions!$B$7+MATCH($B$6,Assumptions!$D$5:$D$12,0)),"")</x:f>
        <x:v>1095.975785401865</x:v>
      </x:c>
      <x:c r="V161" s="11" t="n">
        <x:f>IFERROR(INDEX(Generator!$I$2:$I$1826,(ROW()-2)*Assumptions!$B$7+MATCH($B$6,Assumptions!$D$5:$D$12,0)),"")</x:f>
        <x:v>1102.070760923424</x:v>
      </x:c>
    </x:row>
    <x:row r="162">
      <x:c r="A162" s="27"/>
      <x:c r="B162" s="11"/>
      <x:c r="C162" s="28"/>
      <x:c r="T162" s="10" t="n">
        <x:f>IFERROR(INDEX(Generator!$A$2:$A$1826,(ROW()-2)*Assumptions!$B$7+MATCH($B$6,Assumptions!$D$5:$D$12,0)),"")</x:f>
        <x:v>46183</x:v>
      </x:c>
      <x:c r="U162" s="11" t="n">
        <x:f>IFERROR(INDEX(Generator!$H$2:$H$1826,(ROW()-2)*Assumptions!$B$7+MATCH($B$6,Assumptions!$D$5:$D$12,0)),"")</x:f>
        <x:v>1145.9756510971006</x:v>
      </x:c>
      <x:c r="V162" s="11" t="n">
        <x:f>IFERROR(INDEX(Generator!$I$2:$I$1826,(ROW()-2)*Assumptions!$B$7+MATCH($B$6,Assumptions!$D$5:$D$12,0)),"")</x:f>
        <x:v>1106.5448333923212</x:v>
      </x:c>
    </x:row>
    <x:row r="163">
      <x:c r="A163" s="27"/>
      <x:c r="B163" s="11"/>
      <x:c r="C163" s="28"/>
      <x:c r="T163" s="10" t="n">
        <x:f>IFERROR(INDEX(Generator!$A$2:$A$1826,(ROW()-2)*Assumptions!$B$7+MATCH($B$6,Assumptions!$D$5:$D$12,0)),"")</x:f>
        <x:v>46184</x:v>
      </x:c>
      <x:c r="U163" s="11" t="n">
        <x:f>IFERROR(INDEX(Generator!$H$2:$H$1826,(ROW()-2)*Assumptions!$B$7+MATCH($B$6,Assumptions!$D$5:$D$12,0)),"")</x:f>
        <x:v>1155.8246256542097</x:v>
      </x:c>
      <x:c r="V163" s="11" t="n">
        <x:f>IFERROR(INDEX(Generator!$I$2:$I$1826,(ROW()-2)*Assumptions!$B$7+MATCH($B$6,Assumptions!$D$5:$D$12,0)),"")</x:f>
        <x:v>1116.665025575662</x:v>
      </x:c>
    </x:row>
    <x:row r="164">
      <x:c r="A164" s="27"/>
      <x:c r="B164" s="11"/>
      <x:c r="C164" s="28"/>
      <x:c r="T164" s="10" t="n">
        <x:f>IFERROR(INDEX(Generator!$A$2:$A$1826,(ROW()-2)*Assumptions!$B$7+MATCH($B$6,Assumptions!$D$5:$D$12,0)),"")</x:f>
        <x:v>46185</x:v>
      </x:c>
      <x:c r="U164" s="11" t="n">
        <x:f>IFERROR(INDEX(Generator!$H$2:$H$1826,(ROW()-2)*Assumptions!$B$7+MATCH($B$6,Assumptions!$D$5:$D$12,0)),"")</x:f>
        <x:v>1059.1556782052307</x:v>
      </x:c>
      <x:c r="V164" s="11" t="n">
        <x:f>IFERROR(INDEX(Generator!$I$2:$I$1826,(ROW()-2)*Assumptions!$B$7+MATCH($B$6,Assumptions!$D$5:$D$12,0)),"")</x:f>
        <x:v>1116.2122196498474</x:v>
      </x:c>
    </x:row>
    <x:row r="165">
      <x:c r="A165" s="27"/>
      <x:c r="B165" s="11"/>
      <x:c r="C165" s="28"/>
      <x:c r="T165" s="10" t="n">
        <x:f>IFERROR(INDEX(Generator!$A$2:$A$1826,(ROW()-2)*Assumptions!$B$7+MATCH($B$6,Assumptions!$D$5:$D$12,0)),"")</x:f>
        <x:v>46186</x:v>
      </x:c>
      <x:c r="U165" s="11" t="n">
        <x:f>IFERROR(INDEX(Generator!$H$2:$H$1826,(ROW()-2)*Assumptions!$B$7+MATCH($B$6,Assumptions!$D$5:$D$12,0)),"")</x:f>
        <x:v>1140.4605290420686</x:v>
      </x:c>
      <x:c r="V165" s="11" t="n">
        <x:f>IFERROR(INDEX(Generator!$I$2:$I$1826,(ROW()-2)*Assumptions!$B$7+MATCH($B$6,Assumptions!$D$5:$D$12,0)),"")</x:f>
        <x:v>1125.2547388912612</x:v>
      </x:c>
    </x:row>
    <x:row r="166">
      <x:c r="A166" s="27"/>
      <x:c r="B166" s="11"/>
      <x:c r="C166" s="28"/>
      <x:c r="T166" s="10" t="n">
        <x:f>IFERROR(INDEX(Generator!$A$2:$A$1826,(ROW()-2)*Assumptions!$B$7+MATCH($B$6,Assumptions!$D$5:$D$12,0)),"")</x:f>
        <x:v>46187</x:v>
      </x:c>
      <x:c r="U166" s="11" t="n">
        <x:f>IFERROR(INDEX(Generator!$H$2:$H$1826,(ROW()-2)*Assumptions!$B$7+MATCH($B$6,Assumptions!$D$5:$D$12,0)),"")</x:f>
        <x:v>1078.182485064105</x:v>
      </x:c>
      <x:c r="V166" s="11" t="n">
        <x:f>IFERROR(INDEX(Generator!$I$2:$I$1826,(ROW()-2)*Assumptions!$B$7+MATCH($B$6,Assumptions!$D$5:$D$12,0)),"")</x:f>
        <x:v>1121.5548913574412</x:v>
      </x:c>
    </x:row>
    <x:row r="167">
      <x:c r="A167" s="27"/>
      <x:c r="B167" s="11"/>
      <x:c r="C167" s="28"/>
      <x:c r="T167" s="10" t="n">
        <x:f>IFERROR(INDEX(Generator!$A$2:$A$1826,(ROW()-2)*Assumptions!$B$7+MATCH($B$6,Assumptions!$D$5:$D$12,0)),"")</x:f>
        <x:v>46188</x:v>
      </x:c>
      <x:c r="U167" s="11" t="n">
        <x:f>IFERROR(INDEX(Generator!$H$2:$H$1826,(ROW()-2)*Assumptions!$B$7+MATCH($B$6,Assumptions!$D$5:$D$12,0)),"")</x:f>
        <x:v>1152.1860947930018</x:v>
      </x:c>
      <x:c r="V167" s="11" t="n">
        <x:f>IFERROR(INDEX(Generator!$I$2:$I$1826,(ROW()-2)*Assumptions!$B$7+MATCH($B$6,Assumptions!$D$5:$D$12,0)),"")</x:f>
        <x:v>1118.2515498939401</x:v>
      </x:c>
    </x:row>
    <x:row r="168">
      <x:c r="A168" s="27"/>
      <x:c r="B168" s="11"/>
      <x:c r="C168" s="28"/>
      <x:c r="T168" s="10" t="n">
        <x:f>IFERROR(INDEX(Generator!$A$2:$A$1826,(ROW()-2)*Assumptions!$B$7+MATCH($B$6,Assumptions!$D$5:$D$12,0)),"")</x:f>
        <x:v>46189</x:v>
      </x:c>
      <x:c r="U168" s="11" t="n">
        <x:f>IFERROR(INDEX(Generator!$H$2:$H$1826,(ROW()-2)*Assumptions!$B$7+MATCH($B$6,Assumptions!$D$5:$D$12,0)),"")</x:f>
        <x:v>1124.6446278292904</x:v>
      </x:c>
      <x:c r="V168" s="11" t="n">
        <x:f>IFERROR(INDEX(Generator!$I$2:$I$1826,(ROW()-2)*Assumptions!$B$7+MATCH($B$6,Assumptions!$D$5:$D$12,0)),"")</x:f>
        <x:v>1122.347098812144</x:v>
      </x:c>
    </x:row>
    <x:row r="169">
      <x:c r="A169" s="27"/>
      <x:c r="B169" s="11"/>
      <x:c r="C169" s="28"/>
      <x:c r="T169" s="10" t="n">
        <x:f>IFERROR(INDEX(Generator!$A$2:$A$1826,(ROW()-2)*Assumptions!$B$7+MATCH($B$6,Assumptions!$D$5:$D$12,0)),"")</x:f>
        <x:v>46190</x:v>
      </x:c>
      <x:c r="U169" s="11" t="n">
        <x:f>IFERROR(INDEX(Generator!$H$2:$H$1826,(ROW()-2)*Assumptions!$B$7+MATCH($B$6,Assumptions!$D$5:$D$12,0)),"")</x:f>
        <x:v>1136.4935172502348</x:v>
      </x:c>
      <x:c r="V169" s="11" t="n">
        <x:f>IFERROR(INDEX(Generator!$I$2:$I$1826,(ROW()-2)*Assumptions!$B$7+MATCH($B$6,Assumptions!$D$5:$D$12,0)),"")</x:f>
        <x:v>1120.9925082625916</x:v>
      </x:c>
    </x:row>
    <x:row r="170">
      <x:c r="A170" s="27"/>
      <x:c r="B170" s="11"/>
      <x:c r="C170" s="28"/>
      <x:c r="T170" s="10" t="n">
        <x:f>IFERROR(INDEX(Generator!$A$2:$A$1826,(ROW()-2)*Assumptions!$B$7+MATCH($B$6,Assumptions!$D$5:$D$12,0)),"")</x:f>
        <x:v>46191</x:v>
      </x:c>
      <x:c r="U170" s="11" t="n">
        <x:f>IFERROR(INDEX(Generator!$H$2:$H$1826,(ROW()-2)*Assumptions!$B$7+MATCH($B$6,Assumptions!$D$5:$D$12,0)),"")</x:f>
        <x:v>1092.047470732433</x:v>
      </x:c>
      <x:c r="V170" s="11" t="n">
        <x:f>IFERROR(INDEX(Generator!$I$2:$I$1826,(ROW()-2)*Assumptions!$B$7+MATCH($B$6,Assumptions!$D$5:$D$12,0)),"")</x:f>
        <x:v>1111.8814861309093</x:v>
      </x:c>
    </x:row>
    <x:row r="171">
      <x:c r="A171" s="27"/>
      <x:c r="B171" s="11"/>
      <x:c r="C171" s="28"/>
      <x:c r="T171" s="10" t="n">
        <x:f>IFERROR(INDEX(Generator!$A$2:$A$1826,(ROW()-2)*Assumptions!$B$7+MATCH($B$6,Assumptions!$D$5:$D$12,0)),"")</x:f>
        <x:v>46192</x:v>
      </x:c>
      <x:c r="U171" s="11" t="n">
        <x:f>IFERROR(INDEX(Generator!$H$2:$H$1826,(ROW()-2)*Assumptions!$B$7+MATCH($B$6,Assumptions!$D$5:$D$12,0)),"")</x:f>
        <x:v>1170.7958806998358</x:v>
      </x:c>
      <x:c r="V171" s="11" t="n">
        <x:f>IFERROR(INDEX(Generator!$I$2:$I$1826,(ROW()-2)*Assumptions!$B$7+MATCH($B$6,Assumptions!$D$5:$D$12,0)),"")</x:f>
        <x:v>1127.8300864872813</x:v>
      </x:c>
    </x:row>
    <x:row r="172">
      <x:c r="A172" s="27"/>
      <x:c r="B172" s="11"/>
      <x:c r="C172" s="28"/>
      <x:c r="T172" s="10" t="n">
        <x:f>IFERROR(INDEX(Generator!$A$2:$A$1826,(ROW()-2)*Assumptions!$B$7+MATCH($B$6,Assumptions!$D$5:$D$12,0)),"")</x:f>
        <x:v>46193</x:v>
      </x:c>
      <x:c r="U172" s="11" t="n">
        <x:f>IFERROR(INDEX(Generator!$H$2:$H$1826,(ROW()-2)*Assumptions!$B$7+MATCH($B$6,Assumptions!$D$5:$D$12,0)),"")</x:f>
        <x:v>1144.3016218758805</x:v>
      </x:c>
      <x:c r="V172" s="11" t="n">
        <x:f>IFERROR(INDEX(Generator!$I$2:$I$1826,(ROW()-2)*Assumptions!$B$7+MATCH($B$6,Assumptions!$D$5:$D$12,0)),"")</x:f>
        <x:v>1128.3788140349686</x:v>
      </x:c>
    </x:row>
    <x:row r="173">
      <x:c r="A173" s="27"/>
      <x:c r="B173" s="11"/>
      <x:c r="C173" s="28"/>
      <x:c r="T173" s="10" t="n">
        <x:f>IFERROR(INDEX(Generator!$A$2:$A$1826,(ROW()-2)*Assumptions!$B$7+MATCH($B$6,Assumptions!$D$5:$D$12,0)),"")</x:f>
        <x:v>46194</x:v>
      </x:c>
      <x:c r="U173" s="11" t="n">
        <x:f>IFERROR(INDEX(Generator!$H$2:$H$1826,(ROW()-2)*Assumptions!$B$7+MATCH($B$6,Assumptions!$D$5:$D$12,0)),"")</x:f>
        <x:v>1042.311878740083</x:v>
      </x:c>
      <x:c r="V173" s="11" t="n">
        <x:f>IFERROR(INDEX(Generator!$I$2:$I$1826,(ROW()-2)*Assumptions!$B$7+MATCH($B$6,Assumptions!$D$5:$D$12,0)),"")</x:f>
        <x:v>1123.2544417029656</x:v>
      </x:c>
    </x:row>
    <x:row r="174">
      <x:c r="A174" s="27"/>
      <x:c r="B174" s="11"/>
      <x:c r="C174" s="28"/>
      <x:c r="T174" s="10" t="n">
        <x:f>IFERROR(INDEX(Generator!$A$2:$A$1826,(ROW()-2)*Assumptions!$B$7+MATCH($B$6,Assumptions!$D$5:$D$12,0)),"")</x:f>
        <x:v>46195</x:v>
      </x:c>
      <x:c r="U174" s="11" t="n">
        <x:f>IFERROR(INDEX(Generator!$H$2:$H$1826,(ROW()-2)*Assumptions!$B$7+MATCH($B$6,Assumptions!$D$5:$D$12,0)),"")</x:f>
        <x:v>1035.5729101062484</x:v>
      </x:c>
      <x:c r="V174" s="11" t="n">
        <x:f>IFERROR(INDEX(Generator!$I$2:$I$1826,(ROW()-2)*Assumptions!$B$7+MATCH($B$6,Assumptions!$D$5:$D$12,0)),"")</x:f>
        <x:v>1106.5954153191437</x:v>
      </x:c>
    </x:row>
    <x:row r="175">
      <x:c r="A175" s="27"/>
      <x:c r="B175" s="11"/>
      <x:c r="C175" s="28"/>
      <x:c r="T175" s="10" t="n">
        <x:f>IFERROR(INDEX(Generator!$A$2:$A$1826,(ROW()-2)*Assumptions!$B$7+MATCH($B$6,Assumptions!$D$5:$D$12,0)),"")</x:f>
        <x:v>46196</x:v>
      </x:c>
      <x:c r="U175" s="11" t="n">
        <x:f>IFERROR(INDEX(Generator!$H$2:$H$1826,(ROW()-2)*Assumptions!$B$7+MATCH($B$6,Assumptions!$D$5:$D$12,0)),"")</x:f>
        <x:v>1163.6205617117605</x:v>
      </x:c>
      <x:c r="V175" s="11" t="n">
        <x:f>IFERROR(INDEX(Generator!$I$2:$I$1826,(ROW()-2)*Assumptions!$B$7+MATCH($B$6,Assumptions!$D$5:$D$12,0)),"")</x:f>
        <x:v>1112.1634058737823</x:v>
      </x:c>
    </x:row>
    <x:row r="176">
      <x:c r="A176" s="27"/>
      <x:c r="B176" s="11"/>
      <x:c r="C176" s="28"/>
      <x:c r="T176" s="10" t="n">
        <x:f>IFERROR(INDEX(Generator!$A$2:$A$1826,(ROW()-2)*Assumptions!$B$7+MATCH($B$6,Assumptions!$D$5:$D$12,0)),"")</x:f>
        <x:v>46197</x:v>
      </x:c>
      <x:c r="U176" s="11" t="n">
        <x:f>IFERROR(INDEX(Generator!$H$2:$H$1826,(ROW()-2)*Assumptions!$B$7+MATCH($B$6,Assumptions!$D$5:$D$12,0)),"")</x:f>
        <x:v>1118.6343648841466</x:v>
      </x:c>
      <x:c r="V176" s="11" t="n">
        <x:f>IFERROR(INDEX(Generator!$I$2:$I$1826,(ROW()-2)*Assumptions!$B$7+MATCH($B$6,Assumptions!$D$5:$D$12,0)),"")</x:f>
        <x:v>1109.6120983929125</x:v>
      </x:c>
    </x:row>
    <x:row r="177">
      <x:c r="A177" s="27"/>
      <x:c r="B177" s="11"/>
      <x:c r="C177" s="28"/>
      <x:c r="T177" s="10" t="n">
        <x:f>IFERROR(INDEX(Generator!$A$2:$A$1826,(ROW()-2)*Assumptions!$B$7+MATCH($B$6,Assumptions!$D$5:$D$12,0)),"")</x:f>
        <x:v>46198</x:v>
      </x:c>
      <x:c r="U177" s="11" t="n">
        <x:f>IFERROR(INDEX(Generator!$H$2:$H$1826,(ROW()-2)*Assumptions!$B$7+MATCH($B$6,Assumptions!$D$5:$D$12,0)),"")</x:f>
        <x:v>1147.4198066837396</x:v>
      </x:c>
      <x:c r="V177" s="11" t="n">
        <x:f>IFERROR(INDEX(Generator!$I$2:$I$1826,(ROW()-2)*Assumptions!$B$7+MATCH($B$6,Assumptions!$D$5:$D$12,0)),"")</x:f>
        <x:v>1117.5224321002422</x:v>
      </x:c>
    </x:row>
    <x:row r="178">
      <x:c r="A178" s="27"/>
      <x:c r="B178" s="11"/>
      <x:c r="C178" s="28"/>
      <x:c r="T178" s="10" t="n">
        <x:f>IFERROR(INDEX(Generator!$A$2:$A$1826,(ROW()-2)*Assumptions!$B$7+MATCH($B$6,Assumptions!$D$5:$D$12,0)),"")</x:f>
        <x:v>46199</x:v>
      </x:c>
      <x:c r="U178" s="11" t="n">
        <x:f>IFERROR(INDEX(Generator!$H$2:$H$1826,(ROW()-2)*Assumptions!$B$7+MATCH($B$6,Assumptions!$D$5:$D$12,0)),"")</x:f>
        <x:v>1099.037290615233</x:v>
      </x:c>
      <x:c r="V178" s="11" t="n">
        <x:f>IFERROR(INDEX(Generator!$I$2:$I$1826,(ROW()-2)*Assumptions!$B$7+MATCH($B$6,Assumptions!$D$5:$D$12,0)),"")</x:f>
        <x:v>1107.2712049452987</x:v>
      </x:c>
    </x:row>
    <x:row r="179">
      <x:c r="A179" s="27"/>
      <x:c r="B179" s="11"/>
      <x:c r="C179" s="28"/>
      <x:c r="T179" s="10" t="n">
        <x:f>IFERROR(INDEX(Generator!$A$2:$A$1826,(ROW()-2)*Assumptions!$B$7+MATCH($B$6,Assumptions!$D$5:$D$12,0)),"")</x:f>
        <x:v>46200</x:v>
      </x:c>
      <x:c r="U179" s="11" t="n">
        <x:f>IFERROR(INDEX(Generator!$H$2:$H$1826,(ROW()-2)*Assumptions!$B$7+MATCH($B$6,Assumptions!$D$5:$D$12,0)),"")</x:f>
        <x:v>1120.2575203309095</x:v>
      </x:c>
      <x:c r="V179" s="11" t="n">
        <x:f>IFERROR(INDEX(Generator!$I$2:$I$1826,(ROW()-2)*Assumptions!$B$7+MATCH($B$6,Assumptions!$D$5:$D$12,0)),"")</x:f>
        <x:v>1103.8363332960173</x:v>
      </x:c>
    </x:row>
    <x:row r="180">
      <x:c r="A180" s="27"/>
      <x:c r="B180" s="11"/>
      <x:c r="C180" s="28"/>
      <x:c r="T180" s="10" t="n">
        <x:f>IFERROR(INDEX(Generator!$A$2:$A$1826,(ROW()-2)*Assumptions!$B$7+MATCH($B$6,Assumptions!$D$5:$D$12,0)),"")</x:f>
        <x:v>46201</x:v>
      </x:c>
      <x:c r="U180" s="11" t="n">
        <x:f>IFERROR(INDEX(Generator!$H$2:$H$1826,(ROW()-2)*Assumptions!$B$7+MATCH($B$6,Assumptions!$D$5:$D$12,0)),"")</x:f>
        <x:v>1101.2993600558957</x:v>
      </x:c>
      <x:c r="V180" s="11" t="n">
        <x:f>IFERROR(INDEX(Generator!$I$2:$I$1826,(ROW()-2)*Assumptions!$B$7+MATCH($B$6,Assumptions!$D$5:$D$12,0)),"")</x:f>
        <x:v>1112.2631163411334</x:v>
      </x:c>
    </x:row>
    <x:row r="181">
      <x:c r="A181" s="27"/>
      <x:c r="B181" s="11"/>
      <x:c r="C181" s="28"/>
      <x:c r="T181" s="10" t="n">
        <x:f>IFERROR(INDEX(Generator!$A$2:$A$1826,(ROW()-2)*Assumptions!$B$7+MATCH($B$6,Assumptions!$D$5:$D$12,0)),"")</x:f>
        <x:v>46202</x:v>
      </x:c>
      <x:c r="U181" s="11" t="n">
        <x:f>IFERROR(INDEX(Generator!$H$2:$H$1826,(ROW()-2)*Assumptions!$B$7+MATCH($B$6,Assumptions!$D$5:$D$12,0)),"")</x:f>
        <x:v>1182.118565457255</x:v>
      </x:c>
      <x:c r="V181" s="11" t="n">
        <x:f>IFERROR(INDEX(Generator!$I$2:$I$1826,(ROW()-2)*Assumptions!$B$7+MATCH($B$6,Assumptions!$D$5:$D$12,0)),"")</x:f>
        <x:v>1133.1982099627055</x:v>
      </x:c>
    </x:row>
    <x:row r="182">
      <x:c r="A182" s="27"/>
      <x:c r="B182" s="11"/>
      <x:c r="C182" s="28"/>
      <x:c r="T182" s="10" t="n">
        <x:f>IFERROR(INDEX(Generator!$A$2:$A$1826,(ROW()-2)*Assumptions!$B$7+MATCH($B$6,Assumptions!$D$5:$D$12,0)),"")</x:f>
        <x:v>46203</x:v>
      </x:c>
      <x:c r="U182" s="11" t="n">
        <x:f>IFERROR(INDEX(Generator!$H$2:$H$1826,(ROW()-2)*Assumptions!$B$7+MATCH($B$6,Assumptions!$D$5:$D$12,0)),"")</x:f>
        <x:v>1148.1176430919722</x:v>
      </x:c>
      <x:c r="V182" s="11" t="n">
        <x:f>IFERROR(INDEX(Generator!$I$2:$I$1826,(ROW()-2)*Assumptions!$B$7+MATCH($B$6,Assumptions!$D$5:$D$12,0)),"")</x:f>
        <x:v>1130.983507302736</x:v>
      </x:c>
    </x:row>
    <x:row r="183">
      <x:c r="A183" s="27"/>
      <x:c r="B183" s="11"/>
      <x:c r="C183" s="28"/>
      <x:c r="T183" s="10" t="n">
        <x:f>IFERROR(INDEX(Generator!$A$2:$A$1826,(ROW()-2)*Assumptions!$B$7+MATCH($B$6,Assumptions!$D$5:$D$12,0)),"")</x:f>
        <x:v>46204</x:v>
      </x:c>
      <x:c r="U183" s="11" t="n">
        <x:f>IFERROR(INDEX(Generator!$H$2:$H$1826,(ROW()-2)*Assumptions!$B$7+MATCH($B$6,Assumptions!$D$5:$D$12,0)),"")</x:f>
        <x:v>1120.3697682068712</x:v>
      </x:c>
      <x:c r="V183" s="11" t="n">
        <x:f>IFERROR(INDEX(Generator!$I$2:$I$1826,(ROW()-2)*Assumptions!$B$7+MATCH($B$6,Assumptions!$D$5:$D$12,0)),"")</x:f>
        <x:v>1131.2314220631254</x:v>
      </x:c>
    </x:row>
    <x:row r="184">
      <x:c r="A184" s="27"/>
      <x:c r="B184" s="11"/>
      <x:c r="C184" s="28"/>
      <x:c r="T184" s="10" t="n">
        <x:f>IFERROR(INDEX(Generator!$A$2:$A$1826,(ROW()-2)*Assumptions!$B$7+MATCH($B$6,Assumptions!$D$5:$D$12,0)),"")</x:f>
        <x:v>46205</x:v>
      </x:c>
      <x:c r="U184" s="11" t="n">
        <x:f>IFERROR(INDEX(Generator!$H$2:$H$1826,(ROW()-2)*Assumptions!$B$7+MATCH($B$6,Assumptions!$D$5:$D$12,0)),"")</x:f>
        <x:v>1146.1028462215877</x:v>
      </x:c>
      <x:c r="V184" s="11" t="n">
        <x:f>IFERROR(INDEX(Generator!$I$2:$I$1826,(ROW()-2)*Assumptions!$B$7+MATCH($B$6,Assumptions!$D$5:$D$12,0)),"")</x:f>
        <x:v>1131.0432848542462</x:v>
      </x:c>
    </x:row>
    <x:row r="185">
      <x:c r="A185" s="27"/>
      <x:c r="B185" s="11"/>
      <x:c r="C185" s="28"/>
      <x:c r="T185" s="10" t="n">
        <x:f>IFERROR(INDEX(Generator!$A$2:$A$1826,(ROW()-2)*Assumptions!$B$7+MATCH($B$6,Assumptions!$D$5:$D$12,0)),"")</x:f>
        <x:v>46206</x:v>
      </x:c>
      <x:c r="U185" s="11" t="n">
        <x:f>IFERROR(INDEX(Generator!$H$2:$H$1826,(ROW()-2)*Assumptions!$B$7+MATCH($B$6,Assumptions!$D$5:$D$12,0)),"")</x:f>
        <x:v>1073.2264451555711</x:v>
      </x:c>
      <x:c r="V185" s="11" t="n">
        <x:f>IFERROR(INDEX(Generator!$I$2:$I$1826,(ROW()-2)*Assumptions!$B$7+MATCH($B$6,Assumptions!$D$5:$D$12,0)),"")</x:f>
        <x:v>1127.3560212171517</x:v>
      </x:c>
    </x:row>
    <x:row r="186">
      <x:c r="A186" s="27"/>
      <x:c r="B186" s="11"/>
      <x:c r="C186" s="28"/>
      <x:c r="T186" s="10" t="n">
        <x:f>IFERROR(INDEX(Generator!$A$2:$A$1826,(ROW()-2)*Assumptions!$B$7+MATCH($B$6,Assumptions!$D$5:$D$12,0)),"")</x:f>
        <x:v>46207</x:v>
      </x:c>
      <x:c r="U186" s="11" t="n">
        <x:f>IFERROR(INDEX(Generator!$H$2:$H$1826,(ROW()-2)*Assumptions!$B$7+MATCH($B$6,Assumptions!$D$5:$D$12,0)),"")</x:f>
        <x:v>1121.8813565986497</x:v>
      </x:c>
      <x:c r="V186" s="11" t="n">
        <x:f>IFERROR(INDEX(Generator!$I$2:$I$1826,(ROW()-2)*Assumptions!$B$7+MATCH($B$6,Assumptions!$D$5:$D$12,0)),"")</x:f>
        <x:v>1127.587997826829</x:v>
      </x:c>
    </x:row>
    <x:row r="187">
      <x:c r="A187" s="27"/>
      <x:c r="B187" s="11"/>
      <x:c r="C187" s="28"/>
      <x:c r="T187" s="10" t="n">
        <x:f>IFERROR(INDEX(Generator!$A$2:$A$1826,(ROW()-2)*Assumptions!$B$7+MATCH($B$6,Assumptions!$D$5:$D$12,0)),"")</x:f>
        <x:v>46208</x:v>
      </x:c>
      <x:c r="U187" s="11" t="n">
        <x:f>IFERROR(INDEX(Generator!$H$2:$H$1826,(ROW()-2)*Assumptions!$B$7+MATCH($B$6,Assumptions!$D$5:$D$12,0)),"")</x:f>
        <x:v>1149.65212142965</x:v>
      </x:c>
      <x:c r="V187" s="11" t="n">
        <x:f>IFERROR(INDEX(Generator!$I$2:$I$1826,(ROW()-2)*Assumptions!$B$7+MATCH($B$6,Assumptions!$D$5:$D$12,0)),"")</x:f>
        <x:v>1134.4955351659369</x:v>
      </x:c>
    </x:row>
    <x:row r="188">
      <x:c r="A188" s="27"/>
      <x:c r="B188" s="11"/>
      <x:c r="C188" s="28"/>
      <x:c r="T188" s="10" t="n">
        <x:f>IFERROR(INDEX(Generator!$A$2:$A$1826,(ROW()-2)*Assumptions!$B$7+MATCH($B$6,Assumptions!$D$5:$D$12,0)),"")</x:f>
        <x:v>46209</x:v>
      </x:c>
      <x:c r="U188" s="11" t="n">
        <x:f>IFERROR(INDEX(Generator!$H$2:$H$1826,(ROW()-2)*Assumptions!$B$7+MATCH($B$6,Assumptions!$D$5:$D$12,0)),"")</x:f>
        <x:v>1193.567400525678</x:v>
      </x:c>
      <x:c r="V188" s="11" t="n">
        <x:f>IFERROR(INDEX(Generator!$I$2:$I$1826,(ROW()-2)*Assumptions!$B$7+MATCH($B$6,Assumptions!$D$5:$D$12,0)),"")</x:f>
        <x:v>1136.1310830328543</x:v>
      </x:c>
    </x:row>
    <x:row r="189">
      <x:c r="A189" s="27"/>
      <x:c r="B189" s="11"/>
      <x:c r="C189" s="28"/>
      <x:c r="T189" s="10" t="n">
        <x:f>IFERROR(INDEX(Generator!$A$2:$A$1826,(ROW()-2)*Assumptions!$B$7+MATCH($B$6,Assumptions!$D$5:$D$12,0)),"")</x:f>
        <x:v>46210</x:v>
      </x:c>
      <x:c r="U189" s="11" t="n">
        <x:f>IFERROR(INDEX(Generator!$H$2:$H$1826,(ROW()-2)*Assumptions!$B$7+MATCH($B$6,Assumptions!$D$5:$D$12,0)),"")</x:f>
        <x:v>1104.7923407757992</x:v>
      </x:c>
      <x:c r="V189" s="11" t="n">
        <x:f>IFERROR(INDEX(Generator!$I$2:$I$1826,(ROW()-2)*Assumptions!$B$7+MATCH($B$6,Assumptions!$D$5:$D$12,0)),"")</x:f>
        <x:v>1129.9417541305438</x:v>
      </x:c>
    </x:row>
    <x:row r="190">
      <x:c r="A190" s="27"/>
      <x:c r="B190" s="11"/>
      <x:c r="C190" s="28"/>
      <x:c r="T190" s="10" t="n">
        <x:f>IFERROR(INDEX(Generator!$A$2:$A$1826,(ROW()-2)*Assumptions!$B$7+MATCH($B$6,Assumptions!$D$5:$D$12,0)),"")</x:f>
        <x:v>46211</x:v>
      </x:c>
      <x:c r="U190" s="11" t="n">
        <x:f>IFERROR(INDEX(Generator!$H$2:$H$1826,(ROW()-2)*Assumptions!$B$7+MATCH($B$6,Assumptions!$D$5:$D$12,0)),"")</x:f>
        <x:v>1086.0848405375637</x:v>
      </x:c>
      <x:c r="V190" s="11" t="n">
        <x:f>IFERROR(INDEX(Generator!$I$2:$I$1826,(ROW()-2)*Assumptions!$B$7+MATCH($B$6,Assumptions!$D$5:$D$12,0)),"")</x:f>
        <x:v>1125.0439073206428</x:v>
      </x:c>
    </x:row>
    <x:row r="191">
      <x:c r="A191" s="27"/>
      <x:c r="B191" s="11"/>
      <x:c r="C191" s="28"/>
      <x:c r="T191" s="10" t="n">
        <x:f>IFERROR(INDEX(Generator!$A$2:$A$1826,(ROW()-2)*Assumptions!$B$7+MATCH($B$6,Assumptions!$D$5:$D$12,0)),"")</x:f>
        <x:v>46212</x:v>
      </x:c>
      <x:c r="U191" s="11" t="n">
        <x:f>IFERROR(INDEX(Generator!$H$2:$H$1826,(ROW()-2)*Assumptions!$B$7+MATCH($B$6,Assumptions!$D$5:$D$12,0)),"")</x:f>
        <x:v>1116.3614664867819</x:v>
      </x:c>
      <x:c r="V191" s="11" t="n">
        <x:f>IFERROR(INDEX(Generator!$I$2:$I$1826,(ROW()-2)*Assumptions!$B$7+MATCH($B$6,Assumptions!$D$5:$D$12,0)),"")</x:f>
        <x:v>1120.7951387870992</x:v>
      </x:c>
    </x:row>
    <x:row r="192">
      <x:c r="A192" s="27"/>
      <x:c r="B192" s="11"/>
      <x:c r="C192" s="28"/>
      <x:c r="T192" s="10" t="n">
        <x:f>IFERROR(INDEX(Generator!$A$2:$A$1826,(ROW()-2)*Assumptions!$B$7+MATCH($B$6,Assumptions!$D$5:$D$12,0)),"")</x:f>
        <x:v>46213</x:v>
      </x:c>
      <x:c r="U192" s="11" t="n">
        <x:f>IFERROR(INDEX(Generator!$H$2:$H$1826,(ROW()-2)*Assumptions!$B$7+MATCH($B$6,Assumptions!$D$5:$D$12,0)),"")</x:f>
        <x:v>1145.6304999241784</x:v>
      </x:c>
      <x:c r="V192" s="11" t="n">
        <x:f>IFERROR(INDEX(Generator!$I$2:$I$1826,(ROW()-2)*Assumptions!$B$7+MATCH($B$6,Assumptions!$D$5:$D$12,0)),"")</x:f>
        <x:v>1131.1385751826144</x:v>
      </x:c>
    </x:row>
    <x:row r="193">
      <x:c r="A193" s="27"/>
      <x:c r="B193" s="11"/>
      <x:c r="C193" s="28"/>
      <x:c r="T193" s="10" t="n">
        <x:f>IFERROR(INDEX(Generator!$A$2:$A$1826,(ROW()-2)*Assumptions!$B$7+MATCH($B$6,Assumptions!$D$5:$D$12,0)),"")</x:f>
        <x:v>46214</x:v>
      </x:c>
      <x:c r="U193" s="11" t="n">
        <x:f>IFERROR(INDEX(Generator!$H$2:$H$1826,(ROW()-2)*Assumptions!$B$7+MATCH($B$6,Assumptions!$D$5:$D$12,0)),"")</x:f>
        <x:v>1067.6998721024195</x:v>
      </x:c>
      <x:c r="V193" s="11" t="n">
        <x:f>IFERROR(INDEX(Generator!$I$2:$I$1826,(ROW()-2)*Assumptions!$B$7+MATCH($B$6,Assumptions!$D$5:$D$12,0)),"")</x:f>
        <x:v>1123.3983631117242</x:v>
      </x:c>
    </x:row>
    <x:row r="194">
      <x:c r="A194" s="27"/>
      <x:c r="B194" s="11"/>
      <x:c r="C194" s="28"/>
      <x:c r="T194" s="10" t="n">
        <x:f>IFERROR(INDEX(Generator!$A$2:$A$1826,(ROW()-2)*Assumptions!$B$7+MATCH($B$6,Assumptions!$D$5:$D$12,0)),"")</x:f>
        <x:v>46215</x:v>
      </x:c>
      <x:c r="U194" s="11" t="n">
        <x:f>IFERROR(INDEX(Generator!$H$2:$H$1826,(ROW()-2)*Assumptions!$B$7+MATCH($B$6,Assumptions!$D$5:$D$12,0)),"")</x:f>
        <x:v>1137.7367186319336</x:v>
      </x:c>
      <x:c r="V194" s="11" t="n">
        <x:f>IFERROR(INDEX(Generator!$I$2:$I$1826,(ROW()-2)*Assumptions!$B$7+MATCH($B$6,Assumptions!$D$5:$D$12,0)),"")</x:f>
        <x:v>1121.6961627120504</x:v>
      </x:c>
    </x:row>
    <x:row r="195">
      <x:c r="A195" s="27"/>
      <x:c r="B195" s="11"/>
      <x:c r="C195" s="28"/>
      <x:c r="T195" s="10" t="n">
        <x:f>IFERROR(INDEX(Generator!$A$2:$A$1826,(ROW()-2)*Assumptions!$B$7+MATCH($B$6,Assumptions!$D$5:$D$12,0)),"")</x:f>
        <x:v>46216</x:v>
      </x:c>
      <x:c r="U195" s="11" t="n">
        <x:f>IFERROR(INDEX(Generator!$H$2:$H$1826,(ROW()-2)*Assumptions!$B$7+MATCH($B$6,Assumptions!$D$5:$D$12,0)),"")</x:f>
        <x:v>1122.5925921886324</x:v>
      </x:c>
      <x:c r="V195" s="11" t="n">
        <x:f>IFERROR(INDEX(Generator!$I$2:$I$1826,(ROW()-2)*Assumptions!$B$7+MATCH($B$6,Assumptions!$D$5:$D$12,0)),"")</x:f>
        <x:v>1111.5569043781868</x:v>
      </x:c>
    </x:row>
    <x:row r="196">
      <x:c r="A196" s="27"/>
      <x:c r="B196" s="11"/>
      <x:c r="C196" s="28"/>
      <x:c r="T196" s="10" t="n">
        <x:f>IFERROR(INDEX(Generator!$A$2:$A$1826,(ROW()-2)*Assumptions!$B$7+MATCH($B$6,Assumptions!$D$5:$D$12,0)),"")</x:f>
        <x:v>46217</x:v>
      </x:c>
      <x:c r="U196" s="11" t="n">
        <x:f>IFERROR(INDEX(Generator!$H$2:$H$1826,(ROW()-2)*Assumptions!$B$7+MATCH($B$6,Assumptions!$D$5:$D$12,0)),"")</x:f>
        <x:v>1151.4912789561856</x:v>
      </x:c>
      <x:c r="V196" s="11" t="n">
        <x:f>IFERROR(INDEX(Generator!$I$2:$I$1826,(ROW()-2)*Assumptions!$B$7+MATCH($B$6,Assumptions!$D$5:$D$12,0)),"")</x:f>
        <x:v>1118.2281812610993</x:v>
      </x:c>
    </x:row>
    <x:row r="197">
      <x:c r="A197" s="27"/>
      <x:c r="B197" s="11"/>
      <x:c r="C197" s="28"/>
      <x:c r="T197" s="10" t="n">
        <x:f>IFERROR(INDEX(Generator!$A$2:$A$1826,(ROW()-2)*Assumptions!$B$7+MATCH($B$6,Assumptions!$D$5:$D$12,0)),"")</x:f>
        <x:v>46218</x:v>
      </x:c>
      <x:c r="U197" s="11" t="n">
        <x:f>IFERROR(INDEX(Generator!$H$2:$H$1826,(ROW()-2)*Assumptions!$B$7+MATCH($B$6,Assumptions!$D$5:$D$12,0)),"")</x:f>
        <x:v>1074.556784857486</x:v>
      </x:c>
      <x:c r="V197" s="11" t="n">
        <x:f>IFERROR(INDEX(Generator!$I$2:$I$1826,(ROW()-2)*Assumptions!$B$7+MATCH($B$6,Assumptions!$D$5:$D$12,0)),"")</x:f>
        <x:v>1116.5813161639453</x:v>
      </x:c>
    </x:row>
    <x:row r="198">
      <x:c r="A198" s="27"/>
      <x:c r="B198" s="11"/>
      <x:c r="C198" s="28"/>
      <x:c r="T198" s="10" t="n">
        <x:f>IFERROR(INDEX(Generator!$A$2:$A$1826,(ROW()-2)*Assumptions!$B$7+MATCH($B$6,Assumptions!$D$5:$D$12,0)),"")</x:f>
        <x:v>46219</x:v>
      </x:c>
      <x:c r="U198" s="11" t="n">
        <x:f>IFERROR(INDEX(Generator!$H$2:$H$1826,(ROW()-2)*Assumptions!$B$7+MATCH($B$6,Assumptions!$D$5:$D$12,0)),"")</x:f>
        <x:v>1139.6425631510647</x:v>
      </x:c>
      <x:c r="V198" s="11" t="n">
        <x:f>IFERROR(INDEX(Generator!$I$2:$I$1826,(ROW()-2)*Assumptions!$B$7+MATCH($B$6,Assumptions!$D$5:$D$12,0)),"")</x:f>
        <x:v>1119.9071871159856</x:v>
      </x:c>
    </x:row>
    <x:row r="199">
      <x:c r="A199" s="27"/>
      <x:c r="B199" s="11"/>
      <x:c r="C199" s="28"/>
      <x:c r="T199" s="10" t="n">
        <x:f>IFERROR(INDEX(Generator!$A$2:$A$1826,(ROW()-2)*Assumptions!$B$7+MATCH($B$6,Assumptions!$D$5:$D$12,0)),"")</x:f>
        <x:v>46220</x:v>
      </x:c>
      <x:c r="U199" s="11" t="n">
        <x:f>IFERROR(INDEX(Generator!$H$2:$H$1826,(ROW()-2)*Assumptions!$B$7+MATCH($B$6,Assumptions!$D$5:$D$12,0)),"")</x:f>
        <x:v>1140.376050736952</x:v>
      </x:c>
      <x:c r="V199" s="11" t="n">
        <x:f>IFERROR(INDEX(Generator!$I$2:$I$1826,(ROW()-2)*Assumptions!$B$7+MATCH($B$6,Assumptions!$D$5:$D$12,0)),"")</x:f>
        <x:v>1119.1565515178104</x:v>
      </x:c>
    </x:row>
    <x:row r="200">
      <x:c r="A200" s="27"/>
      <x:c r="B200" s="11"/>
      <x:c r="C200" s="28"/>
      <x:c r="T200" s="10" t="n">
        <x:f>IFERROR(INDEX(Generator!$A$2:$A$1826,(ROW()-2)*Assumptions!$B$7+MATCH($B$6,Assumptions!$D$5:$D$12,0)),"")</x:f>
        <x:v>46221</x:v>
      </x:c>
      <x:c r="U200" s="11" t="n">
        <x:f>IFERROR(INDEX(Generator!$H$2:$H$1826,(ROW()-2)*Assumptions!$B$7+MATCH($B$6,Assumptions!$D$5:$D$12,0)),"")</x:f>
        <x:v>1135.8771863361378</x:v>
      </x:c>
      <x:c r="V200" s="11" t="n">
        <x:f>IFERROR(INDEX(Generator!$I$2:$I$1826,(ROW()-2)*Assumptions!$B$7+MATCH($B$6,Assumptions!$D$5:$D$12,0)),"")</x:f>
        <x:v>1128.896167836913</x:v>
      </x:c>
    </x:row>
    <x:row r="201">
      <x:c r="A201" s="27"/>
      <x:c r="B201" s="11"/>
      <x:c r="C201" s="28"/>
      <x:c r="T201" s="10" t="n">
        <x:f>IFERROR(INDEX(Generator!$A$2:$A$1826,(ROW()-2)*Assumptions!$B$7+MATCH($B$6,Assumptions!$D$5:$D$12,0)),"")</x:f>
        <x:v>46222</x:v>
      </x:c>
      <x:c r="U201" s="11" t="n">
        <x:f>IFERROR(INDEX(Generator!$H$2:$H$1826,(ROW()-2)*Assumptions!$B$7+MATCH($B$6,Assumptions!$D$5:$D$12,0)),"")</x:f>
        <x:v>1041.8641517479655</x:v>
      </x:c>
      <x:c r="V201" s="11" t="n">
        <x:f>IFERROR(INDEX(Generator!$I$2:$I$1826,(ROW()-2)*Assumptions!$B$7+MATCH($B$6,Assumptions!$D$5:$D$12,0)),"")</x:f>
        <x:v>1115.2000868534892</x:v>
      </x:c>
    </x:row>
    <x:row r="202">
      <x:c r="A202" s="27"/>
      <x:c r="B202" s="11"/>
      <x:c r="C202" s="28"/>
      <x:c r="T202" s="10" t="n">
        <x:f>IFERROR(INDEX(Generator!$A$2:$A$1826,(ROW()-2)*Assumptions!$B$7+MATCH($B$6,Assumptions!$D$5:$D$12,0)),"")</x:f>
        <x:v>46223</x:v>
      </x:c>
      <x:c r="U202" s="11" t="n">
        <x:f>IFERROR(INDEX(Generator!$H$2:$H$1826,(ROW()-2)*Assumptions!$B$7+MATCH($B$6,Assumptions!$D$5:$D$12,0)),"")</x:f>
        <x:v>1054.6137845530084</x:v>
      </x:c>
      <x:c r="V202" s="11" t="n">
        <x:f>IFERROR(INDEX(Generator!$I$2:$I$1826,(ROW()-2)*Assumptions!$B$7+MATCH($B$6,Assumptions!$D$5:$D$12,0)),"")</x:f>
        <x:v>1105.4888286198288</x:v>
      </x:c>
    </x:row>
    <x:row r="203">
      <x:c r="A203" s="27"/>
      <x:c r="B203" s="11"/>
      <x:c r="C203" s="28"/>
      <x:c r="T203" s="10" t="n">
        <x:f>IFERROR(INDEX(Generator!$A$2:$A$1826,(ROW()-2)*Assumptions!$B$7+MATCH($B$6,Assumptions!$D$5:$D$12,0)),"")</x:f>
        <x:v>46224</x:v>
      </x:c>
      <x:c r="U203" s="11" t="n">
        <x:f>IFERROR(INDEX(Generator!$H$2:$H$1826,(ROW()-2)*Assumptions!$B$7+MATCH($B$6,Assumptions!$D$5:$D$12,0)),"")</x:f>
        <x:v>1080.6939168542847</x:v>
      </x:c>
      <x:c r="V203" s="11" t="n">
        <x:f>IFERROR(INDEX(Generator!$I$2:$I$1826,(ROW()-2)*Assumptions!$B$7+MATCH($B$6,Assumptions!$D$5:$D$12,0)),"")</x:f>
        <x:v>1095.3749197481286</x:v>
      </x:c>
    </x:row>
    <x:row r="204">
      <x:c r="A204" s="27"/>
      <x:c r="B204" s="11"/>
      <x:c r="C204" s="28"/>
      <x:c r="T204" s="10" t="n">
        <x:f>IFERROR(INDEX(Generator!$A$2:$A$1826,(ROW()-2)*Assumptions!$B$7+MATCH($B$6,Assumptions!$D$5:$D$12,0)),"")</x:f>
        <x:v>46225</x:v>
      </x:c>
      <x:c r="U204" s="11" t="n">
        <x:f>IFERROR(INDEX(Generator!$H$2:$H$1826,(ROW()-2)*Assumptions!$B$7+MATCH($B$6,Assumptions!$D$5:$D$12,0)),"")</x:f>
        <x:v>1023.9032488298039</x:v>
      </x:c>
      <x:c r="V204" s="11" t="n">
        <x:f>IFERROR(INDEX(Generator!$I$2:$I$1826,(ROW()-2)*Assumptions!$B$7+MATCH($B$6,Assumptions!$D$5:$D$12,0)),"")</x:f>
        <x:v>1088.1387003156026</x:v>
      </x:c>
    </x:row>
    <x:row r="205">
      <x:c r="A205" s="27"/>
      <x:c r="B205" s="11"/>
      <x:c r="C205" s="28"/>
      <x:c r="T205" s="10" t="n">
        <x:f>IFERROR(INDEX(Generator!$A$2:$A$1826,(ROW()-2)*Assumptions!$B$7+MATCH($B$6,Assumptions!$D$5:$D$12,0)),"")</x:f>
        <x:v>46226</x:v>
      </x:c>
      <x:c r="U205" s="11" t="n">
        <x:f>IFERROR(INDEX(Generator!$H$2:$H$1826,(ROW()-2)*Assumptions!$B$7+MATCH($B$6,Assumptions!$D$5:$D$12,0)),"")</x:f>
        <x:v>1074.6727632413174</x:v>
      </x:c>
      <x:c r="V205" s="11" t="n">
        <x:f>IFERROR(INDEX(Generator!$I$2:$I$1826,(ROW()-2)*Assumptions!$B$7+MATCH($B$6,Assumptions!$D$5:$D$12,0)),"")</x:f>
        <x:v>1078.8573003284957</x:v>
      </x:c>
    </x:row>
    <x:row r="206">
      <x:c r="A206" s="27"/>
      <x:c r="B206" s="11"/>
      <x:c r="C206" s="28"/>
      <x:c r="T206" s="10" t="n">
        <x:f>IFERROR(INDEX(Generator!$A$2:$A$1826,(ROW()-2)*Assumptions!$B$7+MATCH($B$6,Assumptions!$D$5:$D$12,0)),"")</x:f>
        <x:v>46227</x:v>
      </x:c>
      <x:c r="U206" s="11" t="n">
        <x:f>IFERROR(INDEX(Generator!$H$2:$H$1826,(ROW()-2)*Assumptions!$B$7+MATCH($B$6,Assumptions!$D$5:$D$12,0)),"")</x:f>
        <x:v>1111.4795129760269</x:v>
      </x:c>
      <x:c r="V206" s="11" t="n">
        <x:f>IFERROR(INDEX(Generator!$I$2:$I$1826,(ROW()-2)*Assumptions!$B$7+MATCH($B$6,Assumptions!$D$5:$D$12,0)),"")</x:f>
        <x:v>1074.7292235055063</x:v>
      </x:c>
    </x:row>
    <x:row r="207">
      <x:c r="A207" s="27"/>
      <x:c r="B207" s="11"/>
      <x:c r="C207" s="28"/>
      <x:c r="T207" s="10" t="n">
        <x:f>IFERROR(INDEX(Generator!$A$2:$A$1826,(ROW()-2)*Assumptions!$B$7+MATCH($B$6,Assumptions!$D$5:$D$12,0)),"")</x:f>
        <x:v>46228</x:v>
      </x:c>
      <x:c r="U207" s="11" t="n">
        <x:f>IFERROR(INDEX(Generator!$H$2:$H$1826,(ROW()-2)*Assumptions!$B$7+MATCH($B$6,Assumptions!$D$5:$D$12,0)),"")</x:f>
        <x:v>1037.67834070235</x:v>
      </x:c>
      <x:c r="V207" s="11" t="n">
        <x:f>IFERROR(INDEX(Generator!$I$2:$I$1826,(ROW()-2)*Assumptions!$B$7+MATCH($B$6,Assumptions!$D$5:$D$12,0)),"")</x:f>
        <x:v>1060.7008169863939</x:v>
      </x:c>
    </x:row>
    <x:row r="208">
      <x:c r="A208" s="27"/>
      <x:c r="B208" s="11"/>
      <x:c r="C208" s="28"/>
      <x:c r="T208" s="10" t="n">
        <x:f>IFERROR(INDEX(Generator!$A$2:$A$1826,(ROW()-2)*Assumptions!$B$7+MATCH($B$6,Assumptions!$D$5:$D$12,0)),"")</x:f>
        <x:v>46229</x:v>
      </x:c>
      <x:c r="U208" s="11" t="n">
        <x:f>IFERROR(INDEX(Generator!$H$2:$H$1826,(ROW()-2)*Assumptions!$B$7+MATCH($B$6,Assumptions!$D$5:$D$12,0)),"")</x:f>
        <x:v>1100.3716025364995</x:v>
      </x:c>
      <x:c r="V208" s="11" t="n">
        <x:f>IFERROR(INDEX(Generator!$I$2:$I$1826,(ROW()-2)*Assumptions!$B$7+MATCH($B$6,Assumptions!$D$5:$D$12,0)),"")</x:f>
        <x:v>1069.0590242418987</x:v>
      </x:c>
    </x:row>
    <x:row r="209">
      <x:c r="A209" s="27"/>
      <x:c r="B209" s="11"/>
      <x:c r="C209" s="28"/>
      <x:c r="T209" s="10" t="n">
        <x:f>IFERROR(INDEX(Generator!$A$2:$A$1826,(ROW()-2)*Assumptions!$B$7+MATCH($B$6,Assumptions!$D$5:$D$12,0)),"")</x:f>
        <x:v>46230</x:v>
      </x:c>
      <x:c r="U209" s="11" t="n">
        <x:f>IFERROR(INDEX(Generator!$H$2:$H$1826,(ROW()-2)*Assumptions!$B$7+MATCH($B$6,Assumptions!$D$5:$D$12,0)),"")</x:f>
        <x:v>1133.035134976927</x:v>
      </x:c>
      <x:c r="V209" s="11" t="n">
        <x:f>IFERROR(INDEX(Generator!$I$2:$I$1826,(ROW()-2)*Assumptions!$B$7+MATCH($B$6,Assumptions!$D$5:$D$12,0)),"")</x:f>
        <x:v>1080.2620743024586</x:v>
      </x:c>
    </x:row>
    <x:row r="210">
      <x:c r="A210" s="27"/>
      <x:c r="B210" s="11"/>
      <x:c r="C210" s="28"/>
      <x:c r="T210" s="10" t="n">
        <x:f>IFERROR(INDEX(Generator!$A$2:$A$1826,(ROW()-2)*Assumptions!$B$7+MATCH($B$6,Assumptions!$D$5:$D$12,0)),"")</x:f>
        <x:v>46231</x:v>
      </x:c>
      <x:c r="U210" s="11" t="n">
        <x:f>IFERROR(INDEX(Generator!$H$2:$H$1826,(ROW()-2)*Assumptions!$B$7+MATCH($B$6,Assumptions!$D$5:$D$12,0)),"")</x:f>
        <x:v>1174.9752061943711</x:v>
      </x:c>
      <x:c r="V210" s="11" t="n">
        <x:f>IFERROR(INDEX(Generator!$I$2:$I$1826,(ROW()-2)*Assumptions!$B$7+MATCH($B$6,Assumptions!$D$5:$D$12,0)),"")</x:f>
        <x:v>1093.7308299224708</x:v>
      </x:c>
    </x:row>
    <x:row r="211">
      <x:c r="A211" s="27"/>
      <x:c r="B211" s="11"/>
      <x:c r="C211" s="28"/>
      <x:c r="T211" s="10" t="n">
        <x:f>IFERROR(INDEX(Generator!$A$2:$A$1826,(ROW()-2)*Assumptions!$B$7+MATCH($B$6,Assumptions!$D$5:$D$12,0)),"")</x:f>
        <x:v>46232</x:v>
      </x:c>
      <x:c r="U211" s="11" t="n">
        <x:f>IFERROR(INDEX(Generator!$H$2:$H$1826,(ROW()-2)*Assumptions!$B$7+MATCH($B$6,Assumptions!$D$5:$D$12,0)),"")</x:f>
        <x:v>1200.4032240407853</x:v>
      </x:c>
      <x:c r="V211" s="11" t="n">
        <x:f>IFERROR(INDEX(Generator!$I$2:$I$1826,(ROW()-2)*Assumptions!$B$7+MATCH($B$6,Assumptions!$D$5:$D$12,0)),"")</x:f>
        <x:v>1118.9451120954684</x:v>
      </x:c>
    </x:row>
    <x:row r="212">
      <x:c r="A212" s="27"/>
      <x:c r="B212" s="11"/>
      <x:c r="C212" s="28"/>
      <x:c r="T212" s="10" t="n">
        <x:f>IFERROR(INDEX(Generator!$A$2:$A$1826,(ROW()-2)*Assumptions!$B$7+MATCH($B$6,Assumptions!$D$5:$D$12,0)),"")</x:f>
        <x:v>46233</x:v>
      </x:c>
      <x:c r="U212" s="11" t="n">
        <x:f>IFERROR(INDEX(Generator!$H$2:$H$1826,(ROW()-2)*Assumptions!$B$7+MATCH($B$6,Assumptions!$D$5:$D$12,0)),"")</x:f>
        <x:v>1102.1628622014075</x:v>
      </x:c>
      <x:c r="V212" s="11" t="n">
        <x:f>IFERROR(INDEX(Generator!$I$2:$I$1826,(ROW()-2)*Assumptions!$B$7+MATCH($B$6,Assumptions!$D$5:$D$12,0)),"")</x:f>
        <x:v>1122.8722690897669</x:v>
      </x:c>
    </x:row>
    <x:row r="213">
      <x:c r="A213" s="27"/>
      <x:c r="B213" s="11"/>
      <x:c r="C213" s="28"/>
      <x:c r="T213" s="10" t="n">
        <x:f>IFERROR(INDEX(Generator!$A$2:$A$1826,(ROW()-2)*Assumptions!$B$7+MATCH($B$6,Assumptions!$D$5:$D$12,0)),"")</x:f>
        <x:v>46234</x:v>
      </x:c>
      <x:c r="U213" s="11" t="n">
        <x:f>IFERROR(INDEX(Generator!$H$2:$H$1826,(ROW()-2)*Assumptions!$B$7+MATCH($B$6,Assumptions!$D$5:$D$12,0)),"")</x:f>
        <x:v>1109.5002358181014</x:v>
      </x:c>
      <x:c r="V213" s="11" t="n">
        <x:f>IFERROR(INDEX(Generator!$I$2:$I$1826,(ROW()-2)*Assumptions!$B$7+MATCH($B$6,Assumptions!$D$5:$D$12,0)),"")</x:f>
        <x:v>1122.5895152100632</x:v>
      </x:c>
    </x:row>
    <x:row r="214">
      <x:c r="A214" s="27"/>
      <x:c r="B214" s="11"/>
      <x:c r="C214" s="28"/>
      <x:c r="T214" s="10" t="n">
        <x:f>IFERROR(INDEX(Generator!$A$2:$A$1826,(ROW()-2)*Assumptions!$B$7+MATCH($B$6,Assumptions!$D$5:$D$12,0)),"")</x:f>
        <x:v>46235</x:v>
      </x:c>
      <x:c r="U214" s="11" t="n">
        <x:f>IFERROR(INDEX(Generator!$H$2:$H$1826,(ROW()-2)*Assumptions!$B$7+MATCH($B$6,Assumptions!$D$5:$D$12,0)),"")</x:f>
        <x:v>1061.7913276707652</x:v>
      </x:c>
      <x:c r="V214" s="11" t="n">
        <x:f>IFERROR(INDEX(Generator!$I$2:$I$1826,(ROW()-2)*Assumptions!$B$7+MATCH($B$6,Assumptions!$D$5:$D$12,0)),"")</x:f>
        <x:v>1126.0342276341223</x:v>
      </x:c>
    </x:row>
    <x:row r="215">
      <x:c r="A215" s="27"/>
      <x:c r="B215" s="11"/>
      <x:c r="C215" s="28"/>
      <x:c r="T215" s="10" t="n">
        <x:f>IFERROR(INDEX(Generator!$A$2:$A$1826,(ROW()-2)*Assumptions!$B$7+MATCH($B$6,Assumptions!$D$5:$D$12,0)),"")</x:f>
        <x:v>46236</x:v>
      </x:c>
      <x:c r="U215" s="11" t="n">
        <x:f>IFERROR(INDEX(Generator!$H$2:$H$1826,(ROW()-2)*Assumptions!$B$7+MATCH($B$6,Assumptions!$D$5:$D$12,0)),"")</x:f>
        <x:v>1048.2327810414822</x:v>
      </x:c>
      <x:c r="V215" s="11" t="n">
        <x:f>IFERROR(INDEX(Generator!$I$2:$I$1826,(ROW()-2)*Assumptions!$B$7+MATCH($B$6,Assumptions!$D$5:$D$12,0)),"")</x:f>
        <x:v>1118.5858245634056</x:v>
      </x:c>
    </x:row>
    <x:row r="216">
      <x:c r="A216" s="27"/>
      <x:c r="B216" s="11"/>
      <x:c r="C216" s="28"/>
      <x:c r="T216" s="10" t="n">
        <x:f>IFERROR(INDEX(Generator!$A$2:$A$1826,(ROW()-2)*Assumptions!$B$7+MATCH($B$6,Assumptions!$D$5:$D$12,0)),"")</x:f>
        <x:v>46237</x:v>
      </x:c>
      <x:c r="U216" s="11" t="n">
        <x:f>IFERROR(INDEX(Generator!$H$2:$H$1826,(ROW()-2)*Assumptions!$B$7+MATCH($B$6,Assumptions!$D$5:$D$12,0)),"")</x:f>
        <x:v>1077.9065915416313</x:v>
      </x:c>
      <x:c r="V216" s="11" t="n">
        <x:f>IFERROR(INDEX(Generator!$I$2:$I$1826,(ROW()-2)*Assumptions!$B$7+MATCH($B$6,Assumptions!$D$5:$D$12,0)),"")</x:f>
        <x:v>1110.7103183583633</x:v>
      </x:c>
    </x:row>
    <x:row r="217">
      <x:c r="A217" s="27"/>
      <x:c r="B217" s="11"/>
      <x:c r="C217" s="28"/>
      <x:c r="T217" s="10" t="n">
        <x:f>IFERROR(INDEX(Generator!$A$2:$A$1826,(ROW()-2)*Assumptions!$B$7+MATCH($B$6,Assumptions!$D$5:$D$12,0)),"")</x:f>
        <x:v>46238</x:v>
      </x:c>
      <x:c r="U217" s="11" t="n">
        <x:f>IFERROR(INDEX(Generator!$H$2:$H$1826,(ROW()-2)*Assumptions!$B$7+MATCH($B$6,Assumptions!$D$5:$D$12,0)),"")</x:f>
        <x:v>1138.0799059087817</x:v>
      </x:c>
      <x:c r="V217" s="11" t="n">
        <x:f>IFERROR(INDEX(Generator!$I$2:$I$1826,(ROW()-2)*Assumptions!$B$7+MATCH($B$6,Assumptions!$D$5:$D$12,0)),"")</x:f>
        <x:v>1105.439561174708</x:v>
      </x:c>
    </x:row>
    <x:row r="218">
      <x:c r="A218" s="27"/>
      <x:c r="B218" s="11"/>
      <x:c r="C218" s="28"/>
      <x:c r="T218" s="10" t="n">
        <x:f>IFERROR(INDEX(Generator!$A$2:$A$1826,(ROW()-2)*Assumptions!$B$7+MATCH($B$6,Assumptions!$D$5:$D$12,0)),"")</x:f>
        <x:v>46239</x:v>
      </x:c>
      <x:c r="U218" s="11" t="n">
        <x:f>IFERROR(INDEX(Generator!$H$2:$H$1826,(ROW()-2)*Assumptions!$B$7+MATCH($B$6,Assumptions!$D$5:$D$12,0)),"")</x:f>
        <x:v>1178.904643288563</x:v>
      </x:c>
      <x:c r="V218" s="11" t="n">
        <x:f>IFERROR(INDEX(Generator!$I$2:$I$1826,(ROW()-2)*Assumptions!$B$7+MATCH($B$6,Assumptions!$D$5:$D$12,0)),"")</x:f>
        <x:v>1102.3683353529618</x:v>
      </x:c>
    </x:row>
    <x:row r="219">
      <x:c r="A219" s="27"/>
      <x:c r="B219" s="11"/>
      <x:c r="C219" s="28"/>
      <x:c r="T219" s="10" t="n">
        <x:f>IFERROR(INDEX(Generator!$A$2:$A$1826,(ROW()-2)*Assumptions!$B$7+MATCH($B$6,Assumptions!$D$5:$D$12,0)),"")</x:f>
        <x:v>46240</x:v>
      </x:c>
      <x:c r="U219" s="11" t="n">
        <x:f>IFERROR(INDEX(Generator!$H$2:$H$1826,(ROW()-2)*Assumptions!$B$7+MATCH($B$6,Assumptions!$D$5:$D$12,0)),"")</x:f>
        <x:v>1175.591032331633</x:v>
      </x:c>
      <x:c r="V219" s="11" t="n">
        <x:f>IFERROR(INDEX(Generator!$I$2:$I$1826,(ROW()-2)*Assumptions!$B$7+MATCH($B$6,Assumptions!$D$5:$D$12,0)),"")</x:f>
        <x:v>1112.858073942994</x:v>
      </x:c>
    </x:row>
    <x:row r="220">
      <x:c r="A220" s="27"/>
      <x:c r="B220" s="11"/>
      <x:c r="C220" s="28"/>
      <x:c r="T220" s="10" t="n">
        <x:f>IFERROR(INDEX(Generator!$A$2:$A$1826,(ROW()-2)*Assumptions!$B$7+MATCH($B$6,Assumptions!$D$5:$D$12,0)),"")</x:f>
        <x:v>46241</x:v>
      </x:c>
      <x:c r="U220" s="11" t="n">
        <x:f>IFERROR(INDEX(Generator!$H$2:$H$1826,(ROW()-2)*Assumptions!$B$7+MATCH($B$6,Assumptions!$D$5:$D$12,0)),"")</x:f>
        <x:v>1155.5883472872788</x:v>
      </x:c>
      <x:c r="V220" s="11" t="n">
        <x:f>IFERROR(INDEX(Generator!$I$2:$I$1826,(ROW()-2)*Assumptions!$B$7+MATCH($B$6,Assumptions!$D$5:$D$12,0)),"")</x:f>
        <x:v>1119.4420898671622</x:v>
      </x:c>
    </x:row>
    <x:row r="221">
      <x:c r="A221" s="27"/>
      <x:c r="B221" s="11"/>
      <x:c r="C221" s="28"/>
      <x:c r="T221" s="10" t="n">
        <x:f>IFERROR(INDEX(Generator!$A$2:$A$1826,(ROW()-2)*Assumptions!$B$7+MATCH($B$6,Assumptions!$D$5:$D$12,0)),"")</x:f>
        <x:v>46242</x:v>
      </x:c>
      <x:c r="U221" s="11" t="n">
        <x:f>IFERROR(INDEX(Generator!$H$2:$H$1826,(ROW()-2)*Assumptions!$B$7+MATCH($B$6,Assumptions!$D$5:$D$12,0)),"")</x:f>
        <x:v>1062.198441936397</x:v>
      </x:c>
      <x:c r="V221" s="11" t="n">
        <x:f>IFERROR(INDEX(Generator!$I$2:$I$1826,(ROW()-2)*Assumptions!$B$7+MATCH($B$6,Assumptions!$D$5:$D$12,0)),"")</x:f>
        <x:v>1119.5002490479667</x:v>
      </x:c>
    </x:row>
    <x:row r="222">
      <x:c r="A222" s="27"/>
      <x:c r="B222" s="11"/>
      <x:c r="C222" s="28"/>
      <x:c r="T222" s="10" t="n">
        <x:f>IFERROR(INDEX(Generator!$A$2:$A$1826,(ROW()-2)*Assumptions!$B$7+MATCH($B$6,Assumptions!$D$5:$D$12,0)),"")</x:f>
        <x:v>46243</x:v>
      </x:c>
      <x:c r="U222" s="11" t="n">
        <x:f>IFERROR(INDEX(Generator!$H$2:$H$1826,(ROW()-2)*Assumptions!$B$7+MATCH($B$6,Assumptions!$D$5:$D$12,0)),"")</x:f>
        <x:v>1146.940206377452</x:v>
      </x:c>
      <x:c r="V222" s="11" t="n">
        <x:f>IFERROR(INDEX(Generator!$I$2:$I$1826,(ROW()-2)*Assumptions!$B$7+MATCH($B$6,Assumptions!$D$5:$D$12,0)),"")</x:f>
        <x:v>1133.601309810248</x:v>
      </x:c>
    </x:row>
    <x:row r="223">
      <x:c r="A223" s="27"/>
      <x:c r="B223" s="11"/>
      <x:c r="C223" s="28"/>
      <x:c r="T223" s="10" t="n">
        <x:f>IFERROR(INDEX(Generator!$A$2:$A$1826,(ROW()-2)*Assumptions!$B$7+MATCH($B$6,Assumptions!$D$5:$D$12,0)),"")</x:f>
        <x:v>46244</x:v>
      </x:c>
      <x:c r="U223" s="11" t="n">
        <x:f>IFERROR(INDEX(Generator!$H$2:$H$1826,(ROW()-2)*Assumptions!$B$7+MATCH($B$6,Assumptions!$D$5:$D$12,0)),"")</x:f>
        <x:v>1154.2913911495689</x:v>
      </x:c>
      <x:c r="V223" s="11" t="n">
        <x:f>IFERROR(INDEX(Generator!$I$2:$I$1826,(ROW()-2)*Assumptions!$B$7+MATCH($B$6,Assumptions!$D$5:$D$12,0)),"")</x:f>
        <x:v>1144.5134240399534</x:v>
      </x:c>
    </x:row>
    <x:row r="224">
      <x:c r="A224" s="27"/>
      <x:c r="B224" s="11"/>
      <x:c r="C224" s="28"/>
      <x:c r="T224" s="10" t="n">
        <x:f>IFERROR(INDEX(Generator!$A$2:$A$1826,(ROW()-2)*Assumptions!$B$7+MATCH($B$6,Assumptions!$D$5:$D$12,0)),"")</x:f>
        <x:v>46245</x:v>
      </x:c>
      <x:c r="U224" s="11" t="n">
        <x:f>IFERROR(INDEX(Generator!$H$2:$H$1826,(ROW()-2)*Assumptions!$B$7+MATCH($B$6,Assumptions!$D$5:$D$12,0)),"")</x:f>
        <x:v>1140.2534163014443</x:v>
      </x:c>
      <x:c r="V224" s="11" t="n">
        <x:f>IFERROR(INDEX(Generator!$I$2:$I$1826,(ROW()-2)*Assumptions!$B$7+MATCH($B$6,Assumptions!$D$5:$D$12,0)),"")</x:f>
        <x:v>1144.8239255246194</x:v>
      </x:c>
    </x:row>
    <x:row r="225">
      <x:c r="A225" s="27"/>
      <x:c r="B225" s="11"/>
      <x:c r="C225" s="28"/>
      <x:c r="T225" s="10" t="n">
        <x:f>IFERROR(INDEX(Generator!$A$2:$A$1826,(ROW()-2)*Assumptions!$B$7+MATCH($B$6,Assumptions!$D$5:$D$12,0)),"")</x:f>
        <x:v>46246</x:v>
      </x:c>
      <x:c r="U225" s="11" t="n">
        <x:f>IFERROR(INDEX(Generator!$H$2:$H$1826,(ROW()-2)*Assumptions!$B$7+MATCH($B$6,Assumptions!$D$5:$D$12,0)),"")</x:f>
        <x:v>1210.3748362546917</x:v>
      </x:c>
      <x:c r="V225" s="11" t="n">
        <x:f>IFERROR(INDEX(Generator!$I$2:$I$1826,(ROW()-2)*Assumptions!$B$7+MATCH($B$6,Assumptions!$D$5:$D$12,0)),"")</x:f>
        <x:v>1149.3196673769237</x:v>
      </x:c>
    </x:row>
    <x:row r="226">
      <x:c r="A226" s="27"/>
      <x:c r="B226" s="11"/>
      <x:c r="C226" s="28"/>
      <x:c r="T226" s="10" t="n">
        <x:f>IFERROR(INDEX(Generator!$A$2:$A$1826,(ROW()-2)*Assumptions!$B$7+MATCH($B$6,Assumptions!$D$5:$D$12,0)),"")</x:f>
        <x:v>46247</x:v>
      </x:c>
      <x:c r="U226" s="11" t="n">
        <x:f>IFERROR(INDEX(Generator!$H$2:$H$1826,(ROW()-2)*Assumptions!$B$7+MATCH($B$6,Assumptions!$D$5:$D$12,0)),"")</x:f>
        <x:v>1183.6229029504666</x:v>
      </x:c>
      <x:c r="V226" s="11" t="n">
        <x:f>IFERROR(INDEX(Generator!$I$2:$I$1826,(ROW()-2)*Assumptions!$B$7+MATCH($B$6,Assumptions!$D$5:$D$12,0)),"")</x:f>
        <x:v>1150.4670774653284</x:v>
      </x:c>
    </x:row>
    <x:row r="227">
      <x:c r="A227" s="27"/>
      <x:c r="B227" s="11"/>
      <x:c r="C227" s="28"/>
      <x:c r="T227" s="10" t="n">
        <x:f>IFERROR(INDEX(Generator!$A$2:$A$1826,(ROW()-2)*Assumptions!$B$7+MATCH($B$6,Assumptions!$D$5:$D$12,0)),"")</x:f>
        <x:v>46248</x:v>
      </x:c>
      <x:c r="U227" s="11" t="n">
        <x:f>IFERROR(INDEX(Generator!$H$2:$H$1826,(ROW()-2)*Assumptions!$B$7+MATCH($B$6,Assumptions!$D$5:$D$12,0)),"")</x:f>
        <x:v>1109.5647853938522</x:v>
      </x:c>
      <x:c r="V227" s="11" t="n">
        <x:f>IFERROR(INDEX(Generator!$I$2:$I$1826,(ROW()-2)*Assumptions!$B$7+MATCH($B$6,Assumptions!$D$5:$D$12,0)),"")</x:f>
        <x:v>1143.8922829091248</x:v>
      </x:c>
    </x:row>
    <x:row r="228">
      <x:c r="A228" s="27"/>
      <x:c r="B228" s="11"/>
      <x:c r="C228" s="28"/>
      <x:c r="T228" s="10" t="n">
        <x:f>IFERROR(INDEX(Generator!$A$2:$A$1826,(ROW()-2)*Assumptions!$B$7+MATCH($B$6,Assumptions!$D$5:$D$12,0)),"")</x:f>
        <x:v>46249</x:v>
      </x:c>
      <x:c r="U228" s="11" t="n">
        <x:f>IFERROR(INDEX(Generator!$H$2:$H$1826,(ROW()-2)*Assumptions!$B$7+MATCH($B$6,Assumptions!$D$5:$D$12,0)),"")</x:f>
        <x:v>1094.1932446531127</x:v>
      </x:c>
      <x:c r="V228" s="11" t="n">
        <x:f>IFERROR(INDEX(Generator!$I$2:$I$1826,(ROW()-2)*Assumptions!$B$7+MATCH($B$6,Assumptions!$D$5:$D$12,0)),"")</x:f>
        <x:v>1148.4629690115125</x:v>
      </x:c>
    </x:row>
    <x:row r="229">
      <x:c r="A229" s="27"/>
      <x:c r="B229" s="11"/>
      <x:c r="C229" s="28"/>
      <x:c r="T229" s="10" t="n">
        <x:f>IFERROR(INDEX(Generator!$A$2:$A$1826,(ROW()-2)*Assumptions!$B$7+MATCH($B$6,Assumptions!$D$5:$D$12,0)),"")</x:f>
        <x:v>46250</x:v>
      </x:c>
      <x:c r="U229" s="11" t="n">
        <x:f>IFERROR(INDEX(Generator!$H$2:$H$1826,(ROW()-2)*Assumptions!$B$7+MATCH($B$6,Assumptions!$D$5:$D$12,0)),"")</x:f>
        <x:v>1120.3581998364434</x:v>
      </x:c>
      <x:c r="V229" s="11" t="n">
        <x:f>IFERROR(INDEX(Generator!$I$2:$I$1826,(ROW()-2)*Assumptions!$B$7+MATCH($B$6,Assumptions!$D$5:$D$12,0)),"")</x:f>
        <x:v>1144.6655395056544</x:v>
      </x:c>
    </x:row>
    <x:row r="230">
      <x:c r="A230" s="27"/>
      <x:c r="B230" s="11"/>
      <x:c r="C230" s="28"/>
      <x:c r="T230" s="10" t="n">
        <x:f>IFERROR(INDEX(Generator!$A$2:$A$1826,(ROW()-2)*Assumptions!$B$7+MATCH($B$6,Assumptions!$D$5:$D$12,0)),"")</x:f>
        <x:v>46251</x:v>
      </x:c>
      <x:c r="U230" s="11" t="n">
        <x:f>IFERROR(INDEX(Generator!$H$2:$H$1826,(ROW()-2)*Assumptions!$B$7+MATCH($B$6,Assumptions!$D$5:$D$12,0)),"")</x:f>
        <x:v>1204.5801377736016</x:v>
      </x:c>
      <x:c r="V230" s="11" t="n">
        <x:f>IFERROR(INDEX(Generator!$I$2:$I$1826,(ROW()-2)*Assumptions!$B$7+MATCH($B$6,Assumptions!$D$5:$D$12,0)),"")</x:f>
        <x:v>1151.8496461662305</x:v>
      </x:c>
    </x:row>
    <x:row r="231">
      <x:c r="A231" s="27"/>
      <x:c r="B231" s="11"/>
      <x:c r="C231" s="28"/>
      <x:c r="T231" s="10" t="n">
        <x:f>IFERROR(INDEX(Generator!$A$2:$A$1826,(ROW()-2)*Assumptions!$B$7+MATCH($B$6,Assumptions!$D$5:$D$12,0)),"")</x:f>
        <x:v>46252</x:v>
      </x:c>
      <x:c r="U231" s="11" t="n">
        <x:f>IFERROR(INDEX(Generator!$H$2:$H$1826,(ROW()-2)*Assumptions!$B$7+MATCH($B$6,Assumptions!$D$5:$D$12,0)),"")</x:f>
        <x:v>1164.9592357228848</x:v>
      </x:c>
      <x:c r="V231" s="11" t="n">
        <x:f>IFERROR(INDEX(Generator!$I$2:$I$1826,(ROW()-2)*Assumptions!$B$7+MATCH($B$6,Assumptions!$D$5:$D$12,0)),"")</x:f>
        <x:v>1155.379048940722</x:v>
      </x:c>
    </x:row>
    <x:row r="232">
      <x:c r="A232" s="27"/>
      <x:c r="B232" s="11"/>
      <x:c r="C232" s="28"/>
      <x:c r="T232" s="10" t="n">
        <x:f>IFERROR(INDEX(Generator!$A$2:$A$1826,(ROW()-2)*Assumptions!$B$7+MATCH($B$6,Assumptions!$D$5:$D$12,0)),"")</x:f>
        <x:v>46253</x:v>
      </x:c>
      <x:c r="U232" s="11" t="n">
        <x:f>IFERROR(INDEX(Generator!$H$2:$H$1826,(ROW()-2)*Assumptions!$B$7+MATCH($B$6,Assumptions!$D$5:$D$12,0)),"")</x:f>
        <x:v>1098.8616195646107</x:v>
      </x:c>
      <x:c r="V232" s="11" t="n">
        <x:f>IFERROR(INDEX(Generator!$I$2:$I$1826,(ROW()-2)*Assumptions!$B$7+MATCH($B$6,Assumptions!$D$5:$D$12,0)),"")</x:f>
        <x:v>1139.4485894135673</x:v>
      </x:c>
    </x:row>
    <x:row r="233">
      <x:c r="A233" s="27"/>
      <x:c r="B233" s="11"/>
      <x:c r="C233" s="28"/>
      <x:c r="T233" s="10" t="n">
        <x:f>IFERROR(INDEX(Generator!$A$2:$A$1826,(ROW()-2)*Assumptions!$B$7+MATCH($B$6,Assumptions!$D$5:$D$12,0)),"")</x:f>
        <x:v>46254</x:v>
      </x:c>
      <x:c r="U233" s="11" t="n">
        <x:f>IFERROR(INDEX(Generator!$H$2:$H$1826,(ROW()-2)*Assumptions!$B$7+MATCH($B$6,Assumptions!$D$5:$D$12,0)),"")</x:f>
        <x:v>1132.8041781315806</x:v>
      </x:c>
      <x:c r="V233" s="11" t="n">
        <x:f>IFERROR(INDEX(Generator!$I$2:$I$1826,(ROW()-2)*Assumptions!$B$7+MATCH($B$6,Assumptions!$D$5:$D$12,0)),"")</x:f>
        <x:v>1132.188771582298</x:v>
      </x:c>
    </x:row>
    <x:row r="234">
      <x:c r="A234" s="27"/>
      <x:c r="B234" s="11"/>
      <x:c r="C234" s="28"/>
      <x:c r="T234" s="10" t="n">
        <x:f>IFERROR(INDEX(Generator!$A$2:$A$1826,(ROW()-2)*Assumptions!$B$7+MATCH($B$6,Assumptions!$D$5:$D$12,0)),"")</x:f>
        <x:v>46255</x:v>
      </x:c>
      <x:c r="U234" s="11" t="n">
        <x:f>IFERROR(INDEX(Generator!$H$2:$H$1826,(ROW()-2)*Assumptions!$B$7+MATCH($B$6,Assumptions!$D$5:$D$12,0)),"")</x:f>
        <x:v>1123.9796531687819</x:v>
      </x:c>
      <x:c r="V234" s="11" t="n">
        <x:f>IFERROR(INDEX(Generator!$I$2:$I$1826,(ROW()-2)*Assumptions!$B$7+MATCH($B$6,Assumptions!$D$5:$D$12,0)),"")</x:f>
        <x:v>1134.248038407288</x:v>
      </x:c>
    </x:row>
    <x:row r="235">
      <x:c r="A235" s="27"/>
      <x:c r="B235" s="11"/>
      <x:c r="C235" s="28"/>
      <x:c r="T235" s="10" t="n">
        <x:f>IFERROR(INDEX(Generator!$A$2:$A$1826,(ROW()-2)*Assumptions!$B$7+MATCH($B$6,Assumptions!$D$5:$D$12,0)),"")</x:f>
        <x:v>46256</x:v>
      </x:c>
      <x:c r="U235" s="11" t="n">
        <x:f>IFERROR(INDEX(Generator!$H$2:$H$1826,(ROW()-2)*Assumptions!$B$7+MATCH($B$6,Assumptions!$D$5:$D$12,0)),"")</x:f>
        <x:v>1121.7687783582865</x:v>
      </x:c>
      <x:c r="V235" s="11" t="n">
        <x:f>IFERROR(INDEX(Generator!$I$2:$I$1826,(ROW()-2)*Assumptions!$B$7+MATCH($B$6,Assumptions!$D$5:$D$12,0)),"")</x:f>
        <x:v>1138.1874003651699</x:v>
      </x:c>
    </x:row>
    <x:row r="236">
      <x:c r="A236" s="27"/>
      <x:c r="B236" s="11"/>
      <x:c r="C236" s="28"/>
      <x:c r="T236" s="10" t="n">
        <x:f>IFERROR(INDEX(Generator!$A$2:$A$1826,(ROW()-2)*Assumptions!$B$7+MATCH($B$6,Assumptions!$D$5:$D$12,0)),"")</x:f>
        <x:v>46257</x:v>
      </x:c>
      <x:c r="U236" s="11" t="n">
        <x:f>IFERROR(INDEX(Generator!$H$2:$H$1826,(ROW()-2)*Assumptions!$B$7+MATCH($B$6,Assumptions!$D$5:$D$12,0)),"")</x:f>
        <x:v>1066.8759624533911</x:v>
      </x:c>
      <x:c r="V236" s="11" t="n">
        <x:f>IFERROR(INDEX(Generator!$I$2:$I$1826,(ROW()-2)*Assumptions!$B$7+MATCH($B$6,Assumptions!$D$5:$D$12,0)),"")</x:f>
        <x:v>1130.5470807390195</x:v>
      </x:c>
    </x:row>
    <x:row r="237">
      <x:c r="A237" s="27"/>
      <x:c r="B237" s="11"/>
      <x:c r="C237" s="28"/>
      <x:c r="T237" s="10" t="n">
        <x:f>IFERROR(INDEX(Generator!$A$2:$A$1826,(ROW()-2)*Assumptions!$B$7+MATCH($B$6,Assumptions!$D$5:$D$12,0)),"")</x:f>
        <x:v>46258</x:v>
      </x:c>
      <x:c r="U237" s="11" t="n">
        <x:f>IFERROR(INDEX(Generator!$H$2:$H$1826,(ROW()-2)*Assumptions!$B$7+MATCH($B$6,Assumptions!$D$5:$D$12,0)),"")</x:f>
        <x:v>1129.5612887189516</x:v>
      </x:c>
      <x:c r="V237" s="11" t="n">
        <x:f>IFERROR(INDEX(Generator!$I$2:$I$1826,(ROW()-2)*Assumptions!$B$7+MATCH($B$6,Assumptions!$D$5:$D$12,0)),"")</x:f>
        <x:v>1119.830102302641</x:v>
      </x:c>
    </x:row>
    <x:row r="238">
      <x:c r="A238" s="27"/>
      <x:c r="B238" s="11"/>
      <x:c r="C238" s="28"/>
      <x:c r="T238" s="10" t="n">
        <x:f>IFERROR(INDEX(Generator!$A$2:$A$1826,(ROW()-2)*Assumptions!$B$7+MATCH($B$6,Assumptions!$D$5:$D$12,0)),"")</x:f>
        <x:v>46259</x:v>
      </x:c>
      <x:c r="U238" s="11" t="n">
        <x:f>IFERROR(INDEX(Generator!$H$2:$H$1826,(ROW()-2)*Assumptions!$B$7+MATCH($B$6,Assumptions!$D$5:$D$12,0)),"")</x:f>
        <x:v>1138.0416684830313</x:v>
      </x:c>
      <x:c r="V238" s="11" t="n">
        <x:f>IFERROR(INDEX(Generator!$I$2:$I$1826,(ROW()-2)*Assumptions!$B$7+MATCH($B$6,Assumptions!$D$5:$D$12,0)),"")</x:f>
        <x:v>1115.9847355540903</x:v>
      </x:c>
    </x:row>
    <x:row r="239">
      <x:c r="A239" s="27"/>
      <x:c r="B239" s="11"/>
      <x:c r="C239" s="28"/>
      <x:c r="T239" s="10" t="n">
        <x:f>IFERROR(INDEX(Generator!$A$2:$A$1826,(ROW()-2)*Assumptions!$B$7+MATCH($B$6,Assumptions!$D$5:$D$12,0)),"")</x:f>
        <x:v>46260</x:v>
      </x:c>
      <x:c r="U239" s="11" t="n">
        <x:f>IFERROR(INDEX(Generator!$H$2:$H$1826,(ROW()-2)*Assumptions!$B$7+MATCH($B$6,Assumptions!$D$5:$D$12,0)),"")</x:f>
        <x:v>1178.2077112005047</x:v>
      </x:c>
      <x:c r="V239" s="11" t="n">
        <x:f>IFERROR(INDEX(Generator!$I$2:$I$1826,(ROW()-2)*Assumptions!$B$7+MATCH($B$6,Assumptions!$D$5:$D$12,0)),"")</x:f>
        <x:v>1127.3198915020755</x:v>
      </x:c>
    </x:row>
    <x:row r="240">
      <x:c r="A240" s="27"/>
      <x:c r="B240" s="11"/>
      <x:c r="C240" s="28"/>
      <x:c r="T240" s="10" t="n">
        <x:f>IFERROR(INDEX(Generator!$A$2:$A$1826,(ROW()-2)*Assumptions!$B$7+MATCH($B$6,Assumptions!$D$5:$D$12,0)),"")</x:f>
        <x:v>46261</x:v>
      </x:c>
      <x:c r="U240" s="11" t="n">
        <x:f>IFERROR(INDEX(Generator!$H$2:$H$1826,(ROW()-2)*Assumptions!$B$7+MATCH($B$6,Assumptions!$D$5:$D$12,0)),"")</x:f>
        <x:v>1151.9491543960166</x:v>
      </x:c>
      <x:c r="V240" s="11" t="n">
        <x:f>IFERROR(INDEX(Generator!$I$2:$I$1826,(ROW()-2)*Assumptions!$B$7+MATCH($B$6,Assumptions!$D$5:$D$12,0)),"")</x:f>
        <x:v>1130.0548881112804</x:v>
      </x:c>
    </x:row>
    <x:row r="241">
      <x:c r="A241" s="27"/>
      <x:c r="B241" s="11"/>
      <x:c r="C241" s="28"/>
      <x:c r="T241" s="10" t="n">
        <x:f>IFERROR(INDEX(Generator!$A$2:$A$1826,(ROW()-2)*Assumptions!$B$7+MATCH($B$6,Assumptions!$D$5:$D$12,0)),"")</x:f>
        <x:v>46262</x:v>
      </x:c>
      <x:c r="U241" s="11" t="n">
        <x:f>IFERROR(INDEX(Generator!$H$2:$H$1826,(ROW()-2)*Assumptions!$B$7+MATCH($B$6,Assumptions!$D$5:$D$12,0)),"")</x:f>
        <x:v>1164.3130568380539</x:v>
      </x:c>
      <x:c r="V241" s="11" t="n">
        <x:f>IFERROR(INDEX(Generator!$I$2:$I$1826,(ROW()-2)*Assumptions!$B$7+MATCH($B$6,Assumptions!$D$5:$D$12,0)),"")</x:f>
        <x:v>1135.8168029211768</x:v>
      </x:c>
    </x:row>
    <x:row r="242">
      <x:c r="A242" s="27"/>
      <x:c r="B242" s="11"/>
      <x:c r="C242" s="28"/>
      <x:c r="T242" s="10" t="n">
        <x:f>IFERROR(INDEX(Generator!$A$2:$A$1826,(ROW()-2)*Assumptions!$B$7+MATCH($B$6,Assumptions!$D$5:$D$12,0)),"")</x:f>
        <x:v>46263</x:v>
      </x:c>
      <x:c r="U242" s="11" t="n">
        <x:f>IFERROR(INDEX(Generator!$H$2:$H$1826,(ROW()-2)*Assumptions!$B$7+MATCH($B$6,Assumptions!$D$5:$D$12,0)),"")</x:f>
        <x:v>1077.850181777112</x:v>
      </x:c>
      <x:c r="V242" s="11" t="n">
        <x:f>IFERROR(INDEX(Generator!$I$2:$I$1826,(ROW()-2)*Assumptions!$B$7+MATCH($B$6,Assumptions!$D$5:$D$12,0)),"")</x:f>
        <x:v>1129.5427176952946</x:v>
      </x:c>
    </x:row>
    <x:row r="243">
      <x:c r="A243" s="27"/>
      <x:c r="B243" s="11"/>
      <x:c r="C243" s="28"/>
      <x:c r="T243" s="10" t="n">
        <x:f>IFERROR(INDEX(Generator!$A$2:$A$1826,(ROW()-2)*Assumptions!$B$7+MATCH($B$6,Assumptions!$D$5:$D$12,0)),"")</x:f>
        <x:v>46264</x:v>
      </x:c>
      <x:c r="U243" s="11" t="n">
        <x:f>IFERROR(INDEX(Generator!$H$2:$H$1826,(ROW()-2)*Assumptions!$B$7+MATCH($B$6,Assumptions!$D$5:$D$12,0)),"")</x:f>
        <x:v>1080.349197878298</x:v>
      </x:c>
      <x:c r="V243" s="11" t="n">
        <x:f>IFERROR(INDEX(Generator!$I$2:$I$1826,(ROW()-2)*Assumptions!$B$7+MATCH($B$6,Assumptions!$D$5:$D$12,0)),"")</x:f>
        <x:v>1131.4674656131383</x:v>
      </x:c>
    </x:row>
    <x:row r="244">
      <x:c r="A244" s="27"/>
      <x:c r="B244" s="11"/>
      <x:c r="C244" s="28"/>
      <x:c r="T244" s="10" t="n">
        <x:f>IFERROR(INDEX(Generator!$A$2:$A$1826,(ROW()-2)*Assumptions!$B$7+MATCH($B$6,Assumptions!$D$5:$D$12,0)),"")</x:f>
        <x:v>46265</x:v>
      </x:c>
      <x:c r="U244" s="11" t="n">
        <x:f>IFERROR(INDEX(Generator!$H$2:$H$1826,(ROW()-2)*Assumptions!$B$7+MATCH($B$6,Assumptions!$D$5:$D$12,0)),"")</x:f>
        <x:v>1158.0100396443183</x:v>
      </x:c>
      <x:c r="V244" s="11" t="n">
        <x:f>IFERROR(INDEX(Generator!$I$2:$I$1826,(ROW()-2)*Assumptions!$B$7+MATCH($B$6,Assumptions!$D$5:$D$12,0)),"")</x:f>
        <x:v>1135.5315728881908</x:v>
      </x:c>
    </x:row>
    <x:row r="245">
      <x:c r="A245" s="27"/>
      <x:c r="B245" s="11"/>
      <x:c r="C245" s="28"/>
      <x:c r="T245" s="10" t="n">
        <x:f>IFERROR(INDEX(Generator!$A$2:$A$1826,(ROW()-2)*Assumptions!$B$7+MATCH($B$6,Assumptions!$D$5:$D$12,0)),"")</x:f>
        <x:v>46266</x:v>
      </x:c>
      <x:c r="U245" s="11" t="n">
        <x:f>IFERROR(INDEX(Generator!$H$2:$H$1826,(ROW()-2)*Assumptions!$B$7+MATCH($B$6,Assumptions!$D$5:$D$12,0)),"")</x:f>
        <x:v>1046.6698443496584</x:v>
      </x:c>
      <x:c r="V245" s="11" t="n">
        <x:f>IFERROR(INDEX(Generator!$I$2:$I$1826,(ROW()-2)*Assumptions!$B$7+MATCH($B$6,Assumptions!$D$5:$D$12,0)),"")</x:f>
        <x:v>1122.4784551548516</x:v>
      </x:c>
    </x:row>
    <x:row r="246">
      <x:c r="A246" s="27"/>
      <x:c r="B246" s="11"/>
      <x:c r="C246" s="28"/>
      <x:c r="T246" s="10" t="n">
        <x:f>IFERROR(INDEX(Generator!$A$2:$A$1826,(ROW()-2)*Assumptions!$B$7+MATCH($B$6,Assumptions!$D$5:$D$12,0)),"")</x:f>
        <x:v>46267</x:v>
      </x:c>
      <x:c r="U246" s="11" t="n">
        <x:f>IFERROR(INDEX(Generator!$H$2:$H$1826,(ROW()-2)*Assumptions!$B$7+MATCH($B$6,Assumptions!$D$5:$D$12,0)),"")</x:f>
        <x:v>1150.9084735716378</x:v>
      </x:c>
      <x:c r="V246" s="11" t="n">
        <x:f>IFERROR(INDEX(Generator!$I$2:$I$1826,(ROW()-2)*Assumptions!$B$7+MATCH($B$6,Assumptions!$D$5:$D$12,0)),"")</x:f>
        <x:v>1118.5785640650136</x:v>
      </x:c>
    </x:row>
    <x:row r="247">
      <x:c r="A247" s="27"/>
      <x:c r="B247" s="11"/>
      <x:c r="C247" s="28"/>
      <x:c r="T247" s="10" t="n">
        <x:f>IFERROR(INDEX(Generator!$A$2:$A$1826,(ROW()-2)*Assumptions!$B$7+MATCH($B$6,Assumptions!$D$5:$D$12,0)),"")</x:f>
        <x:v>46268</x:v>
      </x:c>
      <x:c r="U247" s="11" t="n">
        <x:f>IFERROR(INDEX(Generator!$H$2:$H$1826,(ROW()-2)*Assumptions!$B$7+MATCH($B$6,Assumptions!$D$5:$D$12,0)),"")</x:f>
        <x:v>1090.8782148179794</x:v>
      </x:c>
      <x:c r="V247" s="11" t="n">
        <x:f>IFERROR(INDEX(Generator!$I$2:$I$1826,(ROW()-2)*Assumptions!$B$7+MATCH($B$6,Assumptions!$D$5:$D$12,0)),"")</x:f>
        <x:v>1109.854144125294</x:v>
      </x:c>
    </x:row>
    <x:row r="248">
      <x:c r="A248" s="27"/>
      <x:c r="B248" s="11"/>
      <x:c r="C248" s="28"/>
      <x:c r="T248" s="10" t="n">
        <x:f>IFERROR(INDEX(Generator!$A$2:$A$1826,(ROW()-2)*Assumptions!$B$7+MATCH($B$6,Assumptions!$D$5:$D$12,0)),"")</x:f>
        <x:v>46269</x:v>
      </x:c>
      <x:c r="U248" s="11" t="n">
        <x:f>IFERROR(INDEX(Generator!$H$2:$H$1826,(ROW()-2)*Assumptions!$B$7+MATCH($B$6,Assumptions!$D$5:$D$12,0)),"")</x:f>
        <x:v>1138.408718926602</x:v>
      </x:c>
      <x:c r="V248" s="11" t="n">
        <x:f>IFERROR(INDEX(Generator!$I$2:$I$1826,(ROW()-2)*Assumptions!$B$7+MATCH($B$6,Assumptions!$D$5:$D$12,0)),"")</x:f>
        <x:v>1106.153524423658</x:v>
      </x:c>
    </x:row>
    <x:row r="249">
      <x:c r="A249" s="27"/>
      <x:c r="B249" s="11"/>
      <x:c r="C249" s="28"/>
      <x:c r="T249" s="10" t="n">
        <x:f>IFERROR(INDEX(Generator!$A$2:$A$1826,(ROW()-2)*Assumptions!$B$7+MATCH($B$6,Assumptions!$D$5:$D$12,0)),"")</x:f>
        <x:v>46270</x:v>
      </x:c>
      <x:c r="U249" s="11" t="n">
        <x:f>IFERROR(INDEX(Generator!$H$2:$H$1826,(ROW()-2)*Assumptions!$B$7+MATCH($B$6,Assumptions!$D$5:$D$12,0)),"")</x:f>
        <x:v>1187.4454802004373</x:v>
      </x:c>
      <x:c r="V249" s="11" t="n">
        <x:f>IFERROR(INDEX(Generator!$I$2:$I$1826,(ROW()-2)*Assumptions!$B$7+MATCH($B$6,Assumptions!$D$5:$D$12,0)),"")</x:f>
        <x:v>1121.8099956269903</x:v>
      </x:c>
    </x:row>
    <x:row r="250">
      <x:c r="A250" s="27"/>
      <x:c r="B250" s="11"/>
      <x:c r="C250" s="28"/>
      <x:c r="T250" s="10" t="n">
        <x:f>IFERROR(INDEX(Generator!$A$2:$A$1826,(ROW()-2)*Assumptions!$B$7+MATCH($B$6,Assumptions!$D$5:$D$12,0)),"")</x:f>
        <x:v>46271</x:v>
      </x:c>
      <x:c r="U250" s="11" t="n">
        <x:f>IFERROR(INDEX(Generator!$H$2:$H$1826,(ROW()-2)*Assumptions!$B$7+MATCH($B$6,Assumptions!$D$5:$D$12,0)),"")</x:f>
        <x:v>1058.834084998751</x:v>
      </x:c>
      <x:c r="V250" s="11" t="n">
        <x:f>IFERROR(INDEX(Generator!$I$2:$I$1826,(ROW()-2)*Assumptions!$B$7+MATCH($B$6,Assumptions!$D$5:$D$12,0)),"")</x:f>
        <x:v>1118.736408072769</x:v>
      </x:c>
    </x:row>
    <x:row r="251">
      <x:c r="A251" s="27"/>
      <x:c r="B251" s="11"/>
      <x:c r="C251" s="28"/>
      <x:c r="T251" s="10" t="n">
        <x:f>IFERROR(INDEX(Generator!$A$2:$A$1826,(ROW()-2)*Assumptions!$B$7+MATCH($B$6,Assumptions!$D$5:$D$12,0)),"")</x:f>
        <x:v>46272</x:v>
      </x:c>
      <x:c r="U251" s="11" t="n">
        <x:f>IFERROR(INDEX(Generator!$H$2:$H$1826,(ROW()-2)*Assumptions!$B$7+MATCH($B$6,Assumptions!$D$5:$D$12,0)),"")</x:f>
        <x:v>1151.108594907664</x:v>
      </x:c>
      <x:c r="V251" s="11" t="n">
        <x:f>IFERROR(INDEX(Generator!$I$2:$I$1826,(ROW()-2)*Assumptions!$B$7+MATCH($B$6,Assumptions!$D$5:$D$12,0)),"")</x:f>
        <x:v>1117.7504873961043</x:v>
      </x:c>
    </x:row>
    <x:row r="252">
      <x:c r="A252" s="27"/>
      <x:c r="B252" s="11"/>
      <x:c r="C252" s="28"/>
      <x:c r="T252" s="10" t="n">
        <x:f>IFERROR(INDEX(Generator!$A$2:$A$1826,(ROW()-2)*Assumptions!$B$7+MATCH($B$6,Assumptions!$D$5:$D$12,0)),"")</x:f>
        <x:v>46273</x:v>
      </x:c>
      <x:c r="U252" s="11" t="n">
        <x:f>IFERROR(INDEX(Generator!$H$2:$H$1826,(ROW()-2)*Assumptions!$B$7+MATCH($B$6,Assumptions!$D$5:$D$12,0)),"")</x:f>
        <x:v>1134.9175625860012</x:v>
      </x:c>
      <x:c r="V252" s="11" t="n">
        <x:f>IFERROR(INDEX(Generator!$I$2:$I$1826,(ROW()-2)*Assumptions!$B$7+MATCH($B$6,Assumptions!$D$5:$D$12,0)),"")</x:f>
        <x:v>1130.3573042870105</x:v>
      </x:c>
    </x:row>
    <x:row r="253">
      <x:c r="A253" s="27"/>
      <x:c r="B253" s="11"/>
      <x:c r="C253" s="28"/>
      <x:c r="T253" s="10" t="n">
        <x:f>IFERROR(INDEX(Generator!$A$2:$A$1826,(ROW()-2)*Assumptions!$B$7+MATCH($B$6,Assumptions!$D$5:$D$12,0)),"")</x:f>
        <x:v>46274</x:v>
      </x:c>
      <x:c r="U253" s="11" t="n">
        <x:f>IFERROR(INDEX(Generator!$H$2:$H$1826,(ROW()-2)*Assumptions!$B$7+MATCH($B$6,Assumptions!$D$5:$D$12,0)),"")</x:f>
        <x:v>1041.2940800012216</x:v>
      </x:c>
      <x:c r="V253" s="11" t="n">
        <x:f>IFERROR(INDEX(Generator!$I$2:$I$1826,(ROW()-2)*Assumptions!$B$7+MATCH($B$6,Assumptions!$D$5:$D$12,0)),"")</x:f>
        <x:v>1114.6981052055223</x:v>
      </x:c>
    </x:row>
    <x:row r="254">
      <x:c r="A254" s="27"/>
      <x:c r="B254" s="11"/>
      <x:c r="C254" s="28"/>
      <x:c r="T254" s="10" t="n">
        <x:f>IFERROR(INDEX(Generator!$A$2:$A$1826,(ROW()-2)*Assumptions!$B$7+MATCH($B$6,Assumptions!$D$5:$D$12,0)),"")</x:f>
        <x:v>46275</x:v>
      </x:c>
      <x:c r="U254" s="11" t="n">
        <x:f>IFERROR(INDEX(Generator!$H$2:$H$1826,(ROW()-2)*Assumptions!$B$7+MATCH($B$6,Assumptions!$D$5:$D$12,0)),"")</x:f>
        <x:v>1128.4458566722678</x:v>
      </x:c>
      <x:c r="V254" s="11" t="n">
        <x:f>IFERROR(INDEX(Generator!$I$2:$I$1826,(ROW()-2)*Assumptions!$B$7+MATCH($B$6,Assumptions!$D$5:$D$12,0)),"")</x:f>
        <x:v>1120.0649111847065</x:v>
      </x:c>
    </x:row>
    <x:row r="255">
      <x:c r="A255" s="27"/>
      <x:c r="B255" s="11"/>
      <x:c r="C255" s="28"/>
      <x:c r="T255" s="10" t="n">
        <x:f>IFERROR(INDEX(Generator!$A$2:$A$1826,(ROW()-2)*Assumptions!$B$7+MATCH($B$6,Assumptions!$D$5:$D$12,0)),"")</x:f>
        <x:v>46276</x:v>
      </x:c>
      <x:c r="U255" s="11" t="n">
        <x:f>IFERROR(INDEX(Generator!$H$2:$H$1826,(ROW()-2)*Assumptions!$B$7+MATCH($B$6,Assumptions!$D$5:$D$12,0)),"")</x:f>
        <x:v>1119.1655340908464</x:v>
      </x:c>
      <x:c r="V255" s="11" t="n">
        <x:f>IFERROR(INDEX(Generator!$I$2:$I$1826,(ROW()-2)*Assumptions!$B$7+MATCH($B$6,Assumptions!$D$5:$D$12,0)),"")</x:f>
        <x:v>1117.3158847795985</x:v>
      </x:c>
    </x:row>
    <x:row r="256">
      <x:c r="A256" s="27"/>
      <x:c r="B256" s="11"/>
      <x:c r="C256" s="28"/>
      <x:c r="T256" s="10" t="n">
        <x:f>IFERROR(INDEX(Generator!$A$2:$A$1826,(ROW()-2)*Assumptions!$B$7+MATCH($B$6,Assumptions!$D$5:$D$12,0)),"")</x:f>
        <x:v>46277</x:v>
      </x:c>
      <x:c r="U256" s="11" t="n">
        <x:f>IFERROR(INDEX(Generator!$H$2:$H$1826,(ROW()-2)*Assumptions!$B$7+MATCH($B$6,Assumptions!$D$5:$D$12,0)),"")</x:f>
        <x:v>1084.9352002061426</x:v>
      </x:c>
      <x:c r="V256" s="11" t="n">
        <x:f>IFERROR(INDEX(Generator!$I$2:$I$1826,(ROW()-2)*Assumptions!$B$7+MATCH($B$6,Assumptions!$D$5:$D$12,0)),"")</x:f>
        <x:v>1102.6715590661277</x:v>
      </x:c>
    </x:row>
    <x:row r="257">
      <x:c r="A257" s="27"/>
      <x:c r="B257" s="11"/>
      <x:c r="C257" s="28"/>
      <x:c r="T257" s="10" t="n">
        <x:f>IFERROR(INDEX(Generator!$A$2:$A$1826,(ROW()-2)*Assumptions!$B$7+MATCH($B$6,Assumptions!$D$5:$D$12,0)),"")</x:f>
        <x:v>46278</x:v>
      </x:c>
      <x:c r="U257" s="11" t="n">
        <x:f>IFERROR(INDEX(Generator!$H$2:$H$1826,(ROW()-2)*Assumptions!$B$7+MATCH($B$6,Assumptions!$D$5:$D$12,0)),"")</x:f>
        <x:v>1146.8668408939511</x:v>
      </x:c>
      <x:c r="V257" s="11" t="n">
        <x:f>IFERROR(INDEX(Generator!$I$2:$I$1826,(ROW()-2)*Assumptions!$B$7+MATCH($B$6,Assumptions!$D$5:$D$12,0)),"")</x:f>
        <x:v>1115.2476670511564</x:v>
      </x:c>
    </x:row>
    <x:row r="258">
      <x:c r="A258" s="27"/>
      <x:c r="B258" s="11"/>
      <x:c r="C258" s="28"/>
      <x:c r="T258" s="10" t="n">
        <x:f>IFERROR(INDEX(Generator!$A$2:$A$1826,(ROW()-2)*Assumptions!$B$7+MATCH($B$6,Assumptions!$D$5:$D$12,0)),"")</x:f>
        <x:v>46279</x:v>
      </x:c>
      <x:c r="U258" s="11" t="n">
        <x:f>IFERROR(INDEX(Generator!$H$2:$H$1826,(ROW()-2)*Assumptions!$B$7+MATCH($B$6,Assumptions!$D$5:$D$12,0)),"")</x:f>
        <x:v>1097.1615407826123</x:v>
      </x:c>
      <x:c r="V258" s="11" t="n">
        <x:f>IFERROR(INDEX(Generator!$I$2:$I$1826,(ROW()-2)*Assumptions!$B$7+MATCH($B$6,Assumptions!$D$5:$D$12,0)),"")</x:f>
        <x:v>1107.5409450332918</x:v>
      </x:c>
    </x:row>
    <x:row r="259">
      <x:c r="A259" s="27"/>
      <x:c r="B259" s="11"/>
      <x:c r="C259" s="28"/>
      <x:c r="T259" s="10" t="n">
        <x:f>IFERROR(INDEX(Generator!$A$2:$A$1826,(ROW()-2)*Assumptions!$B$7+MATCH($B$6,Assumptions!$D$5:$D$12,0)),"")</x:f>
        <x:v>46280</x:v>
      </x:c>
      <x:c r="U259" s="11" t="n">
        <x:f>IFERROR(INDEX(Generator!$H$2:$H$1826,(ROW()-2)*Assumptions!$B$7+MATCH($B$6,Assumptions!$D$5:$D$12,0)),"")</x:f>
        <x:v>1061.6958198452348</x:v>
      </x:c>
      <x:c r="V259" s="11" t="n">
        <x:f>IFERROR(INDEX(Generator!$I$2:$I$1826,(ROW()-2)*Assumptions!$B$7+MATCH($B$6,Assumptions!$D$5:$D$12,0)),"")</x:f>
        <x:v>1097.080696070325</x:v>
      </x:c>
    </x:row>
    <x:row r="260">
      <x:c r="A260" s="27"/>
      <x:c r="B260" s="11"/>
      <x:c r="C260" s="28"/>
      <x:c r="T260" s="10" t="n">
        <x:f>IFERROR(INDEX(Generator!$A$2:$A$1826,(ROW()-2)*Assumptions!$B$7+MATCH($B$6,Assumptions!$D$5:$D$12,0)),"")</x:f>
        <x:v>46281</x:v>
      </x:c>
      <x:c r="U260" s="11" t="n">
        <x:f>IFERROR(INDEX(Generator!$H$2:$H$1826,(ROW()-2)*Assumptions!$B$7+MATCH($B$6,Assumptions!$D$5:$D$12,0)),"")</x:f>
        <x:v>1173.3377331333886</x:v>
      </x:c>
      <x:c r="V260" s="11" t="n">
        <x:f>IFERROR(INDEX(Generator!$I$2:$I$1826,(ROW()-2)*Assumptions!$B$7+MATCH($B$6,Assumptions!$D$5:$D$12,0)),"")</x:f>
        <x:v>1115.944075089206</x:v>
      </x:c>
    </x:row>
    <x:row r="261">
      <x:c r="A261" s="27"/>
      <x:c r="B261" s="11"/>
      <x:c r="C261" s="28"/>
      <x:c r="T261" s="10" t="n">
        <x:f>IFERROR(INDEX(Generator!$A$2:$A$1826,(ROW()-2)*Assumptions!$B$7+MATCH($B$6,Assumptions!$D$5:$D$12,0)),"")</x:f>
        <x:v>46282</x:v>
      </x:c>
      <x:c r="U261" s="11" t="n">
        <x:f>IFERROR(INDEX(Generator!$H$2:$H$1826,(ROW()-2)*Assumptions!$B$7+MATCH($B$6,Assumptions!$D$5:$D$12,0)),"")</x:f>
        <x:v>1064.8934349141596</x:v>
      </x:c>
      <x:c r="V261" s="11" t="n">
        <x:f>IFERROR(INDEX(Generator!$I$2:$I$1826,(ROW()-2)*Assumptions!$B$7+MATCH($B$6,Assumptions!$D$5:$D$12,0)),"")</x:f>
        <x:v>1106.8651576951909</x:v>
      </x:c>
    </x:row>
    <x:row r="262">
      <x:c r="A262" s="27"/>
      <x:c r="B262" s="11"/>
      <x:c r="C262" s="28"/>
      <x:c r="T262" s="10" t="n">
        <x:f>IFERROR(INDEX(Generator!$A$2:$A$1826,(ROW()-2)*Assumptions!$B$7+MATCH($B$6,Assumptions!$D$5:$D$12,0)),"")</x:f>
        <x:v>46283</x:v>
      </x:c>
      <x:c r="U262" s="11" t="n">
        <x:f>IFERROR(INDEX(Generator!$H$2:$H$1826,(ROW()-2)*Assumptions!$B$7+MATCH($B$6,Assumptions!$D$5:$D$12,0)),"")</x:f>
        <x:v>1173.5426338213413</x:v>
      </x:c>
      <x:c r="V262" s="11" t="n">
        <x:f>IFERROR(INDEX(Generator!$I$2:$I$1826,(ROW()-2)*Assumptions!$B$7+MATCH($B$6,Assumptions!$D$5:$D$12,0)),"")</x:f>
        <x:v>1114.6333147995472</x:v>
      </x:c>
    </x:row>
    <x:row r="263">
      <x:c r="A263" s="27"/>
      <x:c r="B263" s="11"/>
      <x:c r="C263" s="28"/>
      <x:c r="T263" s="10" t="n">
        <x:f>IFERROR(INDEX(Generator!$A$2:$A$1826,(ROW()-2)*Assumptions!$B$7+MATCH($B$6,Assumptions!$D$5:$D$12,0)),"")</x:f>
        <x:v>46284</x:v>
      </x:c>
      <x:c r="U263" s="11" t="n">
        <x:f>IFERROR(INDEX(Generator!$H$2:$H$1826,(ROW()-2)*Assumptions!$B$7+MATCH($B$6,Assumptions!$D$5:$D$12,0)),"")</x:f>
        <x:v>1085.8546762931333</x:v>
      </x:c>
      <x:c r="V263" s="11" t="n">
        <x:f>IFERROR(INDEX(Generator!$I$2:$I$1826,(ROW()-2)*Assumptions!$B$7+MATCH($B$6,Assumptions!$D$5:$D$12,0)),"")</x:f>
        <x:v>1114.7646685262603</x:v>
      </x:c>
    </x:row>
    <x:row r="264">
      <x:c r="A264" s="27"/>
      <x:c r="B264" s="11"/>
      <x:c r="C264" s="28"/>
      <x:c r="T264" s="10" t="n">
        <x:f>IFERROR(INDEX(Generator!$A$2:$A$1826,(ROW()-2)*Assumptions!$B$7+MATCH($B$6,Assumptions!$D$5:$D$12,0)),"")</x:f>
        <x:v>46285</x:v>
      </x:c>
      <x:c r="U264" s="11" t="n">
        <x:f>IFERROR(INDEX(Generator!$H$2:$H$1826,(ROW()-2)*Assumptions!$B$7+MATCH($B$6,Assumptions!$D$5:$D$12,0)),"")</x:f>
        <x:v>1081.88131797021</x:v>
      </x:c>
      <x:c r="V264" s="11" t="n">
        <x:f>IFERROR(INDEX(Generator!$I$2:$I$1826,(ROW()-2)*Assumptions!$B$7+MATCH($B$6,Assumptions!$D$5:$D$12,0)),"")</x:f>
        <x:v>1105.481022394297</x:v>
      </x:c>
    </x:row>
    <x:row r="265">
      <x:c r="A265" s="27"/>
      <x:c r="B265" s="11"/>
      <x:c r="C265" s="28"/>
      <x:c r="T265" s="10" t="n">
        <x:f>IFERROR(INDEX(Generator!$A$2:$A$1826,(ROW()-2)*Assumptions!$B$7+MATCH($B$6,Assumptions!$D$5:$D$12,0)),"")</x:f>
        <x:v>46286</x:v>
      </x:c>
      <x:c r="U265" s="11" t="n">
        <x:f>IFERROR(INDEX(Generator!$H$2:$H$1826,(ROW()-2)*Assumptions!$B$7+MATCH($B$6,Assumptions!$D$5:$D$12,0)),"")</x:f>
        <x:v>1122.5458416426695</x:v>
      </x:c>
      <x:c r="V265" s="11" t="n">
        <x:f>IFERROR(INDEX(Generator!$I$2:$I$1826,(ROW()-2)*Assumptions!$B$7+MATCH($B$6,Assumptions!$D$5:$D$12,0)),"")</x:f>
        <x:v>1109.107351088591</x:v>
      </x:c>
    </x:row>
    <x:row r="266">
      <x:c r="A266" s="27"/>
      <x:c r="B266" s="11"/>
      <x:c r="C266" s="28"/>
      <x:c r="T266" s="10" t="n">
        <x:f>IFERROR(INDEX(Generator!$A$2:$A$1826,(ROW()-2)*Assumptions!$B$7+MATCH($B$6,Assumptions!$D$5:$D$12,0)),"")</x:f>
        <x:v>46287</x:v>
      </x:c>
      <x:c r="U266" s="11" t="n">
        <x:f>IFERROR(INDEX(Generator!$H$2:$H$1826,(ROW()-2)*Assumptions!$B$7+MATCH($B$6,Assumptions!$D$5:$D$12,0)),"")</x:f>
        <x:v>1028.7946483165815</x:v>
      </x:c>
      <x:c r="V266" s="11" t="n">
        <x:f>IFERROR(INDEX(Generator!$I$2:$I$1826,(ROW()-2)*Assumptions!$B$7+MATCH($B$6,Assumptions!$D$5:$D$12,0)),"")</x:f>
        <x:v>1104.4071837273548</x:v>
      </x:c>
    </x:row>
    <x:row r="267">
      <x:c r="A267" s="27"/>
      <x:c r="B267" s="11"/>
      <x:c r="C267" s="28"/>
      <x:c r="T267" s="10" t="n">
        <x:f>IFERROR(INDEX(Generator!$A$2:$A$1826,(ROW()-2)*Assumptions!$B$7+MATCH($B$6,Assumptions!$D$5:$D$12,0)),"")</x:f>
        <x:v>46288</x:v>
      </x:c>
      <x:c r="U267" s="11" t="n">
        <x:f>IFERROR(INDEX(Generator!$H$2:$H$1826,(ROW()-2)*Assumptions!$B$7+MATCH($B$6,Assumptions!$D$5:$D$12,0)),"")</x:f>
        <x:v>1143.2674057441363</x:v>
      </x:c>
      <x:c r="V267" s="11" t="n">
        <x:f>IFERROR(INDEX(Generator!$I$2:$I$1826,(ROW()-2)*Assumptions!$B$7+MATCH($B$6,Assumptions!$D$5:$D$12,0)),"")</x:f>
        <x:v>1100.1114226717473</x:v>
      </x:c>
    </x:row>
    <x:row r="268">
      <x:c r="A268" s="27"/>
      <x:c r="B268" s="11"/>
      <x:c r="C268" s="28"/>
      <x:c r="T268" s="10" t="n">
        <x:f>IFERROR(INDEX(Generator!$A$2:$A$1826,(ROW()-2)*Assumptions!$B$7+MATCH($B$6,Assumptions!$D$5:$D$12,0)),"")</x:f>
        <x:v>46289</x:v>
      </x:c>
      <x:c r="U268" s="11" t="n">
        <x:f>IFERROR(INDEX(Generator!$H$2:$H$1826,(ROW()-2)*Assumptions!$B$7+MATCH($B$6,Assumptions!$D$5:$D$12,0)),"")</x:f>
        <x:v>1168.2477251876235</x:v>
      </x:c>
      <x:c r="V268" s="11" t="n">
        <x:f>IFERROR(INDEX(Generator!$I$2:$I$1826,(ROW()-2)*Assumptions!$B$7+MATCH($B$6,Assumptions!$D$5:$D$12,0)),"")</x:f>
        <x:v>1114.876321282242</x:v>
      </x:c>
    </x:row>
    <x:row r="269">
      <x:c r="A269" s="27"/>
      <x:c r="B269" s="11"/>
      <x:c r="C269" s="28"/>
      <x:c r="T269" s="10" t="n">
        <x:f>IFERROR(INDEX(Generator!$A$2:$A$1826,(ROW()-2)*Assumptions!$B$7+MATCH($B$6,Assumptions!$D$5:$D$12,0)),"")</x:f>
        <x:v>46290</x:v>
      </x:c>
      <x:c r="U269" s="11" t="n">
        <x:f>IFERROR(INDEX(Generator!$H$2:$H$1826,(ROW()-2)*Assumptions!$B$7+MATCH($B$6,Assumptions!$D$5:$D$12,0)),"")</x:f>
        <x:v>1176.6445389521093</x:v>
      </x:c>
      <x:c r="V269" s="11" t="n">
        <x:f>IFERROR(INDEX(Generator!$I$2:$I$1826,(ROW()-2)*Assumptions!$B$7+MATCH($B$6,Assumptions!$D$5:$D$12,0)),"")</x:f>
        <x:v>1115.3194505866377</x:v>
      </x:c>
    </x:row>
    <x:row r="270">
      <x:c r="A270" s="27"/>
      <x:c r="B270" s="11"/>
      <x:c r="C270" s="28"/>
      <x:c r="T270" s="10" t="n">
        <x:f>IFERROR(INDEX(Generator!$A$2:$A$1826,(ROW()-2)*Assumptions!$B$7+MATCH($B$6,Assumptions!$D$5:$D$12,0)),"")</x:f>
        <x:v>46291</x:v>
      </x:c>
      <x:c r="U270" s="11" t="n">
        <x:f>IFERROR(INDEX(Generator!$H$2:$H$1826,(ROW()-2)*Assumptions!$B$7+MATCH($B$6,Assumptions!$D$5:$D$12,0)),"")</x:f>
        <x:v>1163.19812800572</x:v>
      </x:c>
      <x:c r="V270" s="11" t="n">
        <x:f>IFERROR(INDEX(Generator!$I$2:$I$1826,(ROW()-2)*Assumptions!$B$7+MATCH($B$6,Assumptions!$D$5:$D$12,0)),"")</x:f>
        <x:v>1126.368515117007</x:v>
      </x:c>
    </x:row>
    <x:row r="271">
      <x:c r="A271" s="27"/>
      <x:c r="B271" s="11"/>
      <x:c r="C271" s="28"/>
      <x:c r="T271" s="10" t="n">
        <x:f>IFERROR(INDEX(Generator!$A$2:$A$1826,(ROW()-2)*Assumptions!$B$7+MATCH($B$6,Assumptions!$D$5:$D$12,0)),"")</x:f>
        <x:v>46292</x:v>
      </x:c>
      <x:c r="U271" s="11" t="n">
        <x:f>IFERROR(INDEX(Generator!$H$2:$H$1826,(ROW()-2)*Assumptions!$B$7+MATCH($B$6,Assumptions!$D$5:$D$12,0)),"")</x:f>
        <x:v>1078.8026653778409</x:v>
      </x:c>
      <x:c r="V271" s="11" t="n">
        <x:f>IFERROR(INDEX(Generator!$I$2:$I$1826,(ROW()-2)*Assumptions!$B$7+MATCH($B$6,Assumptions!$D$5:$D$12,0)),"")</x:f>
        <x:v>1125.9287076038115</x:v>
      </x:c>
    </x:row>
    <x:row r="272">
      <x:c r="A272" s="27"/>
      <x:c r="B272" s="11"/>
      <x:c r="C272" s="28"/>
      <x:c r="T272" s="10" t="n">
        <x:f>IFERROR(INDEX(Generator!$A$2:$A$1826,(ROW()-2)*Assumptions!$B$7+MATCH($B$6,Assumptions!$D$5:$D$12,0)),"")</x:f>
        <x:v>46293</x:v>
      </x:c>
      <x:c r="U272" s="11" t="n">
        <x:f>IFERROR(INDEX(Generator!$H$2:$H$1826,(ROW()-2)*Assumptions!$B$7+MATCH($B$6,Assumptions!$D$5:$D$12,0)),"")</x:f>
        <x:v>1185.9424156186892</x:v>
      </x:c>
      <x:c r="V272" s="11" t="n">
        <x:f>IFERROR(INDEX(Generator!$I$2:$I$1826,(ROW()-2)*Assumptions!$B$7+MATCH($B$6,Assumptions!$D$5:$D$12,0)),"")</x:f>
        <x:v>1134.9853610289572</x:v>
      </x:c>
    </x:row>
    <x:row r="273">
      <x:c r="A273" s="27"/>
      <x:c r="B273" s="11"/>
      <x:c r="C273" s="28"/>
      <x:c r="T273" s="10" t="n">
        <x:f>IFERROR(INDEX(Generator!$A$2:$A$1826,(ROW()-2)*Assumptions!$B$7+MATCH($B$6,Assumptions!$D$5:$D$12,0)),"")</x:f>
        <x:v>46294</x:v>
      </x:c>
      <x:c r="U273" s="11" t="n">
        <x:f>IFERROR(INDEX(Generator!$H$2:$H$1826,(ROW()-2)*Assumptions!$B$7+MATCH($B$6,Assumptions!$D$5:$D$12,0)),"")</x:f>
        <x:v>1136.2084251719875</x:v>
      </x:c>
      <x:c r="V273" s="11" t="n">
        <x:f>IFERROR(INDEX(Generator!$I$2:$I$1826,(ROW()-2)*Assumptions!$B$7+MATCH($B$6,Assumptions!$D$5:$D$12,0)),"")</x:f>
        <x:v>1150.3301862940152</x:v>
      </x:c>
    </x:row>
    <x:row r="274">
      <x:c r="A274" s="27"/>
      <x:c r="B274" s="11"/>
      <x:c r="C274" s="28"/>
      <x:c r="T274" s="10" t="n">
        <x:f>IFERROR(INDEX(Generator!$A$2:$A$1826,(ROW()-2)*Assumptions!$B$7+MATCH($B$6,Assumptions!$D$5:$D$12,0)),"")</x:f>
        <x:v>46295</x:v>
      </x:c>
      <x:c r="U274" s="11" t="n">
        <x:f>IFERROR(INDEX(Generator!$H$2:$H$1826,(ROW()-2)*Assumptions!$B$7+MATCH($B$6,Assumptions!$D$5:$D$12,0)),"")</x:f>
        <x:v>1147.222553135738</x:v>
      </x:c>
      <x:c r="V274" s="11" t="n">
        <x:f>IFERROR(INDEX(Generator!$I$2:$I$1826,(ROW()-2)*Assumptions!$B$7+MATCH($B$6,Assumptions!$D$5:$D$12,0)),"")</x:f>
        <x:v>1150.8952073499584</x:v>
      </x:c>
    </x:row>
    <x:row r="275">
      <x:c r="A275" s="27"/>
      <x:c r="B275" s="11"/>
      <x:c r="C275" s="28"/>
      <x:c r="T275" s="10" t="n">
        <x:f>IFERROR(INDEX(Generator!$A$2:$A$1826,(ROW()-2)*Assumptions!$B$7+MATCH($B$6,Assumptions!$D$5:$D$12,0)),"")</x:f>
        <x:v>46296</x:v>
      </x:c>
      <x:c r="U275" s="11" t="n">
        <x:f>IFERROR(INDEX(Generator!$H$2:$H$1826,(ROW()-2)*Assumptions!$B$7+MATCH($B$6,Assumptions!$D$5:$D$12,0)),"")</x:f>
        <x:v>1104.3771656326096</x:v>
      </x:c>
      <x:c r="V275" s="11" t="n">
        <x:f>IFERROR(INDEX(Generator!$I$2:$I$1826,(ROW()-2)*Assumptions!$B$7+MATCH($B$6,Assumptions!$D$5:$D$12,0)),"")</x:f>
        <x:v>1141.770841699242</x:v>
      </x:c>
    </x:row>
    <x:row r="276">
      <x:c r="A276" s="27"/>
      <x:c r="B276" s="11"/>
      <x:c r="C276" s="28"/>
      <x:c r="T276" s="10" t="n">
        <x:f>IFERROR(INDEX(Generator!$A$2:$A$1826,(ROW()-2)*Assumptions!$B$7+MATCH($B$6,Assumptions!$D$5:$D$12,0)),"")</x:f>
        <x:v>46297</x:v>
      </x:c>
      <x:c r="U276" s="11" t="n">
        <x:f>IFERROR(INDEX(Generator!$H$2:$H$1826,(ROW()-2)*Assumptions!$B$7+MATCH($B$6,Assumptions!$D$5:$D$12,0)),"")</x:f>
        <x:v>1107.3313598420493</x:v>
      </x:c>
      <x:c r="V276" s="11" t="n">
        <x:f>IFERROR(INDEX(Generator!$I$2:$I$1826,(ROW()-2)*Assumptions!$B$7+MATCH($B$6,Assumptions!$D$5:$D$12,0)),"")</x:f>
        <x:v>1131.8689589692333</x:v>
      </x:c>
    </x:row>
    <x:row r="277">
      <x:c r="A277" s="27"/>
      <x:c r="B277" s="11"/>
      <x:c r="C277" s="28"/>
      <x:c r="T277" s="10" t="n">
        <x:f>IFERROR(INDEX(Generator!$A$2:$A$1826,(ROW()-2)*Assumptions!$B$7+MATCH($B$6,Assumptions!$D$5:$D$12,0)),"")</x:f>
        <x:v>46298</x:v>
      </x:c>
      <x:c r="U277" s="11" t="n">
        <x:f>IFERROR(INDEX(Generator!$H$2:$H$1826,(ROW()-2)*Assumptions!$B$7+MATCH($B$6,Assumptions!$D$5:$D$12,0)),"")</x:f>
        <x:v>1067.2804822883693</x:v>
      </x:c>
      <x:c r="V277" s="11" t="n">
        <x:f>IFERROR(INDEX(Generator!$I$2:$I$1826,(ROW()-2)*Assumptions!$B$7+MATCH($B$6,Assumptions!$D$5:$D$12,0)),"")</x:f>
        <x:v>1118.166438152469</x:v>
      </x:c>
    </x:row>
    <x:row r="278">
      <x:c r="A278" s="27"/>
      <x:c r="B278" s="11"/>
      <x:c r="C278" s="28"/>
      <x:c r="T278" s="10" t="n">
        <x:f>IFERROR(INDEX(Generator!$A$2:$A$1826,(ROW()-2)*Assumptions!$B$7+MATCH($B$6,Assumptions!$D$5:$D$12,0)),"")</x:f>
        <x:v>46299</x:v>
      </x:c>
      <x:c r="U278" s="11" t="n">
        <x:f>IFERROR(INDEX(Generator!$H$2:$H$1826,(ROW()-2)*Assumptions!$B$7+MATCH($B$6,Assumptions!$D$5:$D$12,0)),"")</x:f>
        <x:v>1034.4475548447715</x:v>
      </x:c>
      <x:c r="V278" s="11" t="n">
        <x:f>IFERROR(INDEX(Generator!$I$2:$I$1826,(ROW()-2)*Assumptions!$B$7+MATCH($B$6,Assumptions!$D$5:$D$12,0)),"")</x:f>
        <x:v>1111.829993790602</x:v>
      </x:c>
    </x:row>
    <x:row r="279">
      <x:c r="A279" s="27"/>
      <x:c r="B279" s="11"/>
      <x:c r="C279" s="28"/>
      <x:c r="T279" s="10" t="n">
        <x:f>IFERROR(INDEX(Generator!$A$2:$A$1826,(ROW()-2)*Assumptions!$B$7+MATCH($B$6,Assumptions!$D$5:$D$12,0)),"")</x:f>
        <x:v>46300</x:v>
      </x:c>
      <x:c r="U279" s="11" t="n">
        <x:f>IFERROR(INDEX(Generator!$H$2:$H$1826,(ROW()-2)*Assumptions!$B$7+MATCH($B$6,Assumptions!$D$5:$D$12,0)),"")</x:f>
        <x:v>1172.0394658551595</x:v>
      </x:c>
      <x:c r="V279" s="11" t="n">
        <x:f>IFERROR(INDEX(Generator!$I$2:$I$1826,(ROW()-2)*Assumptions!$B$7+MATCH($B$6,Assumptions!$D$5:$D$12,0)),"")</x:f>
        <x:v>1109.843858110098</x:v>
      </x:c>
    </x:row>
    <x:row r="280">
      <x:c r="A280" s="27"/>
      <x:c r="B280" s="11"/>
      <x:c r="C280" s="28"/>
      <x:c r="T280" s="10" t="n">
        <x:f>IFERROR(INDEX(Generator!$A$2:$A$1826,(ROW()-2)*Assumptions!$B$7+MATCH($B$6,Assumptions!$D$5:$D$12,0)),"")</x:f>
        <x:v>46301</x:v>
      </x:c>
      <x:c r="U280" s="11" t="n">
        <x:f>IFERROR(INDEX(Generator!$H$2:$H$1826,(ROW()-2)*Assumptions!$B$7+MATCH($B$6,Assumptions!$D$5:$D$12,0)),"")</x:f>
        <x:v>1127.4777614062825</x:v>
      </x:c>
      <x:c r="V280" s="11" t="n">
        <x:f>IFERROR(INDEX(Generator!$I$2:$I$1826,(ROW()-2)*Assumptions!$B$7+MATCH($B$6,Assumptions!$D$5:$D$12,0)),"")</x:f>
        <x:v>1108.596620429283</x:v>
      </x:c>
    </x:row>
    <x:row r="281">
      <x:c r="A281" s="27"/>
      <x:c r="B281" s="11"/>
      <x:c r="C281" s="28"/>
      <x:c r="T281" s="10" t="n">
        <x:f>IFERROR(INDEX(Generator!$A$2:$A$1826,(ROW()-2)*Assumptions!$B$7+MATCH($B$6,Assumptions!$D$5:$D$12,0)),"")</x:f>
        <x:v>46302</x:v>
      </x:c>
      <x:c r="U281" s="11" t="n">
        <x:f>IFERROR(INDEX(Generator!$H$2:$H$1826,(ROW()-2)*Assumptions!$B$7+MATCH($B$6,Assumptions!$D$5:$D$12,0)),"")</x:f>
        <x:v>1132.5817028741292</x:v>
      </x:c>
      <x:c r="V281" s="11" t="n">
        <x:f>IFERROR(INDEX(Generator!$I$2:$I$1826,(ROW()-2)*Assumptions!$B$7+MATCH($B$6,Assumptions!$D$5:$D$12,0)),"")</x:f>
        <x:v>1106.50507039191</x:v>
      </x:c>
    </x:row>
    <x:row r="282">
      <x:c r="A282" s="27"/>
      <x:c r="B282" s="11"/>
      <x:c r="C282" s="28"/>
      <x:c r="T282" s="10" t="n">
        <x:f>IFERROR(INDEX(Generator!$A$2:$A$1826,(ROW()-2)*Assumptions!$B$7+MATCH($B$6,Assumptions!$D$5:$D$12,0)),"")</x:f>
        <x:v>46303</x:v>
      </x:c>
      <x:c r="U282" s="11" t="n">
        <x:f>IFERROR(INDEX(Generator!$H$2:$H$1826,(ROW()-2)*Assumptions!$B$7+MATCH($B$6,Assumptions!$D$5:$D$12,0)),"")</x:f>
        <x:v>1186.0479974706363</x:v>
      </x:c>
      <x:c r="V282" s="11" t="n">
        <x:f>IFERROR(INDEX(Generator!$I$2:$I$1826,(ROW()-2)*Assumptions!$B$7+MATCH($B$6,Assumptions!$D$5:$D$12,0)),"")</x:f>
        <x:v>1118.1723320830567</x:v>
      </x:c>
    </x:row>
    <x:row r="283">
      <x:c r="A283" s="27"/>
      <x:c r="B283" s="11"/>
      <x:c r="C283" s="28"/>
      <x:c r="T283" s="10" t="n">
        <x:f>IFERROR(INDEX(Generator!$A$2:$A$1826,(ROW()-2)*Assumptions!$B$7+MATCH($B$6,Assumptions!$D$5:$D$12,0)),"")</x:f>
        <x:v>46304</x:v>
      </x:c>
      <x:c r="U283" s="11" t="n">
        <x:f>IFERROR(INDEX(Generator!$H$2:$H$1826,(ROW()-2)*Assumptions!$B$7+MATCH($B$6,Assumptions!$D$5:$D$12,0)),"")</x:f>
        <x:v>1133.9070214175863</x:v>
      </x:c>
      <x:c r="V283" s="11" t="n">
        <x:f>IFERROR(INDEX(Generator!$I$2:$I$1826,(ROW()-2)*Assumptions!$B$7+MATCH($B$6,Assumptions!$D$5:$D$12,0)),"")</x:f>
        <x:v>1121.9688551652764</x:v>
      </x:c>
    </x:row>
    <x:row r="284">
      <x:c r="A284" s="27"/>
      <x:c r="B284" s="11"/>
      <x:c r="C284" s="28"/>
      <x:c r="T284" s="10" t="n">
        <x:f>IFERROR(INDEX(Generator!$A$2:$A$1826,(ROW()-2)*Assumptions!$B$7+MATCH($B$6,Assumptions!$D$5:$D$12,0)),"")</x:f>
        <x:v>46305</x:v>
      </x:c>
      <x:c r="U284" s="11" t="n">
        <x:f>IFERROR(INDEX(Generator!$H$2:$H$1826,(ROW()-2)*Assumptions!$B$7+MATCH($B$6,Assumptions!$D$5:$D$12,0)),"")</x:f>
        <x:v>1105.6934525658526</x:v>
      </x:c>
      <x:c r="V284" s="11" t="n">
        <x:f>IFERROR(INDEX(Generator!$I$2:$I$1826,(ROW()-2)*Assumptions!$B$7+MATCH($B$6,Assumptions!$D$5:$D$12,0)),"")</x:f>
        <x:v>1127.456422347774</x:v>
      </x:c>
    </x:row>
    <x:row r="285">
      <x:c r="A285" s="27"/>
      <x:c r="B285" s="11"/>
      <x:c r="C285" s="28"/>
      <x:c r="T285" s="10" t="n">
        <x:f>IFERROR(INDEX(Generator!$A$2:$A$1826,(ROW()-2)*Assumptions!$B$7+MATCH($B$6,Assumptions!$D$5:$D$12,0)),"")</x:f>
        <x:v>46306</x:v>
      </x:c>
      <x:c r="U285" s="11" t="n">
        <x:f>IFERROR(INDEX(Generator!$H$2:$H$1826,(ROW()-2)*Assumptions!$B$7+MATCH($B$6,Assumptions!$D$5:$D$12,0)),"")</x:f>
        <x:v>1009.9115107358671</x:v>
      </x:c>
      <x:c r="V285" s="11" t="n">
        <x:f>IFERROR(INDEX(Generator!$I$2:$I$1826,(ROW()-2)*Assumptions!$B$7+MATCH($B$6,Assumptions!$D$5:$D$12,0)),"")</x:f>
        <x:v>1123.951273189359</x:v>
      </x:c>
    </x:row>
    <x:row r="286">
      <x:c r="A286" s="27"/>
      <x:c r="B286" s="11"/>
      <x:c r="C286" s="28"/>
      <x:c r="T286" s="10" t="n">
        <x:f>IFERROR(INDEX(Generator!$A$2:$A$1826,(ROW()-2)*Assumptions!$B$7+MATCH($B$6,Assumptions!$D$5:$D$12,0)),"")</x:f>
        <x:v>46307</x:v>
      </x:c>
      <x:c r="U286" s="11" t="n">
        <x:f>IFERROR(INDEX(Generator!$H$2:$H$1826,(ROW()-2)*Assumptions!$B$7+MATCH($B$6,Assumptions!$D$5:$D$12,0)),"")</x:f>
        <x:v>1140.411421717859</x:v>
      </x:c>
      <x:c r="V286" s="11" t="n">
        <x:f>IFERROR(INDEX(Generator!$I$2:$I$1826,(ROW()-2)*Assumptions!$B$7+MATCH($B$6,Assumptions!$D$5:$D$12,0)),"")</x:f>
        <x:v>1119.4329811697446</x:v>
      </x:c>
    </x:row>
    <x:row r="287">
      <x:c r="A287" s="27"/>
      <x:c r="B287" s="11"/>
      <x:c r="C287" s="28"/>
      <x:c r="T287" s="10" t="n">
        <x:f>IFERROR(INDEX(Generator!$A$2:$A$1826,(ROW()-2)*Assumptions!$B$7+MATCH($B$6,Assumptions!$D$5:$D$12,0)),"")</x:f>
        <x:v>46308</x:v>
      </x:c>
      <x:c r="U287" s="11" t="n">
        <x:f>IFERROR(INDEX(Generator!$H$2:$H$1826,(ROW()-2)*Assumptions!$B$7+MATCH($B$6,Assumptions!$D$5:$D$12,0)),"")</x:f>
        <x:v>1098.4039643975364</x:v>
      </x:c>
      <x:c r="V287" s="11" t="n">
        <x:f>IFERROR(INDEX(Generator!$I$2:$I$1826,(ROW()-2)*Assumptions!$B$7+MATCH($B$6,Assumptions!$D$5:$D$12,0)),"")</x:f>
        <x:v>1115.2795815970665</x:v>
      </x:c>
    </x:row>
    <x:row r="288">
      <x:c r="A288" s="27"/>
      <x:c r="B288" s="11"/>
      <x:c r="C288" s="28"/>
      <x:c r="T288" s="10" t="n">
        <x:f>IFERROR(INDEX(Generator!$A$2:$A$1826,(ROW()-2)*Assumptions!$B$7+MATCH($B$6,Assumptions!$D$5:$D$12,0)),"")</x:f>
        <x:v>46309</x:v>
      </x:c>
      <x:c r="U288" s="11" t="n">
        <x:f>IFERROR(INDEX(Generator!$H$2:$H$1826,(ROW()-2)*Assumptions!$B$7+MATCH($B$6,Assumptions!$D$5:$D$12,0)),"")</x:f>
        <x:v>1112.0760096511044</x:v>
      </x:c>
      <x:c r="V288" s="11" t="n">
        <x:f>IFERROR(INDEX(Generator!$I$2:$I$1826,(ROW()-2)*Assumptions!$B$7+MATCH($B$6,Assumptions!$D$5:$D$12,0)),"")</x:f>
        <x:v>1112.3501968509204</x:v>
      </x:c>
    </x:row>
    <x:row r="289">
      <x:c r="A289" s="27"/>
      <x:c r="B289" s="11"/>
      <x:c r="C289" s="28"/>
      <x:c r="T289" s="10" t="n">
        <x:f>IFERROR(INDEX(Generator!$A$2:$A$1826,(ROW()-2)*Assumptions!$B$7+MATCH($B$6,Assumptions!$D$5:$D$12,0)),"")</x:f>
        <x:v>46310</x:v>
      </x:c>
      <x:c r="U289" s="11" t="n">
        <x:f>IFERROR(INDEX(Generator!$H$2:$H$1826,(ROW()-2)*Assumptions!$B$7+MATCH($B$6,Assumptions!$D$5:$D$12,0)),"")</x:f>
        <x:v>1119.3595846524377</x:v>
      </x:c>
      <x:c r="V289" s="11" t="n">
        <x:f>IFERROR(INDEX(Generator!$I$2:$I$1826,(ROW()-2)*Assumptions!$B$7+MATCH($B$6,Assumptions!$D$5:$D$12,0)),"")</x:f>
        <x:v>1102.8232807340348</x:v>
      </x:c>
    </x:row>
    <x:row r="290">
      <x:c r="A290" s="27"/>
      <x:c r="B290" s="11"/>
      <x:c r="C290" s="28"/>
      <x:c r="T290" s="10" t="n">
        <x:f>IFERROR(INDEX(Generator!$A$2:$A$1826,(ROW()-2)*Assumptions!$B$7+MATCH($B$6,Assumptions!$D$5:$D$12,0)),"")</x:f>
        <x:v>46311</x:v>
      </x:c>
      <x:c r="U290" s="11" t="n">
        <x:f>IFERROR(INDEX(Generator!$H$2:$H$1826,(ROW()-2)*Assumptions!$B$7+MATCH($B$6,Assumptions!$D$5:$D$12,0)),"")</x:f>
        <x:v>1154.6493590168047</x:v>
      </x:c>
      <x:c r="V290" s="11" t="n">
        <x:f>IFERROR(INDEX(Generator!$I$2:$I$1826,(ROW()-2)*Assumptions!$B$7+MATCH($B$6,Assumptions!$D$5:$D$12,0)),"")</x:f>
        <x:v>1105.7864718196374</x:v>
      </x:c>
    </x:row>
    <x:row r="291">
      <x:c r="A291" s="27"/>
      <x:c r="B291" s="11"/>
      <x:c r="C291" s="28"/>
      <x:c r="T291" s="10" t="n">
        <x:f>IFERROR(INDEX(Generator!$A$2:$A$1826,(ROW()-2)*Assumptions!$B$7+MATCH($B$6,Assumptions!$D$5:$D$12,0)),"")</x:f>
        <x:v>46312</x:v>
      </x:c>
      <x:c r="U291" s="11" t="n">
        <x:f>IFERROR(INDEX(Generator!$H$2:$H$1826,(ROW()-2)*Assumptions!$B$7+MATCH($B$6,Assumptions!$D$5:$D$12,0)),"")</x:f>
        <x:v>1089.710417155191</x:v>
      </x:c>
      <x:c r="V291" s="11" t="n">
        <x:f>IFERROR(INDEX(Generator!$I$2:$I$1826,(ROW()-2)*Assumptions!$B$7+MATCH($B$6,Assumptions!$D$5:$D$12,0)),"")</x:f>
        <x:v>1103.5031810466858</x:v>
      </x:c>
    </x:row>
    <x:row r="292">
      <x:c r="A292" s="27"/>
      <x:c r="B292" s="11"/>
      <x:c r="C292" s="28"/>
      <x:c r="T292" s="10" t="n">
        <x:f>IFERROR(INDEX(Generator!$A$2:$A$1826,(ROW()-2)*Assumptions!$B$7+MATCH($B$6,Assumptions!$D$5:$D$12,0)),"")</x:f>
        <x:v>46313</x:v>
      </x:c>
      <x:c r="U292" s="11" t="n">
        <x:f>IFERROR(INDEX(Generator!$H$2:$H$1826,(ROW()-2)*Assumptions!$B$7+MATCH($B$6,Assumptions!$D$5:$D$12,0)),"")</x:f>
        <x:v>1099.9785024158184</x:v>
      </x:c>
      <x:c r="V292" s="11" t="n">
        <x:f>IFERROR(INDEX(Generator!$I$2:$I$1826,(ROW()-2)*Assumptions!$B$7+MATCH($B$6,Assumptions!$D$5:$D$12,0)),"")</x:f>
        <x:v>1116.3698941438215</x:v>
      </x:c>
    </x:row>
    <x:row r="293">
      <x:c r="A293" s="27"/>
      <x:c r="B293" s="11"/>
      <x:c r="C293" s="28"/>
      <x:c r="T293" s="10" t="n">
        <x:f>IFERROR(INDEX(Generator!$A$2:$A$1826,(ROW()-2)*Assumptions!$B$7+MATCH($B$6,Assumptions!$D$5:$D$12,0)),"")</x:f>
        <x:v>46314</x:v>
      </x:c>
      <x:c r="U293" s="11" t="n">
        <x:f>IFERROR(INDEX(Generator!$H$2:$H$1826,(ROW()-2)*Assumptions!$B$7+MATCH($B$6,Assumptions!$D$5:$D$12,0)),"")</x:f>
        <x:v>1071.85291566038</x:v>
      </x:c>
      <x:c r="V293" s="11" t="n">
        <x:f>IFERROR(INDEX(Generator!$I$2:$I$1826,(ROW()-2)*Assumptions!$B$7+MATCH($B$6,Assumptions!$D$5:$D$12,0)),"")</x:f>
        <x:v>1106.575821849896</x:v>
      </x:c>
    </x:row>
    <x:row r="294">
      <x:c r="A294" s="27"/>
      <x:c r="B294" s="11"/>
      <x:c r="C294" s="28"/>
      <x:c r="T294" s="10" t="n">
        <x:f>IFERROR(INDEX(Generator!$A$2:$A$1826,(ROW()-2)*Assumptions!$B$7+MATCH($B$6,Assumptions!$D$5:$D$12,0)),"")</x:f>
        <x:v>46315</x:v>
      </x:c>
      <x:c r="U294" s="11" t="n">
        <x:f>IFERROR(INDEX(Generator!$H$2:$H$1826,(ROW()-2)*Assumptions!$B$7+MATCH($B$6,Assumptions!$D$5:$D$12,0)),"")</x:f>
        <x:v>1171.1235303842382</x:v>
      </x:c>
      <x:c r="V294" s="11" t="n">
        <x:f>IFERROR(INDEX(Generator!$I$2:$I$1826,(ROW()-2)*Assumptions!$B$7+MATCH($B$6,Assumptions!$D$5:$D$12,0)),"")</x:f>
        <x:v>1116.9643312765677</x:v>
      </x:c>
    </x:row>
    <x:row r="295">
      <x:c r="A295" s="27"/>
      <x:c r="B295" s="11"/>
      <x:c r="C295" s="28"/>
      <x:c r="T295" s="10" t="n">
        <x:f>IFERROR(INDEX(Generator!$A$2:$A$1826,(ROW()-2)*Assumptions!$B$7+MATCH($B$6,Assumptions!$D$5:$D$12,0)),"")</x:f>
        <x:v>46316</x:v>
      </x:c>
      <x:c r="U295" s="11" t="n">
        <x:f>IFERROR(INDEX(Generator!$H$2:$H$1826,(ROW()-2)*Assumptions!$B$7+MATCH($B$6,Assumptions!$D$5:$D$12,0)),"")</x:f>
        <x:v>1159.0677260223135</x:v>
      </x:c>
      <x:c r="V295" s="11" t="n">
        <x:f>IFERROR(INDEX(Generator!$I$2:$I$1826,(ROW()-2)*Assumptions!$B$7+MATCH($B$6,Assumptions!$D$5:$D$12,0)),"")</x:f>
        <x:v>1123.6774336153119</x:v>
      </x:c>
    </x:row>
    <x:row r="296">
      <x:c r="A296" s="27"/>
      <x:c r="B296" s="11"/>
      <x:c r="C296" s="28"/>
      <x:c r="T296" s="10" t="n">
        <x:f>IFERROR(INDEX(Generator!$A$2:$A$1826,(ROW()-2)*Assumptions!$B$7+MATCH($B$6,Assumptions!$D$5:$D$12,0)),"")</x:f>
        <x:v>46317</x:v>
      </x:c>
      <x:c r="U296" s="11" t="n">
        <x:f>IFERROR(INDEX(Generator!$H$2:$H$1826,(ROW()-2)*Assumptions!$B$7+MATCH($B$6,Assumptions!$D$5:$D$12,0)),"")</x:f>
        <x:v>1153.979778279971</x:v>
      </x:c>
      <x:c r="V296" s="11" t="n">
        <x:f>IFERROR(INDEX(Generator!$I$2:$I$1826,(ROW()-2)*Assumptions!$B$7+MATCH($B$6,Assumptions!$D$5:$D$12,0)),"")</x:f>
        <x:v>1128.6231755621022</x:v>
      </x:c>
    </x:row>
    <x:row r="297">
      <x:c r="A297" s="27"/>
      <x:c r="B297" s="11"/>
      <x:c r="C297" s="28"/>
      <x:c r="T297" s="10" t="n">
        <x:f>IFERROR(INDEX(Generator!$A$2:$A$1826,(ROW()-2)*Assumptions!$B$7+MATCH($B$6,Assumptions!$D$5:$D$12,0)),"")</x:f>
        <x:v>46318</x:v>
      </x:c>
      <x:c r="U297" s="11" t="n">
        <x:f>IFERROR(INDEX(Generator!$H$2:$H$1826,(ROW()-2)*Assumptions!$B$7+MATCH($B$6,Assumptions!$D$5:$D$12,0)),"")</x:f>
        <x:v>1140.4563310352628</x:v>
      </x:c>
      <x:c r="V297" s="11" t="n">
        <x:f>IFERROR(INDEX(Generator!$I$2:$I$1826,(ROW()-2)*Assumptions!$B$7+MATCH($B$6,Assumptions!$D$5:$D$12,0)),"")</x:f>
        <x:v>1126.5956001361678</x:v>
      </x:c>
    </x:row>
    <x:row r="298">
      <x:c r="A298" s="27"/>
      <x:c r="B298" s="11"/>
      <x:c r="C298" s="28"/>
      <x:c r="T298" s="10" t="n">
        <x:f>IFERROR(INDEX(Generator!$A$2:$A$1826,(ROW()-2)*Assumptions!$B$7+MATCH($B$6,Assumptions!$D$5:$D$12,0)),"")</x:f>
        <x:v>46319</x:v>
      </x:c>
      <x:c r="U298" s="11" t="n">
        <x:f>IFERROR(INDEX(Generator!$H$2:$H$1826,(ROW()-2)*Assumptions!$B$7+MATCH($B$6,Assumptions!$D$5:$D$12,0)),"")</x:f>
        <x:v>1124.6508324902793</x:v>
      </x:c>
      <x:c r="V298" s="11" t="n">
        <x:f>IFERROR(INDEX(Generator!$I$2:$I$1826,(ROW()-2)*Assumptions!$B$7+MATCH($B$6,Assumptions!$D$5:$D$12,0)),"")</x:f>
        <x:v>1131.5870880411806</x:v>
      </x:c>
    </x:row>
    <x:row r="299">
      <x:c r="A299" s="27"/>
      <x:c r="B299" s="11"/>
      <x:c r="C299" s="28"/>
      <x:c r="T299" s="10" t="n">
        <x:f>IFERROR(INDEX(Generator!$A$2:$A$1826,(ROW()-2)*Assumptions!$B$7+MATCH($B$6,Assumptions!$D$5:$D$12,0)),"")</x:f>
        <x:v>46320</x:v>
      </x:c>
      <x:c r="U299" s="11" t="n">
        <x:f>IFERROR(INDEX(Generator!$H$2:$H$1826,(ROW()-2)*Assumptions!$B$7+MATCH($B$6,Assumptions!$D$5:$D$12,0)),"")</x:f>
        <x:v>1053.2028496618163</x:v>
      </x:c>
      <x:c r="V299" s="11" t="n">
        <x:f>IFERROR(INDEX(Generator!$I$2:$I$1826,(ROW()-2)*Assumptions!$B$7+MATCH($B$6,Assumptions!$D$5:$D$12,0)),"")</x:f>
        <x:v>1124.904851933466</x:v>
      </x:c>
    </x:row>
    <x:row r="300">
      <x:c r="A300" s="27"/>
      <x:c r="B300" s="11"/>
      <x:c r="C300" s="28"/>
      <x:c r="T300" s="10" t="n">
        <x:f>IFERROR(INDEX(Generator!$A$2:$A$1826,(ROW()-2)*Assumptions!$B$7+MATCH($B$6,Assumptions!$D$5:$D$12,0)),"")</x:f>
        <x:v>46321</x:v>
      </x:c>
      <x:c r="U300" s="11" t="n">
        <x:f>IFERROR(INDEX(Generator!$H$2:$H$1826,(ROW()-2)*Assumptions!$B$7+MATCH($B$6,Assumptions!$D$5:$D$12,0)),"")</x:f>
        <x:v>1153.8726680726977</x:v>
      </x:c>
      <x:c r="V300" s="11" t="n">
        <x:f>IFERROR(INDEX(Generator!$I$2:$I$1826,(ROW()-2)*Assumptions!$B$7+MATCH($B$6,Assumptions!$D$5:$D$12,0)),"")</x:f>
        <x:v>1136.6219594209397</x:v>
      </x:c>
    </x:row>
    <x:row r="301">
      <x:c r="A301" s="27"/>
      <x:c r="B301" s="11"/>
      <x:c r="C301" s="28"/>
      <x:c r="T301" s="10" t="n">
        <x:f>IFERROR(INDEX(Generator!$A$2:$A$1826,(ROW()-2)*Assumptions!$B$7+MATCH($B$6,Assumptions!$D$5:$D$12,0)),"")</x:f>
        <x:v>46322</x:v>
      </x:c>
      <x:c r="U301" s="11" t="n">
        <x:f>IFERROR(INDEX(Generator!$H$2:$H$1826,(ROW()-2)*Assumptions!$B$7+MATCH($B$6,Assumptions!$D$5:$D$12,0)),"")</x:f>
        <x:v>1117.8194751258939</x:v>
      </x:c>
      <x:c r="V301" s="11" t="n">
        <x:f>IFERROR(INDEX(Generator!$I$2:$I$1826,(ROW()-2)*Assumptions!$B$7+MATCH($B$6,Assumptions!$D$5:$D$12,0)),"")</x:f>
        <x:v>1129.0070943840335</x:v>
      </x:c>
    </x:row>
    <x:row r="302">
      <x:c r="A302" s="27"/>
      <x:c r="B302" s="11"/>
      <x:c r="C302" s="28"/>
      <x:c r="T302" s="10" t="n">
        <x:f>IFERROR(INDEX(Generator!$A$2:$A$1826,(ROW()-2)*Assumptions!$B$7+MATCH($B$6,Assumptions!$D$5:$D$12,0)),"")</x:f>
        <x:v>46323</x:v>
      </x:c>
      <x:c r="U302" s="11" t="n">
        <x:f>IFERROR(INDEX(Generator!$H$2:$H$1826,(ROW()-2)*Assumptions!$B$7+MATCH($B$6,Assumptions!$D$5:$D$12,0)),"")</x:f>
        <x:v>1169.6133953582594</x:v>
      </x:c>
      <x:c r="V302" s="11" t="n">
        <x:f>IFERROR(INDEX(Generator!$I$2:$I$1826,(ROW()-2)*Assumptions!$B$7+MATCH($B$6,Assumptions!$D$5:$D$12,0)),"")</x:f>
        <x:v>1130.513618574883</x:v>
      </x:c>
    </x:row>
    <x:row r="303">
      <x:c r="A303" s="27"/>
      <x:c r="B303" s="11"/>
      <x:c r="C303" s="28"/>
      <x:c r="T303" s="10" t="n">
        <x:f>IFERROR(INDEX(Generator!$A$2:$A$1826,(ROW()-2)*Assumptions!$B$7+MATCH($B$6,Assumptions!$D$5:$D$12,0)),"")</x:f>
        <x:v>46324</x:v>
      </x:c>
      <x:c r="U303" s="11" t="n">
        <x:f>IFERROR(INDEX(Generator!$H$2:$H$1826,(ROW()-2)*Assumptions!$B$7+MATCH($B$6,Assumptions!$D$5:$D$12,0)),"")</x:f>
        <x:v>1168.939515921616</x:v>
      </x:c>
      <x:c r="V303" s="11" t="n">
        <x:f>IFERROR(INDEX(Generator!$I$2:$I$1826,(ROW()-2)*Assumptions!$B$7+MATCH($B$6,Assumptions!$D$5:$D$12,0)),"")</x:f>
        <x:v>1132.6507239522605</x:v>
      </x:c>
    </x:row>
    <x:row r="304">
      <x:c r="A304" s="27"/>
      <x:c r="B304" s="11"/>
      <x:c r="C304" s="28"/>
      <x:c r="T304" s="10" t="n">
        <x:f>IFERROR(INDEX(Generator!$A$2:$A$1826,(ROW()-2)*Assumptions!$B$7+MATCH($B$6,Assumptions!$D$5:$D$12,0)),"")</x:f>
        <x:v>46325</x:v>
      </x:c>
      <x:c r="U304" s="11" t="n">
        <x:f>IFERROR(INDEX(Generator!$H$2:$H$1826,(ROW()-2)*Assumptions!$B$7+MATCH($B$6,Assumptions!$D$5:$D$12,0)),"")</x:f>
        <x:v>1066.2524489457846</x:v>
      </x:c>
      <x:c r="V304" s="11" t="n">
        <x:f>IFERROR(INDEX(Generator!$I$2:$I$1826,(ROW()-2)*Assumptions!$B$7+MATCH($B$6,Assumptions!$D$5:$D$12,0)),"")</x:f>
        <x:v>1122.0501693680494</x:v>
      </x:c>
    </x:row>
    <x:row r="305">
      <x:c r="A305" s="27"/>
      <x:c r="B305" s="11"/>
      <x:c r="C305" s="28"/>
      <x:c r="T305" s="10" t="n">
        <x:f>IFERROR(INDEX(Generator!$A$2:$A$1826,(ROW()-2)*Assumptions!$B$7+MATCH($B$6,Assumptions!$D$5:$D$12,0)),"")</x:f>
        <x:v>46326</x:v>
      </x:c>
      <x:c r="U305" s="11" t="n">
        <x:f>IFERROR(INDEX(Generator!$H$2:$H$1826,(ROW()-2)*Assumptions!$B$7+MATCH($B$6,Assumptions!$D$5:$D$12,0)),"")</x:f>
        <x:v>1089.553422509407</x:v>
      </x:c>
      <x:c r="V305" s="11" t="n">
        <x:f>IFERROR(INDEX(Generator!$I$2:$I$1826,(ROW()-2)*Assumptions!$B$7+MATCH($B$6,Assumptions!$D$5:$D$12,0)),"")</x:f>
        <x:v>1117.0362536564967</x:v>
      </x:c>
    </x:row>
    <x:row r="306">
      <x:c r="A306" s="27"/>
      <x:c r="B306" s="11"/>
      <x:c r="C306" s="28"/>
      <x:c r="T306" s="10" t="n">
        <x:f>IFERROR(INDEX(Generator!$A$2:$A$1826,(ROW()-2)*Assumptions!$B$7+MATCH($B$6,Assumptions!$D$5:$D$12,0)),"")</x:f>
        <x:v>46327</x:v>
      </x:c>
      <x:c r="U306" s="11" t="n">
        <x:f>IFERROR(INDEX(Generator!$H$2:$H$1826,(ROW()-2)*Assumptions!$B$7+MATCH($B$6,Assumptions!$D$5:$D$12,0)),"")</x:f>
        <x:v>1066.6168470680004</x:v>
      </x:c>
      <x:c r="V306" s="11" t="n">
        <x:f>IFERROR(INDEX(Generator!$I$2:$I$1826,(ROW()-2)*Assumptions!$B$7+MATCH($B$6,Assumptions!$D$5:$D$12,0)),"")</x:f>
        <x:v>1118.952539000237</x:v>
      </x:c>
    </x:row>
    <x:row r="307">
      <x:c r="A307" s="27"/>
      <x:c r="B307" s="11"/>
      <x:c r="C307" s="28"/>
      <x:c r="T307" s="10" t="n">
        <x:f>IFERROR(INDEX(Generator!$A$2:$A$1826,(ROW()-2)*Assumptions!$B$7+MATCH($B$6,Assumptions!$D$5:$D$12,0)),"")</x:f>
        <x:v>46328</x:v>
      </x:c>
      <x:c r="U307" s="11" t="n">
        <x:f>IFERROR(INDEX(Generator!$H$2:$H$1826,(ROW()-2)*Assumptions!$B$7+MATCH($B$6,Assumptions!$D$5:$D$12,0)),"")</x:f>
        <x:v>1039.5944150010805</x:v>
      </x:c>
      <x:c r="V307" s="11" t="n">
        <x:f>IFERROR(INDEX(Generator!$I$2:$I$1826,(ROW()-2)*Assumptions!$B$7+MATCH($B$6,Assumptions!$D$5:$D$12,0)),"")</x:f>
        <x:v>1102.6270742757204</x:v>
      </x:c>
    </x:row>
    <x:row r="308">
      <x:c r="A308" s="27"/>
      <x:c r="B308" s="11"/>
      <x:c r="C308" s="28"/>
      <x:c r="T308" s="10" t="n">
        <x:f>IFERROR(INDEX(Generator!$A$2:$A$1826,(ROW()-2)*Assumptions!$B$7+MATCH($B$6,Assumptions!$D$5:$D$12,0)),"")</x:f>
        <x:v>46329</x:v>
      </x:c>
      <x:c r="U308" s="11" t="n">
        <x:f>IFERROR(INDEX(Generator!$H$2:$H$1826,(ROW()-2)*Assumptions!$B$7+MATCH($B$6,Assumptions!$D$5:$D$12,0)),"")</x:f>
        <x:v>1111.5056897567392</x:v>
      </x:c>
      <x:c r="V308" s="11" t="n">
        <x:f>IFERROR(INDEX(Generator!$I$2:$I$1826,(ROW()-2)*Assumptions!$B$7+MATCH($B$6,Assumptions!$D$5:$D$12,0)),"")</x:f>
        <x:v>1101.7251049372696</x:v>
      </x:c>
    </x:row>
    <x:row r="309">
      <x:c r="A309" s="27"/>
      <x:c r="B309" s="11"/>
      <x:c r="C309" s="28"/>
      <x:c r="T309" s="10" t="n">
        <x:f>IFERROR(INDEX(Generator!$A$2:$A$1826,(ROW()-2)*Assumptions!$B$7+MATCH($B$6,Assumptions!$D$5:$D$12,0)),"")</x:f>
        <x:v>46330</x:v>
      </x:c>
      <x:c r="U309" s="11" t="n">
        <x:f>IFERROR(INDEX(Generator!$H$2:$H$1826,(ROW()-2)*Assumptions!$B$7+MATCH($B$6,Assumptions!$D$5:$D$12,0)),"")</x:f>
        <x:v>1141.7752772376477</x:v>
      </x:c>
      <x:c r="V309" s="11" t="n">
        <x:f>IFERROR(INDEX(Generator!$I$2:$I$1826,(ROW()-2)*Assumptions!$B$7+MATCH($B$6,Assumptions!$D$5:$D$12,0)),"")</x:f>
        <x:v>1097.7482309200393</x:v>
      </x:c>
    </x:row>
    <x:row r="310">
      <x:c r="A310" s="27"/>
      <x:c r="B310" s="11"/>
      <x:c r="C310" s="28"/>
      <x:c r="T310" s="10" t="n">
        <x:f>IFERROR(INDEX(Generator!$A$2:$A$1826,(ROW()-2)*Assumptions!$B$7+MATCH($B$6,Assumptions!$D$5:$D$12,0)),"")</x:f>
        <x:v>46331</x:v>
      </x:c>
      <x:c r="U310" s="11" t="n">
        <x:f>IFERROR(INDEX(Generator!$H$2:$H$1826,(ROW()-2)*Assumptions!$B$7+MATCH($B$6,Assumptions!$D$5:$D$12,0)),"")</x:f>
        <x:v>1217.020439866792</x:v>
      </x:c>
      <x:c r="V310" s="11" t="n">
        <x:f>IFERROR(INDEX(Generator!$I$2:$I$1826,(ROW()-2)*Assumptions!$B$7+MATCH($B$6,Assumptions!$D$5:$D$12,0)),"")</x:f>
        <x:v>1104.6169343407787</x:v>
      </x:c>
    </x:row>
    <x:row r="311">
      <x:c r="A311" s="27"/>
      <x:c r="B311" s="11"/>
      <x:c r="C311" s="28"/>
      <x:c r="T311" s="10" t="n">
        <x:f>IFERROR(INDEX(Generator!$A$2:$A$1826,(ROW()-2)*Assumptions!$B$7+MATCH($B$6,Assumptions!$D$5:$D$12,0)),"")</x:f>
        <x:v>46332</x:v>
      </x:c>
      <x:c r="U311" s="11" t="n">
        <x:f>IFERROR(INDEX(Generator!$H$2:$H$1826,(ROW()-2)*Assumptions!$B$7+MATCH($B$6,Assumptions!$D$5:$D$12,0)),"")</x:f>
        <x:v>1132.8683638453344</x:v>
      </x:c>
      <x:c r="V311" s="11" t="n">
        <x:f>IFERROR(INDEX(Generator!$I$2:$I$1826,(ROW()-2)*Assumptions!$B$7+MATCH($B$6,Assumptions!$D$5:$D$12,0)),"")</x:f>
        <x:v>1114.1334936121432</x:v>
      </x:c>
    </x:row>
    <x:row r="312">
      <x:c r="A312" s="27"/>
      <x:c r="B312" s="11"/>
      <x:c r="C312" s="28"/>
      <x:c r="T312" s="10" t="n">
        <x:f>IFERROR(INDEX(Generator!$A$2:$A$1826,(ROW()-2)*Assumptions!$B$7+MATCH($B$6,Assumptions!$D$5:$D$12,0)),"")</x:f>
        <x:v>46333</x:v>
      </x:c>
      <x:c r="U312" s="11" t="n">
        <x:f>IFERROR(INDEX(Generator!$H$2:$H$1826,(ROW()-2)*Assumptions!$B$7+MATCH($B$6,Assumptions!$D$5:$D$12,0)),"")</x:f>
        <x:v>1060.6138306223158</x:v>
      </x:c>
      <x:c r="V312" s="11" t="n">
        <x:f>IFERROR(INDEX(Generator!$I$2:$I$1826,(ROW()-2)*Assumptions!$B$7+MATCH($B$6,Assumptions!$D$5:$D$12,0)),"")</x:f>
        <x:v>1109.9992661997017</x:v>
      </x:c>
    </x:row>
    <x:row r="313">
      <x:c r="A313" s="27"/>
      <x:c r="B313" s="11"/>
      <x:c r="C313" s="28"/>
      <x:c r="T313" s="10" t="n">
        <x:f>IFERROR(INDEX(Generator!$A$2:$A$1826,(ROW()-2)*Assumptions!$B$7+MATCH($B$6,Assumptions!$D$5:$D$12,0)),"")</x:f>
        <x:v>46334</x:v>
      </x:c>
      <x:c r="U313" s="11" t="n">
        <x:f>IFERROR(INDEX(Generator!$H$2:$H$1826,(ROW()-2)*Assumptions!$B$7+MATCH($B$6,Assumptions!$D$5:$D$12,0)),"")</x:f>
        <x:v>1136.9489713751457</x:v>
      </x:c>
      <x:c r="V313" s="11" t="n">
        <x:f>IFERROR(INDEX(Generator!$I$2:$I$1826,(ROW()-2)*Assumptions!$B$7+MATCH($B$6,Assumptions!$D$5:$D$12,0)),"")</x:f>
        <x:v>1120.0467125292937</x:v>
      </x:c>
    </x:row>
    <x:row r="314">
      <x:c r="A314" s="27"/>
      <x:c r="B314" s="11"/>
      <x:c r="C314" s="28"/>
      <x:c r="T314" s="10" t="n">
        <x:f>IFERROR(INDEX(Generator!$A$2:$A$1826,(ROW()-2)*Assumptions!$B$7+MATCH($B$6,Assumptions!$D$5:$D$12,0)),"")</x:f>
        <x:v>46335</x:v>
      </x:c>
      <x:c r="U314" s="11" t="n">
        <x:f>IFERROR(INDEX(Generator!$H$2:$H$1826,(ROW()-2)*Assumptions!$B$7+MATCH($B$6,Assumptions!$D$5:$D$12,0)),"")</x:f>
        <x:v>1215.9151803035652</x:v>
      </x:c>
      <x:c r="V314" s="11" t="n">
        <x:f>IFERROR(INDEX(Generator!$I$2:$I$1826,(ROW()-2)*Assumptions!$B$7+MATCH($B$6,Assumptions!$D$5:$D$12,0)),"")</x:f>
        <x:v>1145.2353932867916</x:v>
      </x:c>
    </x:row>
    <x:row r="315">
      <x:c r="A315" s="27"/>
      <x:c r="B315" s="11"/>
      <x:c r="C315" s="28"/>
      <x:c r="T315" s="10" t="n">
        <x:f>IFERROR(INDEX(Generator!$A$2:$A$1826,(ROW()-2)*Assumptions!$B$7+MATCH($B$6,Assumptions!$D$5:$D$12,0)),"")</x:f>
        <x:v>46336</x:v>
      </x:c>
      <x:c r="U315" s="11" t="n">
        <x:f>IFERROR(INDEX(Generator!$H$2:$H$1826,(ROW()-2)*Assumptions!$B$7+MATCH($B$6,Assumptions!$D$5:$D$12,0)),"")</x:f>
        <x:v>1141.1741892016069</x:v>
      </x:c>
      <x:c r="V315" s="11" t="n">
        <x:f>IFERROR(INDEX(Generator!$I$2:$I$1826,(ROW()-2)*Assumptions!$B$7+MATCH($B$6,Assumptions!$D$5:$D$12,0)),"")</x:f>
        <x:v>1149.4737503503438</x:v>
      </x:c>
    </x:row>
    <x:row r="316">
      <x:c r="A316" s="27"/>
      <x:c r="B316" s="11"/>
      <x:c r="C316" s="28"/>
      <x:c r="T316" s="10" t="n">
        <x:f>IFERROR(INDEX(Generator!$A$2:$A$1826,(ROW()-2)*Assumptions!$B$7+MATCH($B$6,Assumptions!$D$5:$D$12,0)),"")</x:f>
        <x:v>46337</x:v>
      </x:c>
      <x:c r="U316" s="11" t="n">
        <x:f>IFERROR(INDEX(Generator!$H$2:$H$1826,(ROW()-2)*Assumptions!$B$7+MATCH($B$6,Assumptions!$D$5:$D$12,0)),"")</x:f>
        <x:v>1102.3942016536748</x:v>
      </x:c>
      <x:c r="V316" s="11" t="n">
        <x:f>IFERROR(INDEX(Generator!$I$2:$I$1826,(ROW()-2)*Assumptions!$B$7+MATCH($B$6,Assumptions!$D$5:$D$12,0)),"")</x:f>
        <x:v>1143.8478824097765</x:v>
      </x:c>
    </x:row>
    <x:row r="317">
      <x:c r="A317" s="27"/>
      <x:c r="B317" s="11"/>
      <x:c r="C317" s="28"/>
      <x:c r="T317" s="10" t="n">
        <x:f>IFERROR(INDEX(Generator!$A$2:$A$1826,(ROW()-2)*Assumptions!$B$7+MATCH($B$6,Assumptions!$D$5:$D$12,0)),"")</x:f>
        <x:v>46338</x:v>
      </x:c>
      <x:c r="U317" s="11" t="n">
        <x:f>IFERROR(INDEX(Generator!$H$2:$H$1826,(ROW()-2)*Assumptions!$B$7+MATCH($B$6,Assumptions!$D$5:$D$12,0)),"")</x:f>
        <x:v>1189.457062738127</x:v>
      </x:c>
      <x:c r="V317" s="11" t="n">
        <x:f>IFERROR(INDEX(Generator!$I$2:$I$1826,(ROW()-2)*Assumptions!$B$7+MATCH($B$6,Assumptions!$D$5:$D$12,0)),"")</x:f>
        <x:v>1139.9102571056815</x:v>
      </x:c>
    </x:row>
    <x:row r="318">
      <x:c r="A318" s="27"/>
      <x:c r="B318" s="11"/>
      <x:c r="C318" s="28"/>
      <x:c r="T318" s="10" t="n">
        <x:f>IFERROR(INDEX(Generator!$A$2:$A$1826,(ROW()-2)*Assumptions!$B$7+MATCH($B$6,Assumptions!$D$5:$D$12,0)),"")</x:f>
        <x:v>46339</x:v>
      </x:c>
      <x:c r="U318" s="11" t="n">
        <x:f>IFERROR(INDEX(Generator!$H$2:$H$1826,(ROW()-2)*Assumptions!$B$7+MATCH($B$6,Assumptions!$D$5:$D$12,0)),"")</x:f>
        <x:v>1166.2505700492852</x:v>
      </x:c>
      <x:c r="V318" s="11" t="n">
        <x:f>IFERROR(INDEX(Generator!$I$2:$I$1826,(ROW()-2)*Assumptions!$B$7+MATCH($B$6,Assumptions!$D$5:$D$12,0)),"")</x:f>
        <x:v>1144.6791437062457</x:v>
      </x:c>
    </x:row>
    <x:row r="319">
      <x:c r="A319" s="27"/>
      <x:c r="B319" s="11"/>
      <x:c r="C319" s="28"/>
      <x:c r="T319" s="10" t="n">
        <x:f>IFERROR(INDEX(Generator!$A$2:$A$1826,(ROW()-2)*Assumptions!$B$7+MATCH($B$6,Assumptions!$D$5:$D$12,0)),"")</x:f>
        <x:v>46340</x:v>
      </x:c>
      <x:c r="U319" s="11" t="n">
        <x:f>IFERROR(INDEX(Generator!$H$2:$H$1826,(ROW()-2)*Assumptions!$B$7+MATCH($B$6,Assumptions!$D$5:$D$12,0)),"")</x:f>
        <x:v>1102.3328665186575</x:v>
      </x:c>
      <x:c r="V319" s="11" t="n">
        <x:f>IFERROR(INDEX(Generator!$I$2:$I$1826,(ROW()-2)*Assumptions!$B$7+MATCH($B$6,Assumptions!$D$5:$D$12,0)),"")</x:f>
        <x:v>1150.6390059771518</x:v>
      </x:c>
    </x:row>
    <x:row r="320">
      <x:c r="A320" s="27"/>
      <x:c r="B320" s="11"/>
      <x:c r="C320" s="28"/>
      <x:c r="T320" s="10" t="n">
        <x:f>IFERROR(INDEX(Generator!$A$2:$A$1826,(ROW()-2)*Assumptions!$B$7+MATCH($B$6,Assumptions!$D$5:$D$12,0)),"")</x:f>
        <x:v>46341</x:v>
      </x:c>
      <x:c r="U320" s="11" t="n">
        <x:f>IFERROR(INDEX(Generator!$H$2:$H$1826,(ROW()-2)*Assumptions!$B$7+MATCH($B$6,Assumptions!$D$5:$D$12,0)),"")</x:f>
        <x:v>1078.8673045219866</x:v>
      </x:c>
      <x:c r="V320" s="11" t="n">
        <x:f>IFERROR(INDEX(Generator!$I$2:$I$1826,(ROW()-2)*Assumptions!$B$7+MATCH($B$6,Assumptions!$D$5:$D$12,0)),"")</x:f>
        <x:v>1142.341624998129</x:v>
      </x:c>
    </x:row>
    <x:row r="321">
      <x:c r="A321" s="27"/>
      <x:c r="B321" s="11"/>
      <x:c r="C321" s="28"/>
      <x:c r="T321" s="10" t="n">
        <x:f>IFERROR(INDEX(Generator!$A$2:$A$1826,(ROW()-2)*Assumptions!$B$7+MATCH($B$6,Assumptions!$D$5:$D$12,0)),"")</x:f>
        <x:v>46342</x:v>
      </x:c>
      <x:c r="U321" s="11" t="n">
        <x:f>IFERROR(INDEX(Generator!$H$2:$H$1826,(ROW()-2)*Assumptions!$B$7+MATCH($B$6,Assumptions!$D$5:$D$12,0)),"")</x:f>
        <x:v>1108.264304710971</x:v>
      </x:c>
      <x:c r="V321" s="11" t="n">
        <x:f>IFERROR(INDEX(Generator!$I$2:$I$1826,(ROW()-2)*Assumptions!$B$7+MATCH($B$6,Assumptions!$D$5:$D$12,0)),"")</x:f>
        <x:v>1126.9629284849013</x:v>
      </x:c>
    </x:row>
    <x:row r="322">
      <x:c r="A322" s="27"/>
      <x:c r="B322" s="11"/>
      <x:c r="C322" s="28"/>
      <x:c r="T322" s="10" t="n">
        <x:f>IFERROR(INDEX(Generator!$A$2:$A$1826,(ROW()-2)*Assumptions!$B$7+MATCH($B$6,Assumptions!$D$5:$D$12,0)),"")</x:f>
        <x:v>46343</x:v>
      </x:c>
      <x:c r="U322" s="11" t="n">
        <x:f>IFERROR(INDEX(Generator!$H$2:$H$1826,(ROW()-2)*Assumptions!$B$7+MATCH($B$6,Assumptions!$D$5:$D$12,0)),"")</x:f>
        <x:v>1166.097320505307</x:v>
      </x:c>
      <x:c r="V322" s="11" t="n">
        <x:f>IFERROR(INDEX(Generator!$I$2:$I$1826,(ROW()-2)*Assumptions!$B$7+MATCH($B$6,Assumptions!$D$5:$D$12,0)),"")</x:f>
        <x:v>1130.5233758140014</x:v>
      </x:c>
    </x:row>
    <x:row r="323">
      <x:c r="A323" s="27"/>
      <x:c r="B323" s="11"/>
      <x:c r="C323" s="28"/>
      <x:c r="T323" s="10" t="n">
        <x:f>IFERROR(INDEX(Generator!$A$2:$A$1826,(ROW()-2)*Assumptions!$B$7+MATCH($B$6,Assumptions!$D$5:$D$12,0)),"")</x:f>
        <x:v>46344</x:v>
      </x:c>
      <x:c r="U323" s="11" t="n">
        <x:f>IFERROR(INDEX(Generator!$H$2:$H$1826,(ROW()-2)*Assumptions!$B$7+MATCH($B$6,Assumptions!$D$5:$D$12,0)),"")</x:f>
        <x:v>1117.4740248396422</x:v>
      </x:c>
      <x:c r="V323" s="11" t="n">
        <x:f>IFERROR(INDEX(Generator!$I$2:$I$1826,(ROW()-2)*Assumptions!$B$7+MATCH($B$6,Assumptions!$D$5:$D$12,0)),"")</x:f>
        <x:v>1132.6776362691394</x:v>
      </x:c>
    </x:row>
    <x:row r="324">
      <x:c r="A324" s="27"/>
      <x:c r="B324" s="11"/>
      <x:c r="C324" s="28"/>
      <x:c r="T324" s="10" t="n">
        <x:f>IFERROR(INDEX(Generator!$A$2:$A$1826,(ROW()-2)*Assumptions!$B$7+MATCH($B$6,Assumptions!$D$5:$D$12,0)),"")</x:f>
        <x:v>46345</x:v>
      </x:c>
      <x:c r="U324" s="11" t="n">
        <x:f>IFERROR(INDEX(Generator!$H$2:$H$1826,(ROW()-2)*Assumptions!$B$7+MATCH($B$6,Assumptions!$D$5:$D$12,0)),"")</x:f>
        <x:v>1131.2677626788666</x:v>
      </x:c>
      <x:c r="V324" s="11" t="n">
        <x:f>IFERROR(INDEX(Generator!$I$2:$I$1826,(ROW()-2)*Assumptions!$B$7+MATCH($B$6,Assumptions!$D$5:$D$12,0)),"")</x:f>
        <x:v>1124.3648791178166</x:v>
      </x:c>
    </x:row>
    <x:row r="325">
      <x:c r="A325" s="27"/>
      <x:c r="B325" s="11"/>
      <x:c r="C325" s="28"/>
      <x:c r="T325" s="10" t="n">
        <x:f>IFERROR(INDEX(Generator!$A$2:$A$1826,(ROW()-2)*Assumptions!$B$7+MATCH($B$6,Assumptions!$D$5:$D$12,0)),"")</x:f>
        <x:v>46346</x:v>
      </x:c>
      <x:c r="U325" s="11" t="n">
        <x:f>IFERROR(INDEX(Generator!$H$2:$H$1826,(ROW()-2)*Assumptions!$B$7+MATCH($B$6,Assumptions!$D$5:$D$12,0)),"")</x:f>
        <x:v>1112.3364733202166</x:v>
      </x:c>
      <x:c r="V325" s="11" t="n">
        <x:f>IFERROR(INDEX(Generator!$I$2:$I$1826,(ROW()-2)*Assumptions!$B$7+MATCH($B$6,Assumptions!$D$5:$D$12,0)),"")</x:f>
        <x:v>1116.6628652993782</x:v>
      </x:c>
    </x:row>
    <x:row r="326">
      <x:c r="A326" s="27"/>
      <x:c r="B326" s="11"/>
      <x:c r="C326" s="28"/>
      <x:c r="T326" s="10" t="n">
        <x:f>IFERROR(INDEX(Generator!$A$2:$A$1826,(ROW()-2)*Assumptions!$B$7+MATCH($B$6,Assumptions!$D$5:$D$12,0)),"")</x:f>
        <x:v>46347</x:v>
      </x:c>
      <x:c r="U326" s="11" t="n">
        <x:f>IFERROR(INDEX(Generator!$H$2:$H$1826,(ROW()-2)*Assumptions!$B$7+MATCH($B$6,Assumptions!$D$5:$D$12,0)),"")</x:f>
        <x:v>994</x:v>
      </x:c>
      <x:c r="V326" s="11" t="n">
        <x:f>IFERROR(INDEX(Generator!$I$2:$I$1826,(ROW()-2)*Assumptions!$B$7+MATCH($B$6,Assumptions!$D$5:$D$12,0)),"")</x:f>
        <x:v>1101.1867415109984</x:v>
      </x:c>
    </x:row>
    <x:row r="327">
      <x:c r="A327" s="27"/>
      <x:c r="B327" s="11"/>
      <x:c r="C327" s="28"/>
      <x:c r="T327" s="10" t="n">
        <x:f>IFERROR(INDEX(Generator!$A$2:$A$1826,(ROW()-2)*Assumptions!$B$7+MATCH($B$6,Assumptions!$D$5:$D$12,0)),"")</x:f>
        <x:v>46348</x:v>
      </x:c>
      <x:c r="U327" s="11" t="n">
        <x:f>IFERROR(INDEX(Generator!$H$2:$H$1826,(ROW()-2)*Assumptions!$B$7+MATCH($B$6,Assumptions!$D$5:$D$12,0)),"")</x:f>
        <x:v>994</x:v>
      </x:c>
      <x:c r="V327" s="11" t="n">
        <x:f>IFERROR(INDEX(Generator!$I$2:$I$1826,(ROW()-2)*Assumptions!$B$7+MATCH($B$6,Assumptions!$D$5:$D$12,0)),"")</x:f>
        <x:v>1089.0628408650005</x:v>
      </x:c>
    </x:row>
    <x:row r="328">
      <x:c r="A328" s="27"/>
      <x:c r="B328" s="11"/>
      <x:c r="C328" s="28"/>
      <x:c r="T328" s="10" t="n">
        <x:f>IFERROR(INDEX(Generator!$A$2:$A$1826,(ROW()-2)*Assumptions!$B$7+MATCH($B$6,Assumptions!$D$5:$D$12,0)),"")</x:f>
        <x:v>46349</x:v>
      </x:c>
      <x:c r="U328" s="11" t="n">
        <x:f>IFERROR(INDEX(Generator!$H$2:$H$1826,(ROW()-2)*Assumptions!$B$7+MATCH($B$6,Assumptions!$D$5:$D$12,0)),"")</x:f>
        <x:v>994</x:v>
      </x:c>
      <x:c r="V328" s="11" t="n">
        <x:f>IFERROR(INDEX(Generator!$I$2:$I$1826,(ROW()-2)*Assumptions!$B$7+MATCH($B$6,Assumptions!$D$5:$D$12,0)),"")</x:f>
        <x:v>1072.7393687634333</x:v>
      </x:c>
    </x:row>
    <x:row r="329">
      <x:c r="A329" s="27"/>
      <x:c r="B329" s="11"/>
      <x:c r="C329" s="28"/>
      <x:c r="T329" s="10" t="n">
        <x:f>IFERROR(INDEX(Generator!$A$2:$A$1826,(ROW()-2)*Assumptions!$B$7+MATCH($B$6,Assumptions!$D$5:$D$12,0)),"")</x:f>
        <x:v>46350</x:v>
      </x:c>
      <x:c r="U329" s="11" t="n">
        <x:f>IFERROR(INDEX(Generator!$H$2:$H$1826,(ROW()-2)*Assumptions!$B$7+MATCH($B$6,Assumptions!$D$5:$D$12,0)),"")</x:f>
        <x:v>1143.0564103379143</x:v>
      </x:c>
      <x:c r="V329" s="11" t="n">
        <x:f>IFERROR(INDEX(Generator!$I$2:$I$1826,(ROW()-2)*Assumptions!$B$7+MATCH($B$6,Assumptions!$D$5:$D$12,0)),"")</x:f>
        <x:v>1069.4478101680913</x:v>
      </x:c>
    </x:row>
    <x:row r="330">
      <x:c r="A330" s="27"/>
      <x:c r="B330" s="11"/>
      <x:c r="C330" s="28"/>
      <x:c r="T330" s="10" t="n">
        <x:f>IFERROR(INDEX(Generator!$A$2:$A$1826,(ROW()-2)*Assumptions!$B$7+MATCH($B$6,Assumptions!$D$5:$D$12,0)),"")</x:f>
        <x:v>46351</x:v>
      </x:c>
      <x:c r="U330" s="11" t="n">
        <x:f>IFERROR(INDEX(Generator!$H$2:$H$1826,(ROW()-2)*Assumptions!$B$7+MATCH($B$6,Assumptions!$D$5:$D$12,0)),"")</x:f>
        <x:v>1103.9972046954267</x:v>
      </x:c>
      <x:c r="V330" s="11" t="n">
        <x:f>IFERROR(INDEX(Generator!$I$2:$I$1826,(ROW()-2)*Assumptions!$B$7+MATCH($B$6,Assumptions!$D$5:$D$12,0)),"")</x:f>
        <x:v>1067.522550147489</x:v>
      </x:c>
    </x:row>
    <x:row r="331">
      <x:c r="A331" s="27"/>
      <x:c r="B331" s="11"/>
      <x:c r="C331" s="28"/>
      <x:c r="T331" s="10" t="n">
        <x:f>IFERROR(INDEX(Generator!$A$2:$A$1826,(ROW()-2)*Assumptions!$B$7+MATCH($B$6,Assumptions!$D$5:$D$12,0)),"")</x:f>
        <x:v>46352</x:v>
      </x:c>
      <x:c r="U331" s="11" t="n">
        <x:f>IFERROR(INDEX(Generator!$H$2:$H$1826,(ROW()-2)*Assumptions!$B$7+MATCH($B$6,Assumptions!$D$5:$D$12,0)),"")</x:f>
        <x:v>1104.9933539874191</x:v>
      </x:c>
      <x:c r="V331" s="11" t="n">
        <x:f>IFERROR(INDEX(Generator!$I$2:$I$1826,(ROW()-2)*Assumptions!$B$7+MATCH($B$6,Assumptions!$D$5:$D$12,0)),"")</x:f>
        <x:v>1063.7690631915682</x:v>
      </x:c>
    </x:row>
    <x:row r="332">
      <x:c r="A332" s="27"/>
      <x:c r="B332" s="11"/>
      <x:c r="C332" s="28"/>
      <x:c r="T332" s="10" t="n">
        <x:f>IFERROR(INDEX(Generator!$A$2:$A$1826,(ROW()-2)*Assumptions!$B$7+MATCH($B$6,Assumptions!$D$5:$D$12,0)),"")</x:f>
        <x:v>46353</x:v>
      </x:c>
      <x:c r="U332" s="11" t="n">
        <x:f>IFERROR(INDEX(Generator!$H$2:$H$1826,(ROW()-2)*Assumptions!$B$7+MATCH($B$6,Assumptions!$D$5:$D$12,0)),"")</x:f>
        <x:v>1073.1285655364159</x:v>
      </x:c>
      <x:c r="V332" s="11" t="n">
        <x:f>IFERROR(INDEX(Generator!$I$2:$I$1826,(ROW()-2)*Assumptions!$B$7+MATCH($B$6,Assumptions!$D$5:$D$12,0)),"")</x:f>
        <x:v>1058.167933508168</x:v>
      </x:c>
    </x:row>
    <x:row r="333">
      <x:c r="A333" s="27"/>
      <x:c r="B333" s="11"/>
      <x:c r="C333" s="28"/>
      <x:c r="T333" s="10" t="n">
        <x:f>IFERROR(INDEX(Generator!$A$2:$A$1826,(ROW()-2)*Assumptions!$B$7+MATCH($B$6,Assumptions!$D$5:$D$12,0)),"")</x:f>
        <x:v>46354</x:v>
      </x:c>
      <x:c r="U333" s="11" t="n">
        <x:f>IFERROR(INDEX(Generator!$H$2:$H$1826,(ROW()-2)*Assumptions!$B$7+MATCH($B$6,Assumptions!$D$5:$D$12,0)),"")</x:f>
        <x:v>1089.5576674069384</x:v>
      </x:c>
      <x:c r="V333" s="11" t="n">
        <x:f>IFERROR(INDEX(Generator!$I$2:$I$1826,(ROW()-2)*Assumptions!$B$7+MATCH($B$6,Assumptions!$D$5:$D$12,0)),"")</x:f>
        <x:v>1071.8190288520163</x:v>
      </x:c>
    </x:row>
    <x:row r="334">
      <x:c r="A334" s="27"/>
      <x:c r="B334" s="11"/>
      <x:c r="C334" s="28"/>
      <x:c r="T334" s="10" t="n">
        <x:f>IFERROR(INDEX(Generator!$A$2:$A$1826,(ROW()-2)*Assumptions!$B$7+MATCH($B$6,Assumptions!$D$5:$D$12,0)),"")</x:f>
        <x:v>46355</x:v>
      </x:c>
      <x:c r="U334" s="11" t="n">
        <x:f>IFERROR(INDEX(Generator!$H$2:$H$1826,(ROW()-2)*Assumptions!$B$7+MATCH($B$6,Assumptions!$D$5:$D$12,0)),"")</x:f>
        <x:v>1044.8065590363663</x:v>
      </x:c>
      <x:c r="V334" s="11" t="n">
        <x:f>IFERROR(INDEX(Generator!$I$2:$I$1826,(ROW()-2)*Assumptions!$B$7+MATCH($B$6,Assumptions!$D$5:$D$12,0)),"")</x:f>
        <x:v>1079.0771087143544</x:v>
      </x:c>
    </x:row>
    <x:row r="335">
      <x:c r="A335" s="27"/>
      <x:c r="B335" s="11"/>
      <x:c r="C335" s="28"/>
      <x:c r="T335" s="10" t="n">
        <x:f>IFERROR(INDEX(Generator!$A$2:$A$1826,(ROW()-2)*Assumptions!$B$7+MATCH($B$6,Assumptions!$D$5:$D$12,0)),"")</x:f>
        <x:v>46356</x:v>
      </x:c>
      <x:c r="U335" s="11" t="n">
        <x:f>IFERROR(INDEX(Generator!$H$2:$H$1826,(ROW()-2)*Assumptions!$B$7+MATCH($B$6,Assumptions!$D$5:$D$12,0)),"")</x:f>
        <x:v>1149.029128938764</x:v>
      </x:c>
      <x:c r="V335" s="11" t="n">
        <x:f>IFERROR(INDEX(Generator!$I$2:$I$1826,(ROW()-2)*Assumptions!$B$7+MATCH($B$6,Assumptions!$D$5:$D$12,0)),"")</x:f>
        <x:v>1101.2241271341777</x:v>
      </x:c>
    </x:row>
    <x:row r="336">
      <x:c r="A336" s="27"/>
      <x:c r="B336" s="11"/>
      <x:c r="C336" s="28"/>
      <x:c r="T336" s="10" t="n">
        <x:f>IFERROR(INDEX(Generator!$A$2:$A$1826,(ROW()-2)*Assumptions!$B$7+MATCH($B$6,Assumptions!$D$5:$D$12,0)),"")</x:f>
        <x:v>46357</x:v>
      </x:c>
      <x:c r="U336" s="11" t="n">
        <x:f>IFERROR(INDEX(Generator!$H$2:$H$1826,(ROW()-2)*Assumptions!$B$7+MATCH($B$6,Assumptions!$D$5:$D$12,0)),"")</x:f>
        <x:v>1184.8542413313019</x:v>
      </x:c>
      <x:c r="V336" s="11" t="n">
        <x:f>IFERROR(INDEX(Generator!$I$2:$I$1826,(ROW()-2)*Assumptions!$B$7+MATCH($B$6,Assumptions!$D$5:$D$12,0)),"")</x:f>
        <x:v>1107.195245847519</x:v>
      </x:c>
    </x:row>
    <x:row r="337">
      <x:c r="A337" s="27"/>
      <x:c r="B337" s="11"/>
      <x:c r="C337" s="28"/>
      <x:c r="T337" s="10" t="n">
        <x:f>IFERROR(INDEX(Generator!$A$2:$A$1826,(ROW()-2)*Assumptions!$B$7+MATCH($B$6,Assumptions!$D$5:$D$12,0)),"")</x:f>
        <x:v>46358</x:v>
      </x:c>
      <x:c r="U337" s="11" t="n">
        <x:f>IFERROR(INDEX(Generator!$H$2:$H$1826,(ROW()-2)*Assumptions!$B$7+MATCH($B$6,Assumptions!$D$5:$D$12,0)),"")</x:f>
        <x:v>1139.6829696471523</x:v>
      </x:c>
      <x:c r="V337" s="11" t="n">
        <x:f>IFERROR(INDEX(Generator!$I$2:$I$1826,(ROW()-2)*Assumptions!$B$7+MATCH($B$6,Assumptions!$D$5:$D$12,0)),"")</x:f>
        <x:v>1112.2932122691939</x:v>
      </x:c>
    </x:row>
    <x:row r="338">
      <x:c r="A338" s="27"/>
      <x:c r="B338" s="11"/>
      <x:c r="C338" s="28"/>
      <x:c r="T338" s="10" t="n">
        <x:f>IFERROR(INDEX(Generator!$A$2:$A$1826,(ROW()-2)*Assumptions!$B$7+MATCH($B$6,Assumptions!$D$5:$D$12,0)),"")</x:f>
        <x:v>46359</x:v>
      </x:c>
      <x:c r="U338" s="11" t="n">
        <x:f>IFERROR(INDEX(Generator!$H$2:$H$1826,(ROW()-2)*Assumptions!$B$7+MATCH($B$6,Assumptions!$D$5:$D$12,0)),"")</x:f>
        <x:v>1191.431216751368</x:v>
      </x:c>
      <x:c r="V338" s="11" t="n">
        <x:f>IFERROR(INDEX(Generator!$I$2:$I$1826,(ROW()-2)*Assumptions!$B$7+MATCH($B$6,Assumptions!$D$5:$D$12,0)),"")</x:f>
        <x:v>1124.6414783783293</x:v>
      </x:c>
    </x:row>
    <x:row r="339">
      <x:c r="A339" s="27"/>
      <x:c r="B339" s="11"/>
      <x:c r="C339" s="28"/>
      <x:c r="T339" s="10" t="n">
        <x:f>IFERROR(INDEX(Generator!$A$2:$A$1826,(ROW()-2)*Assumptions!$B$7+MATCH($B$6,Assumptions!$D$5:$D$12,0)),"")</x:f>
        <x:v>46360</x:v>
      </x:c>
      <x:c r="U339" s="11" t="n">
        <x:f>IFERROR(INDEX(Generator!$H$2:$H$1826,(ROW()-2)*Assumptions!$B$7+MATCH($B$6,Assumptions!$D$5:$D$12,0)),"")</x:f>
        <x:v>1194.174461820974</x:v>
      </x:c>
      <x:c r="V339" s="11" t="n">
        <x:f>IFERROR(INDEX(Generator!$I$2:$I$1826,(ROW()-2)*Assumptions!$B$7+MATCH($B$6,Assumptions!$D$5:$D$12,0)),"")</x:f>
        <x:v>1141.9337492761235</x:v>
      </x:c>
    </x:row>
    <x:row r="340">
      <x:c r="A340" s="27"/>
      <x:c r="B340" s="11"/>
      <x:c r="C340" s="28"/>
      <x:c r="T340" s="10" t="n">
        <x:f>IFERROR(INDEX(Generator!$A$2:$A$1826,(ROW()-2)*Assumptions!$B$7+MATCH($B$6,Assumptions!$D$5:$D$12,0)),"")</x:f>
        <x:v>46361</x:v>
      </x:c>
      <x:c r="U340" s="11" t="n">
        <x:f>IFERROR(INDEX(Generator!$H$2:$H$1826,(ROW()-2)*Assumptions!$B$7+MATCH($B$6,Assumptions!$D$5:$D$12,0)),"")</x:f>
        <x:v>1109.9587141715583</x:v>
      </x:c>
      <x:c r="V340" s="11" t="n">
        <x:f>IFERROR(INDEX(Generator!$I$2:$I$1826,(ROW()-2)*Assumptions!$B$7+MATCH($B$6,Assumptions!$D$5:$D$12,0)),"")</x:f>
        <x:v>1144.848184528212</x:v>
      </x:c>
    </x:row>
    <x:row r="341">
      <x:c r="A341" s="27"/>
      <x:c r="B341" s="11"/>
      <x:c r="C341" s="28"/>
      <x:c r="T341" s="10" t="n">
        <x:f>IFERROR(INDEX(Generator!$A$2:$A$1826,(ROW()-2)*Assumptions!$B$7+MATCH($B$6,Assumptions!$D$5:$D$12,0)),"")</x:f>
        <x:v>46362</x:v>
      </x:c>
      <x:c r="U341" s="11" t="n">
        <x:f>IFERROR(INDEX(Generator!$H$2:$H$1826,(ROW()-2)*Assumptions!$B$7+MATCH($B$6,Assumptions!$D$5:$D$12,0)),"")</x:f>
        <x:v>1065.2394938048483</x:v>
      </x:c>
      <x:c r="V341" s="11" t="n">
        <x:f>IFERROR(INDEX(Generator!$I$2:$I$1826,(ROW()-2)*Assumptions!$B$7+MATCH($B$6,Assumptions!$D$5:$D$12,0)),"")</x:f>
        <x:v>1147.7671752094238</x:v>
      </x:c>
    </x:row>
    <x:row r="342">
      <x:c r="A342" s="27"/>
      <x:c r="B342" s="11"/>
      <x:c r="C342" s="28"/>
      <x:c r="T342" s="10" t="n">
        <x:f>IFERROR(INDEX(Generator!$A$2:$A$1826,(ROW()-2)*Assumptions!$B$7+MATCH($B$6,Assumptions!$D$5:$D$12,0)),"")</x:f>
        <x:v>46363</x:v>
      </x:c>
      <x:c r="U342" s="11" t="n">
        <x:f>IFERROR(INDEX(Generator!$H$2:$H$1826,(ROW()-2)*Assumptions!$B$7+MATCH($B$6,Assumptions!$D$5:$D$12,0)),"")</x:f>
        <x:v>1128.975988375848</x:v>
      </x:c>
      <x:c r="V342" s="11" t="n">
        <x:f>IFERROR(INDEX(Generator!$I$2:$I$1826,(ROW()-2)*Assumptions!$B$7+MATCH($B$6,Assumptions!$D$5:$D$12,0)),"")</x:f>
        <x:v>1144.9024408432929</x:v>
      </x:c>
    </x:row>
    <x:row r="343">
      <x:c r="A343" s="27"/>
      <x:c r="B343" s="11"/>
      <x:c r="C343" s="28"/>
      <x:c r="T343" s="10" t="n">
        <x:f>IFERROR(INDEX(Generator!$A$2:$A$1826,(ROW()-2)*Assumptions!$B$7+MATCH($B$6,Assumptions!$D$5:$D$12,0)),"")</x:f>
        <x:v>46364</x:v>
      </x:c>
      <x:c r="U343" s="11" t="n">
        <x:f>IFERROR(INDEX(Generator!$H$2:$H$1826,(ROW()-2)*Assumptions!$B$7+MATCH($B$6,Assumptions!$D$5:$D$12,0)),"")</x:f>
        <x:v>1154.8617598825224</x:v>
      </x:c>
      <x:c r="V343" s="11" t="n">
        <x:f>IFERROR(INDEX(Generator!$I$2:$I$1826,(ROW()-2)*Assumptions!$B$7+MATCH($B$6,Assumptions!$D$5:$D$12,0)),"")</x:f>
        <x:v>1140.6178006363245</x:v>
      </x:c>
    </x:row>
    <x:row r="344">
      <x:c r="A344" s="27"/>
      <x:c r="B344" s="11"/>
      <x:c r="C344" s="28"/>
      <x:c r="T344" s="10" t="n">
        <x:f>IFERROR(INDEX(Generator!$A$2:$A$1826,(ROW()-2)*Assumptions!$B$7+MATCH($B$6,Assumptions!$D$5:$D$12,0)),"")</x:f>
        <x:v>46365</x:v>
      </x:c>
      <x:c r="U344" s="11" t="n">
        <x:f>IFERROR(INDEX(Generator!$H$2:$H$1826,(ROW()-2)*Assumptions!$B$7+MATCH($B$6,Assumptions!$D$5:$D$12,0)),"")</x:f>
        <x:v>1178.7516612038398</x:v>
      </x:c>
      <x:c r="V344" s="11" t="n">
        <x:f>IFERROR(INDEX(Generator!$I$2:$I$1826,(ROW()-2)*Assumptions!$B$7+MATCH($B$6,Assumptions!$D$5:$D$12,0)),"")</x:f>
        <x:v>1146.1990422872798</x:v>
      </x:c>
    </x:row>
    <x:row r="345">
      <x:c r="A345" s="27"/>
      <x:c r="B345" s="11"/>
      <x:c r="C345" s="28"/>
      <x:c r="T345" s="10" t="n">
        <x:f>IFERROR(INDEX(Generator!$A$2:$A$1826,(ROW()-2)*Assumptions!$B$7+MATCH($B$6,Assumptions!$D$5:$D$12,0)),"")</x:f>
        <x:v>46366</x:v>
      </x:c>
      <x:c r="U345" s="11" t="n">
        <x:f>IFERROR(INDEX(Generator!$H$2:$H$1826,(ROW()-2)*Assumptions!$B$7+MATCH($B$6,Assumptions!$D$5:$D$12,0)),"")</x:f>
        <x:v>1097.6942626153088</x:v>
      </x:c>
      <x:c r="V345" s="11" t="n">
        <x:f>IFERROR(INDEX(Generator!$I$2:$I$1826,(ROW()-2)*Assumptions!$B$7+MATCH($B$6,Assumptions!$D$5:$D$12,0)),"")</x:f>
        <x:v>1132.8080488392714</x:v>
      </x:c>
    </x:row>
    <x:row r="346">
      <x:c r="A346" s="27"/>
      <x:c r="B346" s="11"/>
      <x:c r="C346" s="28"/>
      <x:c r="T346" s="10" t="n">
        <x:f>IFERROR(INDEX(Generator!$A$2:$A$1826,(ROW()-2)*Assumptions!$B$7+MATCH($B$6,Assumptions!$D$5:$D$12,0)),"")</x:f>
        <x:v>46367</x:v>
      </x:c>
      <x:c r="U346" s="11" t="n">
        <x:f>IFERROR(INDEX(Generator!$H$2:$H$1826,(ROW()-2)*Assumptions!$B$7+MATCH($B$6,Assumptions!$D$5:$D$12,0)),"")</x:f>
        <x:v>1124.3222979129423</x:v>
      </x:c>
      <x:c r="V346" s="11" t="n">
        <x:f>IFERROR(INDEX(Generator!$I$2:$I$1826,(ROW()-2)*Assumptions!$B$7+MATCH($B$6,Assumptions!$D$5:$D$12,0)),"")</x:f>
        <x:v>1122.829168280981</x:v>
      </x:c>
    </x:row>
    <x:row r="347">
      <x:c r="A347" s="27"/>
      <x:c r="B347" s="11"/>
      <x:c r="C347" s="28"/>
      <x:c r="T347" s="10" t="n">
        <x:f>IFERROR(INDEX(Generator!$A$2:$A$1826,(ROW()-2)*Assumptions!$B$7+MATCH($B$6,Assumptions!$D$5:$D$12,0)),"")</x:f>
        <x:v>46368</x:v>
      </x:c>
      <x:c r="U347" s="11" t="n">
        <x:f>IFERROR(INDEX(Generator!$H$2:$H$1826,(ROW()-2)*Assumptions!$B$7+MATCH($B$6,Assumptions!$D$5:$D$12,0)),"")</x:f>
        <x:v>1152.315947024404</x:v>
      </x:c>
      <x:c r="V347" s="11" t="n">
        <x:f>IFERROR(INDEX(Generator!$I$2:$I$1826,(ROW()-2)*Assumptions!$B$7+MATCH($B$6,Assumptions!$D$5:$D$12,0)),"")</x:f>
        <x:v>1128.8802015456733</x:v>
      </x:c>
    </x:row>
    <x:row r="348">
      <x:c r="A348" s="27"/>
      <x:c r="B348" s="11"/>
      <x:c r="C348" s="28"/>
      <x:c r="T348" s="10" t="n">
        <x:f>IFERROR(INDEX(Generator!$A$2:$A$1826,(ROW()-2)*Assumptions!$B$7+MATCH($B$6,Assumptions!$D$5:$D$12,0)),"")</x:f>
        <x:v>46369</x:v>
      </x:c>
      <x:c r="U348" s="11" t="n">
        <x:f>IFERROR(INDEX(Generator!$H$2:$H$1826,(ROW()-2)*Assumptions!$B$7+MATCH($B$6,Assumptions!$D$5:$D$12,0)),"")</x:f>
        <x:v>1099.9336349361092</x:v>
      </x:c>
      <x:c r="V348" s="11" t="n">
        <x:f>IFERROR(INDEX(Generator!$I$2:$I$1826,(ROW()-2)*Assumptions!$B$7+MATCH($B$6,Assumptions!$D$5:$D$12,0)),"")</x:f>
        <x:v>1133.8365074215678</x:v>
      </x:c>
    </x:row>
    <x:row r="349">
      <x:c r="A349" s="27"/>
      <x:c r="B349" s="11"/>
      <x:c r="C349" s="28"/>
      <x:c r="T349" s="10" t="n">
        <x:f>IFERROR(INDEX(Generator!$A$2:$A$1826,(ROW()-2)*Assumptions!$B$7+MATCH($B$6,Assumptions!$D$5:$D$12,0)),"")</x:f>
        <x:v>46370</x:v>
      </x:c>
      <x:c r="U349" s="11" t="n">
        <x:f>IFERROR(INDEX(Generator!$H$2:$H$1826,(ROW()-2)*Assumptions!$B$7+MATCH($B$6,Assumptions!$D$5:$D$12,0)),"")</x:f>
        <x:v>1212.8145104567693</x:v>
      </x:c>
      <x:c r="V349" s="11" t="n">
        <x:f>IFERROR(INDEX(Generator!$I$2:$I$1826,(ROW()-2)*Assumptions!$B$7+MATCH($B$6,Assumptions!$D$5:$D$12,0)),"")</x:f>
        <x:v>1145.8134391474136</x:v>
      </x:c>
    </x:row>
    <x:row r="350">
      <x:c r="A350" s="27"/>
      <x:c r="B350" s="11"/>
      <x:c r="C350" s="28"/>
      <x:c r="T350" s="10" t="n">
        <x:f>IFERROR(INDEX(Generator!$A$2:$A$1826,(ROW()-2)*Assumptions!$B$7+MATCH($B$6,Assumptions!$D$5:$D$12,0)),"")</x:f>
        <x:v>46371</x:v>
      </x:c>
      <x:c r="U350" s="11" t="n">
        <x:f>IFERROR(INDEX(Generator!$H$2:$H$1826,(ROW()-2)*Assumptions!$B$7+MATCH($B$6,Assumptions!$D$5:$D$12,0)),"")</x:f>
        <x:v>1072.689513335663</x:v>
      </x:c>
      <x:c r="V350" s="11" t="n">
        <x:f>IFERROR(INDEX(Generator!$I$2:$I$1826,(ROW()-2)*Assumptions!$B$7+MATCH($B$6,Assumptions!$D$5:$D$12,0)),"")</x:f>
        <x:v>1134.0745467835766</x:v>
      </x:c>
    </x:row>
    <x:row r="351">
      <x:c r="A351" s="27"/>
      <x:c r="B351" s="11"/>
      <x:c r="C351" s="28"/>
      <x:c r="T351" s="10" t="n">
        <x:f>IFERROR(INDEX(Generator!$A$2:$A$1826,(ROW()-2)*Assumptions!$B$7+MATCH($B$6,Assumptions!$D$5:$D$12,0)),"")</x:f>
        <x:v>46372</x:v>
      </x:c>
      <x:c r="U351" s="11" t="n">
        <x:f>IFERROR(INDEX(Generator!$H$2:$H$1826,(ROW()-2)*Assumptions!$B$7+MATCH($B$6,Assumptions!$D$5:$D$12,0)),"")</x:f>
        <x:v>1092.6163845353553</x:v>
      </x:c>
      <x:c r="V351" s="11" t="n">
        <x:f>IFERROR(INDEX(Generator!$I$2:$I$1826,(ROW()-2)*Assumptions!$B$7+MATCH($B$6,Assumptions!$D$5:$D$12,0)),"")</x:f>
        <x:v>1121.7695072595075</x:v>
      </x:c>
    </x:row>
    <x:row r="352">
      <x:c r="A352" s="27"/>
      <x:c r="B352" s="11"/>
      <x:c r="C352" s="28"/>
      <x:c r="T352" s="10" t="n">
        <x:f>IFERROR(INDEX(Generator!$A$2:$A$1826,(ROW()-2)*Assumptions!$B$7+MATCH($B$6,Assumptions!$D$5:$D$12,0)),"")</x:f>
        <x:v>46373</x:v>
      </x:c>
      <x:c r="U352" s="11" t="n">
        <x:f>IFERROR(INDEX(Generator!$H$2:$H$1826,(ROW()-2)*Assumptions!$B$7+MATCH($B$6,Assumptions!$D$5:$D$12,0)),"")</x:f>
        <x:v>1101.4170469844728</x:v>
      </x:c>
      <x:c r="V352" s="11" t="n">
        <x:f>IFERROR(INDEX(Generator!$I$2:$I$1826,(ROW()-2)*Assumptions!$B$7+MATCH($B$6,Assumptions!$D$5:$D$12,0)),"")</x:f>
        <x:v>1122.3013335979595</x:v>
      </x:c>
    </x:row>
    <x:row r="353">
      <x:c r="A353" s="27"/>
      <x:c r="B353" s="11"/>
      <x:c r="C353" s="28"/>
      <x:c r="T353" s="10" t="n">
        <x:f>IFERROR(INDEX(Generator!$A$2:$A$1826,(ROW()-2)*Assumptions!$B$7+MATCH($B$6,Assumptions!$D$5:$D$12,0)),"")</x:f>
        <x:v>46374</x:v>
      </x:c>
      <x:c r="U353" s="11" t="n">
        <x:f>IFERROR(INDEX(Generator!$H$2:$H$1826,(ROW()-2)*Assumptions!$B$7+MATCH($B$6,Assumptions!$D$5:$D$12,0)),"")</x:f>
        <x:v>1083.1509472055493</x:v>
      </x:c>
      <x:c r="V353" s="11" t="n">
        <x:f>IFERROR(INDEX(Generator!$I$2:$I$1826,(ROW()-2)*Assumptions!$B$7+MATCH($B$6,Assumptions!$D$5:$D$12,0)),"")</x:f>
        <x:v>1116.4197120683318</x:v>
      </x:c>
    </x:row>
    <x:row r="354">
      <x:c r="A354" s="27"/>
      <x:c r="B354" s="11"/>
      <x:c r="C354" s="28"/>
      <x:c r="T354" s="10" t="n">
        <x:f>IFERROR(INDEX(Generator!$A$2:$A$1826,(ROW()-2)*Assumptions!$B$7+MATCH($B$6,Assumptions!$D$5:$D$12,0)),"")</x:f>
        <x:v>46375</x:v>
      </x:c>
      <x:c r="U354" s="11" t="n">
        <x:f>IFERROR(INDEX(Generator!$H$2:$H$1826,(ROW()-2)*Assumptions!$B$7+MATCH($B$6,Assumptions!$D$5:$D$12,0)),"")</x:f>
        <x:v>1071.9450082490748</x:v>
      </x:c>
      <x:c r="V354" s="11" t="n">
        <x:f>IFERROR(INDEX(Generator!$I$2:$I$1826,(ROW()-2)*Assumptions!$B$7+MATCH($B$6,Assumptions!$D$5:$D$12,0)),"")</x:f>
        <x:v>1104.9381493861422</x:v>
      </x:c>
    </x:row>
    <x:row r="355">
      <x:c r="A355" s="27"/>
      <x:c r="B355" s="11"/>
      <x:c r="C355" s="28"/>
      <x:c r="T355" s="10" t="n">
        <x:f>IFERROR(INDEX(Generator!$A$2:$A$1826,(ROW()-2)*Assumptions!$B$7+MATCH($B$6,Assumptions!$D$5:$D$12,0)),"")</x:f>
        <x:v>46376</x:v>
      </x:c>
      <x:c r="U355" s="11" t="n">
        <x:f>IFERROR(INDEX(Generator!$H$2:$H$1826,(ROW()-2)*Assumptions!$B$7+MATCH($B$6,Assumptions!$D$5:$D$12,0)),"")</x:f>
        <x:v>1017.7133679261465</x:v>
      </x:c>
      <x:c r="V355" s="11" t="n">
        <x:f>IFERROR(INDEX(Generator!$I$2:$I$1826,(ROW()-2)*Assumptions!$B$7+MATCH($B$6,Assumptions!$D$5:$D$12,0)),"")</x:f>
        <x:v>1093.1923969561474</x:v>
      </x:c>
    </x:row>
    <x:row r="356">
      <x:c r="A356" s="27"/>
      <x:c r="B356" s="11"/>
      <x:c r="C356" s="28"/>
      <x:c r="T356" s="10" t="n">
        <x:f>IFERROR(INDEX(Generator!$A$2:$A$1826,(ROW()-2)*Assumptions!$B$7+MATCH($B$6,Assumptions!$D$5:$D$12,0)),"")</x:f>
        <x:v>46377</x:v>
      </x:c>
      <x:c r="U356" s="11" t="n">
        <x:f>IFERROR(INDEX(Generator!$H$2:$H$1826,(ROW()-2)*Assumptions!$B$7+MATCH($B$6,Assumptions!$D$5:$D$12,0)),"")</x:f>
        <x:v>1154.808834876988</x:v>
      </x:c>
      <x:c r="V356" s="11" t="n">
        <x:f>IFERROR(INDEX(Generator!$I$2:$I$1826,(ROW()-2)*Assumptions!$B$7+MATCH($B$6,Assumptions!$D$5:$D$12,0)),"")</x:f>
        <x:v>1084.9058718733213</x:v>
      </x:c>
    </x:row>
    <x:row r="357">
      <x:c r="A357" s="27"/>
      <x:c r="B357" s="11"/>
      <x:c r="C357" s="28"/>
      <x:c r="T357" s="10" t="n">
        <x:f>IFERROR(INDEX(Generator!$A$2:$A$1826,(ROW()-2)*Assumptions!$B$7+MATCH($B$6,Assumptions!$D$5:$D$12,0)),"")</x:f>
        <x:v>46378</x:v>
      </x:c>
      <x:c r="U357" s="11" t="n">
        <x:f>IFERROR(INDEX(Generator!$H$2:$H$1826,(ROW()-2)*Assumptions!$B$7+MATCH($B$6,Assumptions!$D$5:$D$12,0)),"")</x:f>
        <x:v>1195.8099056705737</x:v>
      </x:c>
      <x:c r="V357" s="11" t="n">
        <x:f>IFERROR(INDEX(Generator!$I$2:$I$1826,(ROW()-2)*Assumptions!$B$7+MATCH($B$6,Assumptions!$D$5:$D$12,0)),"")</x:f>
        <x:v>1102.4944993497372</x:v>
      </x:c>
    </x:row>
    <x:row r="358">
      <x:c r="A358" s="27"/>
      <x:c r="B358" s="11"/>
      <x:c r="C358" s="28"/>
      <x:c r="T358" s="10" t="n">
        <x:f>IFERROR(INDEX(Generator!$A$2:$A$1826,(ROW()-2)*Assumptions!$B$7+MATCH($B$6,Assumptions!$D$5:$D$12,0)),"")</x:f>
        <x:v>46379</x:v>
      </x:c>
      <x:c r="U358" s="11" t="n">
        <x:f>IFERROR(INDEX(Generator!$H$2:$H$1826,(ROW()-2)*Assumptions!$B$7+MATCH($B$6,Assumptions!$D$5:$D$12,0)),"")</x:f>
        <x:v>1160.556103892983</x:v>
      </x:c>
      <x:c r="V358" s="11" t="n">
        <x:f>IFERROR(INDEX(Generator!$I$2:$I$1826,(ROW()-2)*Assumptions!$B$7+MATCH($B$6,Assumptions!$D$5:$D$12,0)),"")</x:f>
        <x:v>1112.200173543684</x:v>
      </x:c>
    </x:row>
    <x:row r="359">
      <x:c r="A359" s="27"/>
      <x:c r="B359" s="11"/>
      <x:c r="C359" s="28"/>
      <x:c r="T359" s="10" t="n">
        <x:f>IFERROR(INDEX(Generator!$A$2:$A$1826,(ROW()-2)*Assumptions!$B$7+MATCH($B$6,Assumptions!$D$5:$D$12,0)),"")</x:f>
        <x:v>46380</x:v>
      </x:c>
      <x:c r="U359" s="11" t="n">
        <x:f>IFERROR(INDEX(Generator!$H$2:$H$1826,(ROW()-2)*Assumptions!$B$7+MATCH($B$6,Assumptions!$D$5:$D$12,0)),"")</x:f>
        <x:v>1185.8434543194373</x:v>
      </x:c>
      <x:c r="V359" s="11" t="n">
        <x:f>IFERROR(INDEX(Generator!$I$2:$I$1826,(ROW()-2)*Assumptions!$B$7+MATCH($B$6,Assumptions!$D$5:$D$12,0)),"")</x:f>
        <x:v>1124.2610888772504</x:v>
      </x:c>
    </x:row>
    <x:row r="360">
      <x:c r="A360" s="27"/>
      <x:c r="B360" s="11"/>
      <x:c r="C360" s="28"/>
      <x:c r="T360" s="10" t="n">
        <x:f>IFERROR(INDEX(Generator!$A$2:$A$1826,(ROW()-2)*Assumptions!$B$7+MATCH($B$6,Assumptions!$D$5:$D$12,0)),"")</x:f>
        <x:v>46381</x:v>
      </x:c>
      <x:c r="U360" s="11" t="n">
        <x:f>IFERROR(INDEX(Generator!$H$2:$H$1826,(ROW()-2)*Assumptions!$B$7+MATCH($B$6,Assumptions!$D$5:$D$12,0)),"")</x:f>
        <x:v>1161.9511967337744</x:v>
      </x:c>
      <x:c r="V360" s="11" t="n">
        <x:f>IFERROR(INDEX(Generator!$I$2:$I$1826,(ROW()-2)*Assumptions!$B$7+MATCH($B$6,Assumptions!$D$5:$D$12,0)),"")</x:f>
        <x:v>1135.5182673812826</x:v>
      </x:c>
    </x:row>
    <x:row r="361">
      <x:c r="A361" s="27"/>
      <x:c r="B361" s="11"/>
      <x:c r="C361" s="28"/>
      <x:c r="T361" s="10" t="n">
        <x:f>IFERROR(INDEX(Generator!$A$2:$A$1826,(ROW()-2)*Assumptions!$B$7+MATCH($B$6,Assumptions!$D$5:$D$12,0)),"")</x:f>
        <x:v>46382</x:v>
      </x:c>
      <x:c r="U361" s="11" t="n">
        <x:f>IFERROR(INDEX(Generator!$H$2:$H$1826,(ROW()-2)*Assumptions!$B$7+MATCH($B$6,Assumptions!$D$5:$D$12,0)),"")</x:f>
        <x:v>1116.2314836028675</x:v>
      </x:c>
      <x:c r="V361" s="11" t="n">
        <x:f>IFERROR(INDEX(Generator!$I$2:$I$1826,(ROW()-2)*Assumptions!$B$7+MATCH($B$6,Assumptions!$D$5:$D$12,0)),"")</x:f>
        <x:v>1141.8449067175386</x:v>
      </x:c>
    </x:row>
    <x:row r="362">
      <x:c r="A362" s="27"/>
      <x:c r="B362" s="11"/>
      <x:c r="C362" s="28"/>
      <x:c r="T362" s="10" t="n">
        <x:f>IFERROR(INDEX(Generator!$A$2:$A$1826,(ROW()-2)*Assumptions!$B$7+MATCH($B$6,Assumptions!$D$5:$D$12,0)),"")</x:f>
        <x:v>46383</x:v>
      </x:c>
      <x:c r="U362" s="11" t="n">
        <x:f>IFERROR(INDEX(Generator!$H$2:$H$1826,(ROW()-2)*Assumptions!$B$7+MATCH($B$6,Assumptions!$D$5:$D$12,0)),"")</x:f>
        <x:v>1119.2655486325275</x:v>
      </x:c>
      <x:c r="V362" s="11" t="n">
        <x:f>IFERROR(INDEX(Generator!$I$2:$I$1826,(ROW()-2)*Assumptions!$B$7+MATCH($B$6,Assumptions!$D$5:$D$12,0)),"")</x:f>
        <x:v>1156.3523611041644</x:v>
      </x:c>
    </x:row>
    <x:row r="363">
      <x:c r="A363" s="27"/>
      <x:c r="B363" s="11"/>
      <x:c r="C363" s="28"/>
      <x:c r="T363" s="10" t="n">
        <x:f>IFERROR(INDEX(Generator!$A$2:$A$1826,(ROW()-2)*Assumptions!$B$7+MATCH($B$6,Assumptions!$D$5:$D$12,0)),"")</x:f>
        <x:v>46384</x:v>
      </x:c>
      <x:c r="U363" s="11" t="n">
        <x:f>IFERROR(INDEX(Generator!$H$2:$H$1826,(ROW()-2)*Assumptions!$B$7+MATCH($B$6,Assumptions!$D$5:$D$12,0)),"")</x:f>
        <x:v>1153.5223147400407</x:v>
      </x:c>
      <x:c r="V363" s="11" t="n">
        <x:f>IFERROR(INDEX(Generator!$I$2:$I$1826,(ROW()-2)*Assumptions!$B$7+MATCH($B$6,Assumptions!$D$5:$D$12,0)),"")</x:f>
        <x:v>1156.168572513172</x:v>
      </x:c>
    </x:row>
    <x:row r="364">
      <x:c r="A364" s="27"/>
      <x:c r="B364" s="11"/>
      <x:c r="C364" s="28"/>
      <x:c r="T364" s="10" t="n">
        <x:f>IFERROR(INDEX(Generator!$A$2:$A$1826,(ROW()-2)*Assumptions!$B$7+MATCH($B$6,Assumptions!$D$5:$D$12,0)),"")</x:f>
        <x:v>46385</x:v>
      </x:c>
      <x:c r="U364" s="11" t="n">
        <x:f>IFERROR(INDEX(Generator!$H$2:$H$1826,(ROW()-2)*Assumptions!$B$7+MATCH($B$6,Assumptions!$D$5:$D$12,0)),"")</x:f>
        <x:v>1180.8848406343614</x:v>
      </x:c>
      <x:c r="V364" s="11" t="n">
        <x:f>IFERROR(INDEX(Generator!$I$2:$I$1826,(ROW()-2)*Assumptions!$B$7+MATCH($B$6,Assumptions!$D$5:$D$12,0)),"")</x:f>
        <x:v>1154.0364203651416</x:v>
      </x:c>
    </x:row>
    <x:row r="365">
      <x:c r="A365" s="27"/>
      <x:c r="B365" s="11"/>
      <x:c r="C365" s="28"/>
      <x:c r="T365" s="10" t="n">
        <x:f>IFERROR(INDEX(Generator!$A$2:$A$1826,(ROW()-2)*Assumptions!$B$7+MATCH($B$6,Assumptions!$D$5:$D$12,0)),"")</x:f>
        <x:v>46386</x:v>
      </x:c>
      <x:c r="U365" s="11" t="n">
        <x:f>IFERROR(INDEX(Generator!$H$2:$H$1826,(ROW()-2)*Assumptions!$B$7+MATCH($B$6,Assumptions!$D$5:$D$12,0)),"")</x:f>
        <x:v>1155.7477502578633</x:v>
      </x:c>
      <x:c r="V365" s="11" t="n">
        <x:f>IFERROR(INDEX(Generator!$I$2:$I$1826,(ROW()-2)*Assumptions!$B$7+MATCH($B$6,Assumptions!$D$5:$D$12,0)),"")</x:f>
        <x:v>1153.3495127029817</x:v>
      </x:c>
    </x:row>
    <x:row r="366">
      <x:c r="A366" s="27"/>
      <x:c r="B366" s="11"/>
      <x:c r="C366" s="28"/>
      <x:c r="T366" s="10" t="n">
        <x:f>IFERROR(INDEX(Generator!$A$2:$A$1826,(ROW()-2)*Assumptions!$B$7+MATCH($B$6,Assumptions!$D$5:$D$12,0)),"")</x:f>
        <x:v>46387</x:v>
      </x:c>
      <x:c r="U366" s="11" t="n">
        <x:f>IFERROR(INDEX(Generator!$H$2:$H$1826,(ROW()-2)*Assumptions!$B$7+MATCH($B$6,Assumptions!$D$5:$D$12,0)),"")</x:f>
        <x:v>1129.552368002599</x:v>
      </x:c>
      <x:c r="V366" s="11" t="n">
        <x:f>IFERROR(INDEX(Generator!$I$2:$I$1826,(ROW()-2)*Assumptions!$B$7+MATCH($B$6,Assumptions!$D$5:$D$12,0)),"")</x:f>
        <x:v>1145.3079289434334</x:v>
      </x:c>
    </x:row>
    <x:row r="367">
      <x:c r="A367" s="27"/>
      <x:c r="B367" s="11"/>
      <x:c r="C367" s="28"/>
    </x:row>
    <x:row r="368">
      <x:c r="A368" s="27"/>
      <x:c r="B368" s="11"/>
      <x:c r="C368" s="28"/>
    </x:row>
    <x:row r="369">
      <x:c r="A369" s="27"/>
      <x:c r="B369" s="11"/>
      <x:c r="C369" s="28"/>
    </x:row>
    <x:row r="370">
      <x:c r="A370" s="27"/>
      <x:c r="B370" s="11"/>
      <x:c r="C370" s="28"/>
    </x:row>
    <x:row r="371">
      <x:c r="A371" s="27"/>
      <x:c r="B371" s="11"/>
      <x:c r="C371" s="28"/>
    </x:row>
    <x:row r="372">
      <x:c r="A372" s="27"/>
      <x:c r="B372" s="11"/>
      <x:c r="C372" s="28"/>
    </x:row>
    <x:row r="373">
      <x:c r="A373" s="27"/>
      <x:c r="B373" s="11"/>
      <x:c r="C373" s="28"/>
    </x:row>
    <x:row r="374">
      <x:c r="A374" s="27"/>
      <x:c r="B374" s="11"/>
      <x:c r="C374" s="28"/>
    </x:row>
    <x:row r="375">
      <x:c r="A375" s="27"/>
      <x:c r="B375" s="11"/>
      <x:c r="C375" s="28"/>
    </x:row>
    <x:row r="376">
      <x:c r="A376" s="29"/>
      <x:c r="B376" s="30"/>
      <x:c r="C376" s="31"/>
    </x:row>
  </x:sheetData>
  <x:mergeCells>
    <x:mergeCell ref="A2:F2"/>
    <x:mergeCell ref="A3:F3"/>
  </x:mergeCells>
  <x:pageMargins left="0.7" right="0.7" top="0.75" bottom="0.75" header="0.3" footer="0.3"/>
  <x:drawing xmlns:r="http://schemas.openxmlformats.org/officeDocument/2006/relationships" r:id="R03acecb54d714a88"/>
</x:worksheet>
</file>

<file path=xl/worksheets/sheet2.xml><?xml version="1.0" encoding="utf-8"?>
<x:worksheet xmlns:x="http://schemas.openxmlformats.org/spreadsheetml/2006/main">
  <x:sheetPr>
    <x:tabColor rgb="FFF2B13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4" max="4" width="12.380000114440918" hidden="0" customWidth="1"/>
    <x:col min="5" max="5" width="6.130000114440918" hidden="0" customWidth="1"/>
    <x:col min="6" max="6" width="10" hidden="0" customWidth="1"/>
    <x:col min="7" max="7" width="7.130000114440918" hidden="0" customWidth="1"/>
    <x:col min="8" max="8" width="8.630000114440918" hidden="0" customWidth="1"/>
    <x:col min="9" max="9" width="9" hidden="0" customWidth="1"/>
    <x:col min="10" max="10" width="12.630000114440918" hidden="0" customWidth="1"/>
    <x:col min="12" max="12" width="9.25" hidden="0" customWidth="1"/>
    <x:col min="13" max="13" width="12.130000114440918" hidden="0" customWidth="1"/>
    <x:col min="15" max="15" width="24" hidden="0" customWidth="1"/>
    <x:col min="16" max="16" width="12.380000114440918" hidden="0" customWidth="1"/>
    <x:col min="17" max="17" width="9.130000114440918" hidden="0" customWidth="1"/>
    <x:col min="18" max="18" width="9.130000114440918" hidden="0" customWidth="1"/>
    <x:col min="19" max="19" width="13" hidden="0" customWidth="1"/>
  </x:cols>
  <x:sheetData>
    <x:row r="2">
      <x:c r="A2" s="1" t="str">
        <x:v>Mining output generator assumptions</x:v>
      </x:c>
      <x:c r="B2" s="1"/>
      <x:c r="C2" s="1"/>
      <x:c r="D2" s="1"/>
      <x:c r="E2" s="1"/>
      <x:c r="F2" s="1"/>
      <x:c r="G2" s="1"/>
      <x:c r="H2" s="1"/>
    </x:row>
    <x:row r="4">
      <x:c r="A4" s="4" t="str">
        <x:v>Global setting</x:v>
      </x:c>
      <x:c r="B4" s="4" t="str">
        <x:v>Editable value</x:v>
      </x:c>
      <x:c r="D4" s="4" t="str">
        <x:v>Mine</x:v>
      </x:c>
      <x:c r="E4" s="4" t="str">
        <x:v>Active</x:v>
      </x:c>
      <x:c r="F4" s="4" t="str">
        <x:v>Mean t/day</x:v>
      </x:c>
      <x:c r="G4" s="4" t="str">
        <x:v>Std dev</x:v>
      </x:c>
      <x:c r="H4" s="4" t="str">
        <x:v>Minimum</x:v>
      </x:c>
      <x:c r="I4" s="4" t="str">
        <x:v>Maximum</x:v>
      </x:c>
      <x:c r="J4" s="4" t="str">
        <x:v>Trend / month</x:v>
      </x:c>
      <x:c r="L4" s="4" t="str">
        <x:v>Weekday</x:v>
      </x:c>
      <x:c r="M4" s="4" t="str">
        <x:v>Output factor</x:v>
      </x:c>
      <x:c r="O4" s="4" t="str">
        <x:v>Event</x:v>
      </x:c>
      <x:c r="P4" s="4" t="str">
        <x:v>Mine</x:v>
      </x:c>
      <x:c r="Q4" s="4" t="str">
        <x:v>Start</x:v>
      </x:c>
      <x:c r="R4" s="4" t="str">
        <x:v>End</x:v>
      </x:c>
      <x:c r="S4" s="4" t="str">
        <x:v>Output impact</x:v>
      </x:c>
    </x:row>
    <x:row r="5">
      <x:c r="A5" t="str">
        <x:v>Start date</x:v>
      </x:c>
      <x:c r="B5" s="6" t="d">
        <x:v>2026-01-01T00:00:00.000Z</x:v>
      </x:c>
      <x:c r="D5" t="str">
        <x:v>Acheron Prime</x:v>
      </x:c>
      <x:c r="E5" s="5" t="n">
        <x:v>1</x:v>
      </x:c>
      <x:c r="F5" s="5" t="n">
        <x:v>1120</x:v>
      </x:c>
      <x:c r="G5" s="5" t="n">
        <x:v>115</x:v>
      </x:c>
      <x:c r="H5" s="5" t="n">
        <x:v>760</x:v>
      </x:c>
      <x:c r="I5" s="5" t="n">
        <x:v>1540</x:v>
      </x:c>
      <x:c r="J5" s="7" t="n">
        <x:v>0.002</x:v>
      </x:c>
      <x:c r="L5" t="str">
        <x:v>Monday</x:v>
      </x:c>
      <x:c r="M5" s="8" t="n">
        <x:v>1.03</x:v>
      </x:c>
      <x:c r="O5" t="str">
        <x:v>Scheduled overhaul</x:v>
      </x:c>
      <x:c r="P5" s="5" t="str">
        <x:v>Acheron Prime</x:v>
      </x:c>
      <x:c r="Q5" s="6" t="d">
        <x:v>2026-02-12T00:00:00.000Z</x:v>
      </x:c>
      <x:c r="R5" s="6" t="d">
        <x:v>2026-02-18T00:00:00.000Z</x:v>
      </x:c>
      <x:c r="S5" s="9" t="n">
        <x:v>-0.35</x:v>
      </x:c>
    </x:row>
    <x:row r="6">
      <x:c r="A6" t="str">
        <x:v>End date</x:v>
      </x:c>
      <x:c r="B6" s="6" t="d">
        <x:v>2026-12-31T00:00:00.000Z</x:v>
      </x:c>
      <x:c r="D6" t="str">
        <x:v>LV-426 North</x:v>
      </x:c>
      <x:c r="E6" s="5" t="n">
        <x:v>1</x:v>
      </x:c>
      <x:c r="F6" s="5" t="n">
        <x:v>930</x:v>
      </x:c>
      <x:c r="G6" s="5" t="n">
        <x:v>95</x:v>
      </x:c>
      <x:c r="H6" s="5" t="n">
        <x:v>620</x:v>
      </x:c>
      <x:c r="I6" s="5" t="n">
        <x:v>1300</x:v>
      </x:c>
      <x:c r="J6" s="7" t="n">
        <x:v>-0.001</x:v>
      </x:c>
      <x:c r="L6" t="str">
        <x:v>Tuesday</x:v>
      </x:c>
      <x:c r="M6" s="8" t="n">
        <x:v>1.02</x:v>
      </x:c>
      <x:c r="O6" t="str">
        <x:v>Ore seam boost</x:v>
      </x:c>
      <x:c r="P6" s="5" t="str">
        <x:v>LV-426 North</x:v>
      </x:c>
      <x:c r="Q6" s="6" t="d">
        <x:v>2026-03-10T00:00:00.000Z</x:v>
      </x:c>
      <x:c r="R6" s="6" t="d">
        <x:v>2026-03-25T00:00:00.000Z</x:v>
      </x:c>
      <x:c r="S6" s="9" t="n">
        <x:v>0.18</x:v>
      </x:c>
    </x:row>
    <x:row r="7">
      <x:c r="A7" t="str">
        <x:v>Mine count</x:v>
      </x:c>
      <x:c r="B7" s="5" t="n">
        <x:v>5</x:v>
      </x:c>
      <x:c r="D7" t="str">
        <x:v>Nostromo Deep</x:v>
      </x:c>
      <x:c r="E7" s="5" t="n">
        <x:v>1</x:v>
      </x:c>
      <x:c r="F7" s="5" t="n">
        <x:v>1260</x:v>
      </x:c>
      <x:c r="G7" s="5" t="n">
        <x:v>145</x:v>
      </x:c>
      <x:c r="H7" s="5" t="n">
        <x:v>820</x:v>
      </x:c>
      <x:c r="I7" s="5" t="n">
        <x:v>1740</x:v>
      </x:c>
      <x:c r="J7" s="7" t="n">
        <x:v>0.003</x:v>
      </x:c>
      <x:c r="L7" t="str">
        <x:v>Wednesday</x:v>
      </x:c>
      <x:c r="M7" s="8" t="n">
        <x:v>1.01</x:v>
      </x:c>
      <x:c r="O7" t="str">
        <x:v>Power interruption</x:v>
      </x:c>
      <x:c r="P7" s="5" t="str">
        <x:v>Nostromo Deep</x:v>
      </x:c>
      <x:c r="Q7" s="6" t="d">
        <x:v>2026-05-03T00:00:00.000Z</x:v>
      </x:c>
      <x:c r="R7" s="6" t="d">
        <x:v>2026-05-06T00:00:00.000Z</x:v>
      </x:c>
      <x:c r="S7" s="9" t="n">
        <x:v>-0.55</x:v>
      </x:c>
    </x:row>
    <x:row r="8">
      <x:c r="A8" t="str">
        <x:v>Selected mine</x:v>
      </x:c>
      <x:c r="B8" s="5" t="str">
        <x:v>Acheron Prime</x:v>
      </x:c>
      <x:c r="D8" t="str">
        <x:v>Hadley's Hope</x:v>
      </x:c>
      <x:c r="E8" s="5" t="n">
        <x:v>1</x:v>
      </x:c>
      <x:c r="F8" s="5" t="n">
        <x:v>845</x:v>
      </x:c>
      <x:c r="G8" s="5" t="n">
        <x:v>80</x:v>
      </x:c>
      <x:c r="H8" s="5" t="n">
        <x:v>590</x:v>
      </x:c>
      <x:c r="I8" s="5" t="n">
        <x:v>1140</x:v>
      </x:c>
      <x:c r="J8" s="7" t="n">
        <x:v>0.001</x:v>
      </x:c>
      <x:c r="L8" t="str">
        <x:v>Thursday</x:v>
      </x:c>
      <x:c r="M8" s="8" t="n">
        <x:v>1</x:v>
      </x:c>
      <x:c r="O8" t="str">
        <x:v>Crew rotation</x:v>
      </x:c>
      <x:c r="P8" s="5" t="str">
        <x:v>Hadley's Hope</x:v>
      </x:c>
      <x:c r="Q8" s="6" t="d">
        <x:v>2026-07-01T00:00:00.000Z</x:v>
      </x:c>
      <x:c r="R8" s="6" t="d">
        <x:v>2026-07-09T00:00:00.000Z</x:v>
      </x:c>
      <x:c r="S8" s="9" t="n">
        <x:v>-0.12</x:v>
      </x:c>
    </x:row>
    <x:row r="9">
      <x:c r="A9" t="str">
        <x:v>Chart type</x:v>
      </x:c>
      <x:c r="B9" s="5" t="str">
        <x:v>Line</x:v>
      </x:c>
      <x:c r="D9" t="str">
        <x:v>Yutani Ridge</x:v>
      </x:c>
      <x:c r="E9" s="5" t="n">
        <x:v>1</x:v>
      </x:c>
      <x:c r="F9" s="5" t="n">
        <x:v>1050</x:v>
      </x:c>
      <x:c r="G9" s="5" t="n">
        <x:v>125</x:v>
      </x:c>
      <x:c r="H9" s="5" t="n">
        <x:v>700</x:v>
      </x:c>
      <x:c r="I9" s="5" t="n">
        <x:v>1480</x:v>
      </x:c>
      <x:c r="J9" s="7" t="n">
        <x:v>0.0025</x:v>
      </x:c>
      <x:c r="L9" t="str">
        <x:v>Friday</x:v>
      </x:c>
      <x:c r="M9" s="8" t="n">
        <x:v>0.98</x:v>
      </x:c>
      <x:c r="O9" t="str">
        <x:v>Equipment upgrade</x:v>
      </x:c>
      <x:c r="P9" s="5" t="str">
        <x:v>Yutani Ridge</x:v>
      </x:c>
      <x:c r="Q9" s="6" t="d">
        <x:v>2026-08-15T00:00:00.000Z</x:v>
      </x:c>
      <x:c r="R9" s="6" t="d">
        <x:v>2026-09-10T00:00:00.000Z</x:v>
      </x:c>
      <x:c r="S9" s="9" t="n">
        <x:v>0.22</x:v>
      </x:c>
    </x:row>
    <x:row r="10">
      <x:c r="A10" t="str">
        <x:v>Trendline degree</x:v>
      </x:c>
      <x:c r="B10" s="5" t="n">
        <x:v>2</x:v>
      </x:c>
      <x:c r="D10" t="str">
        <x:v>Reserve 6</x:v>
      </x:c>
      <x:c r="E10" s="5" t="n">
        <x:v>0</x:v>
      </x:c>
      <x:c r="F10" s="5" t="n">
        <x:v>900</x:v>
      </x:c>
      <x:c r="G10" s="5" t="n">
        <x:v>100</x:v>
      </x:c>
      <x:c r="H10" s="5" t="n">
        <x:v>600</x:v>
      </x:c>
      <x:c r="I10" s="5" t="n">
        <x:v>1300</x:v>
      </x:c>
      <x:c r="J10" s="7" t="n">
        <x:v>0</x:v>
      </x:c>
      <x:c r="L10" t="str">
        <x:v>Saturday</x:v>
      </x:c>
      <x:c r="M10" s="8" t="n">
        <x:v>0.91</x:v>
      </x:c>
      <x:c r="O10" t="str">
        <x:v>Storm shutdown</x:v>
      </x:c>
      <x:c r="P10" s="5" t="str">
        <x:v>Acheron Prime</x:v>
      </x:c>
      <x:c r="Q10" s="6" t="d">
        <x:v>2026-11-21T00:00:00.000Z</x:v>
      </x:c>
      <x:c r="R10" s="6" t="d">
        <x:v>2026-11-23T00:00:00.000Z</x:v>
      </x:c>
      <x:c r="S10" s="9" t="n">
        <x:v>-0.8</x:v>
      </x:c>
    </x:row>
    <x:row r="11">
      <x:c r="A11" t="str">
        <x:v>IQR multiplier</x:v>
      </x:c>
      <x:c r="B11" s="5" t="n">
        <x:v>1.5</x:v>
      </x:c>
      <x:c r="D11" t="str">
        <x:v>Reserve 7</x:v>
      </x:c>
      <x:c r="E11" s="5" t="n">
        <x:v>0</x:v>
      </x:c>
      <x:c r="F11" s="5" t="n">
        <x:v>900</x:v>
      </x:c>
      <x:c r="G11" s="5" t="n">
        <x:v>100</x:v>
      </x:c>
      <x:c r="H11" s="5" t="n">
        <x:v>600</x:v>
      </x:c>
      <x:c r="I11" s="5" t="n">
        <x:v>1300</x:v>
      </x:c>
      <x:c r="J11" s="7" t="n">
        <x:v>0</x:v>
      </x:c>
      <x:c r="L11" t="str">
        <x:v>Sunday</x:v>
      </x:c>
      <x:c r="M11" s="8" t="n">
        <x:v>0.87</x:v>
      </x:c>
    </x:row>
    <x:row r="12">
      <x:c r="A12" t="str">
        <x:v>Z-score threshold</x:v>
      </x:c>
      <x:c r="B12" s="5" t="n">
        <x:v>3</x:v>
      </x:c>
      <x:c r="D12" t="str">
        <x:v>Reserve 8</x:v>
      </x:c>
      <x:c r="E12" s="5" t="n">
        <x:v>0</x:v>
      </x:c>
      <x:c r="F12" s="5" t="n">
        <x:v>900</x:v>
      </x:c>
      <x:c r="G12" s="5" t="n">
        <x:v>100</x:v>
      </x:c>
      <x:c r="H12" s="5" t="n">
        <x:v>600</x:v>
      </x:c>
      <x:c r="I12" s="5" t="n">
        <x:v>1300</x:v>
      </x:c>
      <x:c r="J12" s="7" t="n">
        <x:v>0</x:v>
      </x:c>
    </x:row>
    <x:row r="14">
      <x:c r="A14" s="4" t="str">
        <x:v>Generator setting</x:v>
      </x:c>
      <x:c r="B14" s="4" t="str">
        <x:v>Editable value</x:v>
      </x:c>
    </x:row>
    <x:row r="15">
      <x:c r="A15" t="str">
        <x:v>Smoothing alpha</x:v>
      </x:c>
      <x:c r="B15" s="8" t="n">
        <x:v>0.35</x:v>
      </x:c>
    </x:row>
    <x:row r="16">
      <x:c r="A16" t="str">
        <x:v>Random seed note</x:v>
      </x:c>
      <x:c r="B16" s="5" t="str">
        <x:v>Use Formulas &gt; Calculate Now to regenerate RAND-based output</x:v>
      </x:c>
    </x:row>
  </x:sheetData>
  <x:mergeCells>
    <x:mergeCell ref="A2:H2"/>
  </x:mergeCells>
  <x:dataValidations count="3">
    <x:dataValidation type="list" sqref="B8">
      <x:formula1>Assumptions!$D$5:$D$12</x:formula1>
    </x:dataValidation>
    <x:dataValidation type="list" sqref="B9">
      <x:formula1>"Line,Bar,Stacked"</x:formula1>
    </x:dataValidation>
    <x:dataValidation type="whole" operator="between" sqref="B10">
      <x:formula1>1</x:formula1>
      <x:formula2>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78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130000114440918" hidden="0" customWidth="1"/>
    <x:col min="2" max="2" width="22" hidden="0" customWidth="1"/>
    <x:col min="3" max="3" width="6.130000114440918" hidden="0" customWidth="1"/>
    <x:col min="4" max="4" width="7.130000114440918" hidden="0" customWidth="1"/>
    <x:col min="5" max="5" width="9.5" hidden="0" customWidth="1"/>
    <x:col min="6" max="6" width="10.130000114440918" hidden="0" customWidth="1"/>
    <x:col min="7" max="7" width="10.5" hidden="0" customWidth="1"/>
    <x:col min="8" max="8" width="13.130000114440918" hidden="0" customWidth="1"/>
    <x:col min="9" max="9" width="16" hidden="0" customWidth="1"/>
    <x:col min="10" max="10" width="11.130000114440918" hidden="0" customWidth="1"/>
    <x:col min="11" max="11" width="11.130000114440918" hidden="0" customWidth="1"/>
    <x:col min="12" max="12" width="24" hidden="0" customWidth="1"/>
    <x:col min="13" max="13" width="9.880000114440918" hidden="0" customWidth="1"/>
  </x:cols>
  <x:sheetData>
    <x:row r="1">
      <x:c r="A1" s="4" t="str">
        <x:v>Date</x:v>
      </x:c>
      <x:c r="B1" s="4" t="str">
        <x:v>Mine</x:v>
      </x:c>
      <x:c r="C1" s="4" t="str">
        <x:v>Mean</x:v>
      </x:c>
      <x:c r="D1" s="4" t="str">
        <x:v>Std dev</x:v>
      </x:c>
      <x:c r="E1" s="4" t="str">
        <x:v>Day factor</x:v>
      </x:c>
      <x:c r="F1" s="4" t="str">
        <x:v>Smoothing</x:v>
      </x:c>
      <x:c r="G1" s="4" t="str">
        <x:v>Raw output</x:v>
      </x:c>
      <x:c r="H1" s="4" t="str">
        <x:v>Output tonnes</x:v>
      </x:c>
      <x:c r="I1" s="4" t="str">
        <x:v>7-day moving avg</x:v>
      </x:c>
      <x:c r="J1" s="4" t="str">
        <x:v>Event factor</x:v>
      </x:c>
      <x:c r="K1" s="4" t="str">
        <x:v>Trend factor</x:v>
      </x:c>
      <x:c r="L1" s="4" t="str">
        <x:v>Event name</x:v>
      </x:c>
      <x:c r="M1" s="4" t="str">
        <x:v>Active row</x:v>
      </x:c>
    </x:row>
    <x:row r="2">
      <x:c r="A2" s="10" t="n">
        <x:f>IF(Assumptions!$B$5+INT((ROW()-2)/Assumptions!$B$7)&gt;Assumptions!$B$6,"",Assumptions!$B$5+INT((ROW()-2)/Assumptions!$B$7))</x:f>
        <x:v>46023</x:v>
      </x:c>
      <x:c r="B2" t="str">
        <x:f>IF($A2="","",INDEX(Assumptions!$D$5:$D$12,MOD(ROW()-2,Assumptions!$B$7)+1))</x:f>
        <x:v>Acheron Prime</x:v>
      </x:c>
      <x:c r="C2" s="11" t="n">
        <x:f>IF($A2="","",INDEX(Assumptions!$F$5:$F$12,MATCH($B2,Assumptions!$D$5:$D$12,0)))</x:f>
        <x:v>1120</x:v>
      </x:c>
      <x:c r="D2" s="11" t="n">
        <x:f>IF($A2="","",INDEX(Assumptions!$G$5:$G$12,MATCH($B2,Assumptions!$D$5:$D$12,0)))</x:f>
        <x:v>115</x:v>
      </x:c>
      <x:c r="E2" s="11" t="n">
        <x:f>IF($A2="","",INDEX(Assumptions!$M$5:$M$11,WEEKDAY($A2,2)))</x:f>
        <x:v>1</x:v>
      </x:c>
      <x:c r="F2" s="11" t="n">
        <x:f>IF($A2="","",Assumptions!$B$15)</x:f>
        <x:v>0.35</x:v>
      </x:c>
      <x:c r="G2" s="11" t="n">
        <x:f>IF($A2="","",MAX(INDEX(Assumptions!$H$5:$H$12,MATCH($B2,Assumptions!$D$5:$D$12,0)),MIN(INDEX(Assumptions!$I$5:$I$12,MATCH($B2,Assumptions!$D$5:$D$12,0)),($C2+$D2*SQRT(-2*LN(RAND()))*COS(2*PI()*RAND()))*$E2*$J2*$K2)))</x:f>
        <x:v>1190.3031034786543</x:v>
      </x:c>
      <x:c r="H2" s="11" t="n">
        <x:f>IF($A2="","",$G2*$F2+$C2*(1-$F2))</x:f>
        <x:v>1144.606086217529</x:v>
      </x:c>
      <x:c r="I2" s="11" t="n">
        <x:f>IF($A2="","",AVERAGE($H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1144.606086217529</x:v>
      </x:c>
      <x:c r="J2" s="12" t="n">
        <x:f>IF($A2="","",1+SUMIFS(Assumptions!$S$5:$S$10,Assumptions!$P$5:$P$10,$B2,Assumptions!$Q$5:$Q$10,"&lt;="&amp;$A2,Assumptions!$R$5:$R$10,"&gt;="&amp;$A2))</x:f>
        <x:v>1</x:v>
      </x:c>
      <x:c r="K2" s="12" t="n">
        <x:f>IF($A2="","",1+((($A2-Assumptions!$B$5)/30)*INDEX(Assumptions!$J$5:$J$12,MATCH($B2,Assumptions!$D$5:$D$12,0))))</x:f>
        <x:v>1</x:v>
      </x:c>
      <x:c r="L2" t="str">
        <x:f>IF($A2="","",IFERROR(INDEX(Assumptions!$O$5:$O$10,MATCH(1,(Assumptions!$P$5:$P$10=$B2)*(Assumptions!$Q$5:$Q$10&lt;=$A2)*(Assumptions!$R$5:$R$10&gt;=$A2),0)),""))</x:f>
      </x:c>
      <x:c r="M2" t="n">
        <x:f>--($A2&lt;&gt;"")</x:f>
        <x:v>1</x:v>
      </x:c>
    </x:row>
    <x:row r="3">
      <x:c r="A3" s="10" t="n">
        <x:f>IF(Assumptions!$B$5+INT((ROW()-2)/Assumptions!$B$7)&gt;Assumptions!$B$6,"",Assumptions!$B$5+INT((ROW()-2)/Assumptions!$B$7))</x:f>
        <x:v>46023</x:v>
      </x:c>
      <x:c r="B3" t="str">
        <x:f>IF($A3="","",INDEX(Assumptions!$D$5:$D$12,MOD(ROW()-2,Assumptions!$B$7)+1))</x:f>
        <x:v>LV-426 North</x:v>
      </x:c>
      <x:c r="C3" s="11" t="n">
        <x:f>IF($A3="","",INDEX(Assumptions!$F$5:$F$12,MATCH($B3,Assumptions!$D$5:$D$12,0)))</x:f>
        <x:v>930</x:v>
      </x:c>
      <x:c r="D3" s="11" t="n">
        <x:f>IF($A3="","",INDEX(Assumptions!$G$5:$G$12,MATCH($B3,Assumptions!$D$5:$D$12,0)))</x:f>
        <x:v>95</x:v>
      </x:c>
      <x:c r="E3" s="11" t="n">
        <x:f>IF($A3="","",INDEX(Assumptions!$M$5:$M$11,WEEKDAY($A3,2)))</x:f>
        <x:v>1</x:v>
      </x:c>
      <x:c r="F3" s="11" t="n">
        <x:f>IF($A3="","",Assumptions!$B$15)</x:f>
        <x:v>0.35</x:v>
      </x:c>
      <x:c r="G3" s="11" t="n">
        <x:f>IF($A3="","",MAX(INDEX(Assumptions!$H$5:$H$12,MATCH($B3,Assumptions!$D$5:$D$12,0)),MIN(INDEX(Assumptions!$I$5:$I$12,MATCH($B3,Assumptions!$D$5:$D$12,0)),($C3+$D3*SQRT(-2*LN(RAND()))*COS(2*PI()*RAND()))*$E3*$J3*$K3)))</x:f>
        <x:v>850.9606074661175</x:v>
      </x:c>
      <x:c r="H3" s="11" t="n">
        <x:f>IF($A3="","",$G3*$F3+$C3*(1-$F3))</x:f>
        <x:v>902.3362126131411</x:v>
      </x:c>
      <x:c r="I3" s="11" t="n">
        <x:f>IF($A3="","",AVERAGE($H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902.3362126131411</x:v>
      </x:c>
      <x:c r="J3" s="12" t="n">
        <x:f>IF($A3="","",1+SUMIFS(Assumptions!$S$5:$S$10,Assumptions!$P$5:$P$10,$B3,Assumptions!$Q$5:$Q$10,"&lt;="&amp;$A3,Assumptions!$R$5:$R$10,"&gt;="&amp;$A3))</x:f>
        <x:v>1</x:v>
      </x:c>
      <x:c r="K3" s="12" t="n">
        <x:f>IF($A3="","",1+((($A3-Assumptions!$B$5)/30)*INDEX(Assumptions!$J$5:$J$12,MATCH($B3,Assumptions!$D$5:$D$12,0))))</x:f>
        <x:v>1</x:v>
      </x:c>
      <x:c r="L3" t="str">
        <x:f>IF($A3="","",IFERROR(INDEX(Assumptions!$O$5:$O$10,MATCH(1,(Assumptions!$P$5:$P$10=$B3)*(Assumptions!$Q$5:$Q$10&lt;=$A3)*(Assumptions!$R$5:$R$10&gt;=$A3),0)),""))</x:f>
      </x:c>
      <x:c r="M3" t="n">
        <x:f>--($A3&lt;&gt;"")</x:f>
        <x:v>1</x:v>
      </x:c>
    </x:row>
    <x:row r="4">
      <x:c r="A4" s="10" t="n">
        <x:f>IF(Assumptions!$B$5+INT((ROW()-2)/Assumptions!$B$7)&gt;Assumptions!$B$6,"",Assumptions!$B$5+INT((ROW()-2)/Assumptions!$B$7))</x:f>
        <x:v>46023</x:v>
      </x:c>
      <x:c r="B4" t="str">
        <x:f>IF($A4="","",INDEX(Assumptions!$D$5:$D$12,MOD(ROW()-2,Assumptions!$B$7)+1))</x:f>
        <x:v>Nostromo Deep</x:v>
      </x:c>
      <x:c r="C4" s="11" t="n">
        <x:f>IF($A4="","",INDEX(Assumptions!$F$5:$F$12,MATCH($B4,Assumptions!$D$5:$D$12,0)))</x:f>
        <x:v>1260</x:v>
      </x:c>
      <x:c r="D4" s="11" t="n">
        <x:f>IF($A4="","",INDEX(Assumptions!$G$5:$G$12,MATCH($B4,Assumptions!$D$5:$D$12,0)))</x:f>
        <x:v>145</x:v>
      </x:c>
      <x:c r="E4" s="11" t="n">
        <x:f>IF($A4="","",INDEX(Assumptions!$M$5:$M$11,WEEKDAY($A4,2)))</x:f>
        <x:v>1</x:v>
      </x:c>
      <x:c r="F4" s="11" t="n">
        <x:f>IF($A4="","",Assumptions!$B$15)</x:f>
        <x:v>0.35</x:v>
      </x:c>
      <x:c r="G4" s="11" t="n">
        <x:f>IF($A4="","",MAX(INDEX(Assumptions!$H$5:$H$12,MATCH($B4,Assumptions!$D$5:$D$12,0)),MIN(INDEX(Assumptions!$I$5:$I$12,MATCH($B4,Assumptions!$D$5:$D$12,0)),($C4+$D4*SQRT(-2*LN(RAND()))*COS(2*PI()*RAND()))*$E4*$J4*$K4)))</x:f>
        <x:v>1122.2590065746745</x:v>
      </x:c>
      <x:c r="H4" s="11" t="n">
        <x:f>IF($A4="","",$G4*$F4+$C4*(1-$F4))</x:f>
        <x:v>1211.790652301136</x:v>
      </x:c>
      <x:c r="I4" s="11" t="n">
        <x:f>IF($A4="","",AVERAGE($H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1211.790652301136</x:v>
      </x:c>
      <x:c r="J4" s="12" t="n">
        <x:f>IF($A4="","",1+SUMIFS(Assumptions!$S$5:$S$10,Assumptions!$P$5:$P$10,$B4,Assumptions!$Q$5:$Q$10,"&lt;="&amp;$A4,Assumptions!$R$5:$R$10,"&gt;="&amp;$A4))</x:f>
        <x:v>1</x:v>
      </x:c>
      <x:c r="K4" s="12" t="n">
        <x:f>IF($A4="","",1+((($A4-Assumptions!$B$5)/30)*INDEX(Assumptions!$J$5:$J$12,MATCH($B4,Assumptions!$D$5:$D$12,0))))</x:f>
        <x:v>1</x:v>
      </x:c>
      <x:c r="L4" t="str">
        <x:f>IF($A4="","",IFERROR(INDEX(Assumptions!$O$5:$O$10,MATCH(1,(Assumptions!$P$5:$P$10=$B4)*(Assumptions!$Q$5:$Q$10&lt;=$A4)*(Assumptions!$R$5:$R$10&gt;=$A4),0)),""))</x:f>
      </x:c>
      <x:c r="M4" t="n">
        <x:f>--($A4&lt;&gt;"")</x:f>
        <x:v>1</x:v>
      </x:c>
    </x:row>
    <x:row r="5">
      <x:c r="A5" s="10" t="n">
        <x:f>IF(Assumptions!$B$5+INT((ROW()-2)/Assumptions!$B$7)&gt;Assumptions!$B$6,"",Assumptions!$B$5+INT((ROW()-2)/Assumptions!$B$7))</x:f>
        <x:v>46023</x:v>
      </x:c>
      <x:c r="B5" t="str">
        <x:f>IF($A5="","",INDEX(Assumptions!$D$5:$D$12,MOD(ROW()-2,Assumptions!$B$7)+1))</x:f>
        <x:v>Hadley's Hope</x:v>
      </x:c>
      <x:c r="C5" s="11" t="n">
        <x:f>IF($A5="","",INDEX(Assumptions!$F$5:$F$12,MATCH($B5,Assumptions!$D$5:$D$12,0)))</x:f>
        <x:v>845</x:v>
      </x:c>
      <x:c r="D5" s="11" t="n">
        <x:f>IF($A5="","",INDEX(Assumptions!$G$5:$G$12,MATCH($B5,Assumptions!$D$5:$D$12,0)))</x:f>
        <x:v>80</x:v>
      </x:c>
      <x:c r="E5" s="11" t="n">
        <x:f>IF($A5="","",INDEX(Assumptions!$M$5:$M$11,WEEKDAY($A5,2)))</x:f>
        <x:v>1</x:v>
      </x:c>
      <x:c r="F5" s="11" t="n">
        <x:f>IF($A5="","",Assumptions!$B$15)</x:f>
        <x:v>0.35</x:v>
      </x:c>
      <x:c r="G5" s="11" t="n">
        <x:f>IF($A5="","",MAX(INDEX(Assumptions!$H$5:$H$12,MATCH($B5,Assumptions!$D$5:$D$12,0)),MIN(INDEX(Assumptions!$I$5:$I$12,MATCH($B5,Assumptions!$D$5:$D$12,0)),($C5+$D5*SQRT(-2*LN(RAND()))*COS(2*PI()*RAND()))*$E5*$J5*$K5)))</x:f>
        <x:v>859.578057559896</x:v>
      </x:c>
      <x:c r="H5" s="11" t="n">
        <x:f>IF($A5="","",$G5*$F5+$C5*(1-$F5))</x:f>
        <x:v>850.1023201459636</x:v>
      </x:c>
      <x:c r="I5" s="11" t="n">
        <x:f>IF($A5="","",AVERAGE($H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850.1023201459636</x:v>
      </x:c>
      <x:c r="J5" s="12" t="n">
        <x:f>IF($A5="","",1+SUMIFS(Assumptions!$S$5:$S$10,Assumptions!$P$5:$P$10,$B5,Assumptions!$Q$5:$Q$10,"&lt;="&amp;$A5,Assumptions!$R$5:$R$10,"&gt;="&amp;$A5))</x:f>
        <x:v>1</x:v>
      </x:c>
      <x:c r="K5" s="12" t="n">
        <x:f>IF($A5="","",1+((($A5-Assumptions!$B$5)/30)*INDEX(Assumptions!$J$5:$J$12,MATCH($B5,Assumptions!$D$5:$D$12,0))))</x:f>
        <x:v>1</x:v>
      </x:c>
      <x:c r="L5" t="str">
        <x:f>IF($A5="","",IFERROR(INDEX(Assumptions!$O$5:$O$10,MATCH(1,(Assumptions!$P$5:$P$10=$B5)*(Assumptions!$Q$5:$Q$10&lt;=$A5)*(Assumptions!$R$5:$R$10&gt;=$A5),0)),""))</x:f>
      </x:c>
      <x:c r="M5" t="n">
        <x:f>--($A5&lt;&gt;"")</x:f>
        <x:v>1</x:v>
      </x:c>
    </x:row>
    <x:row r="6">
      <x:c r="A6" s="10" t="n">
        <x:f>IF(Assumptions!$B$5+INT((ROW()-2)/Assumptions!$B$7)&gt;Assumptions!$B$6,"",Assumptions!$B$5+INT((ROW()-2)/Assumptions!$B$7))</x:f>
        <x:v>46023</x:v>
      </x:c>
      <x:c r="B6" t="str">
        <x:f>IF($A6="","",INDEX(Assumptions!$D$5:$D$12,MOD(ROW()-2,Assumptions!$B$7)+1))</x:f>
        <x:v>Yutani Ridge</x:v>
      </x:c>
      <x:c r="C6" s="11" t="n">
        <x:f>IF($A6="","",INDEX(Assumptions!$F$5:$F$12,MATCH($B6,Assumptions!$D$5:$D$12,0)))</x:f>
        <x:v>1050</x:v>
      </x:c>
      <x:c r="D6" s="11" t="n">
        <x:f>IF($A6="","",INDEX(Assumptions!$G$5:$G$12,MATCH($B6,Assumptions!$D$5:$D$12,0)))</x:f>
        <x:v>125</x:v>
      </x:c>
      <x:c r="E6" s="11" t="n">
        <x:f>IF($A6="","",INDEX(Assumptions!$M$5:$M$11,WEEKDAY($A6,2)))</x:f>
        <x:v>1</x:v>
      </x:c>
      <x:c r="F6" s="11" t="n">
        <x:f>IF($A6="","",Assumptions!$B$15)</x:f>
        <x:v>0.35</x:v>
      </x:c>
      <x:c r="G6" s="11" t="n">
        <x:f>IF($A6="","",MAX(INDEX(Assumptions!$H$5:$H$12,MATCH($B6,Assumptions!$D$5:$D$12,0)),MIN(INDEX(Assumptions!$I$5:$I$12,MATCH($B6,Assumptions!$D$5:$D$12,0)),($C6+$D6*SQRT(-2*LN(RAND()))*COS(2*PI()*RAND()))*$E6*$J6*$K6)))</x:f>
        <x:v>1089.4020179089869</x:v>
      </x:c>
      <x:c r="H6" s="11" t="n">
        <x:f>IF($A6="","",$G6*$F6+$C6*(1-$F6))</x:f>
        <x:v>1063.7907062681454</x:v>
      </x:c>
      <x:c r="I6" s="11" t="n">
        <x:f>IF($A6="","",AVERAGE($H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1063.7907062681454</x:v>
      </x:c>
      <x:c r="J6" s="12" t="n">
        <x:f>IF($A6="","",1+SUMIFS(Assumptions!$S$5:$S$10,Assumptions!$P$5:$P$10,$B6,Assumptions!$Q$5:$Q$10,"&lt;="&amp;$A6,Assumptions!$R$5:$R$10,"&gt;="&amp;$A6))</x:f>
        <x:v>1</x:v>
      </x:c>
      <x:c r="K6" s="12" t="n">
        <x:f>IF($A6="","",1+((($A6-Assumptions!$B$5)/30)*INDEX(Assumptions!$J$5:$J$12,MATCH($B6,Assumptions!$D$5:$D$12,0))))</x:f>
        <x:v>1</x:v>
      </x:c>
      <x:c r="L6" t="str">
        <x:f>IF($A6="","",IFERROR(INDEX(Assumptions!$O$5:$O$10,MATCH(1,(Assumptions!$P$5:$P$10=$B6)*(Assumptions!$Q$5:$Q$10&lt;=$A6)*(Assumptions!$R$5:$R$10&gt;=$A6),0)),""))</x:f>
      </x:c>
      <x:c r="M6" t="n">
        <x:f>--($A6&lt;&gt;"")</x:f>
        <x:v>1</x:v>
      </x:c>
    </x:row>
    <x:row r="7">
      <x:c r="A7" s="10" t="n">
        <x:f>IF(Assumptions!$B$5+INT((ROW()-2)/Assumptions!$B$7)&gt;Assumptions!$B$6,"",Assumptions!$B$5+INT((ROW()-2)/Assumptions!$B$7))</x:f>
        <x:v>46024</x:v>
      </x:c>
      <x:c r="B7" t="str">
        <x:f>IF($A7="","",INDEX(Assumptions!$D$5:$D$12,MOD(ROW()-2,Assumptions!$B$7)+1))</x:f>
        <x:v>Acheron Prime</x:v>
      </x:c>
      <x:c r="C7" s="11" t="n">
        <x:f>IF($A7="","",INDEX(Assumptions!$F$5:$F$12,MATCH($B7,Assumptions!$D$5:$D$12,0)))</x:f>
        <x:v>1120</x:v>
      </x:c>
      <x:c r="D7" s="11" t="n">
        <x:f>IF($A7="","",INDEX(Assumptions!$G$5:$G$12,MATCH($B7,Assumptions!$D$5:$D$12,0)))</x:f>
        <x:v>115</x:v>
      </x:c>
      <x:c r="E7" s="11" t="n">
        <x:f>IF($A7="","",INDEX(Assumptions!$M$5:$M$11,WEEKDAY($A7,2)))</x:f>
        <x:v>0.98</x:v>
      </x:c>
      <x:c r="F7" s="11" t="n">
        <x:f>IF($A7="","",Assumptions!$B$15)</x:f>
        <x:v>0.35</x:v>
      </x:c>
      <x:c r="G7" s="11" t="n">
        <x:f>IF($A7="","",MAX(INDEX(Assumptions!$H$5:$H$12,MATCH($B7,Assumptions!$D$5:$D$12,0)),MIN(INDEX(Assumptions!$I$5:$I$12,MATCH($B7,Assumptions!$D$5:$D$12,0)),($C7+$D7*SQRT(-2*LN(RAND()))*COS(2*PI()*RAND()))*$E7*$J7*$K7)))</x:f>
        <x:v>991.5852513403592</x:v>
      </x:c>
      <x:c r="H7" s="11" t="n">
        <x:f>IF($A7="","",$G7*$F7+$C7*(1-$F7))</x:f>
        <x:v>1075.0548379691256</x:v>
      </x:c>
      <x:c r="I7" s="11" t="n">
        <x:f>IF($A7="","",AVERAGE($H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1109.8304620933272</x:v>
      </x:c>
      <x:c r="J7" s="12" t="n">
        <x:f>IF($A7="","",1+SUMIFS(Assumptions!$S$5:$S$10,Assumptions!$P$5:$P$10,$B7,Assumptions!$Q$5:$Q$10,"&lt;="&amp;$A7,Assumptions!$R$5:$R$10,"&gt;="&amp;$A7))</x:f>
        <x:v>1</x:v>
      </x:c>
      <x:c r="K7" s="12" t="n">
        <x:f>IF($A7="","",1+((($A7-Assumptions!$B$5)/30)*INDEX(Assumptions!$J$5:$J$12,MATCH($B7,Assumptions!$D$5:$D$12,0))))</x:f>
        <x:v>1.0000666666666667</x:v>
      </x:c>
      <x:c r="L7" t="str">
        <x:f>IF($A7="","",IFERROR(INDEX(Assumptions!$O$5:$O$10,MATCH(1,(Assumptions!$P$5:$P$10=$B7)*(Assumptions!$Q$5:$Q$10&lt;=$A7)*(Assumptions!$R$5:$R$10&gt;=$A7),0)),""))</x:f>
      </x:c>
      <x:c r="M7" t="n">
        <x:f>--($A7&lt;&gt;"")</x:f>
        <x:v>1</x:v>
      </x:c>
    </x:row>
    <x:row r="8">
      <x:c r="A8" s="10" t="n">
        <x:f>IF(Assumptions!$B$5+INT((ROW()-2)/Assumptions!$B$7)&gt;Assumptions!$B$6,"",Assumptions!$B$5+INT((ROW()-2)/Assumptions!$B$7))</x:f>
        <x:v>46024</x:v>
      </x:c>
      <x:c r="B8" t="str">
        <x:f>IF($A8="","",INDEX(Assumptions!$D$5:$D$12,MOD(ROW()-2,Assumptions!$B$7)+1))</x:f>
        <x:v>LV-426 North</x:v>
      </x:c>
      <x:c r="C8" s="11" t="n">
        <x:f>IF($A8="","",INDEX(Assumptions!$F$5:$F$12,MATCH($B8,Assumptions!$D$5:$D$12,0)))</x:f>
        <x:v>930</x:v>
      </x:c>
      <x:c r="D8" s="11" t="n">
        <x:f>IF($A8="","",INDEX(Assumptions!$G$5:$G$12,MATCH($B8,Assumptions!$D$5:$D$12,0)))</x:f>
        <x:v>95</x:v>
      </x:c>
      <x:c r="E8" s="11" t="n">
        <x:f>IF($A8="","",INDEX(Assumptions!$M$5:$M$11,WEEKDAY($A8,2)))</x:f>
        <x:v>0.98</x:v>
      </x:c>
      <x:c r="F8" s="11" t="n">
        <x:f>IF($A8="","",Assumptions!$B$15)</x:f>
        <x:v>0.35</x:v>
      </x:c>
      <x:c r="G8" s="11" t="n">
        <x:f>IF($A8="","",MAX(INDEX(Assumptions!$H$5:$H$12,MATCH($B8,Assumptions!$D$5:$D$12,0)),MIN(INDEX(Assumptions!$I$5:$I$12,MATCH($B8,Assumptions!$D$5:$D$12,0)),($C8+$D8*SQRT(-2*LN(RAND()))*COS(2*PI()*RAND()))*$E8*$J8*$K8)))</x:f>
        <x:v>931.709684429838</x:v>
      </x:c>
      <x:c r="H8" s="11" t="n">
        <x:f>IF($A8="","",$G8*$F8+$C8*(1-$F8))</x:f>
        <x:v>930.5983895504432</x:v>
      </x:c>
      <x:c r="I8" s="11" t="n">
        <x:f>IF($A8="","",AVERAGE($H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916.4673010817921</x:v>
      </x:c>
      <x:c r="J8" s="12" t="n">
        <x:f>IF($A8="","",1+SUMIFS(Assumptions!$S$5:$S$10,Assumptions!$P$5:$P$10,$B8,Assumptions!$Q$5:$Q$10,"&lt;="&amp;$A8,Assumptions!$R$5:$R$10,"&gt;="&amp;$A8))</x:f>
        <x:v>1</x:v>
      </x:c>
      <x:c r="K8" s="12" t="n">
        <x:f>IF($A8="","",1+((($A8-Assumptions!$B$5)/30)*INDEX(Assumptions!$J$5:$J$12,MATCH($B8,Assumptions!$D$5:$D$12,0))))</x:f>
        <x:v>0.9999666666666667</x:v>
      </x:c>
      <x:c r="L8" t="str">
        <x:f>IF($A8="","",IFERROR(INDEX(Assumptions!$O$5:$O$10,MATCH(1,(Assumptions!$P$5:$P$10=$B8)*(Assumptions!$Q$5:$Q$10&lt;=$A8)*(Assumptions!$R$5:$R$10&gt;=$A8),0)),""))</x:f>
      </x:c>
      <x:c r="M8" t="n">
        <x:f>--($A8&lt;&gt;"")</x:f>
        <x:v>1</x:v>
      </x:c>
    </x:row>
    <x:row r="9">
      <x:c r="A9" s="10" t="n">
        <x:f>IF(Assumptions!$B$5+INT((ROW()-2)/Assumptions!$B$7)&gt;Assumptions!$B$6,"",Assumptions!$B$5+INT((ROW()-2)/Assumptions!$B$7))</x:f>
        <x:v>46024</x:v>
      </x:c>
      <x:c r="B9" t="str">
        <x:f>IF($A9="","",INDEX(Assumptions!$D$5:$D$12,MOD(ROW()-2,Assumptions!$B$7)+1))</x:f>
        <x:v>Nostromo Deep</x:v>
      </x:c>
      <x:c r="C9" s="11" t="n">
        <x:f>IF($A9="","",INDEX(Assumptions!$F$5:$F$12,MATCH($B9,Assumptions!$D$5:$D$12,0)))</x:f>
        <x:v>1260</x:v>
      </x:c>
      <x:c r="D9" s="11" t="n">
        <x:f>IF($A9="","",INDEX(Assumptions!$G$5:$G$12,MATCH($B9,Assumptions!$D$5:$D$12,0)))</x:f>
        <x:v>145</x:v>
      </x:c>
      <x:c r="E9" s="11" t="n">
        <x:f>IF($A9="","",INDEX(Assumptions!$M$5:$M$11,WEEKDAY($A9,2)))</x:f>
        <x:v>0.98</x:v>
      </x:c>
      <x:c r="F9" s="11" t="n">
        <x:f>IF($A9="","",Assumptions!$B$15)</x:f>
        <x:v>0.35</x:v>
      </x:c>
      <x:c r="G9" s="11" t="n">
        <x:f>IF($A9="","",MAX(INDEX(Assumptions!$H$5:$H$12,MATCH($B9,Assumptions!$D$5:$D$12,0)),MIN(INDEX(Assumptions!$I$5:$I$12,MATCH($B9,Assumptions!$D$5:$D$12,0)),($C9+$D9*SQRT(-2*LN(RAND()))*COS(2*PI()*RAND()))*$E9*$J9*$K9)))</x:f>
        <x:v>1271.6867169495758</x:v>
      </x:c>
      <x:c r="H9" s="11" t="n">
        <x:f>IF($A9="","",$G9*$F9+$C9*(1-$F9))</x:f>
        <x:v>1264.0903509323516</x:v>
      </x:c>
      <x:c r="I9" s="11" t="n">
        <x:f>IF($A9="","",AVERAGE($H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1237.9405016167439</x:v>
      </x:c>
      <x:c r="J9" s="12" t="n">
        <x:f>IF($A9="","",1+SUMIFS(Assumptions!$S$5:$S$10,Assumptions!$P$5:$P$10,$B9,Assumptions!$Q$5:$Q$10,"&lt;="&amp;$A9,Assumptions!$R$5:$R$10,"&gt;="&amp;$A9))</x:f>
        <x:v>1</x:v>
      </x:c>
      <x:c r="K9" s="12" t="n">
        <x:f>IF($A9="","",1+((($A9-Assumptions!$B$5)/30)*INDEX(Assumptions!$J$5:$J$12,MATCH($B9,Assumptions!$D$5:$D$12,0))))</x:f>
        <x:v>1.0001</x:v>
      </x:c>
      <x:c r="L9" t="str">
        <x:f>IF($A9="","",IFERROR(INDEX(Assumptions!$O$5:$O$10,MATCH(1,(Assumptions!$P$5:$P$10=$B9)*(Assumptions!$Q$5:$Q$10&lt;=$A9)*(Assumptions!$R$5:$R$10&gt;=$A9),0)),""))</x:f>
      </x:c>
      <x:c r="M9" t="n">
        <x:f>--($A9&lt;&gt;"")</x:f>
        <x:v>1</x:v>
      </x:c>
    </x:row>
    <x:row r="10">
      <x:c r="A10" s="10" t="n">
        <x:f>IF(Assumptions!$B$5+INT((ROW()-2)/Assumptions!$B$7)&gt;Assumptions!$B$6,"",Assumptions!$B$5+INT((ROW()-2)/Assumptions!$B$7))</x:f>
        <x:v>46024</x:v>
      </x:c>
      <x:c r="B10" t="str">
        <x:f>IF($A10="","",INDEX(Assumptions!$D$5:$D$12,MOD(ROW()-2,Assumptions!$B$7)+1))</x:f>
        <x:v>Hadley's Hope</x:v>
      </x:c>
      <x:c r="C10" s="11" t="n">
        <x:f>IF($A10="","",INDEX(Assumptions!$F$5:$F$12,MATCH($B10,Assumptions!$D$5:$D$12,0)))</x:f>
        <x:v>845</x:v>
      </x:c>
      <x:c r="D10" s="11" t="n">
        <x:f>IF($A10="","",INDEX(Assumptions!$G$5:$G$12,MATCH($B10,Assumptions!$D$5:$D$12,0)))</x:f>
        <x:v>80</x:v>
      </x:c>
      <x:c r="E10" s="11" t="n">
        <x:f>IF($A10="","",INDEX(Assumptions!$M$5:$M$11,WEEKDAY($A10,2)))</x:f>
        <x:v>0.98</x:v>
      </x:c>
      <x:c r="F10" s="11" t="n">
        <x:f>IF($A10="","",Assumptions!$B$15)</x:f>
        <x:v>0.35</x:v>
      </x:c>
      <x:c r="G10" s="11" t="n">
        <x:f>IF($A10="","",MAX(INDEX(Assumptions!$H$5:$H$12,MATCH($B10,Assumptions!$D$5:$D$12,0)),MIN(INDEX(Assumptions!$I$5:$I$12,MATCH($B10,Assumptions!$D$5:$D$12,0)),($C10+$D10*SQRT(-2*LN(RAND()))*COS(2*PI()*RAND()))*$E10*$J10*$K10)))</x:f>
        <x:v>822.3034000487484</x:v>
      </x:c>
      <x:c r="H10" s="11" t="n">
        <x:f>IF($A10="","",$G10*$F10+$C10*(1-$F10))</x:f>
        <x:v>837.0561900170619</x:v>
      </x:c>
      <x:c r="I10" s="11" t="n">
        <x:f>IF($A10="","",AVERAGE($H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843.5792550815128</x:v>
      </x:c>
      <x:c r="J10" s="12" t="n">
        <x:f>IF($A10="","",1+SUMIFS(Assumptions!$S$5:$S$10,Assumptions!$P$5:$P$10,$B10,Assumptions!$Q$5:$Q$10,"&lt;="&amp;$A10,Assumptions!$R$5:$R$10,"&gt;="&amp;$A10))</x:f>
        <x:v>1</x:v>
      </x:c>
      <x:c r="K10" s="12" t="n">
        <x:f>IF($A10="","",1+((($A10-Assumptions!$B$5)/30)*INDEX(Assumptions!$J$5:$J$12,MATCH($B10,Assumptions!$D$5:$D$12,0))))</x:f>
        <x:v>1.0000333333333333</x:v>
      </x:c>
      <x:c r="L10" t="str">
        <x:f>IF($A10="","",IFERROR(INDEX(Assumptions!$O$5:$O$10,MATCH(1,(Assumptions!$P$5:$P$10=$B10)*(Assumptions!$Q$5:$Q$10&lt;=$A10)*(Assumptions!$R$5:$R$10&gt;=$A10),0)),""))</x:f>
      </x:c>
      <x:c r="M10" t="n">
        <x:f>--($A10&lt;&gt;"")</x:f>
        <x:v>1</x:v>
      </x:c>
    </x:row>
    <x:row r="11">
      <x:c r="A11" s="10" t="n">
        <x:f>IF(Assumptions!$B$5+INT((ROW()-2)/Assumptions!$B$7)&gt;Assumptions!$B$6,"",Assumptions!$B$5+INT((ROW()-2)/Assumptions!$B$7))</x:f>
        <x:v>46024</x:v>
      </x:c>
      <x:c r="B11" t="str">
        <x:f>IF($A11="","",INDEX(Assumptions!$D$5:$D$12,MOD(ROW()-2,Assumptions!$B$7)+1))</x:f>
        <x:v>Yutani Ridge</x:v>
      </x:c>
      <x:c r="C11" s="11" t="n">
        <x:f>IF($A11="","",INDEX(Assumptions!$F$5:$F$12,MATCH($B11,Assumptions!$D$5:$D$12,0)))</x:f>
        <x:v>1050</x:v>
      </x:c>
      <x:c r="D11" s="11" t="n">
        <x:f>IF($A11="","",INDEX(Assumptions!$G$5:$G$12,MATCH($B11,Assumptions!$D$5:$D$12,0)))</x:f>
        <x:v>125</x:v>
      </x:c>
      <x:c r="E11" s="11" t="n">
        <x:f>IF($A11="","",INDEX(Assumptions!$M$5:$M$11,WEEKDAY($A11,2)))</x:f>
        <x:v>0.98</x:v>
      </x:c>
      <x:c r="F11" s="11" t="n">
        <x:f>IF($A11="","",Assumptions!$B$15)</x:f>
        <x:v>0.35</x:v>
      </x:c>
      <x:c r="G11" s="11" t="n">
        <x:f>IF($A11="","",MAX(INDEX(Assumptions!$H$5:$H$12,MATCH($B11,Assumptions!$D$5:$D$12,0)),MIN(INDEX(Assumptions!$I$5:$I$12,MATCH($B11,Assumptions!$D$5:$D$12,0)),($C11+$D11*SQRT(-2*LN(RAND()))*COS(2*PI()*RAND()))*$E11*$J11*$K11)))</x:f>
        <x:v>888.6214718907923</x:v>
      </x:c>
      <x:c r="H11" s="11" t="n">
        <x:f>IF($A11="","",$G11*$F11+$C11*(1-$F11))</x:f>
        <x:v>993.5175151617773</x:v>
      </x:c>
      <x:c r="I11" s="11" t="n">
        <x:f>IF($A11="","",AVERAGE($H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1028.6541107149615</x:v>
      </x:c>
      <x:c r="J11" s="12" t="n">
        <x:f>IF($A11="","",1+SUMIFS(Assumptions!$S$5:$S$10,Assumptions!$P$5:$P$10,$B11,Assumptions!$Q$5:$Q$10,"&lt;="&amp;$A11,Assumptions!$R$5:$R$10,"&gt;="&amp;$A11))</x:f>
        <x:v>1</x:v>
      </x:c>
      <x:c r="K11" s="12" t="n">
        <x:f>IF($A11="","",1+((($A11-Assumptions!$B$5)/30)*INDEX(Assumptions!$J$5:$J$12,MATCH($B11,Assumptions!$D$5:$D$12,0))))</x:f>
        <x:v>1.0000833333333334</x:v>
      </x:c>
      <x:c r="L11" t="str">
        <x:f>IF($A11="","",IFERROR(INDEX(Assumptions!$O$5:$O$10,MATCH(1,(Assumptions!$P$5:$P$10=$B11)*(Assumptions!$Q$5:$Q$10&lt;=$A11)*(Assumptions!$R$5:$R$10&gt;=$A11),0)),""))</x:f>
      </x:c>
      <x:c r="M11" t="n">
        <x:f>--($A11&lt;&gt;"")</x:f>
        <x:v>1</x:v>
      </x:c>
    </x:row>
    <x:row r="12">
      <x:c r="A12" s="10" t="n">
        <x:f>IF(Assumptions!$B$5+INT((ROW()-2)/Assumptions!$B$7)&gt;Assumptions!$B$6,"",Assumptions!$B$5+INT((ROW()-2)/Assumptions!$B$7))</x:f>
        <x:v>46025</x:v>
      </x:c>
      <x:c r="B12" t="str">
        <x:f>IF($A12="","",INDEX(Assumptions!$D$5:$D$12,MOD(ROW()-2,Assumptions!$B$7)+1))</x:f>
        <x:v>Acheron Prime</x:v>
      </x:c>
      <x:c r="C12" s="11" t="n">
        <x:f>IF($A12="","",INDEX(Assumptions!$F$5:$F$12,MATCH($B12,Assumptions!$D$5:$D$12,0)))</x:f>
        <x:v>1120</x:v>
      </x:c>
      <x:c r="D12" s="11" t="n">
        <x:f>IF($A12="","",INDEX(Assumptions!$G$5:$G$12,MATCH($B12,Assumptions!$D$5:$D$12,0)))</x:f>
        <x:v>115</x:v>
      </x:c>
      <x:c r="E12" s="11" t="n">
        <x:f>IF($A12="","",INDEX(Assumptions!$M$5:$M$11,WEEKDAY($A12,2)))</x:f>
        <x:v>0.91</x:v>
      </x:c>
      <x:c r="F12" s="11" t="n">
        <x:f>IF($A12="","",Assumptions!$B$15)</x:f>
        <x:v>0.35</x:v>
      </x:c>
      <x:c r="G12" s="11" t="n">
        <x:f>IF($A12="","",MAX(INDEX(Assumptions!$H$5:$H$12,MATCH($B12,Assumptions!$D$5:$D$12,0)),MIN(INDEX(Assumptions!$I$5:$I$12,MATCH($B12,Assumptions!$D$5:$D$12,0)),($C12+$D12*SQRT(-2*LN(RAND()))*COS(2*PI()*RAND()))*$E12*$J12*$K12)))</x:f>
        <x:v>1131.4724227612196</x:v>
      </x:c>
      <x:c r="H12" s="11" t="n">
        <x:f>IF($A12="","",$G12*$F12+$C12*(1-$F12))</x:f>
        <x:v>1124.0153479664268</x:v>
      </x:c>
      <x:c r="I12" s="11" t="n">
        <x:f>IF($A12="","",AVERAGE($H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1114.5587573843604</x:v>
      </x:c>
      <x:c r="J12" s="12" t="n">
        <x:f>IF($A12="","",1+SUMIFS(Assumptions!$S$5:$S$10,Assumptions!$P$5:$P$10,$B12,Assumptions!$Q$5:$Q$10,"&lt;="&amp;$A12,Assumptions!$R$5:$R$10,"&gt;="&amp;$A12))</x:f>
        <x:v>1</x:v>
      </x:c>
      <x:c r="K12" s="12" t="n">
        <x:f>IF($A12="","",1+((($A12-Assumptions!$B$5)/30)*INDEX(Assumptions!$J$5:$J$12,MATCH($B12,Assumptions!$D$5:$D$12,0))))</x:f>
        <x:v>1.0001333333333333</x:v>
      </x:c>
      <x:c r="L12" t="str">
        <x:f>IF($A12="","",IFERROR(INDEX(Assumptions!$O$5:$O$10,MATCH(1,(Assumptions!$P$5:$P$10=$B12)*(Assumptions!$Q$5:$Q$10&lt;=$A12)*(Assumptions!$R$5:$R$10&gt;=$A12),0)),""))</x:f>
      </x:c>
      <x:c r="M12" t="n">
        <x:f>--($A12&lt;&gt;"")</x:f>
        <x:v>1</x:v>
      </x:c>
    </x:row>
    <x:row r="13">
      <x:c r="A13" s="10" t="n">
        <x:f>IF(Assumptions!$B$5+INT((ROW()-2)/Assumptions!$B$7)&gt;Assumptions!$B$6,"",Assumptions!$B$5+INT((ROW()-2)/Assumptions!$B$7))</x:f>
        <x:v>46025</x:v>
      </x:c>
      <x:c r="B13" t="str">
        <x:f>IF($A13="","",INDEX(Assumptions!$D$5:$D$12,MOD(ROW()-2,Assumptions!$B$7)+1))</x:f>
        <x:v>LV-426 North</x:v>
      </x:c>
      <x:c r="C13" s="11" t="n">
        <x:f>IF($A13="","",INDEX(Assumptions!$F$5:$F$12,MATCH($B13,Assumptions!$D$5:$D$12,0)))</x:f>
        <x:v>930</x:v>
      </x:c>
      <x:c r="D13" s="11" t="n">
        <x:f>IF($A13="","",INDEX(Assumptions!$G$5:$G$12,MATCH($B13,Assumptions!$D$5:$D$12,0)))</x:f>
        <x:v>95</x:v>
      </x:c>
      <x:c r="E13" s="11" t="n">
        <x:f>IF($A13="","",INDEX(Assumptions!$M$5:$M$11,WEEKDAY($A13,2)))</x:f>
        <x:v>0.91</x:v>
      </x:c>
      <x:c r="F13" s="11" t="n">
        <x:f>IF($A13="","",Assumptions!$B$15)</x:f>
        <x:v>0.35</x:v>
      </x:c>
      <x:c r="G13" s="11" t="n">
        <x:f>IF($A13="","",MAX(INDEX(Assumptions!$H$5:$H$12,MATCH($B13,Assumptions!$D$5:$D$12,0)),MIN(INDEX(Assumptions!$I$5:$I$12,MATCH($B13,Assumptions!$D$5:$D$12,0)),($C13+$D13*SQRT(-2*LN(RAND()))*COS(2*PI()*RAND()))*$E13*$J13*$K13)))</x:f>
        <x:v>1026.729750955797</x:v>
      </x:c>
      <x:c r="H13" s="11" t="n">
        <x:f>IF($A13="","",$G13*$F13+$C13*(1-$F13))</x:f>
        <x:v>963.8554128345289</x:v>
      </x:c>
      <x:c r="I13" s="11" t="n">
        <x:f>IF($A13="","",AVERAGE($H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932.2633383327044</x:v>
      </x:c>
      <x:c r="J13" s="12" t="n">
        <x:f>IF($A13="","",1+SUMIFS(Assumptions!$S$5:$S$10,Assumptions!$P$5:$P$10,$B13,Assumptions!$Q$5:$Q$10,"&lt;="&amp;$A13,Assumptions!$R$5:$R$10,"&gt;="&amp;$A13))</x:f>
        <x:v>1</x:v>
      </x:c>
      <x:c r="K13" s="12" t="n">
        <x:f>IF($A13="","",1+((($A13-Assumptions!$B$5)/30)*INDEX(Assumptions!$J$5:$J$12,MATCH($B13,Assumptions!$D$5:$D$12,0))))</x:f>
        <x:v>0.9999333333333333</x:v>
      </x:c>
      <x:c r="L13" t="str">
        <x:f>IF($A13="","",IFERROR(INDEX(Assumptions!$O$5:$O$10,MATCH(1,(Assumptions!$P$5:$P$10=$B13)*(Assumptions!$Q$5:$Q$10&lt;=$A13)*(Assumptions!$R$5:$R$10&gt;=$A13),0)),""))</x:f>
      </x:c>
      <x:c r="M13" t="n">
        <x:f>--($A13&lt;&gt;"")</x:f>
        <x:v>1</x:v>
      </x:c>
    </x:row>
    <x:row r="14">
      <x:c r="A14" s="10" t="n">
        <x:f>IF(Assumptions!$B$5+INT((ROW()-2)/Assumptions!$B$7)&gt;Assumptions!$B$6,"",Assumptions!$B$5+INT((ROW()-2)/Assumptions!$B$7))</x:f>
        <x:v>46025</x:v>
      </x:c>
      <x:c r="B14" t="str">
        <x:f>IF($A14="","",INDEX(Assumptions!$D$5:$D$12,MOD(ROW()-2,Assumptions!$B$7)+1))</x:f>
        <x:v>Nostromo Deep</x:v>
      </x:c>
      <x:c r="C14" s="11" t="n">
        <x:f>IF($A14="","",INDEX(Assumptions!$F$5:$F$12,MATCH($B14,Assumptions!$D$5:$D$12,0)))</x:f>
        <x:v>1260</x:v>
      </x:c>
      <x:c r="D14" s="11" t="n">
        <x:f>IF($A14="","",INDEX(Assumptions!$G$5:$G$12,MATCH($B14,Assumptions!$D$5:$D$12,0)))</x:f>
        <x:v>145</x:v>
      </x:c>
      <x:c r="E14" s="11" t="n">
        <x:f>IF($A14="","",INDEX(Assumptions!$M$5:$M$11,WEEKDAY($A14,2)))</x:f>
        <x:v>0.91</x:v>
      </x:c>
      <x:c r="F14" s="11" t="n">
        <x:f>IF($A14="","",Assumptions!$B$15)</x:f>
        <x:v>0.35</x:v>
      </x:c>
      <x:c r="G14" s="11" t="n">
        <x:f>IF($A14="","",MAX(INDEX(Assumptions!$H$5:$H$12,MATCH($B14,Assumptions!$D$5:$D$12,0)),MIN(INDEX(Assumptions!$I$5:$I$12,MATCH($B14,Assumptions!$D$5:$D$12,0)),($C14+$D14*SQRT(-2*LN(RAND()))*COS(2*PI()*RAND()))*$E14*$J14*$K14)))</x:f>
        <x:v>1135.2608066685898</x:v>
      </x:c>
      <x:c r="H14" s="11" t="n">
        <x:f>IF($A14="","",$G14*$F14+$C14*(1-$F14))</x:f>
        <x:v>1216.3412823340063</x:v>
      </x:c>
      <x:c r="I14" s="11" t="n">
        <x:f>IF($A14="","",AVERAGE($H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1230.7407618558314</x:v>
      </x:c>
      <x:c r="J14" s="12" t="n">
        <x:f>IF($A14="","",1+SUMIFS(Assumptions!$S$5:$S$10,Assumptions!$P$5:$P$10,$B14,Assumptions!$Q$5:$Q$10,"&lt;="&amp;$A14,Assumptions!$R$5:$R$10,"&gt;="&amp;$A14))</x:f>
        <x:v>1</x:v>
      </x:c>
      <x:c r="K14" s="12" t="n">
        <x:f>IF($A14="","",1+((($A14-Assumptions!$B$5)/30)*INDEX(Assumptions!$J$5:$J$12,MATCH($B14,Assumptions!$D$5:$D$12,0))))</x:f>
        <x:v>1.0002</x:v>
      </x:c>
      <x:c r="L14" t="str">
        <x:f>IF($A14="","",IFERROR(INDEX(Assumptions!$O$5:$O$10,MATCH(1,(Assumptions!$P$5:$P$10=$B14)*(Assumptions!$Q$5:$Q$10&lt;=$A14)*(Assumptions!$R$5:$R$10&gt;=$A14),0)),""))</x:f>
      </x:c>
      <x:c r="M14" t="n">
        <x:f>--($A14&lt;&gt;"")</x:f>
        <x:v>1</x:v>
      </x:c>
    </x:row>
    <x:row r="15">
      <x:c r="A15" s="10" t="n">
        <x:f>IF(Assumptions!$B$5+INT((ROW()-2)/Assumptions!$B$7)&gt;Assumptions!$B$6,"",Assumptions!$B$5+INT((ROW()-2)/Assumptions!$B$7))</x:f>
        <x:v>46025</x:v>
      </x:c>
      <x:c r="B15" t="str">
        <x:f>IF($A15="","",INDEX(Assumptions!$D$5:$D$12,MOD(ROW()-2,Assumptions!$B$7)+1))</x:f>
        <x:v>Hadley's Hope</x:v>
      </x:c>
      <x:c r="C15" s="11" t="n">
        <x:f>IF($A15="","",INDEX(Assumptions!$F$5:$F$12,MATCH($B15,Assumptions!$D$5:$D$12,0)))</x:f>
        <x:v>845</x:v>
      </x:c>
      <x:c r="D15" s="11" t="n">
        <x:f>IF($A15="","",INDEX(Assumptions!$G$5:$G$12,MATCH($B15,Assumptions!$D$5:$D$12,0)))</x:f>
        <x:v>80</x:v>
      </x:c>
      <x:c r="E15" s="11" t="n">
        <x:f>IF($A15="","",INDEX(Assumptions!$M$5:$M$11,WEEKDAY($A15,2)))</x:f>
        <x:v>0.91</x:v>
      </x:c>
      <x:c r="F15" s="11" t="n">
        <x:f>IF($A15="","",Assumptions!$B$15)</x:f>
        <x:v>0.35</x:v>
      </x:c>
      <x:c r="G15" s="11" t="n">
        <x:f>IF($A15="","",MAX(INDEX(Assumptions!$H$5:$H$12,MATCH($B15,Assumptions!$D$5:$D$12,0)),MIN(INDEX(Assumptions!$I$5:$I$12,MATCH($B15,Assumptions!$D$5:$D$12,0)),($C15+$D15*SQRT(-2*LN(RAND()))*COS(2*PI()*RAND()))*$E15*$J15*$K15)))</x:f>
        <x:v>851.0548356996874</x:v>
      </x:c>
      <x:c r="H15" s="11" t="n">
        <x:f>IF($A15="","",$G15*$F15+$C15*(1-$F15))</x:f>
        <x:v>847.1191924948905</x:v>
      </x:c>
      <x:c r="I15" s="11" t="n">
        <x:f>IF($A15="","",AVERAGE($H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844.7592342193053</x:v>
      </x:c>
      <x:c r="J15" s="12" t="n">
        <x:f>IF($A15="","",1+SUMIFS(Assumptions!$S$5:$S$10,Assumptions!$P$5:$P$10,$B15,Assumptions!$Q$5:$Q$10,"&lt;="&amp;$A15,Assumptions!$R$5:$R$10,"&gt;="&amp;$A15))</x:f>
        <x:v>1</x:v>
      </x:c>
      <x:c r="K15" s="12" t="n">
        <x:f>IF($A15="","",1+((($A15-Assumptions!$B$5)/30)*INDEX(Assumptions!$J$5:$J$12,MATCH($B15,Assumptions!$D$5:$D$12,0))))</x:f>
        <x:v>1.0000666666666667</x:v>
      </x:c>
      <x:c r="L15" t="str">
        <x:f>IF($A15="","",IFERROR(INDEX(Assumptions!$O$5:$O$10,MATCH(1,(Assumptions!$P$5:$P$10=$B15)*(Assumptions!$Q$5:$Q$10&lt;=$A15)*(Assumptions!$R$5:$R$10&gt;=$A15),0)),""))</x:f>
      </x:c>
      <x:c r="M15" t="n">
        <x:f>--($A15&lt;&gt;"")</x:f>
        <x:v>1</x:v>
      </x:c>
    </x:row>
    <x:row r="16">
      <x:c r="A16" s="10" t="n">
        <x:f>IF(Assumptions!$B$5+INT((ROW()-2)/Assumptions!$B$7)&gt;Assumptions!$B$6,"",Assumptions!$B$5+INT((ROW()-2)/Assumptions!$B$7))</x:f>
        <x:v>46025</x:v>
      </x:c>
      <x:c r="B16" t="str">
        <x:f>IF($A16="","",INDEX(Assumptions!$D$5:$D$12,MOD(ROW()-2,Assumptions!$B$7)+1))</x:f>
        <x:v>Yutani Ridge</x:v>
      </x:c>
      <x:c r="C16" s="11" t="n">
        <x:f>IF($A16="","",INDEX(Assumptions!$F$5:$F$12,MATCH($B16,Assumptions!$D$5:$D$12,0)))</x:f>
        <x:v>1050</x:v>
      </x:c>
      <x:c r="D16" s="11" t="n">
        <x:f>IF($A16="","",INDEX(Assumptions!$G$5:$G$12,MATCH($B16,Assumptions!$D$5:$D$12,0)))</x:f>
        <x:v>125</x:v>
      </x:c>
      <x:c r="E16" s="11" t="n">
        <x:f>IF($A16="","",INDEX(Assumptions!$M$5:$M$11,WEEKDAY($A16,2)))</x:f>
        <x:v>0.91</x:v>
      </x:c>
      <x:c r="F16" s="11" t="n">
        <x:f>IF($A16="","",Assumptions!$B$15)</x:f>
        <x:v>0.35</x:v>
      </x:c>
      <x:c r="G16" s="11" t="n">
        <x:f>IF($A16="","",MAX(INDEX(Assumptions!$H$5:$H$12,MATCH($B16,Assumptions!$D$5:$D$12,0)),MIN(INDEX(Assumptions!$I$5:$I$12,MATCH($B16,Assumptions!$D$5:$D$12,0)),($C16+$D16*SQRT(-2*LN(RAND()))*COS(2*PI()*RAND()))*$E16*$J16*$K16)))</x:f>
        <x:v>985.4832271077717</x:v>
      </x:c>
      <x:c r="H16" s="11" t="n">
        <x:f>IF($A16="","",$G16*$F16+$C16*(1-$F16))</x:f>
        <x:v>1027.41912948772</x:v>
      </x:c>
      <x:c r="I16" s="11" t="n">
        <x:f>IF($A16="","",AVERAGE($H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1028.242450305881</x:v>
      </x:c>
      <x:c r="J16" s="12" t="n">
        <x:f>IF($A16="","",1+SUMIFS(Assumptions!$S$5:$S$10,Assumptions!$P$5:$P$10,$B16,Assumptions!$Q$5:$Q$10,"&lt;="&amp;$A16,Assumptions!$R$5:$R$10,"&gt;="&amp;$A16))</x:f>
        <x:v>1</x:v>
      </x:c>
      <x:c r="K16" s="12" t="n">
        <x:f>IF($A16="","",1+((($A16-Assumptions!$B$5)/30)*INDEX(Assumptions!$J$5:$J$12,MATCH($B16,Assumptions!$D$5:$D$12,0))))</x:f>
        <x:v>1.0001666666666666</x:v>
      </x:c>
      <x:c r="L16" t="str">
        <x:f>IF($A16="","",IFERROR(INDEX(Assumptions!$O$5:$O$10,MATCH(1,(Assumptions!$P$5:$P$10=$B16)*(Assumptions!$Q$5:$Q$10&lt;=$A16)*(Assumptions!$R$5:$R$10&gt;=$A16),0)),""))</x:f>
      </x:c>
      <x:c r="M16" t="n">
        <x:f>--($A16&lt;&gt;"")</x:f>
        <x:v>1</x:v>
      </x:c>
    </x:row>
    <x:row r="17">
      <x:c r="A17" s="10" t="n">
        <x:f>IF(Assumptions!$B$5+INT((ROW()-2)/Assumptions!$B$7)&gt;Assumptions!$B$6,"",Assumptions!$B$5+INT((ROW()-2)/Assumptions!$B$7))</x:f>
        <x:v>46026</x:v>
      </x:c>
      <x:c r="B17" t="str">
        <x:f>IF($A17="","",INDEX(Assumptions!$D$5:$D$12,MOD(ROW()-2,Assumptions!$B$7)+1))</x:f>
        <x:v>Acheron Prime</x:v>
      </x:c>
      <x:c r="C17" s="11" t="n">
        <x:f>IF($A17="","",INDEX(Assumptions!$F$5:$F$12,MATCH($B17,Assumptions!$D$5:$D$12,0)))</x:f>
        <x:v>1120</x:v>
      </x:c>
      <x:c r="D17" s="11" t="n">
        <x:f>IF($A17="","",INDEX(Assumptions!$G$5:$G$12,MATCH($B17,Assumptions!$D$5:$D$12,0)))</x:f>
        <x:v>115</x:v>
      </x:c>
      <x:c r="E17" s="11" t="n">
        <x:f>IF($A17="","",INDEX(Assumptions!$M$5:$M$11,WEEKDAY($A17,2)))</x:f>
        <x:v>0.87</x:v>
      </x:c>
      <x:c r="F17" s="11" t="n">
        <x:f>IF($A17="","",Assumptions!$B$15)</x:f>
        <x:v>0.35</x:v>
      </x:c>
      <x:c r="G17" s="11" t="n">
        <x:f>IF($A17="","",MAX(INDEX(Assumptions!$H$5:$H$12,MATCH($B17,Assumptions!$D$5:$D$12,0)),MIN(INDEX(Assumptions!$I$5:$I$12,MATCH($B17,Assumptions!$D$5:$D$12,0)),($C17+$D17*SQRT(-2*LN(RAND()))*COS(2*PI()*RAND()))*$E17*$J17*$K17)))</x:f>
        <x:v>848.2014731471775</x:v>
      </x:c>
      <x:c r="H17" s="11" t="n">
        <x:f>IF($A17="","",$G17*$F17+$C17*(1-$F17))</x:f>
        <x:v>1024.8705156015121</x:v>
      </x:c>
      <x:c r="I17" s="11" t="n">
        <x:f>IF($A17="","",AVERAGE($H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1092.1366969386484</x:v>
      </x:c>
      <x:c r="J17" s="12" t="n">
        <x:f>IF($A17="","",1+SUMIFS(Assumptions!$S$5:$S$10,Assumptions!$P$5:$P$10,$B17,Assumptions!$Q$5:$Q$10,"&lt;="&amp;$A17,Assumptions!$R$5:$R$10,"&gt;="&amp;$A17))</x:f>
        <x:v>1</x:v>
      </x:c>
      <x:c r="K17" s="12" t="n">
        <x:f>IF($A17="","",1+((($A17-Assumptions!$B$5)/30)*INDEX(Assumptions!$J$5:$J$12,MATCH($B17,Assumptions!$D$5:$D$12,0))))</x:f>
        <x:v>1.0002</x:v>
      </x:c>
      <x:c r="L17" t="str">
        <x:f>IF($A17="","",IFERROR(INDEX(Assumptions!$O$5:$O$10,MATCH(1,(Assumptions!$P$5:$P$10=$B17)*(Assumptions!$Q$5:$Q$10&lt;=$A17)*(Assumptions!$R$5:$R$10&gt;=$A17),0)),""))</x:f>
      </x:c>
      <x:c r="M17" t="n">
        <x:f>--($A17&lt;&gt;"")</x:f>
        <x:v>1</x:v>
      </x:c>
    </x:row>
    <x:row r="18">
      <x:c r="A18" s="10" t="n">
        <x:f>IF(Assumptions!$B$5+INT((ROW()-2)/Assumptions!$B$7)&gt;Assumptions!$B$6,"",Assumptions!$B$5+INT((ROW()-2)/Assumptions!$B$7))</x:f>
        <x:v>46026</x:v>
      </x:c>
      <x:c r="B18" t="str">
        <x:f>IF($A18="","",INDEX(Assumptions!$D$5:$D$12,MOD(ROW()-2,Assumptions!$B$7)+1))</x:f>
        <x:v>LV-426 North</x:v>
      </x:c>
      <x:c r="C18" s="11" t="n">
        <x:f>IF($A18="","",INDEX(Assumptions!$F$5:$F$12,MATCH($B18,Assumptions!$D$5:$D$12,0)))</x:f>
        <x:v>930</x:v>
      </x:c>
      <x:c r="D18" s="11" t="n">
        <x:f>IF($A18="","",INDEX(Assumptions!$G$5:$G$12,MATCH($B18,Assumptions!$D$5:$D$12,0)))</x:f>
        <x:v>95</x:v>
      </x:c>
      <x:c r="E18" s="11" t="n">
        <x:f>IF($A18="","",INDEX(Assumptions!$M$5:$M$11,WEEKDAY($A18,2)))</x:f>
        <x:v>0.87</x:v>
      </x:c>
      <x:c r="F18" s="11" t="n">
        <x:f>IF($A18="","",Assumptions!$B$15)</x:f>
        <x:v>0.35</x:v>
      </x:c>
      <x:c r="G18" s="11" t="n">
        <x:f>IF($A18="","",MAX(INDEX(Assumptions!$H$5:$H$12,MATCH($B18,Assumptions!$D$5:$D$12,0)),MIN(INDEX(Assumptions!$I$5:$I$12,MATCH($B18,Assumptions!$D$5:$D$12,0)),($C18+$D18*SQRT(-2*LN(RAND()))*COS(2*PI()*RAND()))*$E18*$J18*$K18)))</x:f>
        <x:v>771.2809773328208</x:v>
      </x:c>
      <x:c r="H18" s="11" t="n">
        <x:f>IF($A18="","",$G18*$F18+$C18*(1-$F18))</x:f>
        <x:v>874.4483420664873</x:v>
      </x:c>
      <x:c r="I18" s="11" t="n">
        <x:f>IF($A18="","",AVERAGE($H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917.80958926615</x:v>
      </x:c>
      <x:c r="J18" s="12" t="n">
        <x:f>IF($A18="","",1+SUMIFS(Assumptions!$S$5:$S$10,Assumptions!$P$5:$P$10,$B18,Assumptions!$Q$5:$Q$10,"&lt;="&amp;$A18,Assumptions!$R$5:$R$10,"&gt;="&amp;$A18))</x:f>
        <x:v>1</x:v>
      </x:c>
      <x:c r="K18" s="12" t="n">
        <x:f>IF($A18="","",1+((($A18-Assumptions!$B$5)/30)*INDEX(Assumptions!$J$5:$J$12,MATCH($B18,Assumptions!$D$5:$D$12,0))))</x:f>
        <x:v>0.9999</x:v>
      </x:c>
      <x:c r="L18" t="str">
        <x:f>IF($A18="","",IFERROR(INDEX(Assumptions!$O$5:$O$10,MATCH(1,(Assumptions!$P$5:$P$10=$B18)*(Assumptions!$Q$5:$Q$10&lt;=$A18)*(Assumptions!$R$5:$R$10&gt;=$A18),0)),""))</x:f>
      </x:c>
      <x:c r="M18" t="n">
        <x:f>--($A18&lt;&gt;"")</x:f>
        <x:v>1</x:v>
      </x:c>
    </x:row>
    <x:row r="19">
      <x:c r="A19" s="10" t="n">
        <x:f>IF(Assumptions!$B$5+INT((ROW()-2)/Assumptions!$B$7)&gt;Assumptions!$B$6,"",Assumptions!$B$5+INT((ROW()-2)/Assumptions!$B$7))</x:f>
        <x:v>46026</x:v>
      </x:c>
      <x:c r="B19" t="str">
        <x:f>IF($A19="","",INDEX(Assumptions!$D$5:$D$12,MOD(ROW()-2,Assumptions!$B$7)+1))</x:f>
        <x:v>Nostromo Deep</x:v>
      </x:c>
      <x:c r="C19" s="11" t="n">
        <x:f>IF($A19="","",INDEX(Assumptions!$F$5:$F$12,MATCH($B19,Assumptions!$D$5:$D$12,0)))</x:f>
        <x:v>1260</x:v>
      </x:c>
      <x:c r="D19" s="11" t="n">
        <x:f>IF($A19="","",INDEX(Assumptions!$G$5:$G$12,MATCH($B19,Assumptions!$D$5:$D$12,0)))</x:f>
        <x:v>145</x:v>
      </x:c>
      <x:c r="E19" s="11" t="n">
        <x:f>IF($A19="","",INDEX(Assumptions!$M$5:$M$11,WEEKDAY($A19,2)))</x:f>
        <x:v>0.87</x:v>
      </x:c>
      <x:c r="F19" s="11" t="n">
        <x:f>IF($A19="","",Assumptions!$B$15)</x:f>
        <x:v>0.35</x:v>
      </x:c>
      <x:c r="G19" s="11" t="n">
        <x:f>IF($A19="","",MAX(INDEX(Assumptions!$H$5:$H$12,MATCH($B19,Assumptions!$D$5:$D$12,0)),MIN(INDEX(Assumptions!$I$5:$I$12,MATCH($B19,Assumptions!$D$5:$D$12,0)),($C19+$D19*SQRT(-2*LN(RAND()))*COS(2*PI()*RAND()))*$E19*$J19*$K19)))</x:f>
        <x:v>1086.7028763026572</x:v>
      </x:c>
      <x:c r="H19" s="11" t="n">
        <x:f>IF($A19="","",$G19*$F19+$C19*(1-$F19))</x:f>
        <x:v>1199.34600670593</x:v>
      </x:c>
      <x:c r="I19" s="11" t="n">
        <x:f>IF($A19="","",AVERAGE($H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1222.892073068356</x:v>
      </x:c>
      <x:c r="J19" s="12" t="n">
        <x:f>IF($A19="","",1+SUMIFS(Assumptions!$S$5:$S$10,Assumptions!$P$5:$P$10,$B19,Assumptions!$Q$5:$Q$10,"&lt;="&amp;$A19,Assumptions!$R$5:$R$10,"&gt;="&amp;$A19))</x:f>
        <x:v>1</x:v>
      </x:c>
      <x:c r="K19" s="12" t="n">
        <x:f>IF($A19="","",1+((($A19-Assumptions!$B$5)/30)*INDEX(Assumptions!$J$5:$J$12,MATCH($B19,Assumptions!$D$5:$D$12,0))))</x:f>
        <x:v>1.0003</x:v>
      </x:c>
      <x:c r="L19" t="str">
        <x:f>IF($A19="","",IFERROR(INDEX(Assumptions!$O$5:$O$10,MATCH(1,(Assumptions!$P$5:$P$10=$B19)*(Assumptions!$Q$5:$Q$10&lt;=$A19)*(Assumptions!$R$5:$R$10&gt;=$A19),0)),""))</x:f>
      </x:c>
      <x:c r="M19" t="n">
        <x:f>--($A19&lt;&gt;"")</x:f>
        <x:v>1</x:v>
      </x:c>
    </x:row>
    <x:row r="20">
      <x:c r="A20" s="10" t="n">
        <x:f>IF(Assumptions!$B$5+INT((ROW()-2)/Assumptions!$B$7)&gt;Assumptions!$B$6,"",Assumptions!$B$5+INT((ROW()-2)/Assumptions!$B$7))</x:f>
        <x:v>46026</x:v>
      </x:c>
      <x:c r="B20" t="str">
        <x:f>IF($A20="","",INDEX(Assumptions!$D$5:$D$12,MOD(ROW()-2,Assumptions!$B$7)+1))</x:f>
        <x:v>Hadley's Hope</x:v>
      </x:c>
      <x:c r="C20" s="11" t="n">
        <x:f>IF($A20="","",INDEX(Assumptions!$F$5:$F$12,MATCH($B20,Assumptions!$D$5:$D$12,0)))</x:f>
        <x:v>845</x:v>
      </x:c>
      <x:c r="D20" s="11" t="n">
        <x:f>IF($A20="","",INDEX(Assumptions!$G$5:$G$12,MATCH($B20,Assumptions!$D$5:$D$12,0)))</x:f>
        <x:v>80</x:v>
      </x:c>
      <x:c r="E20" s="11" t="n">
        <x:f>IF($A20="","",INDEX(Assumptions!$M$5:$M$11,WEEKDAY($A20,2)))</x:f>
        <x:v>0.87</x:v>
      </x:c>
      <x:c r="F20" s="11" t="n">
        <x:f>IF($A20="","",Assumptions!$B$15)</x:f>
        <x:v>0.35</x:v>
      </x:c>
      <x:c r="G20" s="11" t="n">
        <x:f>IF($A20="","",MAX(INDEX(Assumptions!$H$5:$H$12,MATCH($B20,Assumptions!$D$5:$D$12,0)),MIN(INDEX(Assumptions!$I$5:$I$12,MATCH($B20,Assumptions!$D$5:$D$12,0)),($C20+$D20*SQRT(-2*LN(RAND()))*COS(2*PI()*RAND()))*$E20*$J20*$K20)))</x:f>
        <x:v>816.0602226274386</x:v>
      </x:c>
      <x:c r="H20" s="11" t="n">
        <x:f>IF($A20="","",$G20*$F20+$C20*(1-$F20))</x:f>
        <x:v>834.8710779196035</x:v>
      </x:c>
      <x:c r="I20" s="11" t="n">
        <x:f>IF($A20="","",AVERAGE($H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842.2871951443799</x:v>
      </x:c>
      <x:c r="J20" s="12" t="n">
        <x:f>IF($A20="","",1+SUMIFS(Assumptions!$S$5:$S$10,Assumptions!$P$5:$P$10,$B20,Assumptions!$Q$5:$Q$10,"&lt;="&amp;$A20,Assumptions!$R$5:$R$10,"&gt;="&amp;$A20))</x:f>
        <x:v>1</x:v>
      </x:c>
      <x:c r="K20" s="12" t="n">
        <x:f>IF($A20="","",1+((($A20-Assumptions!$B$5)/30)*INDEX(Assumptions!$J$5:$J$12,MATCH($B20,Assumptions!$D$5:$D$12,0))))</x:f>
        <x:v>1.0001</x:v>
      </x:c>
      <x:c r="L20" t="str">
        <x:f>IF($A20="","",IFERROR(INDEX(Assumptions!$O$5:$O$10,MATCH(1,(Assumptions!$P$5:$P$10=$B20)*(Assumptions!$Q$5:$Q$10&lt;=$A20)*(Assumptions!$R$5:$R$10&gt;=$A20),0)),""))</x:f>
      </x:c>
      <x:c r="M20" t="n">
        <x:f>--($A20&lt;&gt;"")</x:f>
        <x:v>1</x:v>
      </x:c>
    </x:row>
    <x:row r="21">
      <x:c r="A21" s="10" t="n">
        <x:f>IF(Assumptions!$B$5+INT((ROW()-2)/Assumptions!$B$7)&gt;Assumptions!$B$6,"",Assumptions!$B$5+INT((ROW()-2)/Assumptions!$B$7))</x:f>
        <x:v>46026</x:v>
      </x:c>
      <x:c r="B21" t="str">
        <x:f>IF($A21="","",INDEX(Assumptions!$D$5:$D$12,MOD(ROW()-2,Assumptions!$B$7)+1))</x:f>
        <x:v>Yutani Ridge</x:v>
      </x:c>
      <x:c r="C21" s="11" t="n">
        <x:f>IF($A21="","",INDEX(Assumptions!$F$5:$F$12,MATCH($B21,Assumptions!$D$5:$D$12,0)))</x:f>
        <x:v>1050</x:v>
      </x:c>
      <x:c r="D21" s="11" t="n">
        <x:f>IF($A21="","",INDEX(Assumptions!$G$5:$G$12,MATCH($B21,Assumptions!$D$5:$D$12,0)))</x:f>
        <x:v>125</x:v>
      </x:c>
      <x:c r="E21" s="11" t="n">
        <x:f>IF($A21="","",INDEX(Assumptions!$M$5:$M$11,WEEKDAY($A21,2)))</x:f>
        <x:v>0.87</x:v>
      </x:c>
      <x:c r="F21" s="11" t="n">
        <x:f>IF($A21="","",Assumptions!$B$15)</x:f>
        <x:v>0.35</x:v>
      </x:c>
      <x:c r="G21" s="11" t="n">
        <x:f>IF($A21="","",MAX(INDEX(Assumptions!$H$5:$H$12,MATCH($B21,Assumptions!$D$5:$D$12,0)),MIN(INDEX(Assumptions!$I$5:$I$12,MATCH($B21,Assumptions!$D$5:$D$12,0)),($C21+$D21*SQRT(-2*LN(RAND()))*COS(2*PI()*RAND()))*$E21*$J21*$K21)))</x:f>
        <x:v>950.818913123552</x:v>
      </x:c>
      <x:c r="H21" s="11" t="n">
        <x:f>IF($A21="","",$G21*$F21+$C21*(1-$F21))</x:f>
        <x:v>1015.2866195932431</x:v>
      </x:c>
      <x:c r="I21" s="11" t="n">
        <x:f>IF($A21="","",AVERAGE($H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1025.0034926277215</x:v>
      </x:c>
      <x:c r="J21" s="12" t="n">
        <x:f>IF($A21="","",1+SUMIFS(Assumptions!$S$5:$S$10,Assumptions!$P$5:$P$10,$B21,Assumptions!$Q$5:$Q$10,"&lt;="&amp;$A21,Assumptions!$R$5:$R$10,"&gt;="&amp;$A21))</x:f>
        <x:v>1</x:v>
      </x:c>
      <x:c r="K21" s="12" t="n">
        <x:f>IF($A21="","",1+((($A21-Assumptions!$B$5)/30)*INDEX(Assumptions!$J$5:$J$12,MATCH($B21,Assumptions!$D$5:$D$12,0))))</x:f>
        <x:v>1.00025</x:v>
      </x:c>
      <x:c r="L21" t="str">
        <x:f>IF($A21="","",IFERROR(INDEX(Assumptions!$O$5:$O$10,MATCH(1,(Assumptions!$P$5:$P$10=$B21)*(Assumptions!$Q$5:$Q$10&lt;=$A21)*(Assumptions!$R$5:$R$10&gt;=$A21),0)),""))</x:f>
      </x:c>
      <x:c r="M21" t="n">
        <x:f>--($A21&lt;&gt;"")</x:f>
        <x:v>1</x:v>
      </x:c>
    </x:row>
    <x:row r="22">
      <x:c r="A22" s="10" t="n">
        <x:f>IF(Assumptions!$B$5+INT((ROW()-2)/Assumptions!$B$7)&gt;Assumptions!$B$6,"",Assumptions!$B$5+INT((ROW()-2)/Assumptions!$B$7))</x:f>
        <x:v>46027</x:v>
      </x:c>
      <x:c r="B22" t="str">
        <x:f>IF($A22="","",INDEX(Assumptions!$D$5:$D$12,MOD(ROW()-2,Assumptions!$B$7)+1))</x:f>
        <x:v>Acheron Prime</x:v>
      </x:c>
      <x:c r="C22" s="11" t="n">
        <x:f>IF($A22="","",INDEX(Assumptions!$F$5:$F$12,MATCH($B22,Assumptions!$D$5:$D$12,0)))</x:f>
        <x:v>1120</x:v>
      </x:c>
      <x:c r="D22" s="11" t="n">
        <x:f>IF($A22="","",INDEX(Assumptions!$G$5:$G$12,MATCH($B22,Assumptions!$D$5:$D$12,0)))</x:f>
        <x:v>115</x:v>
      </x:c>
      <x:c r="E22" s="11" t="n">
        <x:f>IF($A22="","",INDEX(Assumptions!$M$5:$M$11,WEEKDAY($A22,2)))</x:f>
        <x:v>1.03</x:v>
      </x:c>
      <x:c r="F22" s="11" t="n">
        <x:f>IF($A22="","",Assumptions!$B$15)</x:f>
        <x:v>0.35</x:v>
      </x:c>
      <x:c r="G22" s="11" t="n">
        <x:f>IF($A22="","",MAX(INDEX(Assumptions!$H$5:$H$12,MATCH($B22,Assumptions!$D$5:$D$12,0)),MIN(INDEX(Assumptions!$I$5:$I$12,MATCH($B22,Assumptions!$D$5:$D$12,0)),($C22+$D22*SQRT(-2*LN(RAND()))*COS(2*PI()*RAND()))*$E22*$J22*$K22)))</x:f>
        <x:v>1409.011679192452</x:v>
      </x:c>
      <x:c r="H22" s="11" t="n">
        <x:f>IF($A22="","",$G22*$F22+$C22*(1-$F22))</x:f>
        <x:v>1221.1540877173582</x:v>
      </x:c>
      <x:c r="I22" s="11" t="n">
        <x:f>IF($A22="","",AVERAGE($H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1117.9401750943903</x:v>
      </x:c>
      <x:c r="J22" s="12" t="n">
        <x:f>IF($A22="","",1+SUMIFS(Assumptions!$S$5:$S$10,Assumptions!$P$5:$P$10,$B22,Assumptions!$Q$5:$Q$10,"&lt;="&amp;$A22,Assumptions!$R$5:$R$10,"&gt;="&amp;$A22))</x:f>
        <x:v>1</x:v>
      </x:c>
      <x:c r="K22" s="12" t="n">
        <x:f>IF($A22="","",1+((($A22-Assumptions!$B$5)/30)*INDEX(Assumptions!$J$5:$J$12,MATCH($B22,Assumptions!$D$5:$D$12,0))))</x:f>
        <x:v>1.0002666666666666</x:v>
      </x:c>
      <x:c r="L22" t="str">
        <x:f>IF($A22="","",IFERROR(INDEX(Assumptions!$O$5:$O$10,MATCH(1,(Assumptions!$P$5:$P$10=$B22)*(Assumptions!$Q$5:$Q$10&lt;=$A22)*(Assumptions!$R$5:$R$10&gt;=$A22),0)),""))</x:f>
      </x:c>
      <x:c r="M22" t="n">
        <x:f>--($A22&lt;&gt;"")</x:f>
        <x:v>1</x:v>
      </x:c>
    </x:row>
    <x:row r="23">
      <x:c r="A23" s="10" t="n">
        <x:f>IF(Assumptions!$B$5+INT((ROW()-2)/Assumptions!$B$7)&gt;Assumptions!$B$6,"",Assumptions!$B$5+INT((ROW()-2)/Assumptions!$B$7))</x:f>
        <x:v>46027</x:v>
      </x:c>
      <x:c r="B23" t="str">
        <x:f>IF($A23="","",INDEX(Assumptions!$D$5:$D$12,MOD(ROW()-2,Assumptions!$B$7)+1))</x:f>
        <x:v>LV-426 North</x:v>
      </x:c>
      <x:c r="C23" s="11" t="n">
        <x:f>IF($A23="","",INDEX(Assumptions!$F$5:$F$12,MATCH($B23,Assumptions!$D$5:$D$12,0)))</x:f>
        <x:v>930</x:v>
      </x:c>
      <x:c r="D23" s="11" t="n">
        <x:f>IF($A23="","",INDEX(Assumptions!$G$5:$G$12,MATCH($B23,Assumptions!$D$5:$D$12,0)))</x:f>
        <x:v>95</x:v>
      </x:c>
      <x:c r="E23" s="11" t="n">
        <x:f>IF($A23="","",INDEX(Assumptions!$M$5:$M$11,WEEKDAY($A23,2)))</x:f>
        <x:v>1.03</x:v>
      </x:c>
      <x:c r="F23" s="11" t="n">
        <x:f>IF($A23="","",Assumptions!$B$15)</x:f>
        <x:v>0.35</x:v>
      </x:c>
      <x:c r="G23" s="11" t="n">
        <x:f>IF($A23="","",MAX(INDEX(Assumptions!$H$5:$H$12,MATCH($B23,Assumptions!$D$5:$D$12,0)),MIN(INDEX(Assumptions!$I$5:$I$12,MATCH($B23,Assumptions!$D$5:$D$12,0)),($C23+$D23*SQRT(-2*LN(RAND()))*COS(2*PI()*RAND()))*$E23*$J23*$K23)))</x:f>
        <x:v>870.5660962553878</x:v>
      </x:c>
      <x:c r="H23" s="11" t="n">
        <x:f>IF($A23="","",$G23*$F23+$C23*(1-$F23))</x:f>
        <x:v>909.1981336893857</x:v>
      </x:c>
      <x:c r="I23" s="11" t="n">
        <x:f>IF($A23="","",AVERAGE($H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916.0872981507973</x:v>
      </x:c>
      <x:c r="J23" s="12" t="n">
        <x:f>IF($A23="","",1+SUMIFS(Assumptions!$S$5:$S$10,Assumptions!$P$5:$P$10,$B23,Assumptions!$Q$5:$Q$10,"&lt;="&amp;$A23,Assumptions!$R$5:$R$10,"&gt;="&amp;$A23))</x:f>
        <x:v>1</x:v>
      </x:c>
      <x:c r="K23" s="12" t="n">
        <x:f>IF($A23="","",1+((($A23-Assumptions!$B$5)/30)*INDEX(Assumptions!$J$5:$J$12,MATCH($B23,Assumptions!$D$5:$D$12,0))))</x:f>
        <x:v>0.9998666666666667</x:v>
      </x:c>
      <x:c r="L23" t="str">
        <x:f>IF($A23="","",IFERROR(INDEX(Assumptions!$O$5:$O$10,MATCH(1,(Assumptions!$P$5:$P$10=$B23)*(Assumptions!$Q$5:$Q$10&lt;=$A23)*(Assumptions!$R$5:$R$10&gt;=$A23),0)),""))</x:f>
      </x:c>
      <x:c r="M23" t="n">
        <x:f>--($A23&lt;&gt;"")</x:f>
        <x:v>1</x:v>
      </x:c>
    </x:row>
    <x:row r="24">
      <x:c r="A24" s="10" t="n">
        <x:f>IF(Assumptions!$B$5+INT((ROW()-2)/Assumptions!$B$7)&gt;Assumptions!$B$6,"",Assumptions!$B$5+INT((ROW()-2)/Assumptions!$B$7))</x:f>
        <x:v>46027</x:v>
      </x:c>
      <x:c r="B24" t="str">
        <x:f>IF($A24="","",INDEX(Assumptions!$D$5:$D$12,MOD(ROW()-2,Assumptions!$B$7)+1))</x:f>
        <x:v>Nostromo Deep</x:v>
      </x:c>
      <x:c r="C24" s="11" t="n">
        <x:f>IF($A24="","",INDEX(Assumptions!$F$5:$F$12,MATCH($B24,Assumptions!$D$5:$D$12,0)))</x:f>
        <x:v>1260</x:v>
      </x:c>
      <x:c r="D24" s="11" t="n">
        <x:f>IF($A24="","",INDEX(Assumptions!$G$5:$G$12,MATCH($B24,Assumptions!$D$5:$D$12,0)))</x:f>
        <x:v>145</x:v>
      </x:c>
      <x:c r="E24" s="11" t="n">
        <x:f>IF($A24="","",INDEX(Assumptions!$M$5:$M$11,WEEKDAY($A24,2)))</x:f>
        <x:v>1.03</x:v>
      </x:c>
      <x:c r="F24" s="11" t="n">
        <x:f>IF($A24="","",Assumptions!$B$15)</x:f>
        <x:v>0.35</x:v>
      </x:c>
      <x:c r="G24" s="11" t="n">
        <x:f>IF($A24="","",MAX(INDEX(Assumptions!$H$5:$H$12,MATCH($B24,Assumptions!$D$5:$D$12,0)),MIN(INDEX(Assumptions!$I$5:$I$12,MATCH($B24,Assumptions!$D$5:$D$12,0)),($C24+$D24*SQRT(-2*LN(RAND()))*COS(2*PI()*RAND()))*$E24*$J24*$K24)))</x:f>
        <x:v>1278.6064449720216</x:v>
      </x:c>
      <x:c r="H24" s="11" t="n">
        <x:f>IF($A24="","",$G24*$F24+$C24*(1-$F24))</x:f>
        <x:v>1266.5122557402076</x:v>
      </x:c>
      <x:c r="I24" s="11" t="n">
        <x:f>IF($A24="","",AVERAGE($H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1231.6161096027265</x:v>
      </x:c>
      <x:c r="J24" s="12" t="n">
        <x:f>IF($A24="","",1+SUMIFS(Assumptions!$S$5:$S$10,Assumptions!$P$5:$P$10,$B24,Assumptions!$Q$5:$Q$10,"&lt;="&amp;$A24,Assumptions!$R$5:$R$10,"&gt;="&amp;$A24))</x:f>
        <x:v>1</x:v>
      </x:c>
      <x:c r="K24" s="12" t="n">
        <x:f>IF($A24="","",1+((($A24-Assumptions!$B$5)/30)*INDEX(Assumptions!$J$5:$J$12,MATCH($B24,Assumptions!$D$5:$D$12,0))))</x:f>
        <x:v>1.0004</x:v>
      </x:c>
      <x:c r="L24" t="str">
        <x:f>IF($A24="","",IFERROR(INDEX(Assumptions!$O$5:$O$10,MATCH(1,(Assumptions!$P$5:$P$10=$B24)*(Assumptions!$Q$5:$Q$10&lt;=$A24)*(Assumptions!$R$5:$R$10&gt;=$A24),0)),""))</x:f>
      </x:c>
      <x:c r="M24" t="n">
        <x:f>--($A24&lt;&gt;"")</x:f>
        <x:v>1</x:v>
      </x:c>
    </x:row>
    <x:row r="25">
      <x:c r="A25" s="10" t="n">
        <x:f>IF(Assumptions!$B$5+INT((ROW()-2)/Assumptions!$B$7)&gt;Assumptions!$B$6,"",Assumptions!$B$5+INT((ROW()-2)/Assumptions!$B$7))</x:f>
        <x:v>46027</x:v>
      </x:c>
      <x:c r="B25" t="str">
        <x:f>IF($A25="","",INDEX(Assumptions!$D$5:$D$12,MOD(ROW()-2,Assumptions!$B$7)+1))</x:f>
        <x:v>Hadley's Hope</x:v>
      </x:c>
      <x:c r="C25" s="11" t="n">
        <x:f>IF($A25="","",INDEX(Assumptions!$F$5:$F$12,MATCH($B25,Assumptions!$D$5:$D$12,0)))</x:f>
        <x:v>845</x:v>
      </x:c>
      <x:c r="D25" s="11" t="n">
        <x:f>IF($A25="","",INDEX(Assumptions!$G$5:$G$12,MATCH($B25,Assumptions!$D$5:$D$12,0)))</x:f>
        <x:v>80</x:v>
      </x:c>
      <x:c r="E25" s="11" t="n">
        <x:f>IF($A25="","",INDEX(Assumptions!$M$5:$M$11,WEEKDAY($A25,2)))</x:f>
        <x:v>1.03</x:v>
      </x:c>
      <x:c r="F25" s="11" t="n">
        <x:f>IF($A25="","",Assumptions!$B$15)</x:f>
        <x:v>0.35</x:v>
      </x:c>
      <x:c r="G25" s="11" t="n">
        <x:f>IF($A25="","",MAX(INDEX(Assumptions!$H$5:$H$12,MATCH($B25,Assumptions!$D$5:$D$12,0)),MIN(INDEX(Assumptions!$I$5:$I$12,MATCH($B25,Assumptions!$D$5:$D$12,0)),($C25+$D25*SQRT(-2*LN(RAND()))*COS(2*PI()*RAND()))*$E25*$J25*$K25)))</x:f>
        <x:v>946.9616794203021</x:v>
      </x:c>
      <x:c r="H25" s="11" t="n">
        <x:f>IF($A25="","",$G25*$F25+$C25*(1-$F25))</x:f>
        <x:v>880.6865877971056</x:v>
      </x:c>
      <x:c r="I25" s="11" t="n">
        <x:f>IF($A25="","",AVERAGE($H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849.9670736749251</x:v>
      </x:c>
      <x:c r="J25" s="12" t="n">
        <x:f>IF($A25="","",1+SUMIFS(Assumptions!$S$5:$S$10,Assumptions!$P$5:$P$10,$B25,Assumptions!$Q$5:$Q$10,"&lt;="&amp;$A25,Assumptions!$R$5:$R$10,"&gt;="&amp;$A25))</x:f>
        <x:v>1</x:v>
      </x:c>
      <x:c r="K25" s="12" t="n">
        <x:f>IF($A25="","",1+((($A25-Assumptions!$B$5)/30)*INDEX(Assumptions!$J$5:$J$12,MATCH($B25,Assumptions!$D$5:$D$12,0))))</x:f>
        <x:v>1.0001333333333333</x:v>
      </x:c>
      <x:c r="L25" t="str">
        <x:f>IF($A25="","",IFERROR(INDEX(Assumptions!$O$5:$O$10,MATCH(1,(Assumptions!$P$5:$P$10=$B25)*(Assumptions!$Q$5:$Q$10&lt;=$A25)*(Assumptions!$R$5:$R$10&gt;=$A25),0)),""))</x:f>
      </x:c>
      <x:c r="M25" t="n">
        <x:f>--($A25&lt;&gt;"")</x:f>
        <x:v>1</x:v>
      </x:c>
    </x:row>
    <x:row r="26">
      <x:c r="A26" s="10" t="n">
        <x:f>IF(Assumptions!$B$5+INT((ROW()-2)/Assumptions!$B$7)&gt;Assumptions!$B$6,"",Assumptions!$B$5+INT((ROW()-2)/Assumptions!$B$7))</x:f>
        <x:v>46027</x:v>
      </x:c>
      <x:c r="B26" t="str">
        <x:f>IF($A26="","",INDEX(Assumptions!$D$5:$D$12,MOD(ROW()-2,Assumptions!$B$7)+1))</x:f>
        <x:v>Yutani Ridge</x:v>
      </x:c>
      <x:c r="C26" s="11" t="n">
        <x:f>IF($A26="","",INDEX(Assumptions!$F$5:$F$12,MATCH($B26,Assumptions!$D$5:$D$12,0)))</x:f>
        <x:v>1050</x:v>
      </x:c>
      <x:c r="D26" s="11" t="n">
        <x:f>IF($A26="","",INDEX(Assumptions!$G$5:$G$12,MATCH($B26,Assumptions!$D$5:$D$12,0)))</x:f>
        <x:v>125</x:v>
      </x:c>
      <x:c r="E26" s="11" t="n">
        <x:f>IF($A26="","",INDEX(Assumptions!$M$5:$M$11,WEEKDAY($A26,2)))</x:f>
        <x:v>1.03</x:v>
      </x:c>
      <x:c r="F26" s="11" t="n">
        <x:f>IF($A26="","",Assumptions!$B$15)</x:f>
        <x:v>0.35</x:v>
      </x:c>
      <x:c r="G26" s="11" t="n">
        <x:f>IF($A26="","",MAX(INDEX(Assumptions!$H$5:$H$12,MATCH($B26,Assumptions!$D$5:$D$12,0)),MIN(INDEX(Assumptions!$I$5:$I$12,MATCH($B26,Assumptions!$D$5:$D$12,0)),($C26+$D26*SQRT(-2*LN(RAND()))*COS(2*PI()*RAND()))*$E26*$J26*$K26)))</x:f>
        <x:v>980.0476915606246</x:v>
      </x:c>
      <x:c r="H26" s="11" t="n">
        <x:f>IF($A26="","",$G26*$F26+$C26*(1-$F26))</x:f>
        <x:v>1025.5166920462186</x:v>
      </x:c>
      <x:c r="I26" s="11" t="n">
        <x:f>IF($A26="","",AVERAGE($H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1025.106132511421</x:v>
      </x:c>
      <x:c r="J26" s="12" t="n">
        <x:f>IF($A26="","",1+SUMIFS(Assumptions!$S$5:$S$10,Assumptions!$P$5:$P$10,$B26,Assumptions!$Q$5:$Q$10,"&lt;="&amp;$A26,Assumptions!$R$5:$R$10,"&gt;="&amp;$A26))</x:f>
        <x:v>1</x:v>
      </x:c>
      <x:c r="K26" s="12" t="n">
        <x:f>IF($A26="","",1+((($A26-Assumptions!$B$5)/30)*INDEX(Assumptions!$J$5:$J$12,MATCH($B26,Assumptions!$D$5:$D$12,0))))</x:f>
        <x:v>1.0003333333333333</x:v>
      </x:c>
      <x:c r="L26" t="str">
        <x:f>IF($A26="","",IFERROR(INDEX(Assumptions!$O$5:$O$10,MATCH(1,(Assumptions!$P$5:$P$10=$B26)*(Assumptions!$Q$5:$Q$10&lt;=$A26)*(Assumptions!$R$5:$R$10&gt;=$A26),0)),""))</x:f>
      </x:c>
      <x:c r="M26" t="n">
        <x:f>--($A26&lt;&gt;"")</x:f>
        <x:v>1</x:v>
      </x:c>
    </x:row>
    <x:row r="27">
      <x:c r="A27" s="10" t="n">
        <x:f>IF(Assumptions!$B$5+INT((ROW()-2)/Assumptions!$B$7)&gt;Assumptions!$B$6,"",Assumptions!$B$5+INT((ROW()-2)/Assumptions!$B$7))</x:f>
        <x:v>46028</x:v>
      </x:c>
      <x:c r="B27" t="str">
        <x:f>IF($A27="","",INDEX(Assumptions!$D$5:$D$12,MOD(ROW()-2,Assumptions!$B$7)+1))</x:f>
        <x:v>Acheron Prime</x:v>
      </x:c>
      <x:c r="C27" s="11" t="n">
        <x:f>IF($A27="","",INDEX(Assumptions!$F$5:$F$12,MATCH($B27,Assumptions!$D$5:$D$12,0)))</x:f>
        <x:v>1120</x:v>
      </x:c>
      <x:c r="D27" s="11" t="n">
        <x:f>IF($A27="","",INDEX(Assumptions!$G$5:$G$12,MATCH($B27,Assumptions!$D$5:$D$12,0)))</x:f>
        <x:v>115</x:v>
      </x:c>
      <x:c r="E27" s="11" t="n">
        <x:f>IF($A27="","",INDEX(Assumptions!$M$5:$M$11,WEEKDAY($A27,2)))</x:f>
        <x:v>1.02</x:v>
      </x:c>
      <x:c r="F27" s="11" t="n">
        <x:f>IF($A27="","",Assumptions!$B$15)</x:f>
        <x:v>0.35</x:v>
      </x:c>
      <x:c r="G27" s="11" t="n">
        <x:f>IF($A27="","",MAX(INDEX(Assumptions!$H$5:$H$12,MATCH($B27,Assumptions!$D$5:$D$12,0)),MIN(INDEX(Assumptions!$I$5:$I$12,MATCH($B27,Assumptions!$D$5:$D$12,0)),($C27+$D27*SQRT(-2*LN(RAND()))*COS(2*PI()*RAND()))*$E27*$J27*$K27)))</x:f>
        <x:v>1076.6312655043644</x:v>
      </x:c>
      <x:c r="H27" s="11" t="n">
        <x:f>IF($A27="","",$G27*$F27+$C27*(1-$F27))</x:f>
        <x:v>1104.8209429265276</x:v>
      </x:c>
      <x:c r="I27" s="11" t="n">
        <x:f>IF($A27="","",AVERAGE($H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1115.7536363997465</x:v>
      </x:c>
      <x:c r="J27" s="12" t="n">
        <x:f>IF($A27="","",1+SUMIFS(Assumptions!$S$5:$S$10,Assumptions!$P$5:$P$10,$B27,Assumptions!$Q$5:$Q$10,"&lt;="&amp;$A27,Assumptions!$R$5:$R$10,"&gt;="&amp;$A27))</x:f>
        <x:v>1</x:v>
      </x:c>
      <x:c r="K27" s="12" t="n">
        <x:f>IF($A27="","",1+((($A27-Assumptions!$B$5)/30)*INDEX(Assumptions!$J$5:$J$12,MATCH($B27,Assumptions!$D$5:$D$12,0))))</x:f>
        <x:v>1.0003333333333333</x:v>
      </x:c>
      <x:c r="L27" t="str">
        <x:f>IF($A27="","",IFERROR(INDEX(Assumptions!$O$5:$O$10,MATCH(1,(Assumptions!$P$5:$P$10=$B27)*(Assumptions!$Q$5:$Q$10&lt;=$A27)*(Assumptions!$R$5:$R$10&gt;=$A27),0)),""))</x:f>
      </x:c>
      <x:c r="M27" t="n">
        <x:f>--($A27&lt;&gt;"")</x:f>
        <x:v>1</x:v>
      </x:c>
    </x:row>
    <x:row r="28">
      <x:c r="A28" s="10" t="n">
        <x:f>IF(Assumptions!$B$5+INT((ROW()-2)/Assumptions!$B$7)&gt;Assumptions!$B$6,"",Assumptions!$B$5+INT((ROW()-2)/Assumptions!$B$7))</x:f>
        <x:v>46028</x:v>
      </x:c>
      <x:c r="B28" t="str">
        <x:f>IF($A28="","",INDEX(Assumptions!$D$5:$D$12,MOD(ROW()-2,Assumptions!$B$7)+1))</x:f>
        <x:v>LV-426 North</x:v>
      </x:c>
      <x:c r="C28" s="11" t="n">
        <x:f>IF($A28="","",INDEX(Assumptions!$F$5:$F$12,MATCH($B28,Assumptions!$D$5:$D$12,0)))</x:f>
        <x:v>930</x:v>
      </x:c>
      <x:c r="D28" s="11" t="n">
        <x:f>IF($A28="","",INDEX(Assumptions!$G$5:$G$12,MATCH($B28,Assumptions!$D$5:$D$12,0)))</x:f>
        <x:v>95</x:v>
      </x:c>
      <x:c r="E28" s="11" t="n">
        <x:f>IF($A28="","",INDEX(Assumptions!$M$5:$M$11,WEEKDAY($A28,2)))</x:f>
        <x:v>1.02</x:v>
      </x:c>
      <x:c r="F28" s="11" t="n">
        <x:f>IF($A28="","",Assumptions!$B$15)</x:f>
        <x:v>0.35</x:v>
      </x:c>
      <x:c r="G28" s="11" t="n">
        <x:f>IF($A28="","",MAX(INDEX(Assumptions!$H$5:$H$12,MATCH($B28,Assumptions!$D$5:$D$12,0)),MIN(INDEX(Assumptions!$I$5:$I$12,MATCH($B28,Assumptions!$D$5:$D$12,0)),($C28+$D28*SQRT(-2*LN(RAND()))*COS(2*PI()*RAND()))*$E28*$J28*$K28)))</x:f>
        <x:v>834.3598593838357</x:v>
      </x:c>
      <x:c r="H28" s="11" t="n">
        <x:f>IF($A28="","",$G28*$F28+$C28*(1-$F28))</x:f>
        <x:v>896.5259507843425</x:v>
      </x:c>
      <x:c r="I28" s="11" t="n">
        <x:f>IF($A28="","",AVERAGE($H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912.8270735897216</x:v>
      </x:c>
      <x:c r="J28" s="12" t="n">
        <x:f>IF($A28="","",1+SUMIFS(Assumptions!$S$5:$S$10,Assumptions!$P$5:$P$10,$B28,Assumptions!$Q$5:$Q$10,"&lt;="&amp;$A28,Assumptions!$R$5:$R$10,"&gt;="&amp;$A28))</x:f>
        <x:v>1</x:v>
      </x:c>
      <x:c r="K28" s="12" t="n">
        <x:f>IF($A28="","",1+((($A28-Assumptions!$B$5)/30)*INDEX(Assumptions!$J$5:$J$12,MATCH($B28,Assumptions!$D$5:$D$12,0))))</x:f>
        <x:v>0.9998333333333334</x:v>
      </x:c>
      <x:c r="L28" t="str">
        <x:f>IF($A28="","",IFERROR(INDEX(Assumptions!$O$5:$O$10,MATCH(1,(Assumptions!$P$5:$P$10=$B28)*(Assumptions!$Q$5:$Q$10&lt;=$A28)*(Assumptions!$R$5:$R$10&gt;=$A28),0)),""))</x:f>
      </x:c>
      <x:c r="M28" t="n">
        <x:f>--($A28&lt;&gt;"")</x:f>
        <x:v>1</x:v>
      </x:c>
    </x:row>
    <x:row r="29">
      <x:c r="A29" s="10" t="n">
        <x:f>IF(Assumptions!$B$5+INT((ROW()-2)/Assumptions!$B$7)&gt;Assumptions!$B$6,"",Assumptions!$B$5+INT((ROW()-2)/Assumptions!$B$7))</x:f>
        <x:v>46028</x:v>
      </x:c>
      <x:c r="B29" t="str">
        <x:f>IF($A29="","",INDEX(Assumptions!$D$5:$D$12,MOD(ROW()-2,Assumptions!$B$7)+1))</x:f>
        <x:v>Nostromo Deep</x:v>
      </x:c>
      <x:c r="C29" s="11" t="n">
        <x:f>IF($A29="","",INDEX(Assumptions!$F$5:$F$12,MATCH($B29,Assumptions!$D$5:$D$12,0)))</x:f>
        <x:v>1260</x:v>
      </x:c>
      <x:c r="D29" s="11" t="n">
        <x:f>IF($A29="","",INDEX(Assumptions!$G$5:$G$12,MATCH($B29,Assumptions!$D$5:$D$12,0)))</x:f>
        <x:v>145</x:v>
      </x:c>
      <x:c r="E29" s="11" t="n">
        <x:f>IF($A29="","",INDEX(Assumptions!$M$5:$M$11,WEEKDAY($A29,2)))</x:f>
        <x:v>1.02</x:v>
      </x:c>
      <x:c r="F29" s="11" t="n">
        <x:f>IF($A29="","",Assumptions!$B$15)</x:f>
        <x:v>0.35</x:v>
      </x:c>
      <x:c r="G29" s="11" t="n">
        <x:f>IF($A29="","",MAX(INDEX(Assumptions!$H$5:$H$12,MATCH($B29,Assumptions!$D$5:$D$12,0)),MIN(INDEX(Assumptions!$I$5:$I$12,MATCH($B29,Assumptions!$D$5:$D$12,0)),($C29+$D29*SQRT(-2*LN(RAND()))*COS(2*PI()*RAND()))*$E29*$J29*$K29)))</x:f>
        <x:v>1174.6705801956675</x:v>
      </x:c>
      <x:c r="H29" s="11" t="n">
        <x:f>IF($A29="","",$G29*$F29+$C29*(1-$F29))</x:f>
        <x:v>1230.1347030684835</x:v>
      </x:c>
      <x:c r="I29" s="11" t="n">
        <x:f>IF($A29="","",AVERAGE($H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1231.3692085136859</x:v>
      </x:c>
      <x:c r="J29" s="12" t="n">
        <x:f>IF($A29="","",1+SUMIFS(Assumptions!$S$5:$S$10,Assumptions!$P$5:$P$10,$B29,Assumptions!$Q$5:$Q$10,"&lt;="&amp;$A29,Assumptions!$R$5:$R$10,"&gt;="&amp;$A29))</x:f>
        <x:v>1</x:v>
      </x:c>
      <x:c r="K29" s="12" t="n">
        <x:f>IF($A29="","",1+((($A29-Assumptions!$B$5)/30)*INDEX(Assumptions!$J$5:$J$12,MATCH($B29,Assumptions!$D$5:$D$12,0))))</x:f>
        <x:v>1.0005</x:v>
      </x:c>
      <x:c r="L29" t="str">
        <x:f>IF($A29="","",IFERROR(INDEX(Assumptions!$O$5:$O$10,MATCH(1,(Assumptions!$P$5:$P$10=$B29)*(Assumptions!$Q$5:$Q$10&lt;=$A29)*(Assumptions!$R$5:$R$10&gt;=$A29),0)),""))</x:f>
      </x:c>
      <x:c r="M29" t="n">
        <x:f>--($A29&lt;&gt;"")</x:f>
        <x:v>1</x:v>
      </x:c>
    </x:row>
    <x:row r="30">
      <x:c r="A30" s="10" t="n">
        <x:f>IF(Assumptions!$B$5+INT((ROW()-2)/Assumptions!$B$7)&gt;Assumptions!$B$6,"",Assumptions!$B$5+INT((ROW()-2)/Assumptions!$B$7))</x:f>
        <x:v>46028</x:v>
      </x:c>
      <x:c r="B30" t="str">
        <x:f>IF($A30="","",INDEX(Assumptions!$D$5:$D$12,MOD(ROW()-2,Assumptions!$B$7)+1))</x:f>
        <x:v>Hadley's Hope</x:v>
      </x:c>
      <x:c r="C30" s="11" t="n">
        <x:f>IF($A30="","",INDEX(Assumptions!$F$5:$F$12,MATCH($B30,Assumptions!$D$5:$D$12,0)))</x:f>
        <x:v>845</x:v>
      </x:c>
      <x:c r="D30" s="11" t="n">
        <x:f>IF($A30="","",INDEX(Assumptions!$G$5:$G$12,MATCH($B30,Assumptions!$D$5:$D$12,0)))</x:f>
        <x:v>80</x:v>
      </x:c>
      <x:c r="E30" s="11" t="n">
        <x:f>IF($A30="","",INDEX(Assumptions!$M$5:$M$11,WEEKDAY($A30,2)))</x:f>
        <x:v>1.02</x:v>
      </x:c>
      <x:c r="F30" s="11" t="n">
        <x:f>IF($A30="","",Assumptions!$B$15)</x:f>
        <x:v>0.35</x:v>
      </x:c>
      <x:c r="G30" s="11" t="n">
        <x:f>IF($A30="","",MAX(INDEX(Assumptions!$H$5:$H$12,MATCH($B30,Assumptions!$D$5:$D$12,0)),MIN(INDEX(Assumptions!$I$5:$I$12,MATCH($B30,Assumptions!$D$5:$D$12,0)),($C30+$D30*SQRT(-2*LN(RAND()))*COS(2*PI()*RAND()))*$E30*$J30*$K30)))</x:f>
        <x:v>871.2075569643515</x:v>
      </x:c>
      <x:c r="H30" s="11" t="n">
        <x:f>IF($A30="","",$G30*$F30+$C30*(1-$F30))</x:f>
        <x:v>854.172644937523</x:v>
      </x:c>
      <x:c r="I30" s="11" t="n">
        <x:f>IF($A30="","",AVERAGE($H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850.6680022186915</x:v>
      </x:c>
      <x:c r="J30" s="12" t="n">
        <x:f>IF($A30="","",1+SUMIFS(Assumptions!$S$5:$S$10,Assumptions!$P$5:$P$10,$B30,Assumptions!$Q$5:$Q$10,"&lt;="&amp;$A30,Assumptions!$R$5:$R$10,"&gt;="&amp;$A30))</x:f>
        <x:v>1</x:v>
      </x:c>
      <x:c r="K30" s="12" t="n">
        <x:f>IF($A30="","",1+((($A30-Assumptions!$B$5)/30)*INDEX(Assumptions!$J$5:$J$12,MATCH($B30,Assumptions!$D$5:$D$12,0))))</x:f>
        <x:v>1.0001666666666666</x:v>
      </x:c>
      <x:c r="L30" t="str">
        <x:f>IF($A30="","",IFERROR(INDEX(Assumptions!$O$5:$O$10,MATCH(1,(Assumptions!$P$5:$P$10=$B30)*(Assumptions!$Q$5:$Q$10&lt;=$A30)*(Assumptions!$R$5:$R$10&gt;=$A30),0)),""))</x:f>
      </x:c>
      <x:c r="M30" t="n">
        <x:f>--($A30&lt;&gt;"")</x:f>
        <x:v>1</x:v>
      </x:c>
    </x:row>
    <x:row r="31">
      <x:c r="A31" s="10" t="n">
        <x:f>IF(Assumptions!$B$5+INT((ROW()-2)/Assumptions!$B$7)&gt;Assumptions!$B$6,"",Assumptions!$B$5+INT((ROW()-2)/Assumptions!$B$7))</x:f>
        <x:v>46028</x:v>
      </x:c>
      <x:c r="B31" t="str">
        <x:f>IF($A31="","",INDEX(Assumptions!$D$5:$D$12,MOD(ROW()-2,Assumptions!$B$7)+1))</x:f>
        <x:v>Yutani Ridge</x:v>
      </x:c>
      <x:c r="C31" s="11" t="n">
        <x:f>IF($A31="","",INDEX(Assumptions!$F$5:$F$12,MATCH($B31,Assumptions!$D$5:$D$12,0)))</x:f>
        <x:v>1050</x:v>
      </x:c>
      <x:c r="D31" s="11" t="n">
        <x:f>IF($A31="","",INDEX(Assumptions!$G$5:$G$12,MATCH($B31,Assumptions!$D$5:$D$12,0)))</x:f>
        <x:v>125</x:v>
      </x:c>
      <x:c r="E31" s="11" t="n">
        <x:f>IF($A31="","",INDEX(Assumptions!$M$5:$M$11,WEEKDAY($A31,2)))</x:f>
        <x:v>1.02</x:v>
      </x:c>
      <x:c r="F31" s="11" t="n">
        <x:f>IF($A31="","",Assumptions!$B$15)</x:f>
        <x:v>0.35</x:v>
      </x:c>
      <x:c r="G31" s="11" t="n">
        <x:f>IF($A31="","",MAX(INDEX(Assumptions!$H$5:$H$12,MATCH($B31,Assumptions!$D$5:$D$12,0)),MIN(INDEX(Assumptions!$I$5:$I$12,MATCH($B31,Assumptions!$D$5:$D$12,0)),($C31+$D31*SQRT(-2*LN(RAND()))*COS(2*PI()*RAND()))*$E31*$J31*$K31)))</x:f>
        <x:v>1205.270989667413</x:v>
      </x:c>
      <x:c r="H31" s="11" t="n">
        <x:f>IF($A31="","",$G31*$F31+$C31*(1-$F31))</x:f>
        <x:v>1104.3448463835946</x:v>
      </x:c>
      <x:c r="I31" s="11" t="n">
        <x:f>IF($A31="","",AVERAGE($H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1038.31258482345</x:v>
      </x:c>
      <x:c r="J31" s="12" t="n">
        <x:f>IF($A31="","",1+SUMIFS(Assumptions!$S$5:$S$10,Assumptions!$P$5:$P$10,$B31,Assumptions!$Q$5:$Q$10,"&lt;="&amp;$A31,Assumptions!$R$5:$R$10,"&gt;="&amp;$A31))</x:f>
        <x:v>1</x:v>
      </x:c>
      <x:c r="K31" s="12" t="n">
        <x:f>IF($A31="","",1+((($A31-Assumptions!$B$5)/30)*INDEX(Assumptions!$J$5:$J$12,MATCH($B31,Assumptions!$D$5:$D$12,0))))</x:f>
        <x:v>1.0004166666666667</x:v>
      </x:c>
      <x:c r="L31" t="str">
        <x:f>IF($A31="","",IFERROR(INDEX(Assumptions!$O$5:$O$10,MATCH(1,(Assumptions!$P$5:$P$10=$B31)*(Assumptions!$Q$5:$Q$10&lt;=$A31)*(Assumptions!$R$5:$R$10&gt;=$A31),0)),""))</x:f>
      </x:c>
      <x:c r="M31" t="n">
        <x:f>--($A31&lt;&gt;"")</x:f>
        <x:v>1</x:v>
      </x:c>
    </x:row>
    <x:row r="32">
      <x:c r="A32" s="10" t="n">
        <x:f>IF(Assumptions!$B$5+INT((ROW()-2)/Assumptions!$B$7)&gt;Assumptions!$B$6,"",Assumptions!$B$5+INT((ROW()-2)/Assumptions!$B$7))</x:f>
        <x:v>46029</x:v>
      </x:c>
      <x:c r="B32" t="str">
        <x:f>IF($A32="","",INDEX(Assumptions!$D$5:$D$12,MOD(ROW()-2,Assumptions!$B$7)+1))</x:f>
        <x:v>Acheron Prime</x:v>
      </x:c>
      <x:c r="C32" s="11" t="n">
        <x:f>IF($A32="","",INDEX(Assumptions!$F$5:$F$12,MATCH($B32,Assumptions!$D$5:$D$12,0)))</x:f>
        <x:v>1120</x:v>
      </x:c>
      <x:c r="D32" s="11" t="n">
        <x:f>IF($A32="","",INDEX(Assumptions!$G$5:$G$12,MATCH($B32,Assumptions!$D$5:$D$12,0)))</x:f>
        <x:v>115</x:v>
      </x:c>
      <x:c r="E32" s="11" t="n">
        <x:f>IF($A32="","",INDEX(Assumptions!$M$5:$M$11,WEEKDAY($A32,2)))</x:f>
        <x:v>1.01</x:v>
      </x:c>
      <x:c r="F32" s="11" t="n">
        <x:f>IF($A32="","",Assumptions!$B$15)</x:f>
        <x:v>0.35</x:v>
      </x:c>
      <x:c r="G32" s="11" t="n">
        <x:f>IF($A32="","",MAX(INDEX(Assumptions!$H$5:$H$12,MATCH($B32,Assumptions!$D$5:$D$12,0)),MIN(INDEX(Assumptions!$I$5:$I$12,MATCH($B32,Assumptions!$D$5:$D$12,0)),($C32+$D32*SQRT(-2*LN(RAND()))*COS(2*PI()*RAND()))*$E32*$J32*$K32)))</x:f>
        <x:v>1040.3195608275305</x:v>
      </x:c>
      <x:c r="H32" s="11" t="n">
        <x:f>IF($A32="","",$G32*$F32+$C32*(1-$F32))</x:f>
        <x:v>1092.1118462896357</x:v>
      </x:c>
      <x:c r="I32" s="11" t="n">
        <x:f>IF($A32="","",AVERAGE($H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1112.3762378125878</x:v>
      </x:c>
      <x:c r="J32" s="12" t="n">
        <x:f>IF($A32="","",1+SUMIFS(Assumptions!$S$5:$S$10,Assumptions!$P$5:$P$10,$B32,Assumptions!$Q$5:$Q$10,"&lt;="&amp;$A32,Assumptions!$R$5:$R$10,"&gt;="&amp;$A32))</x:f>
        <x:v>1</x:v>
      </x:c>
      <x:c r="K32" s="12" t="n">
        <x:f>IF($A32="","",1+((($A32-Assumptions!$B$5)/30)*INDEX(Assumptions!$J$5:$J$12,MATCH($B32,Assumptions!$D$5:$D$12,0))))</x:f>
        <x:v>1.0004</x:v>
      </x:c>
      <x:c r="L32" t="str">
        <x:f>IF($A32="","",IFERROR(INDEX(Assumptions!$O$5:$O$10,MATCH(1,(Assumptions!$P$5:$P$10=$B32)*(Assumptions!$Q$5:$Q$10&lt;=$A32)*(Assumptions!$R$5:$R$10&gt;=$A32),0)),""))</x:f>
      </x:c>
      <x:c r="M32" t="n">
        <x:f>--($A32&lt;&gt;"")</x:f>
        <x:v>1</x:v>
      </x:c>
    </x:row>
    <x:row r="33">
      <x:c r="A33" s="10" t="n">
        <x:f>IF(Assumptions!$B$5+INT((ROW()-2)/Assumptions!$B$7)&gt;Assumptions!$B$6,"",Assumptions!$B$5+INT((ROW()-2)/Assumptions!$B$7))</x:f>
        <x:v>46029</x:v>
      </x:c>
      <x:c r="B33" t="str">
        <x:f>IF($A33="","",INDEX(Assumptions!$D$5:$D$12,MOD(ROW()-2,Assumptions!$B$7)+1))</x:f>
        <x:v>LV-426 North</x:v>
      </x:c>
      <x:c r="C33" s="11" t="n">
        <x:f>IF($A33="","",INDEX(Assumptions!$F$5:$F$12,MATCH($B33,Assumptions!$D$5:$D$12,0)))</x:f>
        <x:v>930</x:v>
      </x:c>
      <x:c r="D33" s="11" t="n">
        <x:f>IF($A33="","",INDEX(Assumptions!$G$5:$G$12,MATCH($B33,Assumptions!$D$5:$D$12,0)))</x:f>
        <x:v>95</x:v>
      </x:c>
      <x:c r="E33" s="11" t="n">
        <x:f>IF($A33="","",INDEX(Assumptions!$M$5:$M$11,WEEKDAY($A33,2)))</x:f>
        <x:v>1.01</x:v>
      </x:c>
      <x:c r="F33" s="11" t="n">
        <x:f>IF($A33="","",Assumptions!$B$15)</x:f>
        <x:v>0.35</x:v>
      </x:c>
      <x:c r="G33" s="11" t="n">
        <x:f>IF($A33="","",MAX(INDEX(Assumptions!$H$5:$H$12,MATCH($B33,Assumptions!$D$5:$D$12,0)),MIN(INDEX(Assumptions!$I$5:$I$12,MATCH($B33,Assumptions!$D$5:$D$12,0)),($C33+$D33*SQRT(-2*LN(RAND()))*COS(2*PI()*RAND()))*$E33*$J33*$K33)))</x:f>
        <x:v>1077.7307780634887</x:v>
      </x:c>
      <x:c r="H33" s="11" t="n">
        <x:f>IF($A33="","",$G33*$F33+$C33*(1-$F33))</x:f>
        <x:v>981.705772322221</x:v>
      </x:c>
      <x:c r="I33" s="11" t="n">
        <x:f>IF($A33="","",AVERAGE($H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922.6668876943643</x:v>
      </x:c>
      <x:c r="J33" s="12" t="n">
        <x:f>IF($A33="","",1+SUMIFS(Assumptions!$S$5:$S$10,Assumptions!$P$5:$P$10,$B33,Assumptions!$Q$5:$Q$10,"&lt;="&amp;$A33,Assumptions!$R$5:$R$10,"&gt;="&amp;$A33))</x:f>
        <x:v>1</x:v>
      </x:c>
      <x:c r="K33" s="12" t="n">
        <x:f>IF($A33="","",1+((($A33-Assumptions!$B$5)/30)*INDEX(Assumptions!$J$5:$J$12,MATCH($B33,Assumptions!$D$5:$D$12,0))))</x:f>
        <x:v>0.9998</x:v>
      </x:c>
      <x:c r="L33" t="str">
        <x:f>IF($A33="","",IFERROR(INDEX(Assumptions!$O$5:$O$10,MATCH(1,(Assumptions!$P$5:$P$10=$B33)*(Assumptions!$Q$5:$Q$10&lt;=$A33)*(Assumptions!$R$5:$R$10&gt;=$A33),0)),""))</x:f>
      </x:c>
      <x:c r="M33" t="n">
        <x:f>--($A33&lt;&gt;"")</x:f>
        <x:v>1</x:v>
      </x:c>
    </x:row>
    <x:row r="34">
      <x:c r="A34" s="10" t="n">
        <x:f>IF(Assumptions!$B$5+INT((ROW()-2)/Assumptions!$B$7)&gt;Assumptions!$B$6,"",Assumptions!$B$5+INT((ROW()-2)/Assumptions!$B$7))</x:f>
        <x:v>46029</x:v>
      </x:c>
      <x:c r="B34" t="str">
        <x:f>IF($A34="","",INDEX(Assumptions!$D$5:$D$12,MOD(ROW()-2,Assumptions!$B$7)+1))</x:f>
        <x:v>Nostromo Deep</x:v>
      </x:c>
      <x:c r="C34" s="11" t="n">
        <x:f>IF($A34="","",INDEX(Assumptions!$F$5:$F$12,MATCH($B34,Assumptions!$D$5:$D$12,0)))</x:f>
        <x:v>1260</x:v>
      </x:c>
      <x:c r="D34" s="11" t="n">
        <x:f>IF($A34="","",INDEX(Assumptions!$G$5:$G$12,MATCH($B34,Assumptions!$D$5:$D$12,0)))</x:f>
        <x:v>145</x:v>
      </x:c>
      <x:c r="E34" s="11" t="n">
        <x:f>IF($A34="","",INDEX(Assumptions!$M$5:$M$11,WEEKDAY($A34,2)))</x:f>
        <x:v>1.01</x:v>
      </x:c>
      <x:c r="F34" s="11" t="n">
        <x:f>IF($A34="","",Assumptions!$B$15)</x:f>
        <x:v>0.35</x:v>
      </x:c>
      <x:c r="G34" s="11" t="n">
        <x:f>IF($A34="","",MAX(INDEX(Assumptions!$H$5:$H$12,MATCH($B34,Assumptions!$D$5:$D$12,0)),MIN(INDEX(Assumptions!$I$5:$I$12,MATCH($B34,Assumptions!$D$5:$D$12,0)),($C34+$D34*SQRT(-2*LN(RAND()))*COS(2*PI()*RAND()))*$E34*$J34*$K34)))</x:f>
        <x:v>1276.7216491534405</x:v>
      </x:c>
      <x:c r="H34" s="11" t="n">
        <x:f>IF($A34="","",$G34*$F34+$C34*(1-$F34))</x:f>
        <x:v>1265.8525772037042</x:v>
      </x:c>
      <x:c r="I34" s="11" t="n">
        <x:f>IF($A34="","",AVERAGE($H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1236.2954040408313</x:v>
      </x:c>
      <x:c r="J34" s="12" t="n">
        <x:f>IF($A34="","",1+SUMIFS(Assumptions!$S$5:$S$10,Assumptions!$P$5:$P$10,$B34,Assumptions!$Q$5:$Q$10,"&lt;="&amp;$A34,Assumptions!$R$5:$R$10,"&gt;="&amp;$A34))</x:f>
        <x:v>1</x:v>
      </x:c>
      <x:c r="K34" s="12" t="n">
        <x:f>IF($A34="","",1+((($A34-Assumptions!$B$5)/30)*INDEX(Assumptions!$J$5:$J$12,MATCH($B34,Assumptions!$D$5:$D$12,0))))</x:f>
        <x:v>1.0006</x:v>
      </x:c>
      <x:c r="L34" t="str">
        <x:f>IF($A34="","",IFERROR(INDEX(Assumptions!$O$5:$O$10,MATCH(1,(Assumptions!$P$5:$P$10=$B34)*(Assumptions!$Q$5:$Q$10&lt;=$A34)*(Assumptions!$R$5:$R$10&gt;=$A34),0)),""))</x:f>
      </x:c>
      <x:c r="M34" t="n">
        <x:f>--($A34&lt;&gt;"")</x:f>
        <x:v>1</x:v>
      </x:c>
    </x:row>
    <x:row r="35">
      <x:c r="A35" s="10" t="n">
        <x:f>IF(Assumptions!$B$5+INT((ROW()-2)/Assumptions!$B$7)&gt;Assumptions!$B$6,"",Assumptions!$B$5+INT((ROW()-2)/Assumptions!$B$7))</x:f>
        <x:v>46029</x:v>
      </x:c>
      <x:c r="B35" t="str">
        <x:f>IF($A35="","",INDEX(Assumptions!$D$5:$D$12,MOD(ROW()-2,Assumptions!$B$7)+1))</x:f>
        <x:v>Hadley's Hope</x:v>
      </x:c>
      <x:c r="C35" s="11" t="n">
        <x:f>IF($A35="","",INDEX(Assumptions!$F$5:$F$12,MATCH($B35,Assumptions!$D$5:$D$12,0)))</x:f>
        <x:v>845</x:v>
      </x:c>
      <x:c r="D35" s="11" t="n">
        <x:f>IF($A35="","",INDEX(Assumptions!$G$5:$G$12,MATCH($B35,Assumptions!$D$5:$D$12,0)))</x:f>
        <x:v>80</x:v>
      </x:c>
      <x:c r="E35" s="11" t="n">
        <x:f>IF($A35="","",INDEX(Assumptions!$M$5:$M$11,WEEKDAY($A35,2)))</x:f>
        <x:v>1.01</x:v>
      </x:c>
      <x:c r="F35" s="11" t="n">
        <x:f>IF($A35="","",Assumptions!$B$15)</x:f>
        <x:v>0.35</x:v>
      </x:c>
      <x:c r="G35" s="11" t="n">
        <x:f>IF($A35="","",MAX(INDEX(Assumptions!$H$5:$H$12,MATCH($B35,Assumptions!$D$5:$D$12,0)),MIN(INDEX(Assumptions!$I$5:$I$12,MATCH($B35,Assumptions!$D$5:$D$12,0)),($C35+$D35*SQRT(-2*LN(RAND()))*COS(2*PI()*RAND()))*$E35*$J35*$K35)))</x:f>
        <x:v>773.9229195793935</x:v>
      </x:c>
      <x:c r="H35" s="11" t="n">
        <x:f>IF($A35="","",$G35*$F35+$C35*(1-$F35))</x:f>
        <x:v>820.1230218527877</x:v>
      </x:c>
      <x:c r="I35" s="11" t="n">
        <x:f>IF($A35="","",AVERAGE($H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846.3044335949909</x:v>
      </x:c>
      <x:c r="J35" s="12" t="n">
        <x:f>IF($A35="","",1+SUMIFS(Assumptions!$S$5:$S$10,Assumptions!$P$5:$P$10,$B35,Assumptions!$Q$5:$Q$10,"&lt;="&amp;$A35,Assumptions!$R$5:$R$10,"&gt;="&amp;$A35))</x:f>
        <x:v>1</x:v>
      </x:c>
      <x:c r="K35" s="12" t="n">
        <x:f>IF($A35="","",1+((($A35-Assumptions!$B$5)/30)*INDEX(Assumptions!$J$5:$J$12,MATCH($B35,Assumptions!$D$5:$D$12,0))))</x:f>
        <x:v>1.0002</x:v>
      </x:c>
      <x:c r="L35" t="str">
        <x:f>IF($A35="","",IFERROR(INDEX(Assumptions!$O$5:$O$10,MATCH(1,(Assumptions!$P$5:$P$10=$B35)*(Assumptions!$Q$5:$Q$10&lt;=$A35)*(Assumptions!$R$5:$R$10&gt;=$A35),0)),""))</x:f>
      </x:c>
      <x:c r="M35" t="n">
        <x:f>--($A35&lt;&gt;"")</x:f>
        <x:v>1</x:v>
      </x:c>
    </x:row>
    <x:row r="36">
      <x:c r="A36" s="10" t="n">
        <x:f>IF(Assumptions!$B$5+INT((ROW()-2)/Assumptions!$B$7)&gt;Assumptions!$B$6,"",Assumptions!$B$5+INT((ROW()-2)/Assumptions!$B$7))</x:f>
        <x:v>46029</x:v>
      </x:c>
      <x:c r="B36" t="str">
        <x:f>IF($A36="","",INDEX(Assumptions!$D$5:$D$12,MOD(ROW()-2,Assumptions!$B$7)+1))</x:f>
        <x:v>Yutani Ridge</x:v>
      </x:c>
      <x:c r="C36" s="11" t="n">
        <x:f>IF($A36="","",INDEX(Assumptions!$F$5:$F$12,MATCH($B36,Assumptions!$D$5:$D$12,0)))</x:f>
        <x:v>1050</x:v>
      </x:c>
      <x:c r="D36" s="11" t="n">
        <x:f>IF($A36="","",INDEX(Assumptions!$G$5:$G$12,MATCH($B36,Assumptions!$D$5:$D$12,0)))</x:f>
        <x:v>125</x:v>
      </x:c>
      <x:c r="E36" s="11" t="n">
        <x:f>IF($A36="","",INDEX(Assumptions!$M$5:$M$11,WEEKDAY($A36,2)))</x:f>
        <x:v>1.01</x:v>
      </x:c>
      <x:c r="F36" s="11" t="n">
        <x:f>IF($A36="","",Assumptions!$B$15)</x:f>
        <x:v>0.35</x:v>
      </x:c>
      <x:c r="G36" s="11" t="n">
        <x:f>IF($A36="","",MAX(INDEX(Assumptions!$H$5:$H$12,MATCH($B36,Assumptions!$D$5:$D$12,0)),MIN(INDEX(Assumptions!$I$5:$I$12,MATCH($B36,Assumptions!$D$5:$D$12,0)),($C36+$D36*SQRT(-2*LN(RAND()))*COS(2*PI()*RAND()))*$E36*$J36*$K36)))</x:f>
        <x:v>1108.5702325397913</x:v>
      </x:c>
      <x:c r="H36" s="11" t="n">
        <x:f>IF($A36="","",$G36*$F36+$C36*(1-$F36))</x:f>
        <x:v>1070.4995813889268</x:v>
      </x:c>
      <x:c r="I36" s="11" t="n">
        <x:f>IF($A36="","",AVERAGE($H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1042.9107271899463</x:v>
      </x:c>
      <x:c r="J36" s="12" t="n">
        <x:f>IF($A36="","",1+SUMIFS(Assumptions!$S$5:$S$10,Assumptions!$P$5:$P$10,$B36,Assumptions!$Q$5:$Q$10,"&lt;="&amp;$A36,Assumptions!$R$5:$R$10,"&gt;="&amp;$A36))</x:f>
        <x:v>1</x:v>
      </x:c>
      <x:c r="K36" s="12" t="n">
        <x:f>IF($A36="","",1+((($A36-Assumptions!$B$5)/30)*INDEX(Assumptions!$J$5:$J$12,MATCH($B36,Assumptions!$D$5:$D$12,0))))</x:f>
        <x:v>1.0005</x:v>
      </x:c>
      <x:c r="L36" t="str">
        <x:f>IF($A36="","",IFERROR(INDEX(Assumptions!$O$5:$O$10,MATCH(1,(Assumptions!$P$5:$P$10=$B36)*(Assumptions!$Q$5:$Q$10&lt;=$A36)*(Assumptions!$R$5:$R$10&gt;=$A36),0)),""))</x:f>
      </x:c>
      <x:c r="M36" t="n">
        <x:f>--($A36&lt;&gt;"")</x:f>
        <x:v>1</x:v>
      </x:c>
    </x:row>
    <x:row r="37">
      <x:c r="A37" s="10" t="n">
        <x:f>IF(Assumptions!$B$5+INT((ROW()-2)/Assumptions!$B$7)&gt;Assumptions!$B$6,"",Assumptions!$B$5+INT((ROW()-2)/Assumptions!$B$7))</x:f>
        <x:v>46030</x:v>
      </x:c>
      <x:c r="B37" t="str">
        <x:f>IF($A37="","",INDEX(Assumptions!$D$5:$D$12,MOD(ROW()-2,Assumptions!$B$7)+1))</x:f>
        <x:v>Acheron Prime</x:v>
      </x:c>
      <x:c r="C37" s="11" t="n">
        <x:f>IF($A37="","",INDEX(Assumptions!$F$5:$F$12,MATCH($B37,Assumptions!$D$5:$D$12,0)))</x:f>
        <x:v>1120</x:v>
      </x:c>
      <x:c r="D37" s="11" t="n">
        <x:f>IF($A37="","",INDEX(Assumptions!$G$5:$G$12,MATCH($B37,Assumptions!$D$5:$D$12,0)))</x:f>
        <x:v>115</x:v>
      </x:c>
      <x:c r="E37" s="11" t="n">
        <x:f>IF($A37="","",INDEX(Assumptions!$M$5:$M$11,WEEKDAY($A37,2)))</x:f>
        <x:v>1</x:v>
      </x:c>
      <x:c r="F37" s="11" t="n">
        <x:f>IF($A37="","",Assumptions!$B$15)</x:f>
        <x:v>0.35</x:v>
      </x:c>
      <x:c r="G37" s="11" t="n">
        <x:f>IF($A37="","",MAX(INDEX(Assumptions!$H$5:$H$12,MATCH($B37,Assumptions!$D$5:$D$12,0)),MIN(INDEX(Assumptions!$I$5:$I$12,MATCH($B37,Assumptions!$D$5:$D$12,0)),($C37+$D37*SQRT(-2*LN(RAND()))*COS(2*PI()*RAND()))*$E37*$J37*$K37)))</x:f>
        <x:v>886.1218425595519</x:v>
      </x:c>
      <x:c r="H37" s="11" t="n">
        <x:f>IF($A37="","",$G37*$F37+$C37*(1-$F37))</x:f>
        <x:v>1038.1426448958432</x:v>
      </x:c>
      <x:c r="I37" s="11" t="n">
        <x:f>IF($A37="","",AVERAGE($H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1097.1671747666328</x:v>
      </x:c>
      <x:c r="J37" s="12" t="n">
        <x:f>IF($A37="","",1+SUMIFS(Assumptions!$S$5:$S$10,Assumptions!$P$5:$P$10,$B37,Assumptions!$Q$5:$Q$10,"&lt;="&amp;$A37,Assumptions!$R$5:$R$10,"&gt;="&amp;$A37))</x:f>
        <x:v>1</x:v>
      </x:c>
      <x:c r="K37" s="12" t="n">
        <x:f>IF($A37="","",1+((($A37-Assumptions!$B$5)/30)*INDEX(Assumptions!$J$5:$J$12,MATCH($B37,Assumptions!$D$5:$D$12,0))))</x:f>
        <x:v>1.0004666666666666</x:v>
      </x:c>
      <x:c r="L37" t="str">
        <x:f>IF($A37="","",IFERROR(INDEX(Assumptions!$O$5:$O$10,MATCH(1,(Assumptions!$P$5:$P$10=$B37)*(Assumptions!$Q$5:$Q$10&lt;=$A37)*(Assumptions!$R$5:$R$10&gt;=$A37),0)),""))</x:f>
      </x:c>
      <x:c r="M37" t="n">
        <x:f>--($A37&lt;&gt;"")</x:f>
        <x:v>1</x:v>
      </x:c>
    </x:row>
    <x:row r="38">
      <x:c r="A38" s="10" t="n">
        <x:f>IF(Assumptions!$B$5+INT((ROW()-2)/Assumptions!$B$7)&gt;Assumptions!$B$6,"",Assumptions!$B$5+INT((ROW()-2)/Assumptions!$B$7))</x:f>
        <x:v>46030</x:v>
      </x:c>
      <x:c r="B38" t="str">
        <x:f>IF($A38="","",INDEX(Assumptions!$D$5:$D$12,MOD(ROW()-2,Assumptions!$B$7)+1))</x:f>
        <x:v>LV-426 North</x:v>
      </x:c>
      <x:c r="C38" s="11" t="n">
        <x:f>IF($A38="","",INDEX(Assumptions!$F$5:$F$12,MATCH($B38,Assumptions!$D$5:$D$12,0)))</x:f>
        <x:v>930</x:v>
      </x:c>
      <x:c r="D38" s="11" t="n">
        <x:f>IF($A38="","",INDEX(Assumptions!$G$5:$G$12,MATCH($B38,Assumptions!$D$5:$D$12,0)))</x:f>
        <x:v>95</x:v>
      </x:c>
      <x:c r="E38" s="11" t="n">
        <x:f>IF($A38="","",INDEX(Assumptions!$M$5:$M$11,WEEKDAY($A38,2)))</x:f>
        <x:v>1</x:v>
      </x:c>
      <x:c r="F38" s="11" t="n">
        <x:f>IF($A38="","",Assumptions!$B$15)</x:f>
        <x:v>0.35</x:v>
      </x:c>
      <x:c r="G38" s="11" t="n">
        <x:f>IF($A38="","",MAX(INDEX(Assumptions!$H$5:$H$12,MATCH($B38,Assumptions!$D$5:$D$12,0)),MIN(INDEX(Assumptions!$I$5:$I$12,MATCH($B38,Assumptions!$D$5:$D$12,0)),($C38+$D38*SQRT(-2*LN(RAND()))*COS(2*PI()*RAND()))*$E38*$J38*$K38)))</x:f>
        <x:v>977.686347550382</x:v>
      </x:c>
      <x:c r="H38" s="11" t="n">
        <x:f>IF($A38="","",$G38*$F38+$C38*(1-$F38))</x:f>
        <x:v>946.6902216426337</x:v>
      </x:c>
      <x:c r="I38" s="11" t="n">
        <x:f>IF($A38="","",AVERAGE($H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929.0031746985775</x:v>
      </x:c>
      <x:c r="J38" s="12" t="n">
        <x:f>IF($A38="","",1+SUMIFS(Assumptions!$S$5:$S$10,Assumptions!$P$5:$P$10,$B38,Assumptions!$Q$5:$Q$10,"&lt;="&amp;$A38,Assumptions!$R$5:$R$10,"&gt;="&amp;$A38))</x:f>
        <x:v>1</x:v>
      </x:c>
      <x:c r="K38" s="12" t="n">
        <x:f>IF($A38="","",1+((($A38-Assumptions!$B$5)/30)*INDEX(Assumptions!$J$5:$J$12,MATCH($B38,Assumptions!$D$5:$D$12,0))))</x:f>
        <x:v>0.9997666666666667</x:v>
      </x:c>
      <x:c r="L38" t="str">
        <x:f>IF($A38="","",IFERROR(INDEX(Assumptions!$O$5:$O$10,MATCH(1,(Assumptions!$P$5:$P$10=$B38)*(Assumptions!$Q$5:$Q$10&lt;=$A38)*(Assumptions!$R$5:$R$10&gt;=$A38),0)),""))</x:f>
      </x:c>
      <x:c r="M38" t="n">
        <x:f>--($A38&lt;&gt;"")</x:f>
        <x:v>1</x:v>
      </x:c>
    </x:row>
    <x:row r="39">
      <x:c r="A39" s="10" t="n">
        <x:f>IF(Assumptions!$B$5+INT((ROW()-2)/Assumptions!$B$7)&gt;Assumptions!$B$6,"",Assumptions!$B$5+INT((ROW()-2)/Assumptions!$B$7))</x:f>
        <x:v>46030</x:v>
      </x:c>
      <x:c r="B39" t="str">
        <x:f>IF($A39="","",INDEX(Assumptions!$D$5:$D$12,MOD(ROW()-2,Assumptions!$B$7)+1))</x:f>
        <x:v>Nostromo Deep</x:v>
      </x:c>
      <x:c r="C39" s="11" t="n">
        <x:f>IF($A39="","",INDEX(Assumptions!$F$5:$F$12,MATCH($B39,Assumptions!$D$5:$D$12,0)))</x:f>
        <x:v>1260</x:v>
      </x:c>
      <x:c r="D39" s="11" t="n">
        <x:f>IF($A39="","",INDEX(Assumptions!$G$5:$G$12,MATCH($B39,Assumptions!$D$5:$D$12,0)))</x:f>
        <x:v>145</x:v>
      </x:c>
      <x:c r="E39" s="11" t="n">
        <x:f>IF($A39="","",INDEX(Assumptions!$M$5:$M$11,WEEKDAY($A39,2)))</x:f>
        <x:v>1</x:v>
      </x:c>
      <x:c r="F39" s="11" t="n">
        <x:f>IF($A39="","",Assumptions!$B$15)</x:f>
        <x:v>0.35</x:v>
      </x:c>
      <x:c r="G39" s="11" t="n">
        <x:f>IF($A39="","",MAX(INDEX(Assumptions!$H$5:$H$12,MATCH($B39,Assumptions!$D$5:$D$12,0)),MIN(INDEX(Assumptions!$I$5:$I$12,MATCH($B39,Assumptions!$D$5:$D$12,0)),($C39+$D39*SQRT(-2*LN(RAND()))*COS(2*PI()*RAND()))*$E39*$J39*$K39)))</x:f>
        <x:v>1091.1307822447232</x:v>
      </x:c>
      <x:c r="H39" s="11" t="n">
        <x:f>IF($A39="","",$G39*$F39+$C39*(1-$F39))</x:f>
        <x:v>1200.895773785653</x:v>
      </x:c>
      <x:c r="I39" s="11" t="n">
        <x:f>IF($A39="","",AVERAGE($H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1234.7389928243335</x:v>
      </x:c>
      <x:c r="J39" s="12" t="n">
        <x:f>IF($A39="","",1+SUMIFS(Assumptions!$S$5:$S$10,Assumptions!$P$5:$P$10,$B39,Assumptions!$Q$5:$Q$10,"&lt;="&amp;$A39,Assumptions!$R$5:$R$10,"&gt;="&amp;$A39))</x:f>
        <x:v>1</x:v>
      </x:c>
      <x:c r="K39" s="12" t="n">
        <x:f>IF($A39="","",1+((($A39-Assumptions!$B$5)/30)*INDEX(Assumptions!$J$5:$J$12,MATCH($B39,Assumptions!$D$5:$D$12,0))))</x:f>
        <x:v>1.0007</x:v>
      </x:c>
      <x:c r="L39" t="str">
        <x:f>IF($A39="","",IFERROR(INDEX(Assumptions!$O$5:$O$10,MATCH(1,(Assumptions!$P$5:$P$10=$B39)*(Assumptions!$Q$5:$Q$10&lt;=$A39)*(Assumptions!$R$5:$R$10&gt;=$A39),0)),""))</x:f>
      </x:c>
      <x:c r="M39" t="n">
        <x:f>--($A39&lt;&gt;"")</x:f>
        <x:v>1</x:v>
      </x:c>
    </x:row>
    <x:row r="40">
      <x:c r="A40" s="10" t="n">
        <x:f>IF(Assumptions!$B$5+INT((ROW()-2)/Assumptions!$B$7)&gt;Assumptions!$B$6,"",Assumptions!$B$5+INT((ROW()-2)/Assumptions!$B$7))</x:f>
        <x:v>46030</x:v>
      </x:c>
      <x:c r="B40" t="str">
        <x:f>IF($A40="","",INDEX(Assumptions!$D$5:$D$12,MOD(ROW()-2,Assumptions!$B$7)+1))</x:f>
        <x:v>Hadley's Hope</x:v>
      </x:c>
      <x:c r="C40" s="11" t="n">
        <x:f>IF($A40="","",INDEX(Assumptions!$F$5:$F$12,MATCH($B40,Assumptions!$D$5:$D$12,0)))</x:f>
        <x:v>845</x:v>
      </x:c>
      <x:c r="D40" s="11" t="n">
        <x:f>IF($A40="","",INDEX(Assumptions!$G$5:$G$12,MATCH($B40,Assumptions!$D$5:$D$12,0)))</x:f>
        <x:v>80</x:v>
      </x:c>
      <x:c r="E40" s="11" t="n">
        <x:f>IF($A40="","",INDEX(Assumptions!$M$5:$M$11,WEEKDAY($A40,2)))</x:f>
        <x:v>1</x:v>
      </x:c>
      <x:c r="F40" s="11" t="n">
        <x:f>IF($A40="","",Assumptions!$B$15)</x:f>
        <x:v>0.35</x:v>
      </x:c>
      <x:c r="G40" s="11" t="n">
        <x:f>IF($A40="","",MAX(INDEX(Assumptions!$H$5:$H$12,MATCH($B40,Assumptions!$D$5:$D$12,0)),MIN(INDEX(Assumptions!$I$5:$I$12,MATCH($B40,Assumptions!$D$5:$D$12,0)),($C40+$D40*SQRT(-2*LN(RAND()))*COS(2*PI()*RAND()))*$E40*$J40*$K40)))</x:f>
        <x:v>924.1778855589029</x:v>
      </x:c>
      <x:c r="H40" s="11" t="n">
        <x:f>IF($A40="","",$G40*$F40+$C40*(1-$F40))</x:f>
        <x:v>872.712259945616</x:v>
      </x:c>
      <x:c r="I40" s="11" t="n">
        <x:f>IF($A40="","",AVERAGE($H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849.5344249949412</x:v>
      </x:c>
      <x:c r="J40" s="12" t="n">
        <x:f>IF($A40="","",1+SUMIFS(Assumptions!$S$5:$S$10,Assumptions!$P$5:$P$10,$B40,Assumptions!$Q$5:$Q$10,"&lt;="&amp;$A40,Assumptions!$R$5:$R$10,"&gt;="&amp;$A40))</x:f>
        <x:v>1</x:v>
      </x:c>
      <x:c r="K40" s="12" t="n">
        <x:f>IF($A40="","",1+((($A40-Assumptions!$B$5)/30)*INDEX(Assumptions!$J$5:$J$12,MATCH($B40,Assumptions!$D$5:$D$12,0))))</x:f>
        <x:v>1.0002333333333333</x:v>
      </x:c>
      <x:c r="L40" t="str">
        <x:f>IF($A40="","",IFERROR(INDEX(Assumptions!$O$5:$O$10,MATCH(1,(Assumptions!$P$5:$P$10=$B40)*(Assumptions!$Q$5:$Q$10&lt;=$A40)*(Assumptions!$R$5:$R$10&gt;=$A40),0)),""))</x:f>
      </x:c>
      <x:c r="M40" t="n">
        <x:f>--($A40&lt;&gt;"")</x:f>
        <x:v>1</x:v>
      </x:c>
    </x:row>
    <x:row r="41">
      <x:c r="A41" s="10" t="n">
        <x:f>IF(Assumptions!$B$5+INT((ROW()-2)/Assumptions!$B$7)&gt;Assumptions!$B$6,"",Assumptions!$B$5+INT((ROW()-2)/Assumptions!$B$7))</x:f>
        <x:v>46030</x:v>
      </x:c>
      <x:c r="B41" t="str">
        <x:f>IF($A41="","",INDEX(Assumptions!$D$5:$D$12,MOD(ROW()-2,Assumptions!$B$7)+1))</x:f>
        <x:v>Yutani Ridge</x:v>
      </x:c>
      <x:c r="C41" s="11" t="n">
        <x:f>IF($A41="","",INDEX(Assumptions!$F$5:$F$12,MATCH($B41,Assumptions!$D$5:$D$12,0)))</x:f>
        <x:v>1050</x:v>
      </x:c>
      <x:c r="D41" s="11" t="n">
        <x:f>IF($A41="","",INDEX(Assumptions!$G$5:$G$12,MATCH($B41,Assumptions!$D$5:$D$12,0)))</x:f>
        <x:v>125</x:v>
      </x:c>
      <x:c r="E41" s="11" t="n">
        <x:f>IF($A41="","",INDEX(Assumptions!$M$5:$M$11,WEEKDAY($A41,2)))</x:f>
        <x:v>1</x:v>
      </x:c>
      <x:c r="F41" s="11" t="n">
        <x:f>IF($A41="","",Assumptions!$B$15)</x:f>
        <x:v>0.35</x:v>
      </x:c>
      <x:c r="G41" s="11" t="n">
        <x:f>IF($A41="","",MAX(INDEX(Assumptions!$H$5:$H$12,MATCH($B41,Assumptions!$D$5:$D$12,0)),MIN(INDEX(Assumptions!$I$5:$I$12,MATCH($B41,Assumptions!$D$5:$D$12,0)),($C41+$D41*SQRT(-2*LN(RAND()))*COS(2*PI()*RAND()))*$E41*$J41*$K41)))</x:f>
        <x:v>1051.6583542634694</x:v>
      </x:c>
      <x:c r="H41" s="11" t="n">
        <x:f>IF($A41="","",$G41*$F41+$C41*(1-$F41))</x:f>
        <x:v>1050.5804239922143</x:v>
      </x:c>
      <x:c r="I41" s="11" t="n">
        <x:f>IF($A41="","",AVERAGE($H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1041.0235440076706</x:v>
      </x:c>
      <x:c r="J41" s="12" t="n">
        <x:f>IF($A41="","",1+SUMIFS(Assumptions!$S$5:$S$10,Assumptions!$P$5:$P$10,$B41,Assumptions!$Q$5:$Q$10,"&lt;="&amp;$A41,Assumptions!$R$5:$R$10,"&gt;="&amp;$A41))</x:f>
        <x:v>1</x:v>
      </x:c>
      <x:c r="K41" s="12" t="n">
        <x:f>IF($A41="","",1+((($A41-Assumptions!$B$5)/30)*INDEX(Assumptions!$J$5:$J$12,MATCH($B41,Assumptions!$D$5:$D$12,0))))</x:f>
        <x:v>1.0005833333333334</x:v>
      </x:c>
      <x:c r="L41" t="str">
        <x:f>IF($A41="","",IFERROR(INDEX(Assumptions!$O$5:$O$10,MATCH(1,(Assumptions!$P$5:$P$10=$B41)*(Assumptions!$Q$5:$Q$10&lt;=$A41)*(Assumptions!$R$5:$R$10&gt;=$A41),0)),""))</x:f>
      </x:c>
      <x:c r="M41" t="n">
        <x:f>--($A41&lt;&gt;"")</x:f>
        <x:v>1</x:v>
      </x:c>
    </x:row>
    <x:row r="42">
      <x:c r="A42" s="10" t="n">
        <x:f>IF(Assumptions!$B$5+INT((ROW()-2)/Assumptions!$B$7)&gt;Assumptions!$B$6,"",Assumptions!$B$5+INT((ROW()-2)/Assumptions!$B$7))</x:f>
        <x:v>46031</x:v>
      </x:c>
      <x:c r="B42" t="str">
        <x:f>IF($A42="","",INDEX(Assumptions!$D$5:$D$12,MOD(ROW()-2,Assumptions!$B$7)+1))</x:f>
        <x:v>Acheron Prime</x:v>
      </x:c>
      <x:c r="C42" s="11" t="n">
        <x:f>IF($A42="","",INDEX(Assumptions!$F$5:$F$12,MATCH($B42,Assumptions!$D$5:$D$12,0)))</x:f>
        <x:v>1120</x:v>
      </x:c>
      <x:c r="D42" s="11" t="n">
        <x:f>IF($A42="","",INDEX(Assumptions!$G$5:$G$12,MATCH($B42,Assumptions!$D$5:$D$12,0)))</x:f>
        <x:v>115</x:v>
      </x:c>
      <x:c r="E42" s="11" t="n">
        <x:f>IF($A42="","",INDEX(Assumptions!$M$5:$M$11,WEEKDAY($A42,2)))</x:f>
        <x:v>0.98</x:v>
      </x:c>
      <x:c r="F42" s="11" t="n">
        <x:f>IF($A42="","",Assumptions!$B$15)</x:f>
        <x:v>0.35</x:v>
      </x:c>
      <x:c r="G42" s="11" t="n">
        <x:f>IF($A42="","",MAX(INDEX(Assumptions!$H$5:$H$12,MATCH($B42,Assumptions!$D$5:$D$12,0)),MIN(INDEX(Assumptions!$I$5:$I$12,MATCH($B42,Assumptions!$D$5:$D$12,0)),($C42+$D42*SQRT(-2*LN(RAND()))*COS(2*PI()*RAND()))*$E42*$J42*$K42)))</x:f>
        <x:v>892.6610280819115</x:v>
      </x:c>
      <x:c r="H42" s="11" t="n">
        <x:f>IF($A42="","",$G42*$F42+$C42*(1-$F42))</x:f>
        <x:v>1040.431359828669</x:v>
      </x:c>
      <x:c r="I42" s="11" t="n">
        <x:f>IF($A42="","",AVERAGE($H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1092.2209636037103</x:v>
      </x:c>
      <x:c r="J42" s="12" t="n">
        <x:f>IF($A42="","",1+SUMIFS(Assumptions!$S$5:$S$10,Assumptions!$P$5:$P$10,$B42,Assumptions!$Q$5:$Q$10,"&lt;="&amp;$A42,Assumptions!$R$5:$R$10,"&gt;="&amp;$A42))</x:f>
        <x:v>1</x:v>
      </x:c>
      <x:c r="K42" s="12" t="n">
        <x:f>IF($A42="","",1+((($A42-Assumptions!$B$5)/30)*INDEX(Assumptions!$J$5:$J$12,MATCH($B42,Assumptions!$D$5:$D$12,0))))</x:f>
        <x:v>1.0005333333333333</x:v>
      </x:c>
      <x:c r="L42" t="str">
        <x:f>IF($A42="","",IFERROR(INDEX(Assumptions!$O$5:$O$10,MATCH(1,(Assumptions!$P$5:$P$10=$B42)*(Assumptions!$Q$5:$Q$10&lt;=$A42)*(Assumptions!$R$5:$R$10&gt;=$A42),0)),""))</x:f>
      </x:c>
      <x:c r="M42" t="n">
        <x:f>--($A42&lt;&gt;"")</x:f>
        <x:v>1</x:v>
      </x:c>
    </x:row>
    <x:row r="43">
      <x:c r="A43" s="10" t="n">
        <x:f>IF(Assumptions!$B$5+INT((ROW()-2)/Assumptions!$B$7)&gt;Assumptions!$B$6,"",Assumptions!$B$5+INT((ROW()-2)/Assumptions!$B$7))</x:f>
        <x:v>46031</x:v>
      </x:c>
      <x:c r="B43" t="str">
        <x:f>IF($A43="","",INDEX(Assumptions!$D$5:$D$12,MOD(ROW()-2,Assumptions!$B$7)+1))</x:f>
        <x:v>LV-426 North</x:v>
      </x:c>
      <x:c r="C43" s="11" t="n">
        <x:f>IF($A43="","",INDEX(Assumptions!$F$5:$F$12,MATCH($B43,Assumptions!$D$5:$D$12,0)))</x:f>
        <x:v>930</x:v>
      </x:c>
      <x:c r="D43" s="11" t="n">
        <x:f>IF($A43="","",INDEX(Assumptions!$G$5:$G$12,MATCH($B43,Assumptions!$D$5:$D$12,0)))</x:f>
        <x:v>95</x:v>
      </x:c>
      <x:c r="E43" s="11" t="n">
        <x:f>IF($A43="","",INDEX(Assumptions!$M$5:$M$11,WEEKDAY($A43,2)))</x:f>
        <x:v>0.98</x:v>
      </x:c>
      <x:c r="F43" s="11" t="n">
        <x:f>IF($A43="","",Assumptions!$B$15)</x:f>
        <x:v>0.35</x:v>
      </x:c>
      <x:c r="G43" s="11" t="n">
        <x:f>IF($A43="","",MAX(INDEX(Assumptions!$H$5:$H$12,MATCH($B43,Assumptions!$D$5:$D$12,0)),MIN(INDEX(Assumptions!$I$5:$I$12,MATCH($B43,Assumptions!$D$5:$D$12,0)),($C43+$D43*SQRT(-2*LN(RAND()))*COS(2*PI()*RAND()))*$E43*$J43*$K43)))</x:f>
        <x:v>1015.2999479266467</x:v>
      </x:c>
      <x:c r="H43" s="11" t="n">
        <x:f>IF($A43="","",$G43*$F43+$C43*(1-$F43))</x:f>
        <x:v>959.8549817743263</x:v>
      </x:c>
      <x:c r="I43" s="11" t="n">
        <x:f>IF($A43="","",AVERAGE($H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933.1826878734179</x:v>
      </x:c>
      <x:c r="J43" s="12" t="n">
        <x:f>IF($A43="","",1+SUMIFS(Assumptions!$S$5:$S$10,Assumptions!$P$5:$P$10,$B43,Assumptions!$Q$5:$Q$10,"&lt;="&amp;$A43,Assumptions!$R$5:$R$10,"&gt;="&amp;$A43))</x:f>
        <x:v>1</x:v>
      </x:c>
      <x:c r="K43" s="12" t="n">
        <x:f>IF($A43="","",1+((($A43-Assumptions!$B$5)/30)*INDEX(Assumptions!$J$5:$J$12,MATCH($B43,Assumptions!$D$5:$D$12,0))))</x:f>
        <x:v>0.9997333333333334</x:v>
      </x:c>
      <x:c r="L43" t="str">
        <x:f>IF($A43="","",IFERROR(INDEX(Assumptions!$O$5:$O$10,MATCH(1,(Assumptions!$P$5:$P$10=$B43)*(Assumptions!$Q$5:$Q$10&lt;=$A43)*(Assumptions!$R$5:$R$10&gt;=$A43),0)),""))</x:f>
      </x:c>
      <x:c r="M43" t="n">
        <x:f>--($A43&lt;&gt;"")</x:f>
        <x:v>1</x:v>
      </x:c>
    </x:row>
    <x:row r="44">
      <x:c r="A44" s="10" t="n">
        <x:f>IF(Assumptions!$B$5+INT((ROW()-2)/Assumptions!$B$7)&gt;Assumptions!$B$6,"",Assumptions!$B$5+INT((ROW()-2)/Assumptions!$B$7))</x:f>
        <x:v>46031</x:v>
      </x:c>
      <x:c r="B44" t="str">
        <x:f>IF($A44="","",INDEX(Assumptions!$D$5:$D$12,MOD(ROW()-2,Assumptions!$B$7)+1))</x:f>
        <x:v>Nostromo Deep</x:v>
      </x:c>
      <x:c r="C44" s="11" t="n">
        <x:f>IF($A44="","",INDEX(Assumptions!$F$5:$F$12,MATCH($B44,Assumptions!$D$5:$D$12,0)))</x:f>
        <x:v>1260</x:v>
      </x:c>
      <x:c r="D44" s="11" t="n">
        <x:f>IF($A44="","",INDEX(Assumptions!$G$5:$G$12,MATCH($B44,Assumptions!$D$5:$D$12,0)))</x:f>
        <x:v>145</x:v>
      </x:c>
      <x:c r="E44" s="11" t="n">
        <x:f>IF($A44="","",INDEX(Assumptions!$M$5:$M$11,WEEKDAY($A44,2)))</x:f>
        <x:v>0.98</x:v>
      </x:c>
      <x:c r="F44" s="11" t="n">
        <x:f>IF($A44="","",Assumptions!$B$15)</x:f>
        <x:v>0.35</x:v>
      </x:c>
      <x:c r="G44" s="11" t="n">
        <x:f>IF($A44="","",MAX(INDEX(Assumptions!$H$5:$H$12,MATCH($B44,Assumptions!$D$5:$D$12,0)),MIN(INDEX(Assumptions!$I$5:$I$12,MATCH($B44,Assumptions!$D$5:$D$12,0)),($C44+$D44*SQRT(-2*LN(RAND()))*COS(2*PI()*RAND()))*$E44*$J44*$K44)))</x:f>
        <x:v>1114.8974206865578</x:v>
      </x:c>
      <x:c r="H44" s="11" t="n">
        <x:f>IF($A44="","",$G44*$F44+$C44*(1-$F44))</x:f>
        <x:v>1209.2140972402951</x:v>
      </x:c>
      <x:c r="I44" s="11" t="n">
        <x:f>IF($A44="","",AVERAGE($H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1226.8995280111828</x:v>
      </x:c>
      <x:c r="J44" s="12" t="n">
        <x:f>IF($A44="","",1+SUMIFS(Assumptions!$S$5:$S$10,Assumptions!$P$5:$P$10,$B44,Assumptions!$Q$5:$Q$10,"&lt;="&amp;$A44,Assumptions!$R$5:$R$10,"&gt;="&amp;$A44))</x:f>
        <x:v>1</x:v>
      </x:c>
      <x:c r="K44" s="12" t="n">
        <x:f>IF($A44="","",1+((($A44-Assumptions!$B$5)/30)*INDEX(Assumptions!$J$5:$J$12,MATCH($B44,Assumptions!$D$5:$D$12,0))))</x:f>
        <x:v>1.0008</x:v>
      </x:c>
      <x:c r="L44" t="str">
        <x:f>IF($A44="","",IFERROR(INDEX(Assumptions!$O$5:$O$10,MATCH(1,(Assumptions!$P$5:$P$10=$B44)*(Assumptions!$Q$5:$Q$10&lt;=$A44)*(Assumptions!$R$5:$R$10&gt;=$A44),0)),""))</x:f>
      </x:c>
      <x:c r="M44" t="n">
        <x:f>--($A44&lt;&gt;"")</x:f>
        <x:v>1</x:v>
      </x:c>
    </x:row>
    <x:row r="45">
      <x:c r="A45" s="10" t="n">
        <x:f>IF(Assumptions!$B$5+INT((ROW()-2)/Assumptions!$B$7)&gt;Assumptions!$B$6,"",Assumptions!$B$5+INT((ROW()-2)/Assumptions!$B$7))</x:f>
        <x:v>46031</x:v>
      </x:c>
      <x:c r="B45" t="str">
        <x:f>IF($A45="","",INDEX(Assumptions!$D$5:$D$12,MOD(ROW()-2,Assumptions!$B$7)+1))</x:f>
        <x:v>Hadley's Hope</x:v>
      </x:c>
      <x:c r="C45" s="11" t="n">
        <x:f>IF($A45="","",INDEX(Assumptions!$F$5:$F$12,MATCH($B45,Assumptions!$D$5:$D$12,0)))</x:f>
        <x:v>845</x:v>
      </x:c>
      <x:c r="D45" s="11" t="n">
        <x:f>IF($A45="","",INDEX(Assumptions!$G$5:$G$12,MATCH($B45,Assumptions!$D$5:$D$12,0)))</x:f>
        <x:v>80</x:v>
      </x:c>
      <x:c r="E45" s="11" t="n">
        <x:f>IF($A45="","",INDEX(Assumptions!$M$5:$M$11,WEEKDAY($A45,2)))</x:f>
        <x:v>0.98</x:v>
      </x:c>
      <x:c r="F45" s="11" t="n">
        <x:f>IF($A45="","",Assumptions!$B$15)</x:f>
        <x:v>0.35</x:v>
      </x:c>
      <x:c r="G45" s="11" t="n">
        <x:f>IF($A45="","",MAX(INDEX(Assumptions!$H$5:$H$12,MATCH($B45,Assumptions!$D$5:$D$12,0)),MIN(INDEX(Assumptions!$I$5:$I$12,MATCH($B45,Assumptions!$D$5:$D$12,0)),($C45+$D45*SQRT(-2*LN(RAND()))*COS(2*PI()*RAND()))*$E45*$J45*$K45)))</x:f>
        <x:v>747.9537792181851</x:v>
      </x:c>
      <x:c r="H45" s="11" t="n">
        <x:f>IF($A45="","",$G45*$F45+$C45*(1-$F45))</x:f>
        <x:v>811.0338227263647</x:v>
      </x:c>
      <x:c r="I45" s="11" t="n">
        <x:f>IF($A45="","",AVERAGE($H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845.8169439534131</x:v>
      </x:c>
      <x:c r="J45" s="12" t="n">
        <x:f>IF($A45="","",1+SUMIFS(Assumptions!$S$5:$S$10,Assumptions!$P$5:$P$10,$B45,Assumptions!$Q$5:$Q$10,"&lt;="&amp;$A45,Assumptions!$R$5:$R$10,"&gt;="&amp;$A45))</x:f>
        <x:v>1</x:v>
      </x:c>
      <x:c r="K45" s="12" t="n">
        <x:f>IF($A45="","",1+((($A45-Assumptions!$B$5)/30)*INDEX(Assumptions!$J$5:$J$12,MATCH($B45,Assumptions!$D$5:$D$12,0))))</x:f>
        <x:v>1.0002666666666666</x:v>
      </x:c>
      <x:c r="L45" t="str">
        <x:f>IF($A45="","",IFERROR(INDEX(Assumptions!$O$5:$O$10,MATCH(1,(Assumptions!$P$5:$P$10=$B45)*(Assumptions!$Q$5:$Q$10&lt;=$A45)*(Assumptions!$R$5:$R$10&gt;=$A45),0)),""))</x:f>
      </x:c>
      <x:c r="M45" t="n">
        <x:f>--($A45&lt;&gt;"")</x:f>
        <x:v>1</x:v>
      </x:c>
    </x:row>
    <x:row r="46">
      <x:c r="A46" s="10" t="n">
        <x:f>IF(Assumptions!$B$5+INT((ROW()-2)/Assumptions!$B$7)&gt;Assumptions!$B$6,"",Assumptions!$B$5+INT((ROW()-2)/Assumptions!$B$7))</x:f>
        <x:v>46031</x:v>
      </x:c>
      <x:c r="B46" t="str">
        <x:f>IF($A46="","",INDEX(Assumptions!$D$5:$D$12,MOD(ROW()-2,Assumptions!$B$7)+1))</x:f>
        <x:v>Yutani Ridge</x:v>
      </x:c>
      <x:c r="C46" s="11" t="n">
        <x:f>IF($A46="","",INDEX(Assumptions!$F$5:$F$12,MATCH($B46,Assumptions!$D$5:$D$12,0)))</x:f>
        <x:v>1050</x:v>
      </x:c>
      <x:c r="D46" s="11" t="n">
        <x:f>IF($A46="","",INDEX(Assumptions!$G$5:$G$12,MATCH($B46,Assumptions!$D$5:$D$12,0)))</x:f>
        <x:v>125</x:v>
      </x:c>
      <x:c r="E46" s="11" t="n">
        <x:f>IF($A46="","",INDEX(Assumptions!$M$5:$M$11,WEEKDAY($A46,2)))</x:f>
        <x:v>0.98</x:v>
      </x:c>
      <x:c r="F46" s="11" t="n">
        <x:f>IF($A46="","",Assumptions!$B$15)</x:f>
        <x:v>0.35</x:v>
      </x:c>
      <x:c r="G46" s="11" t="n">
        <x:f>IF($A46="","",MAX(INDEX(Assumptions!$H$5:$H$12,MATCH($B46,Assumptions!$D$5:$D$12,0)),MIN(INDEX(Assumptions!$I$5:$I$12,MATCH($B46,Assumptions!$D$5:$D$12,0)),($C46+$D46*SQRT(-2*LN(RAND()))*COS(2*PI()*RAND()))*$E46*$J46*$K46)))</x:f>
        <x:v>880.3981505892432</x:v>
      </x:c>
      <x:c r="H46" s="11" t="n">
        <x:f>IF($A46="","",$G46*$F46+$C46*(1-$F46))</x:f>
        <x:v>990.6393527062351</x:v>
      </x:c>
      <x:c r="I46" s="11" t="n">
        <x:f>IF($A46="","",AVERAGE($H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1040.6123779425932</x:v>
      </x:c>
      <x:c r="J46" s="12" t="n">
        <x:f>IF($A46="","",1+SUMIFS(Assumptions!$S$5:$S$10,Assumptions!$P$5:$P$10,$B46,Assumptions!$Q$5:$Q$10,"&lt;="&amp;$A46,Assumptions!$R$5:$R$10,"&gt;="&amp;$A46))</x:f>
        <x:v>1</x:v>
      </x:c>
      <x:c r="K46" s="12" t="n">
        <x:f>IF($A46="","",1+((($A46-Assumptions!$B$5)/30)*INDEX(Assumptions!$J$5:$J$12,MATCH($B46,Assumptions!$D$5:$D$12,0))))</x:f>
        <x:v>1.0006666666666666</x:v>
      </x:c>
      <x:c r="L46" t="str">
        <x:f>IF($A46="","",IFERROR(INDEX(Assumptions!$O$5:$O$10,MATCH(1,(Assumptions!$P$5:$P$10=$B46)*(Assumptions!$Q$5:$Q$10&lt;=$A46)*(Assumptions!$R$5:$R$10&gt;=$A46),0)),""))</x:f>
      </x:c>
      <x:c r="M46" t="n">
        <x:f>--($A46&lt;&gt;"")</x:f>
        <x:v>1</x:v>
      </x:c>
    </x:row>
    <x:row r="47">
      <x:c r="A47" s="10" t="n">
        <x:f>IF(Assumptions!$B$5+INT((ROW()-2)/Assumptions!$B$7)&gt;Assumptions!$B$6,"",Assumptions!$B$5+INT((ROW()-2)/Assumptions!$B$7))</x:f>
        <x:v>46032</x:v>
      </x:c>
      <x:c r="B47" t="str">
        <x:f>IF($A47="","",INDEX(Assumptions!$D$5:$D$12,MOD(ROW()-2,Assumptions!$B$7)+1))</x:f>
        <x:v>Acheron Prime</x:v>
      </x:c>
      <x:c r="C47" s="11" t="n">
        <x:f>IF($A47="","",INDEX(Assumptions!$F$5:$F$12,MATCH($B47,Assumptions!$D$5:$D$12,0)))</x:f>
        <x:v>1120</x:v>
      </x:c>
      <x:c r="D47" s="11" t="n">
        <x:f>IF($A47="","",INDEX(Assumptions!$G$5:$G$12,MATCH($B47,Assumptions!$D$5:$D$12,0)))</x:f>
        <x:v>115</x:v>
      </x:c>
      <x:c r="E47" s="11" t="n">
        <x:f>IF($A47="","",INDEX(Assumptions!$M$5:$M$11,WEEKDAY($A47,2)))</x:f>
        <x:v>0.91</x:v>
      </x:c>
      <x:c r="F47" s="11" t="n">
        <x:f>IF($A47="","",Assumptions!$B$15)</x:f>
        <x:v>0.35</x:v>
      </x:c>
      <x:c r="G47" s="11" t="n">
        <x:f>IF($A47="","",MAX(INDEX(Assumptions!$H$5:$H$12,MATCH($B47,Assumptions!$D$5:$D$12,0)),MIN(INDEX(Assumptions!$I$5:$I$12,MATCH($B47,Assumptions!$D$5:$D$12,0)),($C47+$D47*SQRT(-2*LN(RAND()))*COS(2*PI()*RAND()))*$E47*$J47*$K47)))</x:f>
        <x:v>909.150584952226</x:v>
      </x:c>
      <x:c r="H47" s="11" t="n">
        <x:f>IF($A47="","",$G47*$F47+$C47*(1-$F47))</x:f>
        <x:v>1046.202704733279</x:v>
      </x:c>
      <x:c r="I47" s="11" t="n">
        <x:f>IF($A47="","",AVERAGE($H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1081.1048717132605</x:v>
      </x:c>
      <x:c r="J47" s="12" t="n">
        <x:f>IF($A47="","",1+SUMIFS(Assumptions!$S$5:$S$10,Assumptions!$P$5:$P$10,$B47,Assumptions!$Q$5:$Q$10,"&lt;="&amp;$A47,Assumptions!$R$5:$R$10,"&gt;="&amp;$A47))</x:f>
        <x:v>1</x:v>
      </x:c>
      <x:c r="K47" s="12" t="n">
        <x:f>IF($A47="","",1+((($A47-Assumptions!$B$5)/30)*INDEX(Assumptions!$J$5:$J$12,MATCH($B47,Assumptions!$D$5:$D$12,0))))</x:f>
        <x:v>1.0006</x:v>
      </x:c>
      <x:c r="L47" t="str">
        <x:f>IF($A47="","",IFERROR(INDEX(Assumptions!$O$5:$O$10,MATCH(1,(Assumptions!$P$5:$P$10=$B47)*(Assumptions!$Q$5:$Q$10&lt;=$A47)*(Assumptions!$R$5:$R$10&gt;=$A47),0)),""))</x:f>
      </x:c>
      <x:c r="M47" t="n">
        <x:f>--($A47&lt;&gt;"")</x:f>
        <x:v>1</x:v>
      </x:c>
    </x:row>
    <x:row r="48">
      <x:c r="A48" s="10" t="n">
        <x:f>IF(Assumptions!$B$5+INT((ROW()-2)/Assumptions!$B$7)&gt;Assumptions!$B$6,"",Assumptions!$B$5+INT((ROW()-2)/Assumptions!$B$7))</x:f>
        <x:v>46032</x:v>
      </x:c>
      <x:c r="B48" t="str">
        <x:f>IF($A48="","",INDEX(Assumptions!$D$5:$D$12,MOD(ROW()-2,Assumptions!$B$7)+1))</x:f>
        <x:v>LV-426 North</x:v>
      </x:c>
      <x:c r="C48" s="11" t="n">
        <x:f>IF($A48="","",INDEX(Assumptions!$F$5:$F$12,MATCH($B48,Assumptions!$D$5:$D$12,0)))</x:f>
        <x:v>930</x:v>
      </x:c>
      <x:c r="D48" s="11" t="n">
        <x:f>IF($A48="","",INDEX(Assumptions!$G$5:$G$12,MATCH($B48,Assumptions!$D$5:$D$12,0)))</x:f>
        <x:v>95</x:v>
      </x:c>
      <x:c r="E48" s="11" t="n">
        <x:f>IF($A48="","",INDEX(Assumptions!$M$5:$M$11,WEEKDAY($A48,2)))</x:f>
        <x:v>0.91</x:v>
      </x:c>
      <x:c r="F48" s="11" t="n">
        <x:f>IF($A48="","",Assumptions!$B$15)</x:f>
        <x:v>0.35</x:v>
      </x:c>
      <x:c r="G48" s="11" t="n">
        <x:f>IF($A48="","",MAX(INDEX(Assumptions!$H$5:$H$12,MATCH($B48,Assumptions!$D$5:$D$12,0)),MIN(INDEX(Assumptions!$I$5:$I$12,MATCH($B48,Assumptions!$D$5:$D$12,0)),($C48+$D48*SQRT(-2*LN(RAND()))*COS(2*PI()*RAND()))*$E48*$J48*$K48)))</x:f>
        <x:v>791.1387351246935</x:v>
      </x:c>
      <x:c r="H48" s="11" t="n">
        <x:f>IF($A48="","",$G48*$F48+$C48*(1-$F48))</x:f>
        <x:v>881.3985572936427</x:v>
      </x:c>
      <x:c r="I48" s="11" t="n">
        <x:f>IF($A48="","",AVERAGE($H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921.4031370818628</x:v>
      </x:c>
      <x:c r="J48" s="12" t="n">
        <x:f>IF($A48="","",1+SUMIFS(Assumptions!$S$5:$S$10,Assumptions!$P$5:$P$10,$B48,Assumptions!$Q$5:$Q$10,"&lt;="&amp;$A48,Assumptions!$R$5:$R$10,"&gt;="&amp;$A48))</x:f>
        <x:v>1</x:v>
      </x:c>
      <x:c r="K48" s="12" t="n">
        <x:f>IF($A48="","",1+((($A48-Assumptions!$B$5)/30)*INDEX(Assumptions!$J$5:$J$12,MATCH($B48,Assumptions!$D$5:$D$12,0))))</x:f>
        <x:v>0.9997</x:v>
      </x:c>
      <x:c r="L48" t="str">
        <x:f>IF($A48="","",IFERROR(INDEX(Assumptions!$O$5:$O$10,MATCH(1,(Assumptions!$P$5:$P$10=$B48)*(Assumptions!$Q$5:$Q$10&lt;=$A48)*(Assumptions!$R$5:$R$10&gt;=$A48),0)),""))</x:f>
      </x:c>
      <x:c r="M48" t="n">
        <x:f>--($A48&lt;&gt;"")</x:f>
        <x:v>1</x:v>
      </x:c>
    </x:row>
    <x:row r="49">
      <x:c r="A49" s="10" t="n">
        <x:f>IF(Assumptions!$B$5+INT((ROW()-2)/Assumptions!$B$7)&gt;Assumptions!$B$6,"",Assumptions!$B$5+INT((ROW()-2)/Assumptions!$B$7))</x:f>
        <x:v>46032</x:v>
      </x:c>
      <x:c r="B49" t="str">
        <x:f>IF($A49="","",INDEX(Assumptions!$D$5:$D$12,MOD(ROW()-2,Assumptions!$B$7)+1))</x:f>
        <x:v>Nostromo Deep</x:v>
      </x:c>
      <x:c r="C49" s="11" t="n">
        <x:f>IF($A49="","",INDEX(Assumptions!$F$5:$F$12,MATCH($B49,Assumptions!$D$5:$D$12,0)))</x:f>
        <x:v>1260</x:v>
      </x:c>
      <x:c r="D49" s="11" t="n">
        <x:f>IF($A49="","",INDEX(Assumptions!$G$5:$G$12,MATCH($B49,Assumptions!$D$5:$D$12,0)))</x:f>
        <x:v>145</x:v>
      </x:c>
      <x:c r="E49" s="11" t="n">
        <x:f>IF($A49="","",INDEX(Assumptions!$M$5:$M$11,WEEKDAY($A49,2)))</x:f>
        <x:v>0.91</x:v>
      </x:c>
      <x:c r="F49" s="11" t="n">
        <x:f>IF($A49="","",Assumptions!$B$15)</x:f>
        <x:v>0.35</x:v>
      </x:c>
      <x:c r="G49" s="11" t="n">
        <x:f>IF($A49="","",MAX(INDEX(Assumptions!$H$5:$H$12,MATCH($B49,Assumptions!$D$5:$D$12,0)),MIN(INDEX(Assumptions!$I$5:$I$12,MATCH($B49,Assumptions!$D$5:$D$12,0)),($C49+$D49*SQRT(-2*LN(RAND()))*COS(2*PI()*RAND()))*$E49*$J49*$K49)))</x:f>
        <x:v>1418.7516051404025</x:v>
      </x:c>
      <x:c r="H49" s="11" t="n">
        <x:f>IF($A49="","",$G49*$F49+$C49*(1-$F49))</x:f>
        <x:v>1315.5630617991408</x:v>
      </x:c>
      <x:c r="I49" s="11" t="n">
        <x:f>IF($A49="","",AVERAGE($H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1241.0740679347734</x:v>
      </x:c>
      <x:c r="J49" s="12" t="n">
        <x:f>IF($A49="","",1+SUMIFS(Assumptions!$S$5:$S$10,Assumptions!$P$5:$P$10,$B49,Assumptions!$Q$5:$Q$10,"&lt;="&amp;$A49,Assumptions!$R$5:$R$10,"&gt;="&amp;$A49))</x:f>
        <x:v>1</x:v>
      </x:c>
      <x:c r="K49" s="12" t="n">
        <x:f>IF($A49="","",1+((($A49-Assumptions!$B$5)/30)*INDEX(Assumptions!$J$5:$J$12,MATCH($B49,Assumptions!$D$5:$D$12,0))))</x:f>
        <x:v>1.0009</x:v>
      </x:c>
      <x:c r="L49" t="str">
        <x:f>IF($A49="","",IFERROR(INDEX(Assumptions!$O$5:$O$10,MATCH(1,(Assumptions!$P$5:$P$10=$B49)*(Assumptions!$Q$5:$Q$10&lt;=$A49)*(Assumptions!$R$5:$R$10&gt;=$A49),0)),""))</x:f>
      </x:c>
      <x:c r="M49" t="n">
        <x:f>--($A49&lt;&gt;"")</x:f>
        <x:v>1</x:v>
      </x:c>
    </x:row>
    <x:row r="50">
      <x:c r="A50" s="10" t="n">
        <x:f>IF(Assumptions!$B$5+INT((ROW()-2)/Assumptions!$B$7)&gt;Assumptions!$B$6,"",Assumptions!$B$5+INT((ROW()-2)/Assumptions!$B$7))</x:f>
        <x:v>46032</x:v>
      </x:c>
      <x:c r="B50" t="str">
        <x:f>IF($A50="","",INDEX(Assumptions!$D$5:$D$12,MOD(ROW()-2,Assumptions!$B$7)+1))</x:f>
        <x:v>Hadley's Hope</x:v>
      </x:c>
      <x:c r="C50" s="11" t="n">
        <x:f>IF($A50="","",INDEX(Assumptions!$F$5:$F$12,MATCH($B50,Assumptions!$D$5:$D$12,0)))</x:f>
        <x:v>845</x:v>
      </x:c>
      <x:c r="D50" s="11" t="n">
        <x:f>IF($A50="","",INDEX(Assumptions!$G$5:$G$12,MATCH($B50,Assumptions!$D$5:$D$12,0)))</x:f>
        <x:v>80</x:v>
      </x:c>
      <x:c r="E50" s="11" t="n">
        <x:f>IF($A50="","",INDEX(Assumptions!$M$5:$M$11,WEEKDAY($A50,2)))</x:f>
        <x:v>0.91</x:v>
      </x:c>
      <x:c r="F50" s="11" t="n">
        <x:f>IF($A50="","",Assumptions!$B$15)</x:f>
        <x:v>0.35</x:v>
      </x:c>
      <x:c r="G50" s="11" t="n">
        <x:f>IF($A50="","",MAX(INDEX(Assumptions!$H$5:$H$12,MATCH($B50,Assumptions!$D$5:$D$12,0)),MIN(INDEX(Assumptions!$I$5:$I$12,MATCH($B50,Assumptions!$D$5:$D$12,0)),($C50+$D50*SQRT(-2*LN(RAND()))*COS(2*PI()*RAND()))*$E50*$J50*$K50)))</x:f>
        <x:v>823.2688425656335</x:v>
      </x:c>
      <x:c r="H50" s="11" t="n">
        <x:f>IF($A50="","",$G50*$F50+$C50*(1-$F50))</x:f>
        <x:v>837.3940948979716</x:v>
      </x:c>
      <x:c r="I50" s="11" t="n">
        <x:f>IF($A50="","",AVERAGE($H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844.4276442967104</x:v>
      </x:c>
      <x:c r="J50" s="12" t="n">
        <x:f>IF($A50="","",1+SUMIFS(Assumptions!$S$5:$S$10,Assumptions!$P$5:$P$10,$B50,Assumptions!$Q$5:$Q$10,"&lt;="&amp;$A50,Assumptions!$R$5:$R$10,"&gt;="&amp;$A50))</x:f>
        <x:v>1</x:v>
      </x:c>
      <x:c r="K50" s="12" t="n">
        <x:f>IF($A50="","",1+((($A50-Assumptions!$B$5)/30)*INDEX(Assumptions!$J$5:$J$12,MATCH($B50,Assumptions!$D$5:$D$12,0))))</x:f>
        <x:v>1.0003</x:v>
      </x:c>
      <x:c r="L50" t="str">
        <x:f>IF($A50="","",IFERROR(INDEX(Assumptions!$O$5:$O$10,MATCH(1,(Assumptions!$P$5:$P$10=$B50)*(Assumptions!$Q$5:$Q$10&lt;=$A50)*(Assumptions!$R$5:$R$10&gt;=$A50),0)),""))</x:f>
      </x:c>
      <x:c r="M50" t="n">
        <x:f>--($A50&lt;&gt;"")</x:f>
        <x:v>1</x:v>
      </x:c>
    </x:row>
    <x:row r="51">
      <x:c r="A51" s="10" t="n">
        <x:f>IF(Assumptions!$B$5+INT((ROW()-2)/Assumptions!$B$7)&gt;Assumptions!$B$6,"",Assumptions!$B$5+INT((ROW()-2)/Assumptions!$B$7))</x:f>
        <x:v>46032</x:v>
      </x:c>
      <x:c r="B51" t="str">
        <x:f>IF($A51="","",INDEX(Assumptions!$D$5:$D$12,MOD(ROW()-2,Assumptions!$B$7)+1))</x:f>
        <x:v>Yutani Ridge</x:v>
      </x:c>
      <x:c r="C51" s="11" t="n">
        <x:f>IF($A51="","",INDEX(Assumptions!$F$5:$F$12,MATCH($B51,Assumptions!$D$5:$D$12,0)))</x:f>
        <x:v>1050</x:v>
      </x:c>
      <x:c r="D51" s="11" t="n">
        <x:f>IF($A51="","",INDEX(Assumptions!$G$5:$G$12,MATCH($B51,Assumptions!$D$5:$D$12,0)))</x:f>
        <x:v>125</x:v>
      </x:c>
      <x:c r="E51" s="11" t="n">
        <x:f>IF($A51="","",INDEX(Assumptions!$M$5:$M$11,WEEKDAY($A51,2)))</x:f>
        <x:v>0.91</x:v>
      </x:c>
      <x:c r="F51" s="11" t="n">
        <x:f>IF($A51="","",Assumptions!$B$15)</x:f>
        <x:v>0.35</x:v>
      </x:c>
      <x:c r="G51" s="11" t="n">
        <x:f>IF($A51="","",MAX(INDEX(Assumptions!$H$5:$H$12,MATCH($B51,Assumptions!$D$5:$D$12,0)),MIN(INDEX(Assumptions!$I$5:$I$12,MATCH($B51,Assumptions!$D$5:$D$12,0)),($C51+$D51*SQRT(-2*LN(RAND()))*COS(2*PI()*RAND()))*$E51*$J51*$K51)))</x:f>
        <x:v>927.8839599239586</x:v>
      </x:c>
      <x:c r="H51" s="11" t="n">
        <x:f>IF($A51="","",$G51*$F51+$C51*(1-$F51))</x:f>
        <x:v>1007.2593859733855</x:v>
      </x:c>
      <x:c r="I51" s="11" t="n">
        <x:f>IF($A51="","",AVERAGE($H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1037.7324145834025</x:v>
      </x:c>
      <x:c r="J51" s="12" t="n">
        <x:f>IF($A51="","",1+SUMIFS(Assumptions!$S$5:$S$10,Assumptions!$P$5:$P$10,$B51,Assumptions!$Q$5:$Q$10,"&lt;="&amp;$A51,Assumptions!$R$5:$R$10,"&gt;="&amp;$A51))</x:f>
        <x:v>1</x:v>
      </x:c>
      <x:c r="K51" s="12" t="n">
        <x:f>IF($A51="","",1+((($A51-Assumptions!$B$5)/30)*INDEX(Assumptions!$J$5:$J$12,MATCH($B51,Assumptions!$D$5:$D$12,0))))</x:f>
        <x:v>1.00075</x:v>
      </x:c>
      <x:c r="L51" t="str">
        <x:f>IF($A51="","",IFERROR(INDEX(Assumptions!$O$5:$O$10,MATCH(1,(Assumptions!$P$5:$P$10=$B51)*(Assumptions!$Q$5:$Q$10&lt;=$A51)*(Assumptions!$R$5:$R$10&gt;=$A51),0)),""))</x:f>
      </x:c>
      <x:c r="M51" t="n">
        <x:f>--($A51&lt;&gt;"")</x:f>
        <x:v>1</x:v>
      </x:c>
    </x:row>
    <x:row r="52">
      <x:c r="A52" s="10" t="n">
        <x:f>IF(Assumptions!$B$5+INT((ROW()-2)/Assumptions!$B$7)&gt;Assumptions!$B$6,"",Assumptions!$B$5+INT((ROW()-2)/Assumptions!$B$7))</x:f>
        <x:v>46033</x:v>
      </x:c>
      <x:c r="B52" t="str">
        <x:f>IF($A52="","",INDEX(Assumptions!$D$5:$D$12,MOD(ROW()-2,Assumptions!$B$7)+1))</x:f>
        <x:v>Acheron Prime</x:v>
      </x:c>
      <x:c r="C52" s="11" t="n">
        <x:f>IF($A52="","",INDEX(Assumptions!$F$5:$F$12,MATCH($B52,Assumptions!$D$5:$D$12,0)))</x:f>
        <x:v>1120</x:v>
      </x:c>
      <x:c r="D52" s="11" t="n">
        <x:f>IF($A52="","",INDEX(Assumptions!$G$5:$G$12,MATCH($B52,Assumptions!$D$5:$D$12,0)))</x:f>
        <x:v>115</x:v>
      </x:c>
      <x:c r="E52" s="11" t="n">
        <x:f>IF($A52="","",INDEX(Assumptions!$M$5:$M$11,WEEKDAY($A52,2)))</x:f>
        <x:v>0.87</x:v>
      </x:c>
      <x:c r="F52" s="11" t="n">
        <x:f>IF($A52="","",Assumptions!$B$15)</x:f>
        <x:v>0.35</x:v>
      </x:c>
      <x:c r="G52" s="11" t="n">
        <x:f>IF($A52="","",MAX(INDEX(Assumptions!$H$5:$H$12,MATCH($B52,Assumptions!$D$5:$D$12,0)),MIN(INDEX(Assumptions!$I$5:$I$12,MATCH($B52,Assumptions!$D$5:$D$12,0)),($C52+$D52*SQRT(-2*LN(RAND()))*COS(2*PI()*RAND()))*$E52*$J52*$K52)))</x:f>
        <x:v>983.3956122062237</x:v>
      </x:c>
      <x:c r="H52" s="11" t="n">
        <x:f>IF($A52="","",$G52*$F52+$C52*(1-$F52))</x:f>
        <x:v>1072.1884642721784</x:v>
      </x:c>
      <x:c r="I52" s="11" t="n">
        <x:f>IF($A52="","",AVERAGE($H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1087.8645786662132</x:v>
      </x:c>
      <x:c r="J52" s="12" t="n">
        <x:f>IF($A52="","",1+SUMIFS(Assumptions!$S$5:$S$10,Assumptions!$P$5:$P$10,$B52,Assumptions!$Q$5:$Q$10,"&lt;="&amp;$A52,Assumptions!$R$5:$R$10,"&gt;="&amp;$A52))</x:f>
        <x:v>1</x:v>
      </x:c>
      <x:c r="K52" s="12" t="n">
        <x:f>IF($A52="","",1+((($A52-Assumptions!$B$5)/30)*INDEX(Assumptions!$J$5:$J$12,MATCH($B52,Assumptions!$D$5:$D$12,0))))</x:f>
        <x:v>1.0006666666666666</x:v>
      </x:c>
      <x:c r="L52" t="str">
        <x:f>IF($A52="","",IFERROR(INDEX(Assumptions!$O$5:$O$10,MATCH(1,(Assumptions!$P$5:$P$10=$B52)*(Assumptions!$Q$5:$Q$10&lt;=$A52)*(Assumptions!$R$5:$R$10&gt;=$A52),0)),""))</x:f>
      </x:c>
      <x:c r="M52" t="n">
        <x:f>--($A52&lt;&gt;"")</x:f>
        <x:v>1</x:v>
      </x:c>
    </x:row>
    <x:row r="53">
      <x:c r="A53" s="10" t="n">
        <x:f>IF(Assumptions!$B$5+INT((ROW()-2)/Assumptions!$B$7)&gt;Assumptions!$B$6,"",Assumptions!$B$5+INT((ROW()-2)/Assumptions!$B$7))</x:f>
        <x:v>46033</x:v>
      </x:c>
      <x:c r="B53" t="str">
        <x:f>IF($A53="","",INDEX(Assumptions!$D$5:$D$12,MOD(ROW()-2,Assumptions!$B$7)+1))</x:f>
        <x:v>LV-426 North</x:v>
      </x:c>
      <x:c r="C53" s="11" t="n">
        <x:f>IF($A53="","",INDEX(Assumptions!$F$5:$F$12,MATCH($B53,Assumptions!$D$5:$D$12,0)))</x:f>
        <x:v>930</x:v>
      </x:c>
      <x:c r="D53" s="11" t="n">
        <x:f>IF($A53="","",INDEX(Assumptions!$G$5:$G$12,MATCH($B53,Assumptions!$D$5:$D$12,0)))</x:f>
        <x:v>95</x:v>
      </x:c>
      <x:c r="E53" s="11" t="n">
        <x:f>IF($A53="","",INDEX(Assumptions!$M$5:$M$11,WEEKDAY($A53,2)))</x:f>
        <x:v>0.87</x:v>
      </x:c>
      <x:c r="F53" s="11" t="n">
        <x:f>IF($A53="","",Assumptions!$B$15)</x:f>
        <x:v>0.35</x:v>
      </x:c>
      <x:c r="G53" s="11" t="n">
        <x:f>IF($A53="","",MAX(INDEX(Assumptions!$H$5:$H$12,MATCH($B53,Assumptions!$D$5:$D$12,0)),MIN(INDEX(Assumptions!$I$5:$I$12,MATCH($B53,Assumptions!$D$5:$D$12,0)),($C53+$D53*SQRT(-2*LN(RAND()))*COS(2*PI()*RAND()))*$E53*$J53*$K53)))</x:f>
        <x:v>620</x:v>
      </x:c>
      <x:c r="H53" s="11" t="n">
        <x:f>IF($A53="","",$G53*$F53+$C53*(1-$F53))</x:f>
        <x:v>821.5</x:v>
      </x:c>
      <x:c r="I53" s="11" t="n">
        <x:f>IF($A53="","",AVERAGE($H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913.8390882152216</x:v>
      </x:c>
      <x:c r="J53" s="12" t="n">
        <x:f>IF($A53="","",1+SUMIFS(Assumptions!$S$5:$S$10,Assumptions!$P$5:$P$10,$B53,Assumptions!$Q$5:$Q$10,"&lt;="&amp;$A53,Assumptions!$R$5:$R$10,"&gt;="&amp;$A53))</x:f>
        <x:v>1</x:v>
      </x:c>
      <x:c r="K53" s="12" t="n">
        <x:f>IF($A53="","",1+((($A53-Assumptions!$B$5)/30)*INDEX(Assumptions!$J$5:$J$12,MATCH($B53,Assumptions!$D$5:$D$12,0))))</x:f>
        <x:v>0.9996666666666667</x:v>
      </x:c>
      <x:c r="L53" t="str">
        <x:f>IF($A53="","",IFERROR(INDEX(Assumptions!$O$5:$O$10,MATCH(1,(Assumptions!$P$5:$P$10=$B53)*(Assumptions!$Q$5:$Q$10&lt;=$A53)*(Assumptions!$R$5:$R$10&gt;=$A53),0)),""))</x:f>
      </x:c>
      <x:c r="M53" t="n">
        <x:f>--($A53&lt;&gt;"")</x:f>
        <x:v>1</x:v>
      </x:c>
    </x:row>
    <x:row r="54">
      <x:c r="A54" s="10" t="n">
        <x:f>IF(Assumptions!$B$5+INT((ROW()-2)/Assumptions!$B$7)&gt;Assumptions!$B$6,"",Assumptions!$B$5+INT((ROW()-2)/Assumptions!$B$7))</x:f>
        <x:v>46033</x:v>
      </x:c>
      <x:c r="B54" t="str">
        <x:f>IF($A54="","",INDEX(Assumptions!$D$5:$D$12,MOD(ROW()-2,Assumptions!$B$7)+1))</x:f>
        <x:v>Nostromo Deep</x:v>
      </x:c>
      <x:c r="C54" s="11" t="n">
        <x:f>IF($A54="","",INDEX(Assumptions!$F$5:$F$12,MATCH($B54,Assumptions!$D$5:$D$12,0)))</x:f>
        <x:v>1260</x:v>
      </x:c>
      <x:c r="D54" s="11" t="n">
        <x:f>IF($A54="","",INDEX(Assumptions!$G$5:$G$12,MATCH($B54,Assumptions!$D$5:$D$12,0)))</x:f>
        <x:v>145</x:v>
      </x:c>
      <x:c r="E54" s="11" t="n">
        <x:f>IF($A54="","",INDEX(Assumptions!$M$5:$M$11,WEEKDAY($A54,2)))</x:f>
        <x:v>0.87</x:v>
      </x:c>
      <x:c r="F54" s="11" t="n">
        <x:f>IF($A54="","",Assumptions!$B$15)</x:f>
        <x:v>0.35</x:v>
      </x:c>
      <x:c r="G54" s="11" t="n">
        <x:f>IF($A54="","",MAX(INDEX(Assumptions!$H$5:$H$12,MATCH($B54,Assumptions!$D$5:$D$12,0)),MIN(INDEX(Assumptions!$I$5:$I$12,MATCH($B54,Assumptions!$D$5:$D$12,0)),($C54+$D54*SQRT(-2*LN(RAND()))*COS(2*PI()*RAND()))*$E54*$J54*$K54)))</x:f>
        <x:v>1013.5346177297781</x:v>
      </x:c>
      <x:c r="H54" s="11" t="n">
        <x:f>IF($A54="","",$G54*$F54+$C54*(1-$F54))</x:f>
        <x:v>1173.7371162054224</x:v>
      </x:c>
      <x:c r="I54" s="11" t="n">
        <x:f>IF($A54="","",AVERAGE($H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1237.4156550061296</x:v>
      </x:c>
      <x:c r="J54" s="12" t="n">
        <x:f>IF($A54="","",1+SUMIFS(Assumptions!$S$5:$S$10,Assumptions!$P$5:$P$10,$B54,Assumptions!$Q$5:$Q$10,"&lt;="&amp;$A54,Assumptions!$R$5:$R$10,"&gt;="&amp;$A54))</x:f>
        <x:v>1</x:v>
      </x:c>
      <x:c r="K54" s="12" t="n">
        <x:f>IF($A54="","",1+((($A54-Assumptions!$B$5)/30)*INDEX(Assumptions!$J$5:$J$12,MATCH($B54,Assumptions!$D$5:$D$12,0))))</x:f>
        <x:v>1.001</x:v>
      </x:c>
      <x:c r="L54" t="str">
        <x:f>IF($A54="","",IFERROR(INDEX(Assumptions!$O$5:$O$10,MATCH(1,(Assumptions!$P$5:$P$10=$B54)*(Assumptions!$Q$5:$Q$10&lt;=$A54)*(Assumptions!$R$5:$R$10&gt;=$A54),0)),""))</x:f>
      </x:c>
      <x:c r="M54" t="n">
        <x:f>--($A54&lt;&gt;"")</x:f>
        <x:v>1</x:v>
      </x:c>
    </x:row>
    <x:row r="55">
      <x:c r="A55" s="10" t="n">
        <x:f>IF(Assumptions!$B$5+INT((ROW()-2)/Assumptions!$B$7)&gt;Assumptions!$B$6,"",Assumptions!$B$5+INT((ROW()-2)/Assumptions!$B$7))</x:f>
        <x:v>46033</x:v>
      </x:c>
      <x:c r="B55" t="str">
        <x:f>IF($A55="","",INDEX(Assumptions!$D$5:$D$12,MOD(ROW()-2,Assumptions!$B$7)+1))</x:f>
        <x:v>Hadley's Hope</x:v>
      </x:c>
      <x:c r="C55" s="11" t="n">
        <x:f>IF($A55="","",INDEX(Assumptions!$F$5:$F$12,MATCH($B55,Assumptions!$D$5:$D$12,0)))</x:f>
        <x:v>845</x:v>
      </x:c>
      <x:c r="D55" s="11" t="n">
        <x:f>IF($A55="","",INDEX(Assumptions!$G$5:$G$12,MATCH($B55,Assumptions!$D$5:$D$12,0)))</x:f>
        <x:v>80</x:v>
      </x:c>
      <x:c r="E55" s="11" t="n">
        <x:f>IF($A55="","",INDEX(Assumptions!$M$5:$M$11,WEEKDAY($A55,2)))</x:f>
        <x:v>0.87</x:v>
      </x:c>
      <x:c r="F55" s="11" t="n">
        <x:f>IF($A55="","",Assumptions!$B$15)</x:f>
        <x:v>0.35</x:v>
      </x:c>
      <x:c r="G55" s="11" t="n">
        <x:f>IF($A55="","",MAX(INDEX(Assumptions!$H$5:$H$12,MATCH($B55,Assumptions!$D$5:$D$12,0)),MIN(INDEX(Assumptions!$I$5:$I$12,MATCH($B55,Assumptions!$D$5:$D$12,0)),($C55+$D55*SQRT(-2*LN(RAND()))*COS(2*PI()*RAND()))*$E55*$J55*$K55)))</x:f>
        <x:v>786.390198095389</x:v>
      </x:c>
      <x:c r="H55" s="11" t="n">
        <x:f>IF($A55="","",$G55*$F55+$C55*(1-$F55))</x:f>
        <x:v>824.4865693333861</x:v>
      </x:c>
      <x:c r="I55" s="11" t="n">
        <x:f>IF($A55="","",AVERAGE($H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842.9441430701079</x:v>
      </x:c>
      <x:c r="J55" s="12" t="n">
        <x:f>IF($A55="","",1+SUMIFS(Assumptions!$S$5:$S$10,Assumptions!$P$5:$P$10,$B55,Assumptions!$Q$5:$Q$10,"&lt;="&amp;$A55,Assumptions!$R$5:$R$10,"&gt;="&amp;$A55))</x:f>
        <x:v>1</x:v>
      </x:c>
      <x:c r="K55" s="12" t="n">
        <x:f>IF($A55="","",1+((($A55-Assumptions!$B$5)/30)*INDEX(Assumptions!$J$5:$J$12,MATCH($B55,Assumptions!$D$5:$D$12,0))))</x:f>
        <x:v>1.0003333333333333</x:v>
      </x:c>
      <x:c r="L55" t="str">
        <x:f>IF($A55="","",IFERROR(INDEX(Assumptions!$O$5:$O$10,MATCH(1,(Assumptions!$P$5:$P$10=$B55)*(Assumptions!$Q$5:$Q$10&lt;=$A55)*(Assumptions!$R$5:$R$10&gt;=$A55),0)),""))</x:f>
      </x:c>
      <x:c r="M55" t="n">
        <x:f>--($A55&lt;&gt;"")</x:f>
        <x:v>1</x:v>
      </x:c>
    </x:row>
    <x:row r="56">
      <x:c r="A56" s="10" t="n">
        <x:f>IF(Assumptions!$B$5+INT((ROW()-2)/Assumptions!$B$7)&gt;Assumptions!$B$6,"",Assumptions!$B$5+INT((ROW()-2)/Assumptions!$B$7))</x:f>
        <x:v>46033</x:v>
      </x:c>
      <x:c r="B56" t="str">
        <x:f>IF($A56="","",INDEX(Assumptions!$D$5:$D$12,MOD(ROW()-2,Assumptions!$B$7)+1))</x:f>
        <x:v>Yutani Ridge</x:v>
      </x:c>
      <x:c r="C56" s="11" t="n">
        <x:f>IF($A56="","",INDEX(Assumptions!$F$5:$F$12,MATCH($B56,Assumptions!$D$5:$D$12,0)))</x:f>
        <x:v>1050</x:v>
      </x:c>
      <x:c r="D56" s="11" t="n">
        <x:f>IF($A56="","",INDEX(Assumptions!$G$5:$G$12,MATCH($B56,Assumptions!$D$5:$D$12,0)))</x:f>
        <x:v>125</x:v>
      </x:c>
      <x:c r="E56" s="11" t="n">
        <x:f>IF($A56="","",INDEX(Assumptions!$M$5:$M$11,WEEKDAY($A56,2)))</x:f>
        <x:v>0.87</x:v>
      </x:c>
      <x:c r="F56" s="11" t="n">
        <x:f>IF($A56="","",Assumptions!$B$15)</x:f>
        <x:v>0.35</x:v>
      </x:c>
      <x:c r="G56" s="11" t="n">
        <x:f>IF($A56="","",MAX(INDEX(Assumptions!$H$5:$H$12,MATCH($B56,Assumptions!$D$5:$D$12,0)),MIN(INDEX(Assumptions!$I$5:$I$12,MATCH($B56,Assumptions!$D$5:$D$12,0)),($C56+$D56*SQRT(-2*LN(RAND()))*COS(2*PI()*RAND()))*$E56*$J56*$K56)))</x:f>
        <x:v>817.5995570345322</x:v>
      </x:c>
      <x:c r="H56" s="11" t="n">
        <x:f>IF($A56="","",$G56*$F56+$C56*(1-$F56))</x:f>
        <x:v>968.6598449620863</x:v>
      </x:c>
      <x:c r="I56" s="11" t="n">
        <x:f>IF($A56="","",AVERAGE($H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1031.0714467789517</x:v>
      </x:c>
      <x:c r="J56" s="12" t="n">
        <x:f>IF($A56="","",1+SUMIFS(Assumptions!$S$5:$S$10,Assumptions!$P$5:$P$10,$B56,Assumptions!$Q$5:$Q$10,"&lt;="&amp;$A56,Assumptions!$R$5:$R$10,"&gt;="&amp;$A56))</x:f>
        <x:v>1</x:v>
      </x:c>
      <x:c r="K56" s="12" t="n">
        <x:f>IF($A56="","",1+((($A56-Assumptions!$B$5)/30)*INDEX(Assumptions!$J$5:$J$12,MATCH($B56,Assumptions!$D$5:$D$12,0))))</x:f>
        <x:v>1.0008333333333332</x:v>
      </x:c>
      <x:c r="L56" t="str">
        <x:f>IF($A56="","",IFERROR(INDEX(Assumptions!$O$5:$O$10,MATCH(1,(Assumptions!$P$5:$P$10=$B56)*(Assumptions!$Q$5:$Q$10&lt;=$A56)*(Assumptions!$R$5:$R$10&gt;=$A56),0)),""))</x:f>
      </x:c>
      <x:c r="M56" t="n">
        <x:f>--($A56&lt;&gt;"")</x:f>
        <x:v>1</x:v>
      </x:c>
    </x:row>
    <x:row r="57">
      <x:c r="A57" s="10" t="n">
        <x:f>IF(Assumptions!$B$5+INT((ROW()-2)/Assumptions!$B$7)&gt;Assumptions!$B$6,"",Assumptions!$B$5+INT((ROW()-2)/Assumptions!$B$7))</x:f>
        <x:v>46034</x:v>
      </x:c>
      <x:c r="B57" t="str">
        <x:f>IF($A57="","",INDEX(Assumptions!$D$5:$D$12,MOD(ROW()-2,Assumptions!$B$7)+1))</x:f>
        <x:v>Acheron Prime</x:v>
      </x:c>
      <x:c r="C57" s="11" t="n">
        <x:f>IF($A57="","",INDEX(Assumptions!$F$5:$F$12,MATCH($B57,Assumptions!$D$5:$D$12,0)))</x:f>
        <x:v>1120</x:v>
      </x:c>
      <x:c r="D57" s="11" t="n">
        <x:f>IF($A57="","",INDEX(Assumptions!$G$5:$G$12,MATCH($B57,Assumptions!$D$5:$D$12,0)))</x:f>
        <x:v>115</x:v>
      </x:c>
      <x:c r="E57" s="11" t="n">
        <x:f>IF($A57="","",INDEX(Assumptions!$M$5:$M$11,WEEKDAY($A57,2)))</x:f>
        <x:v>1.03</x:v>
      </x:c>
      <x:c r="F57" s="11" t="n">
        <x:f>IF($A57="","",Assumptions!$B$15)</x:f>
        <x:v>0.35</x:v>
      </x:c>
      <x:c r="G57" s="11" t="n">
        <x:f>IF($A57="","",MAX(INDEX(Assumptions!$H$5:$H$12,MATCH($B57,Assumptions!$D$5:$D$12,0)),MIN(INDEX(Assumptions!$I$5:$I$12,MATCH($B57,Assumptions!$D$5:$D$12,0)),($C57+$D57*SQRT(-2*LN(RAND()))*COS(2*PI()*RAND()))*$E57*$J57*$K57)))</x:f>
        <x:v>1226.8239716422488</x:v>
      </x:c>
      <x:c r="H57" s="11" t="n">
        <x:f>IF($A57="","",$G57*$F57+$C57*(1-$F57))</x:f>
        <x:v>1157.3883900747871</x:v>
      </x:c>
      <x:c r="I57" s="11" t="n">
        <x:f>IF($A57="","",AVERAGE($H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1078.755193288703</x:v>
      </x:c>
      <x:c r="J57" s="12" t="n">
        <x:f>IF($A57="","",1+SUMIFS(Assumptions!$S$5:$S$10,Assumptions!$P$5:$P$10,$B57,Assumptions!$Q$5:$Q$10,"&lt;="&amp;$A57,Assumptions!$R$5:$R$10,"&gt;="&amp;$A57))</x:f>
        <x:v>1</x:v>
      </x:c>
      <x:c r="K57" s="12" t="n">
        <x:f>IF($A57="","",1+((($A57-Assumptions!$B$5)/30)*INDEX(Assumptions!$J$5:$J$12,MATCH($B57,Assumptions!$D$5:$D$12,0))))</x:f>
        <x:v>1.0007333333333333</x:v>
      </x:c>
      <x:c r="L57" t="str">
        <x:f>IF($A57="","",IFERROR(INDEX(Assumptions!$O$5:$O$10,MATCH(1,(Assumptions!$P$5:$P$10=$B57)*(Assumptions!$Q$5:$Q$10&lt;=$A57)*(Assumptions!$R$5:$R$10&gt;=$A57),0)),""))</x:f>
      </x:c>
      <x:c r="M57" t="n">
        <x:f>--($A57&lt;&gt;"")</x:f>
        <x:v>1</x:v>
      </x:c>
    </x:row>
    <x:row r="58">
      <x:c r="A58" s="10" t="n">
        <x:f>IF(Assumptions!$B$5+INT((ROW()-2)/Assumptions!$B$7)&gt;Assumptions!$B$6,"",Assumptions!$B$5+INT((ROW()-2)/Assumptions!$B$7))</x:f>
        <x:v>46034</x:v>
      </x:c>
      <x:c r="B58" t="str">
        <x:f>IF($A58="","",INDEX(Assumptions!$D$5:$D$12,MOD(ROW()-2,Assumptions!$B$7)+1))</x:f>
        <x:v>LV-426 North</x:v>
      </x:c>
      <x:c r="C58" s="11" t="n">
        <x:f>IF($A58="","",INDEX(Assumptions!$F$5:$F$12,MATCH($B58,Assumptions!$D$5:$D$12,0)))</x:f>
        <x:v>930</x:v>
      </x:c>
      <x:c r="D58" s="11" t="n">
        <x:f>IF($A58="","",INDEX(Assumptions!$G$5:$G$12,MATCH($B58,Assumptions!$D$5:$D$12,0)))</x:f>
        <x:v>95</x:v>
      </x:c>
      <x:c r="E58" s="11" t="n">
        <x:f>IF($A58="","",INDEX(Assumptions!$M$5:$M$11,WEEKDAY($A58,2)))</x:f>
        <x:v>1.03</x:v>
      </x:c>
      <x:c r="F58" s="11" t="n">
        <x:f>IF($A58="","",Assumptions!$B$15)</x:f>
        <x:v>0.35</x:v>
      </x:c>
      <x:c r="G58" s="11" t="n">
        <x:f>IF($A58="","",MAX(INDEX(Assumptions!$H$5:$H$12,MATCH($B58,Assumptions!$D$5:$D$12,0)),MIN(INDEX(Assumptions!$I$5:$I$12,MATCH($B58,Assumptions!$D$5:$D$12,0)),($C58+$D58*SQRT(-2*LN(RAND()))*COS(2*PI()*RAND()))*$E58*$J58*$K58)))</x:f>
        <x:v>931.3968149200591</x:v>
      </x:c>
      <x:c r="H58" s="11" t="n">
        <x:f>IF($A58="","",$G58*$F58+$C58*(1-$F58))</x:f>
        <x:v>930.4888852220206</x:v>
      </x:c>
      <x:c r="I58" s="11" t="n">
        <x:f>IF($A58="","",AVERAGE($H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916.8806241484552</x:v>
      </x:c>
      <x:c r="J58" s="12" t="n">
        <x:f>IF($A58="","",1+SUMIFS(Assumptions!$S$5:$S$10,Assumptions!$P$5:$P$10,$B58,Assumptions!$Q$5:$Q$10,"&lt;="&amp;$A58,Assumptions!$R$5:$R$10,"&gt;="&amp;$A58))</x:f>
        <x:v>1</x:v>
      </x:c>
      <x:c r="K58" s="12" t="n">
        <x:f>IF($A58="","",1+((($A58-Assumptions!$B$5)/30)*INDEX(Assumptions!$J$5:$J$12,MATCH($B58,Assumptions!$D$5:$D$12,0))))</x:f>
        <x:v>0.9996333333333334</x:v>
      </x:c>
      <x:c r="L58" t="str">
        <x:f>IF($A58="","",IFERROR(INDEX(Assumptions!$O$5:$O$10,MATCH(1,(Assumptions!$P$5:$P$10=$B58)*(Assumptions!$Q$5:$Q$10&lt;=$A58)*(Assumptions!$R$5:$R$10&gt;=$A58),0)),""))</x:f>
      </x:c>
      <x:c r="M58" t="n">
        <x:f>--($A58&lt;&gt;"")</x:f>
        <x:v>1</x:v>
      </x:c>
    </x:row>
    <x:row r="59">
      <x:c r="A59" s="10" t="n">
        <x:f>IF(Assumptions!$B$5+INT((ROW()-2)/Assumptions!$B$7)&gt;Assumptions!$B$6,"",Assumptions!$B$5+INT((ROW()-2)/Assumptions!$B$7))</x:f>
        <x:v>46034</x:v>
      </x:c>
      <x:c r="B59" t="str">
        <x:f>IF($A59="","",INDEX(Assumptions!$D$5:$D$12,MOD(ROW()-2,Assumptions!$B$7)+1))</x:f>
        <x:v>Nostromo Deep</x:v>
      </x:c>
      <x:c r="C59" s="11" t="n">
        <x:f>IF($A59="","",INDEX(Assumptions!$F$5:$F$12,MATCH($B59,Assumptions!$D$5:$D$12,0)))</x:f>
        <x:v>1260</x:v>
      </x:c>
      <x:c r="D59" s="11" t="n">
        <x:f>IF($A59="","",INDEX(Assumptions!$G$5:$G$12,MATCH($B59,Assumptions!$D$5:$D$12,0)))</x:f>
        <x:v>145</x:v>
      </x:c>
      <x:c r="E59" s="11" t="n">
        <x:f>IF($A59="","",INDEX(Assumptions!$M$5:$M$11,WEEKDAY($A59,2)))</x:f>
        <x:v>1.03</x:v>
      </x:c>
      <x:c r="F59" s="11" t="n">
        <x:f>IF($A59="","",Assumptions!$B$15)</x:f>
        <x:v>0.35</x:v>
      </x:c>
      <x:c r="G59" s="11" t="n">
        <x:f>IF($A59="","",MAX(INDEX(Assumptions!$H$5:$H$12,MATCH($B59,Assumptions!$D$5:$D$12,0)),MIN(INDEX(Assumptions!$I$5:$I$12,MATCH($B59,Assumptions!$D$5:$D$12,0)),($C59+$D59*SQRT(-2*LN(RAND()))*COS(2*PI()*RAND()))*$E59*$J59*$K59)))</x:f>
        <x:v>1019.6597037640144</x:v>
      </x:c>
      <x:c r="H59" s="11" t="n">
        <x:f>IF($A59="","",$G59*$F59+$C59*(1-$F59))</x:f>
        <x:v>1175.8808963174051</x:v>
      </x:c>
      <x:c r="I59" s="11" t="n">
        <x:f>IF($A59="","",AVERAGE($H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1224.4683179457293</x:v>
      </x:c>
      <x:c r="J59" s="12" t="n">
        <x:f>IF($A59="","",1+SUMIFS(Assumptions!$S$5:$S$10,Assumptions!$P$5:$P$10,$B59,Assumptions!$Q$5:$Q$10,"&lt;="&amp;$A59,Assumptions!$R$5:$R$10,"&gt;="&amp;$A59))</x:f>
        <x:v>1</x:v>
      </x:c>
      <x:c r="K59" s="12" t="n">
        <x:f>IF($A59="","",1+((($A59-Assumptions!$B$5)/30)*INDEX(Assumptions!$J$5:$J$12,MATCH($B59,Assumptions!$D$5:$D$12,0))))</x:f>
        <x:v>1.0011</x:v>
      </x:c>
      <x:c r="L59" t="str">
        <x:f>IF($A59="","",IFERROR(INDEX(Assumptions!$O$5:$O$10,MATCH(1,(Assumptions!$P$5:$P$10=$B59)*(Assumptions!$Q$5:$Q$10&lt;=$A59)*(Assumptions!$R$5:$R$10&gt;=$A59),0)),""))</x:f>
      </x:c>
      <x:c r="M59" t="n">
        <x:f>--($A59&lt;&gt;"")</x:f>
        <x:v>1</x:v>
      </x:c>
    </x:row>
    <x:row r="60">
      <x:c r="A60" s="10" t="n">
        <x:f>IF(Assumptions!$B$5+INT((ROW()-2)/Assumptions!$B$7)&gt;Assumptions!$B$6,"",Assumptions!$B$5+INT((ROW()-2)/Assumptions!$B$7))</x:f>
        <x:v>46034</x:v>
      </x:c>
      <x:c r="B60" t="str">
        <x:f>IF($A60="","",INDEX(Assumptions!$D$5:$D$12,MOD(ROW()-2,Assumptions!$B$7)+1))</x:f>
        <x:v>Hadley's Hope</x:v>
      </x:c>
      <x:c r="C60" s="11" t="n">
        <x:f>IF($A60="","",INDEX(Assumptions!$F$5:$F$12,MATCH($B60,Assumptions!$D$5:$D$12,0)))</x:f>
        <x:v>845</x:v>
      </x:c>
      <x:c r="D60" s="11" t="n">
        <x:f>IF($A60="","",INDEX(Assumptions!$G$5:$G$12,MATCH($B60,Assumptions!$D$5:$D$12,0)))</x:f>
        <x:v>80</x:v>
      </x:c>
      <x:c r="E60" s="11" t="n">
        <x:f>IF($A60="","",INDEX(Assumptions!$M$5:$M$11,WEEKDAY($A60,2)))</x:f>
        <x:v>1.03</x:v>
      </x:c>
      <x:c r="F60" s="11" t="n">
        <x:f>IF($A60="","",Assumptions!$B$15)</x:f>
        <x:v>0.35</x:v>
      </x:c>
      <x:c r="G60" s="11" t="n">
        <x:f>IF($A60="","",MAX(INDEX(Assumptions!$H$5:$H$12,MATCH($B60,Assumptions!$D$5:$D$12,0)),MIN(INDEX(Assumptions!$I$5:$I$12,MATCH($B60,Assumptions!$D$5:$D$12,0)),($C60+$D60*SQRT(-2*LN(RAND()))*COS(2*PI()*RAND()))*$E60*$J60*$K60)))</x:f>
        <x:v>794.9947138394941</x:v>
      </x:c>
      <x:c r="H60" s="11" t="n">
        <x:f>IF($A60="","",$G60*$F60+$C60*(1-$F60))</x:f>
        <x:v>827.498149843823</x:v>
      </x:c>
      <x:c r="I60" s="11" t="n">
        <x:f>IF($A60="","",AVERAGE($H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835.3457947910674</x:v>
      </x:c>
      <x:c r="J60" s="12" t="n">
        <x:f>IF($A60="","",1+SUMIFS(Assumptions!$S$5:$S$10,Assumptions!$P$5:$P$10,$B60,Assumptions!$Q$5:$Q$10,"&lt;="&amp;$A60,Assumptions!$R$5:$R$10,"&gt;="&amp;$A60))</x:f>
        <x:v>1</x:v>
      </x:c>
      <x:c r="K60" s="12" t="n">
        <x:f>IF($A60="","",1+((($A60-Assumptions!$B$5)/30)*INDEX(Assumptions!$J$5:$J$12,MATCH($B60,Assumptions!$D$5:$D$12,0))))</x:f>
        <x:v>1.0003666666666666</x:v>
      </x:c>
      <x:c r="L60" t="str">
        <x:f>IF($A60="","",IFERROR(INDEX(Assumptions!$O$5:$O$10,MATCH(1,(Assumptions!$P$5:$P$10=$B60)*(Assumptions!$Q$5:$Q$10&lt;=$A60)*(Assumptions!$R$5:$R$10&gt;=$A60),0)),""))</x:f>
      </x:c>
      <x:c r="M60" t="n">
        <x:f>--($A60&lt;&gt;"")</x:f>
        <x:v>1</x:v>
      </x:c>
    </x:row>
    <x:row r="61">
      <x:c r="A61" s="10" t="n">
        <x:f>IF(Assumptions!$B$5+INT((ROW()-2)/Assumptions!$B$7)&gt;Assumptions!$B$6,"",Assumptions!$B$5+INT((ROW()-2)/Assumptions!$B$7))</x:f>
        <x:v>46034</x:v>
      </x:c>
      <x:c r="B61" t="str">
        <x:f>IF($A61="","",INDEX(Assumptions!$D$5:$D$12,MOD(ROW()-2,Assumptions!$B$7)+1))</x:f>
        <x:v>Yutani Ridge</x:v>
      </x:c>
      <x:c r="C61" s="11" t="n">
        <x:f>IF($A61="","",INDEX(Assumptions!$F$5:$F$12,MATCH($B61,Assumptions!$D$5:$D$12,0)))</x:f>
        <x:v>1050</x:v>
      </x:c>
      <x:c r="D61" s="11" t="n">
        <x:f>IF($A61="","",INDEX(Assumptions!$G$5:$G$12,MATCH($B61,Assumptions!$D$5:$D$12,0)))</x:f>
        <x:v>125</x:v>
      </x:c>
      <x:c r="E61" s="11" t="n">
        <x:f>IF($A61="","",INDEX(Assumptions!$M$5:$M$11,WEEKDAY($A61,2)))</x:f>
        <x:v>1.03</x:v>
      </x:c>
      <x:c r="F61" s="11" t="n">
        <x:f>IF($A61="","",Assumptions!$B$15)</x:f>
        <x:v>0.35</x:v>
      </x:c>
      <x:c r="G61" s="11" t="n">
        <x:f>IF($A61="","",MAX(INDEX(Assumptions!$H$5:$H$12,MATCH($B61,Assumptions!$D$5:$D$12,0)),MIN(INDEX(Assumptions!$I$5:$I$12,MATCH($B61,Assumptions!$D$5:$D$12,0)),($C61+$D61*SQRT(-2*LN(RAND()))*COS(2*PI()*RAND()))*$E61*$J61*$K61)))</x:f>
        <x:v>1033.5386401500693</x:v>
      </x:c>
      <x:c r="H61" s="11" t="n">
        <x:f>IF($A61="","",$G61*$F61+$C61*(1-$F61))</x:f>
        <x:v>1044.2385240525243</x:v>
      </x:c>
      <x:c r="I61" s="11" t="n">
        <x:f>IF($A61="","",AVERAGE($H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1033.7459942084238</x:v>
      </x:c>
      <x:c r="J61" s="12" t="n">
        <x:f>IF($A61="","",1+SUMIFS(Assumptions!$S$5:$S$10,Assumptions!$P$5:$P$10,$B61,Assumptions!$Q$5:$Q$10,"&lt;="&amp;$A61,Assumptions!$R$5:$R$10,"&gt;="&amp;$A61))</x:f>
        <x:v>1</x:v>
      </x:c>
      <x:c r="K61" s="12" t="n">
        <x:f>IF($A61="","",1+((($A61-Assumptions!$B$5)/30)*INDEX(Assumptions!$J$5:$J$12,MATCH($B61,Assumptions!$D$5:$D$12,0))))</x:f>
        <x:v>1.0009166666666667</x:v>
      </x:c>
      <x:c r="L61" t="str">
        <x:f>IF($A61="","",IFERROR(INDEX(Assumptions!$O$5:$O$10,MATCH(1,(Assumptions!$P$5:$P$10=$B61)*(Assumptions!$Q$5:$Q$10&lt;=$A61)*(Assumptions!$R$5:$R$10&gt;=$A61),0)),""))</x:f>
      </x:c>
      <x:c r="M61" t="n">
        <x:f>--($A61&lt;&gt;"")</x:f>
        <x:v>1</x:v>
      </x:c>
    </x:row>
    <x:row r="62">
      <x:c r="A62" s="10" t="n">
        <x:f>IF(Assumptions!$B$5+INT((ROW()-2)/Assumptions!$B$7)&gt;Assumptions!$B$6,"",Assumptions!$B$5+INT((ROW()-2)/Assumptions!$B$7))</x:f>
        <x:v>46035</x:v>
      </x:c>
      <x:c r="B62" t="str">
        <x:f>IF($A62="","",INDEX(Assumptions!$D$5:$D$12,MOD(ROW()-2,Assumptions!$B$7)+1))</x:f>
        <x:v>Acheron Prime</x:v>
      </x:c>
      <x:c r="C62" s="11" t="n">
        <x:f>IF($A62="","",INDEX(Assumptions!$F$5:$F$12,MATCH($B62,Assumptions!$D$5:$D$12,0)))</x:f>
        <x:v>1120</x:v>
      </x:c>
      <x:c r="D62" s="11" t="n">
        <x:f>IF($A62="","",INDEX(Assumptions!$G$5:$G$12,MATCH($B62,Assumptions!$D$5:$D$12,0)))</x:f>
        <x:v>115</x:v>
      </x:c>
      <x:c r="E62" s="11" t="n">
        <x:f>IF($A62="","",INDEX(Assumptions!$M$5:$M$11,WEEKDAY($A62,2)))</x:f>
        <x:v>1.02</x:v>
      </x:c>
      <x:c r="F62" s="11" t="n">
        <x:f>IF($A62="","",Assumptions!$B$15)</x:f>
        <x:v>0.35</x:v>
      </x:c>
      <x:c r="G62" s="11" t="n">
        <x:f>IF($A62="","",MAX(INDEX(Assumptions!$H$5:$H$12,MATCH($B62,Assumptions!$D$5:$D$12,0)),MIN(INDEX(Assumptions!$I$5:$I$12,MATCH($B62,Assumptions!$D$5:$D$12,0)),($C62+$D62*SQRT(-2*LN(RAND()))*COS(2*PI()*RAND()))*$E62*$J62*$K62)))</x:f>
        <x:v>854.8500755300952</x:v>
      </x:c>
      <x:c r="H62" s="11" t="n">
        <x:f>IF($A62="","",$G62*$F62+$C62*(1-$F62))</x:f>
        <x:v>1027.1975264355333</x:v>
      </x:c>
      <x:c r="I62" s="11" t="n">
        <x:f>IF($A62="","",AVERAGE($H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1067.6661337899893</x:v>
      </x:c>
      <x:c r="J62" s="12" t="n">
        <x:f>IF($A62="","",1+SUMIFS(Assumptions!$S$5:$S$10,Assumptions!$P$5:$P$10,$B62,Assumptions!$Q$5:$Q$10,"&lt;="&amp;$A62,Assumptions!$R$5:$R$10,"&gt;="&amp;$A62))</x:f>
        <x:v>1</x:v>
      </x:c>
      <x:c r="K62" s="12" t="n">
        <x:f>IF($A62="","",1+((($A62-Assumptions!$B$5)/30)*INDEX(Assumptions!$J$5:$J$12,MATCH($B62,Assumptions!$D$5:$D$12,0))))</x:f>
        <x:v>1.0008</x:v>
      </x:c>
      <x:c r="L62" t="str">
        <x:f>IF($A62="","",IFERROR(INDEX(Assumptions!$O$5:$O$10,MATCH(1,(Assumptions!$P$5:$P$10=$B62)*(Assumptions!$Q$5:$Q$10&lt;=$A62)*(Assumptions!$R$5:$R$10&gt;=$A62),0)),""))</x:f>
      </x:c>
      <x:c r="M62" t="n">
        <x:f>--($A62&lt;&gt;"")</x:f>
        <x:v>1</x:v>
      </x:c>
    </x:row>
    <x:row r="63">
      <x:c r="A63" s="10" t="n">
        <x:f>IF(Assumptions!$B$5+INT((ROW()-2)/Assumptions!$B$7)&gt;Assumptions!$B$6,"",Assumptions!$B$5+INT((ROW()-2)/Assumptions!$B$7))</x:f>
        <x:v>46035</x:v>
      </x:c>
      <x:c r="B63" t="str">
        <x:f>IF($A63="","",INDEX(Assumptions!$D$5:$D$12,MOD(ROW()-2,Assumptions!$B$7)+1))</x:f>
        <x:v>LV-426 North</x:v>
      </x:c>
      <x:c r="C63" s="11" t="n">
        <x:f>IF($A63="","",INDEX(Assumptions!$F$5:$F$12,MATCH($B63,Assumptions!$D$5:$D$12,0)))</x:f>
        <x:v>930</x:v>
      </x:c>
      <x:c r="D63" s="11" t="n">
        <x:f>IF($A63="","",INDEX(Assumptions!$G$5:$G$12,MATCH($B63,Assumptions!$D$5:$D$12,0)))</x:f>
        <x:v>95</x:v>
      </x:c>
      <x:c r="E63" s="11" t="n">
        <x:f>IF($A63="","",INDEX(Assumptions!$M$5:$M$11,WEEKDAY($A63,2)))</x:f>
        <x:v>1.02</x:v>
      </x:c>
      <x:c r="F63" s="11" t="n">
        <x:f>IF($A63="","",Assumptions!$B$15)</x:f>
        <x:v>0.35</x:v>
      </x:c>
      <x:c r="G63" s="11" t="n">
        <x:f>IF($A63="","",MAX(INDEX(Assumptions!$H$5:$H$12,MATCH($B63,Assumptions!$D$5:$D$12,0)),MIN(INDEX(Assumptions!$I$5:$I$12,MATCH($B63,Assumptions!$D$5:$D$12,0)),($C63+$D63*SQRT(-2*LN(RAND()))*COS(2*PI()*RAND()))*$E63*$J63*$K63)))</x:f>
        <x:v>971.120996509808</x:v>
      </x:c>
      <x:c r="H63" s="11" t="n">
        <x:f>IF($A63="","",$G63*$F63+$C63*(1-$F63))</x:f>
        <x:v>944.3923487784327</x:v>
      </x:c>
      <x:c r="I63" s="11" t="n">
        <x:f>IF($A63="","",AVERAGE($H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923.7186810047539</x:v>
      </x:c>
      <x:c r="J63" s="12" t="n">
        <x:f>IF($A63="","",1+SUMIFS(Assumptions!$S$5:$S$10,Assumptions!$P$5:$P$10,$B63,Assumptions!$Q$5:$Q$10,"&lt;="&amp;$A63,Assumptions!$R$5:$R$10,"&gt;="&amp;$A63))</x:f>
        <x:v>1</x:v>
      </x:c>
      <x:c r="K63" s="12" t="n">
        <x:f>IF($A63="","",1+((($A63-Assumptions!$B$5)/30)*INDEX(Assumptions!$J$5:$J$12,MATCH($B63,Assumptions!$D$5:$D$12,0))))</x:f>
        <x:v>0.9996</x:v>
      </x:c>
      <x:c r="L63" t="str">
        <x:f>IF($A63="","",IFERROR(INDEX(Assumptions!$O$5:$O$10,MATCH(1,(Assumptions!$P$5:$P$10=$B63)*(Assumptions!$Q$5:$Q$10&lt;=$A63)*(Assumptions!$R$5:$R$10&gt;=$A63),0)),""))</x:f>
      </x:c>
      <x:c r="M63" t="n">
        <x:f>--($A63&lt;&gt;"")</x:f>
        <x:v>1</x:v>
      </x:c>
    </x:row>
    <x:row r="64">
      <x:c r="A64" s="10" t="n">
        <x:f>IF(Assumptions!$B$5+INT((ROW()-2)/Assumptions!$B$7)&gt;Assumptions!$B$6,"",Assumptions!$B$5+INT((ROW()-2)/Assumptions!$B$7))</x:f>
        <x:v>46035</x:v>
      </x:c>
      <x:c r="B64" t="str">
        <x:f>IF($A64="","",INDEX(Assumptions!$D$5:$D$12,MOD(ROW()-2,Assumptions!$B$7)+1))</x:f>
        <x:v>Nostromo Deep</x:v>
      </x:c>
      <x:c r="C64" s="11" t="n">
        <x:f>IF($A64="","",INDEX(Assumptions!$F$5:$F$12,MATCH($B64,Assumptions!$D$5:$D$12,0)))</x:f>
        <x:v>1260</x:v>
      </x:c>
      <x:c r="D64" s="11" t="n">
        <x:f>IF($A64="","",INDEX(Assumptions!$G$5:$G$12,MATCH($B64,Assumptions!$D$5:$D$12,0)))</x:f>
        <x:v>145</x:v>
      </x:c>
      <x:c r="E64" s="11" t="n">
        <x:f>IF($A64="","",INDEX(Assumptions!$M$5:$M$11,WEEKDAY($A64,2)))</x:f>
        <x:v>1.02</x:v>
      </x:c>
      <x:c r="F64" s="11" t="n">
        <x:f>IF($A64="","",Assumptions!$B$15)</x:f>
        <x:v>0.35</x:v>
      </x:c>
      <x:c r="G64" s="11" t="n">
        <x:f>IF($A64="","",MAX(INDEX(Assumptions!$H$5:$H$12,MATCH($B64,Assumptions!$D$5:$D$12,0)),MIN(INDEX(Assumptions!$I$5:$I$12,MATCH($B64,Assumptions!$D$5:$D$12,0)),($C64+$D64*SQRT(-2*LN(RAND()))*COS(2*PI()*RAND()))*$E64*$J64*$K64)))</x:f>
        <x:v>1474.1865839993034</x:v>
      </x:c>
      <x:c r="H64" s="11" t="n">
        <x:f>IF($A64="","",$G64*$F64+$C64*(1-$F64))</x:f>
        <x:v>1334.9653043997562</x:v>
      </x:c>
      <x:c r="I64" s="11" t="n">
        <x:f>IF($A64="","",AVERAGE($H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1239.444118135911</x:v>
      </x:c>
      <x:c r="J64" s="12" t="n">
        <x:f>IF($A64="","",1+SUMIFS(Assumptions!$S$5:$S$10,Assumptions!$P$5:$P$10,$B64,Assumptions!$Q$5:$Q$10,"&lt;="&amp;$A64,Assumptions!$R$5:$R$10,"&gt;="&amp;$A64))</x:f>
        <x:v>1</x:v>
      </x:c>
      <x:c r="K64" s="12" t="n">
        <x:f>IF($A64="","",1+((($A64-Assumptions!$B$5)/30)*INDEX(Assumptions!$J$5:$J$12,MATCH($B64,Assumptions!$D$5:$D$12,0))))</x:f>
        <x:v>1.0012</x:v>
      </x:c>
      <x:c r="L64" t="str">
        <x:f>IF($A64="","",IFERROR(INDEX(Assumptions!$O$5:$O$10,MATCH(1,(Assumptions!$P$5:$P$10=$B64)*(Assumptions!$Q$5:$Q$10&lt;=$A64)*(Assumptions!$R$5:$R$10&gt;=$A64),0)),""))</x:f>
      </x:c>
      <x:c r="M64" t="n">
        <x:f>--($A64&lt;&gt;"")</x:f>
        <x:v>1</x:v>
      </x:c>
    </x:row>
    <x:row r="65">
      <x:c r="A65" s="10" t="n">
        <x:f>IF(Assumptions!$B$5+INT((ROW()-2)/Assumptions!$B$7)&gt;Assumptions!$B$6,"",Assumptions!$B$5+INT((ROW()-2)/Assumptions!$B$7))</x:f>
        <x:v>46035</x:v>
      </x:c>
      <x:c r="B65" t="str">
        <x:f>IF($A65="","",INDEX(Assumptions!$D$5:$D$12,MOD(ROW()-2,Assumptions!$B$7)+1))</x:f>
        <x:v>Hadley's Hope</x:v>
      </x:c>
      <x:c r="C65" s="11" t="n">
        <x:f>IF($A65="","",INDEX(Assumptions!$F$5:$F$12,MATCH($B65,Assumptions!$D$5:$D$12,0)))</x:f>
        <x:v>845</x:v>
      </x:c>
      <x:c r="D65" s="11" t="n">
        <x:f>IF($A65="","",INDEX(Assumptions!$G$5:$G$12,MATCH($B65,Assumptions!$D$5:$D$12,0)))</x:f>
        <x:v>80</x:v>
      </x:c>
      <x:c r="E65" s="11" t="n">
        <x:f>IF($A65="","",INDEX(Assumptions!$M$5:$M$11,WEEKDAY($A65,2)))</x:f>
        <x:v>1.02</x:v>
      </x:c>
      <x:c r="F65" s="11" t="n">
        <x:f>IF($A65="","",Assumptions!$B$15)</x:f>
        <x:v>0.35</x:v>
      </x:c>
      <x:c r="G65" s="11" t="n">
        <x:f>IF($A65="","",MAX(INDEX(Assumptions!$H$5:$H$12,MATCH($B65,Assumptions!$D$5:$D$12,0)),MIN(INDEX(Assumptions!$I$5:$I$12,MATCH($B65,Assumptions!$D$5:$D$12,0)),($C65+$D65*SQRT(-2*LN(RAND()))*COS(2*PI()*RAND()))*$E65*$J65*$K65)))</x:f>
        <x:v>889.5279765462858</x:v>
      </x:c>
      <x:c r="H65" s="11" t="n">
        <x:f>IF($A65="","",$G65*$F65+$C65*(1-$F65))</x:f>
        <x:v>860.5847917912</x:v>
      </x:c>
      <x:c r="I65" s="11" t="n">
        <x:f>IF($A65="","",AVERAGE($H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836.2618157701643</x:v>
      </x:c>
      <x:c r="J65" s="12" t="n">
        <x:f>IF($A65="","",1+SUMIFS(Assumptions!$S$5:$S$10,Assumptions!$P$5:$P$10,$B65,Assumptions!$Q$5:$Q$10,"&lt;="&amp;$A65,Assumptions!$R$5:$R$10,"&gt;="&amp;$A65))</x:f>
        <x:v>1</x:v>
      </x:c>
      <x:c r="K65" s="12" t="n">
        <x:f>IF($A65="","",1+((($A65-Assumptions!$B$5)/30)*INDEX(Assumptions!$J$5:$J$12,MATCH($B65,Assumptions!$D$5:$D$12,0))))</x:f>
        <x:v>1.0004</x:v>
      </x:c>
      <x:c r="L65" t="str">
        <x:f>IF($A65="","",IFERROR(INDEX(Assumptions!$O$5:$O$10,MATCH(1,(Assumptions!$P$5:$P$10=$B65)*(Assumptions!$Q$5:$Q$10&lt;=$A65)*(Assumptions!$R$5:$R$10&gt;=$A65),0)),""))</x:f>
      </x:c>
      <x:c r="M65" t="n">
        <x:f>--($A65&lt;&gt;"")</x:f>
        <x:v>1</x:v>
      </x:c>
    </x:row>
    <x:row r="66">
      <x:c r="A66" s="10" t="n">
        <x:f>IF(Assumptions!$B$5+INT((ROW()-2)/Assumptions!$B$7)&gt;Assumptions!$B$6,"",Assumptions!$B$5+INT((ROW()-2)/Assumptions!$B$7))</x:f>
        <x:v>46035</x:v>
      </x:c>
      <x:c r="B66" t="str">
        <x:f>IF($A66="","",INDEX(Assumptions!$D$5:$D$12,MOD(ROW()-2,Assumptions!$B$7)+1))</x:f>
        <x:v>Yutani Ridge</x:v>
      </x:c>
      <x:c r="C66" s="11" t="n">
        <x:f>IF($A66="","",INDEX(Assumptions!$F$5:$F$12,MATCH($B66,Assumptions!$D$5:$D$12,0)))</x:f>
        <x:v>1050</x:v>
      </x:c>
      <x:c r="D66" s="11" t="n">
        <x:f>IF($A66="","",INDEX(Assumptions!$G$5:$G$12,MATCH($B66,Assumptions!$D$5:$D$12,0)))</x:f>
        <x:v>125</x:v>
      </x:c>
      <x:c r="E66" s="11" t="n">
        <x:f>IF($A66="","",INDEX(Assumptions!$M$5:$M$11,WEEKDAY($A66,2)))</x:f>
        <x:v>1.02</x:v>
      </x:c>
      <x:c r="F66" s="11" t="n">
        <x:f>IF($A66="","",Assumptions!$B$15)</x:f>
        <x:v>0.35</x:v>
      </x:c>
      <x:c r="G66" s="11" t="n">
        <x:f>IF($A66="","",MAX(INDEX(Assumptions!$H$5:$H$12,MATCH($B66,Assumptions!$D$5:$D$12,0)),MIN(INDEX(Assumptions!$I$5:$I$12,MATCH($B66,Assumptions!$D$5:$D$12,0)),($C66+$D66*SQRT(-2*LN(RAND()))*COS(2*PI()*RAND()))*$E66*$J66*$K66)))</x:f>
        <x:v>1200.138646318269</x:v>
      </x:c>
      <x:c r="H66" s="11" t="n">
        <x:f>IF($A66="","",$G66*$F66+$C66*(1-$F66))</x:f>
        <x:v>1102.5485262113941</x:v>
      </x:c>
      <x:c r="I66" s="11" t="n">
        <x:f>IF($A66="","",AVERAGE($H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1033.4893770409667</x:v>
      </x:c>
      <x:c r="J66" s="12" t="n">
        <x:f>IF($A66="","",1+SUMIFS(Assumptions!$S$5:$S$10,Assumptions!$P$5:$P$10,$B66,Assumptions!$Q$5:$Q$10,"&lt;="&amp;$A66,Assumptions!$R$5:$R$10,"&gt;="&amp;$A66))</x:f>
        <x:v>1</x:v>
      </x:c>
      <x:c r="K66" s="12" t="n">
        <x:f>IF($A66="","",1+((($A66-Assumptions!$B$5)/30)*INDEX(Assumptions!$J$5:$J$12,MATCH($B66,Assumptions!$D$5:$D$12,0))))</x:f>
        <x:v>1.001</x:v>
      </x:c>
      <x:c r="L66" t="str">
        <x:f>IF($A66="","",IFERROR(INDEX(Assumptions!$O$5:$O$10,MATCH(1,(Assumptions!$P$5:$P$10=$B66)*(Assumptions!$Q$5:$Q$10&lt;=$A66)*(Assumptions!$R$5:$R$10&gt;=$A66),0)),""))</x:f>
      </x:c>
      <x:c r="M66" t="n">
        <x:f>--($A66&lt;&gt;"")</x:f>
        <x:v>1</x:v>
      </x:c>
    </x:row>
    <x:row r="67">
      <x:c r="A67" s="10" t="n">
        <x:f>IF(Assumptions!$B$5+INT((ROW()-2)/Assumptions!$B$7)&gt;Assumptions!$B$6,"",Assumptions!$B$5+INT((ROW()-2)/Assumptions!$B$7))</x:f>
        <x:v>46036</x:v>
      </x:c>
      <x:c r="B67" t="str">
        <x:f>IF($A67="","",INDEX(Assumptions!$D$5:$D$12,MOD(ROW()-2,Assumptions!$B$7)+1))</x:f>
        <x:v>Acheron Prime</x:v>
      </x:c>
      <x:c r="C67" s="11" t="n">
        <x:f>IF($A67="","",INDEX(Assumptions!$F$5:$F$12,MATCH($B67,Assumptions!$D$5:$D$12,0)))</x:f>
        <x:v>1120</x:v>
      </x:c>
      <x:c r="D67" s="11" t="n">
        <x:f>IF($A67="","",INDEX(Assumptions!$G$5:$G$12,MATCH($B67,Assumptions!$D$5:$D$12,0)))</x:f>
        <x:v>115</x:v>
      </x:c>
      <x:c r="E67" s="11" t="n">
        <x:f>IF($A67="","",INDEX(Assumptions!$M$5:$M$11,WEEKDAY($A67,2)))</x:f>
        <x:v>1.01</x:v>
      </x:c>
      <x:c r="F67" s="11" t="n">
        <x:f>IF($A67="","",Assumptions!$B$15)</x:f>
        <x:v>0.35</x:v>
      </x:c>
      <x:c r="G67" s="11" t="n">
        <x:f>IF($A67="","",MAX(INDEX(Assumptions!$H$5:$H$12,MATCH($B67,Assumptions!$D$5:$D$12,0)),MIN(INDEX(Assumptions!$I$5:$I$12,MATCH($B67,Assumptions!$D$5:$D$12,0)),($C67+$D67*SQRT(-2*LN(RAND()))*COS(2*PI()*RAND()))*$E67*$J67*$K67)))</x:f>
        <x:v>1227.988624404414</x:v>
      </x:c>
      <x:c r="H67" s="11" t="n">
        <x:f>IF($A67="","",$G67*$F67+$C67*(1-$F67))</x:f>
        <x:v>1157.796018541545</x:v>
      </x:c>
      <x:c r="I67" s="11" t="n">
        <x:f>IF($A67="","",AVERAGE($H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1077.0495869688336</x:v>
      </x:c>
      <x:c r="J67" s="12" t="n">
        <x:f>IF($A67="","",1+SUMIFS(Assumptions!$S$5:$S$10,Assumptions!$P$5:$P$10,$B67,Assumptions!$Q$5:$Q$10,"&lt;="&amp;$A67,Assumptions!$R$5:$R$10,"&gt;="&amp;$A67))</x:f>
        <x:v>1</x:v>
      </x:c>
      <x:c r="K67" s="12" t="n">
        <x:f>IF($A67="","",1+((($A67-Assumptions!$B$5)/30)*INDEX(Assumptions!$J$5:$J$12,MATCH($B67,Assumptions!$D$5:$D$12,0))))</x:f>
        <x:v>1.0008666666666666</x:v>
      </x:c>
      <x:c r="L67" t="str">
        <x:f>IF($A67="","",IFERROR(INDEX(Assumptions!$O$5:$O$10,MATCH(1,(Assumptions!$P$5:$P$10=$B67)*(Assumptions!$Q$5:$Q$10&lt;=$A67)*(Assumptions!$R$5:$R$10&gt;=$A67),0)),""))</x:f>
      </x:c>
      <x:c r="M67" t="n">
        <x:f>--($A67&lt;&gt;"")</x:f>
        <x:v>1</x:v>
      </x:c>
    </x:row>
    <x:row r="68">
      <x:c r="A68" s="10" t="n">
        <x:f>IF(Assumptions!$B$5+INT((ROW()-2)/Assumptions!$B$7)&gt;Assumptions!$B$6,"",Assumptions!$B$5+INT((ROW()-2)/Assumptions!$B$7))</x:f>
        <x:v>46036</x:v>
      </x:c>
      <x:c r="B68" t="str">
        <x:f>IF($A68="","",INDEX(Assumptions!$D$5:$D$12,MOD(ROW()-2,Assumptions!$B$7)+1))</x:f>
        <x:v>LV-426 North</x:v>
      </x:c>
      <x:c r="C68" s="11" t="n">
        <x:f>IF($A68="","",INDEX(Assumptions!$F$5:$F$12,MATCH($B68,Assumptions!$D$5:$D$12,0)))</x:f>
        <x:v>930</x:v>
      </x:c>
      <x:c r="D68" s="11" t="n">
        <x:f>IF($A68="","",INDEX(Assumptions!$G$5:$G$12,MATCH($B68,Assumptions!$D$5:$D$12,0)))</x:f>
        <x:v>95</x:v>
      </x:c>
      <x:c r="E68" s="11" t="n">
        <x:f>IF($A68="","",INDEX(Assumptions!$M$5:$M$11,WEEKDAY($A68,2)))</x:f>
        <x:v>1.01</x:v>
      </x:c>
      <x:c r="F68" s="11" t="n">
        <x:f>IF($A68="","",Assumptions!$B$15)</x:f>
        <x:v>0.35</x:v>
      </x:c>
      <x:c r="G68" s="11" t="n">
        <x:f>IF($A68="","",MAX(INDEX(Assumptions!$H$5:$H$12,MATCH($B68,Assumptions!$D$5:$D$12,0)),MIN(INDEX(Assumptions!$I$5:$I$12,MATCH($B68,Assumptions!$D$5:$D$12,0)),($C68+$D68*SQRT(-2*LN(RAND()))*COS(2*PI()*RAND()))*$E68*$J68*$K68)))</x:f>
        <x:v>940.459325355708</x:v>
      </x:c>
      <x:c r="H68" s="11" t="n">
        <x:f>IF($A68="","",$G68*$F68+$C68*(1-$F68))</x:f>
        <x:v>933.6607638744978</x:v>
      </x:c>
      <x:c r="I68" s="11" t="n">
        <x:f>IF($A68="","",AVERAGE($H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916.8551083693648</x:v>
      </x:c>
      <x:c r="J68" s="12" t="n">
        <x:f>IF($A68="","",1+SUMIFS(Assumptions!$S$5:$S$10,Assumptions!$P$5:$P$10,$B68,Assumptions!$Q$5:$Q$10,"&lt;="&amp;$A68,Assumptions!$R$5:$R$10,"&gt;="&amp;$A68))</x:f>
        <x:v>1</x:v>
      </x:c>
      <x:c r="K68" s="12" t="n">
        <x:f>IF($A68="","",1+((($A68-Assumptions!$B$5)/30)*INDEX(Assumptions!$J$5:$J$12,MATCH($B68,Assumptions!$D$5:$D$12,0))))</x:f>
        <x:v>0.9995666666666667</x:v>
      </x:c>
      <x:c r="L68" t="str">
        <x:f>IF($A68="","",IFERROR(INDEX(Assumptions!$O$5:$O$10,MATCH(1,(Assumptions!$P$5:$P$10=$B68)*(Assumptions!$Q$5:$Q$10&lt;=$A68)*(Assumptions!$R$5:$R$10&gt;=$A68),0)),""))</x:f>
      </x:c>
      <x:c r="M68" t="n">
        <x:f>--($A68&lt;&gt;"")</x:f>
        <x:v>1</x:v>
      </x:c>
    </x:row>
    <x:row r="69">
      <x:c r="A69" s="10" t="n">
        <x:f>IF(Assumptions!$B$5+INT((ROW()-2)/Assumptions!$B$7)&gt;Assumptions!$B$6,"",Assumptions!$B$5+INT((ROW()-2)/Assumptions!$B$7))</x:f>
        <x:v>46036</x:v>
      </x:c>
      <x:c r="B69" t="str">
        <x:f>IF($A69="","",INDEX(Assumptions!$D$5:$D$12,MOD(ROW()-2,Assumptions!$B$7)+1))</x:f>
        <x:v>Nostromo Deep</x:v>
      </x:c>
      <x:c r="C69" s="11" t="n">
        <x:f>IF($A69="","",INDEX(Assumptions!$F$5:$F$12,MATCH($B69,Assumptions!$D$5:$D$12,0)))</x:f>
        <x:v>1260</x:v>
      </x:c>
      <x:c r="D69" s="11" t="n">
        <x:f>IF($A69="","",INDEX(Assumptions!$G$5:$G$12,MATCH($B69,Assumptions!$D$5:$D$12,0)))</x:f>
        <x:v>145</x:v>
      </x:c>
      <x:c r="E69" s="11" t="n">
        <x:f>IF($A69="","",INDEX(Assumptions!$M$5:$M$11,WEEKDAY($A69,2)))</x:f>
        <x:v>1.01</x:v>
      </x:c>
      <x:c r="F69" s="11" t="n">
        <x:f>IF($A69="","",Assumptions!$B$15)</x:f>
        <x:v>0.35</x:v>
      </x:c>
      <x:c r="G69" s="11" t="n">
        <x:f>IF($A69="","",MAX(INDEX(Assumptions!$H$5:$H$12,MATCH($B69,Assumptions!$D$5:$D$12,0)),MIN(INDEX(Assumptions!$I$5:$I$12,MATCH($B69,Assumptions!$D$5:$D$12,0)),($C69+$D69*SQRT(-2*LN(RAND()))*COS(2*PI()*RAND()))*$E69*$J69*$K69)))</x:f>
        <x:v>1374.1050892772005</x:v>
      </x:c>
      <x:c r="H69" s="11" t="n">
        <x:f>IF($A69="","",$G69*$F69+$C69*(1-$F69))</x:f>
        <x:v>1299.93678124702</x:v>
      </x:c>
      <x:c r="I69" s="11" t="n">
        <x:f>IF($A69="","",AVERAGE($H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1244.313290142099</x:v>
      </x:c>
      <x:c r="J69" s="12" t="n">
        <x:f>IF($A69="","",1+SUMIFS(Assumptions!$S$5:$S$10,Assumptions!$P$5:$P$10,$B69,Assumptions!$Q$5:$Q$10,"&lt;="&amp;$A69,Assumptions!$R$5:$R$10,"&gt;="&amp;$A69))</x:f>
        <x:v>1</x:v>
      </x:c>
      <x:c r="K69" s="12" t="n">
        <x:f>IF($A69="","",1+((($A69-Assumptions!$B$5)/30)*INDEX(Assumptions!$J$5:$J$12,MATCH($B69,Assumptions!$D$5:$D$12,0))))</x:f>
        <x:v>1.0013</x:v>
      </x:c>
      <x:c r="L69" t="str">
        <x:f>IF($A69="","",IFERROR(INDEX(Assumptions!$O$5:$O$10,MATCH(1,(Assumptions!$P$5:$P$10=$B69)*(Assumptions!$Q$5:$Q$10&lt;=$A69)*(Assumptions!$R$5:$R$10&gt;=$A69),0)),""))</x:f>
      </x:c>
      <x:c r="M69" t="n">
        <x:f>--($A69&lt;&gt;"")</x:f>
        <x:v>1</x:v>
      </x:c>
    </x:row>
    <x:row r="70">
      <x:c r="A70" s="10" t="n">
        <x:f>IF(Assumptions!$B$5+INT((ROW()-2)/Assumptions!$B$7)&gt;Assumptions!$B$6,"",Assumptions!$B$5+INT((ROW()-2)/Assumptions!$B$7))</x:f>
        <x:v>46036</x:v>
      </x:c>
      <x:c r="B70" t="str">
        <x:f>IF($A70="","",INDEX(Assumptions!$D$5:$D$12,MOD(ROW()-2,Assumptions!$B$7)+1))</x:f>
        <x:v>Hadley's Hope</x:v>
      </x:c>
      <x:c r="C70" s="11" t="n">
        <x:f>IF($A70="","",INDEX(Assumptions!$F$5:$F$12,MATCH($B70,Assumptions!$D$5:$D$12,0)))</x:f>
        <x:v>845</x:v>
      </x:c>
      <x:c r="D70" s="11" t="n">
        <x:f>IF($A70="","",INDEX(Assumptions!$G$5:$G$12,MATCH($B70,Assumptions!$D$5:$D$12,0)))</x:f>
        <x:v>80</x:v>
      </x:c>
      <x:c r="E70" s="11" t="n">
        <x:f>IF($A70="","",INDEX(Assumptions!$M$5:$M$11,WEEKDAY($A70,2)))</x:f>
        <x:v>1.01</x:v>
      </x:c>
      <x:c r="F70" s="11" t="n">
        <x:f>IF($A70="","",Assumptions!$B$15)</x:f>
        <x:v>0.35</x:v>
      </x:c>
      <x:c r="G70" s="11" t="n">
        <x:f>IF($A70="","",MAX(INDEX(Assumptions!$H$5:$H$12,MATCH($B70,Assumptions!$D$5:$D$12,0)),MIN(INDEX(Assumptions!$I$5:$I$12,MATCH($B70,Assumptions!$D$5:$D$12,0)),($C70+$D70*SQRT(-2*LN(RAND()))*COS(2*PI()*RAND()))*$E70*$J70*$K70)))</x:f>
        <x:v>957.1143306615133</x:v>
      </x:c>
      <x:c r="H70" s="11" t="n">
        <x:f>IF($A70="","",$G70*$F70+$C70*(1-$F70))</x:f>
        <x:v>884.2400157315296</x:v>
      </x:c>
      <x:c r="I70" s="11" t="n">
        <x:f>IF($A70="","",AVERAGE($H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845.4213863242702</x:v>
      </x:c>
      <x:c r="J70" s="12" t="n">
        <x:f>IF($A70="","",1+SUMIFS(Assumptions!$S$5:$S$10,Assumptions!$P$5:$P$10,$B70,Assumptions!$Q$5:$Q$10,"&lt;="&amp;$A70,Assumptions!$R$5:$R$10,"&gt;="&amp;$A70))</x:f>
        <x:v>1</x:v>
      </x:c>
      <x:c r="K70" s="12" t="n">
        <x:f>IF($A70="","",1+((($A70-Assumptions!$B$5)/30)*INDEX(Assumptions!$J$5:$J$12,MATCH($B70,Assumptions!$D$5:$D$12,0))))</x:f>
        <x:v>1.0004333333333333</x:v>
      </x:c>
      <x:c r="L70" t="str">
        <x:f>IF($A70="","",IFERROR(INDEX(Assumptions!$O$5:$O$10,MATCH(1,(Assumptions!$P$5:$P$10=$B70)*(Assumptions!$Q$5:$Q$10&lt;=$A70)*(Assumptions!$R$5:$R$10&gt;=$A70),0)),""))</x:f>
      </x:c>
      <x:c r="M70" t="n">
        <x:f>--($A70&lt;&gt;"")</x:f>
        <x:v>1</x:v>
      </x:c>
    </x:row>
    <x:row r="71">
      <x:c r="A71" s="10" t="n">
        <x:f>IF(Assumptions!$B$5+INT((ROW()-2)/Assumptions!$B$7)&gt;Assumptions!$B$6,"",Assumptions!$B$5+INT((ROW()-2)/Assumptions!$B$7))</x:f>
        <x:v>46036</x:v>
      </x:c>
      <x:c r="B71" t="str">
        <x:f>IF($A71="","",INDEX(Assumptions!$D$5:$D$12,MOD(ROW()-2,Assumptions!$B$7)+1))</x:f>
        <x:v>Yutani Ridge</x:v>
      </x:c>
      <x:c r="C71" s="11" t="n">
        <x:f>IF($A71="","",INDEX(Assumptions!$F$5:$F$12,MATCH($B71,Assumptions!$D$5:$D$12,0)))</x:f>
        <x:v>1050</x:v>
      </x:c>
      <x:c r="D71" s="11" t="n">
        <x:f>IF($A71="","",INDEX(Assumptions!$G$5:$G$12,MATCH($B71,Assumptions!$D$5:$D$12,0)))</x:f>
        <x:v>125</x:v>
      </x:c>
      <x:c r="E71" s="11" t="n">
        <x:f>IF($A71="","",INDEX(Assumptions!$M$5:$M$11,WEEKDAY($A71,2)))</x:f>
        <x:v>1.01</x:v>
      </x:c>
      <x:c r="F71" s="11" t="n">
        <x:f>IF($A71="","",Assumptions!$B$15)</x:f>
        <x:v>0.35</x:v>
      </x:c>
      <x:c r="G71" s="11" t="n">
        <x:f>IF($A71="","",MAX(INDEX(Assumptions!$H$5:$H$12,MATCH($B71,Assumptions!$D$5:$D$12,0)),MIN(INDEX(Assumptions!$I$5:$I$12,MATCH($B71,Assumptions!$D$5:$D$12,0)),($C71+$D71*SQRT(-2*LN(RAND()))*COS(2*PI()*RAND()))*$E71*$J71*$K71)))</x:f>
        <x:v>1096.9933933574293</x:v>
      </x:c>
      <x:c r="H71" s="11" t="n">
        <x:f>IF($A71="","",$G71*$F71+$C71*(1-$F71))</x:f>
        <x:v>1066.4476876751003</x:v>
      </x:c>
      <x:c r="I71" s="11" t="n">
        <x:f>IF($A71="","",AVERAGE($H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1032.9105350818484</x:v>
      </x:c>
      <x:c r="J71" s="12" t="n">
        <x:f>IF($A71="","",1+SUMIFS(Assumptions!$S$5:$S$10,Assumptions!$P$5:$P$10,$B71,Assumptions!$Q$5:$Q$10,"&lt;="&amp;$A71,Assumptions!$R$5:$R$10,"&gt;="&amp;$A71))</x:f>
        <x:v>1</x:v>
      </x:c>
      <x:c r="K71" s="12" t="n">
        <x:f>IF($A71="","",1+((($A71-Assumptions!$B$5)/30)*INDEX(Assumptions!$J$5:$J$12,MATCH($B71,Assumptions!$D$5:$D$12,0))))</x:f>
        <x:v>1.0010833333333333</x:v>
      </x:c>
      <x:c r="L71" t="str">
        <x:f>IF($A71="","",IFERROR(INDEX(Assumptions!$O$5:$O$10,MATCH(1,(Assumptions!$P$5:$P$10=$B71)*(Assumptions!$Q$5:$Q$10&lt;=$A71)*(Assumptions!$R$5:$R$10&gt;=$A71),0)),""))</x:f>
      </x:c>
      <x:c r="M71" t="n">
        <x:f>--($A71&lt;&gt;"")</x:f>
        <x:v>1</x:v>
      </x:c>
    </x:row>
    <x:row r="72">
      <x:c r="A72" s="10" t="n">
        <x:f>IF(Assumptions!$B$5+INT((ROW()-2)/Assumptions!$B$7)&gt;Assumptions!$B$6,"",Assumptions!$B$5+INT((ROW()-2)/Assumptions!$B$7))</x:f>
        <x:v>46037</x:v>
      </x:c>
      <x:c r="B72" t="str">
        <x:f>IF($A72="","",INDEX(Assumptions!$D$5:$D$12,MOD(ROW()-2,Assumptions!$B$7)+1))</x:f>
        <x:v>Acheron Prime</x:v>
      </x:c>
      <x:c r="C72" s="11" t="n">
        <x:f>IF($A72="","",INDEX(Assumptions!$F$5:$F$12,MATCH($B72,Assumptions!$D$5:$D$12,0)))</x:f>
        <x:v>1120</x:v>
      </x:c>
      <x:c r="D72" s="11" t="n">
        <x:f>IF($A72="","",INDEX(Assumptions!$G$5:$G$12,MATCH($B72,Assumptions!$D$5:$D$12,0)))</x:f>
        <x:v>115</x:v>
      </x:c>
      <x:c r="E72" s="11" t="n">
        <x:f>IF($A72="","",INDEX(Assumptions!$M$5:$M$11,WEEKDAY($A72,2)))</x:f>
        <x:v>1</x:v>
      </x:c>
      <x:c r="F72" s="11" t="n">
        <x:f>IF($A72="","",Assumptions!$B$15)</x:f>
        <x:v>0.35</x:v>
      </x:c>
      <x:c r="G72" s="11" t="n">
        <x:f>IF($A72="","",MAX(INDEX(Assumptions!$H$5:$H$12,MATCH($B72,Assumptions!$D$5:$D$12,0)),MIN(INDEX(Assumptions!$I$5:$I$12,MATCH($B72,Assumptions!$D$5:$D$12,0)),($C72+$D72*SQRT(-2*LN(RAND()))*COS(2*PI()*RAND()))*$E72*$J72*$K72)))</x:f>
        <x:v>1118.7975309958156</x:v>
      </x:c>
      <x:c r="H72" s="11" t="n">
        <x:f>IF($A72="","",$G72*$F72+$C72*(1-$F72))</x:f>
        <x:v>1119.5791358485353</x:v>
      </x:c>
      <x:c r="I72" s="11" t="n">
        <x:f>IF($A72="","",AVERAGE($H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1088.6833713906467</x:v>
      </x:c>
      <x:c r="J72" s="12" t="n">
        <x:f>IF($A72="","",1+SUMIFS(Assumptions!$S$5:$S$10,Assumptions!$P$5:$P$10,$B72,Assumptions!$Q$5:$Q$10,"&lt;="&amp;$A72,Assumptions!$R$5:$R$10,"&gt;="&amp;$A72))</x:f>
        <x:v>1</x:v>
      </x:c>
      <x:c r="K72" s="12" t="n">
        <x:f>IF($A72="","",1+((($A72-Assumptions!$B$5)/30)*INDEX(Assumptions!$J$5:$J$12,MATCH($B72,Assumptions!$D$5:$D$12,0))))</x:f>
        <x:v>1.0009333333333332</x:v>
      </x:c>
      <x:c r="L72" t="str">
        <x:f>IF($A72="","",IFERROR(INDEX(Assumptions!$O$5:$O$10,MATCH(1,(Assumptions!$P$5:$P$10=$B72)*(Assumptions!$Q$5:$Q$10&lt;=$A72)*(Assumptions!$R$5:$R$10&gt;=$A72),0)),""))</x:f>
      </x:c>
      <x:c r="M72" t="n">
        <x:f>--($A72&lt;&gt;"")</x:f>
        <x:v>1</x:v>
      </x:c>
    </x:row>
    <x:row r="73">
      <x:c r="A73" s="10" t="n">
        <x:f>IF(Assumptions!$B$5+INT((ROW()-2)/Assumptions!$B$7)&gt;Assumptions!$B$6,"",Assumptions!$B$5+INT((ROW()-2)/Assumptions!$B$7))</x:f>
        <x:v>46037</x:v>
      </x:c>
      <x:c r="B73" t="str">
        <x:f>IF($A73="","",INDEX(Assumptions!$D$5:$D$12,MOD(ROW()-2,Assumptions!$B$7)+1))</x:f>
        <x:v>LV-426 North</x:v>
      </x:c>
      <x:c r="C73" s="11" t="n">
        <x:f>IF($A73="","",INDEX(Assumptions!$F$5:$F$12,MATCH($B73,Assumptions!$D$5:$D$12,0)))</x:f>
        <x:v>930</x:v>
      </x:c>
      <x:c r="D73" s="11" t="n">
        <x:f>IF($A73="","",INDEX(Assumptions!$G$5:$G$12,MATCH($B73,Assumptions!$D$5:$D$12,0)))</x:f>
        <x:v>95</x:v>
      </x:c>
      <x:c r="E73" s="11" t="n">
        <x:f>IF($A73="","",INDEX(Assumptions!$M$5:$M$11,WEEKDAY($A73,2)))</x:f>
        <x:v>1</x:v>
      </x:c>
      <x:c r="F73" s="11" t="n">
        <x:f>IF($A73="","",Assumptions!$B$15)</x:f>
        <x:v>0.35</x:v>
      </x:c>
      <x:c r="G73" s="11" t="n">
        <x:f>IF($A73="","",MAX(INDEX(Assumptions!$H$5:$H$12,MATCH($B73,Assumptions!$D$5:$D$12,0)),MIN(INDEX(Assumptions!$I$5:$I$12,MATCH($B73,Assumptions!$D$5:$D$12,0)),($C73+$D73*SQRT(-2*LN(RAND()))*COS(2*PI()*RAND()))*$E73*$J73*$K73)))</x:f>
        <x:v>939.4297538471272</x:v>
      </x:c>
      <x:c r="H73" s="11" t="n">
        <x:f>IF($A73="","",$G73*$F73+$C73*(1-$F73))</x:f>
        <x:v>933.3004138464945</x:v>
      </x:c>
      <x:c r="I73" s="11" t="n">
        <x:f>IF($A73="","",AVERAGE($H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914.942278684202</x:v>
      </x:c>
      <x:c r="J73" s="12" t="n">
        <x:f>IF($A73="","",1+SUMIFS(Assumptions!$S$5:$S$10,Assumptions!$P$5:$P$10,$B73,Assumptions!$Q$5:$Q$10,"&lt;="&amp;$A73,Assumptions!$R$5:$R$10,"&gt;="&amp;$A73))</x:f>
        <x:v>1</x:v>
      </x:c>
      <x:c r="K73" s="12" t="n">
        <x:f>IF($A73="","",1+((($A73-Assumptions!$B$5)/30)*INDEX(Assumptions!$J$5:$J$12,MATCH($B73,Assumptions!$D$5:$D$12,0))))</x:f>
        <x:v>0.9995333333333334</x:v>
      </x:c>
      <x:c r="L73" t="str">
        <x:f>IF($A73="","",IFERROR(INDEX(Assumptions!$O$5:$O$10,MATCH(1,(Assumptions!$P$5:$P$10=$B73)*(Assumptions!$Q$5:$Q$10&lt;=$A73)*(Assumptions!$R$5:$R$10&gt;=$A73),0)),""))</x:f>
      </x:c>
      <x:c r="M73" t="n">
        <x:f>--($A73&lt;&gt;"")</x:f>
        <x:v>1</x:v>
      </x:c>
    </x:row>
    <x:row r="74">
      <x:c r="A74" s="10" t="n">
        <x:f>IF(Assumptions!$B$5+INT((ROW()-2)/Assumptions!$B$7)&gt;Assumptions!$B$6,"",Assumptions!$B$5+INT((ROW()-2)/Assumptions!$B$7))</x:f>
        <x:v>46037</x:v>
      </x:c>
      <x:c r="B74" t="str">
        <x:f>IF($A74="","",INDEX(Assumptions!$D$5:$D$12,MOD(ROW()-2,Assumptions!$B$7)+1))</x:f>
        <x:v>Nostromo Deep</x:v>
      </x:c>
      <x:c r="C74" s="11" t="n">
        <x:f>IF($A74="","",INDEX(Assumptions!$F$5:$F$12,MATCH($B74,Assumptions!$D$5:$D$12,0)))</x:f>
        <x:v>1260</x:v>
      </x:c>
      <x:c r="D74" s="11" t="n">
        <x:f>IF($A74="","",INDEX(Assumptions!$G$5:$G$12,MATCH($B74,Assumptions!$D$5:$D$12,0)))</x:f>
        <x:v>145</x:v>
      </x:c>
      <x:c r="E74" s="11" t="n">
        <x:f>IF($A74="","",INDEX(Assumptions!$M$5:$M$11,WEEKDAY($A74,2)))</x:f>
        <x:v>1</x:v>
      </x:c>
      <x:c r="F74" s="11" t="n">
        <x:f>IF($A74="","",Assumptions!$B$15)</x:f>
        <x:v>0.35</x:v>
      </x:c>
      <x:c r="G74" s="11" t="n">
        <x:f>IF($A74="","",MAX(INDEX(Assumptions!$H$5:$H$12,MATCH($B74,Assumptions!$D$5:$D$12,0)),MIN(INDEX(Assumptions!$I$5:$I$12,MATCH($B74,Assumptions!$D$5:$D$12,0)),($C74+$D74*SQRT(-2*LN(RAND()))*COS(2*PI()*RAND()))*$E74*$J74*$K74)))</x:f>
        <x:v>1394.6025404957775</x:v>
      </x:c>
      <x:c r="H74" s="11" t="n">
        <x:f>IF($A74="","",$G74*$F74+$C74*(1-$F74))</x:f>
        <x:v>1307.110889173522</x:v>
      </x:c>
      <x:c r="I74" s="11" t="n">
        <x:f>IF($A74="","",AVERAGE($H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1259.4868780546517</x:v>
      </x:c>
      <x:c r="J74" s="12" t="n">
        <x:f>IF($A74="","",1+SUMIFS(Assumptions!$S$5:$S$10,Assumptions!$P$5:$P$10,$B74,Assumptions!$Q$5:$Q$10,"&lt;="&amp;$A74,Assumptions!$R$5:$R$10,"&gt;="&amp;$A74))</x:f>
        <x:v>1</x:v>
      </x:c>
      <x:c r="K74" s="12" t="n">
        <x:f>IF($A74="","",1+((($A74-Assumptions!$B$5)/30)*INDEX(Assumptions!$J$5:$J$12,MATCH($B74,Assumptions!$D$5:$D$12,0))))</x:f>
        <x:v>1.0014</x:v>
      </x:c>
      <x:c r="L74" t="str">
        <x:f>IF($A74="","",IFERROR(INDEX(Assumptions!$O$5:$O$10,MATCH(1,(Assumptions!$P$5:$P$10=$B74)*(Assumptions!$Q$5:$Q$10&lt;=$A74)*(Assumptions!$R$5:$R$10&gt;=$A74),0)),""))</x:f>
      </x:c>
      <x:c r="M74" t="n">
        <x:f>--($A74&lt;&gt;"")</x:f>
        <x:v>1</x:v>
      </x:c>
    </x:row>
    <x:row r="75">
      <x:c r="A75" s="10" t="n">
        <x:f>IF(Assumptions!$B$5+INT((ROW()-2)/Assumptions!$B$7)&gt;Assumptions!$B$6,"",Assumptions!$B$5+INT((ROW()-2)/Assumptions!$B$7))</x:f>
        <x:v>46037</x:v>
      </x:c>
      <x:c r="B75" t="str">
        <x:f>IF($A75="","",INDEX(Assumptions!$D$5:$D$12,MOD(ROW()-2,Assumptions!$B$7)+1))</x:f>
        <x:v>Hadley's Hope</x:v>
      </x:c>
      <x:c r="C75" s="11" t="n">
        <x:f>IF($A75="","",INDEX(Assumptions!$F$5:$F$12,MATCH($B75,Assumptions!$D$5:$D$12,0)))</x:f>
        <x:v>845</x:v>
      </x:c>
      <x:c r="D75" s="11" t="n">
        <x:f>IF($A75="","",INDEX(Assumptions!$G$5:$G$12,MATCH($B75,Assumptions!$D$5:$D$12,0)))</x:f>
        <x:v>80</x:v>
      </x:c>
      <x:c r="E75" s="11" t="n">
        <x:f>IF($A75="","",INDEX(Assumptions!$M$5:$M$11,WEEKDAY($A75,2)))</x:f>
        <x:v>1</x:v>
      </x:c>
      <x:c r="F75" s="11" t="n">
        <x:f>IF($A75="","",Assumptions!$B$15)</x:f>
        <x:v>0.35</x:v>
      </x:c>
      <x:c r="G75" s="11" t="n">
        <x:f>IF($A75="","",MAX(INDEX(Assumptions!$H$5:$H$12,MATCH($B75,Assumptions!$D$5:$D$12,0)),MIN(INDEX(Assumptions!$I$5:$I$12,MATCH($B75,Assumptions!$D$5:$D$12,0)),($C75+$D75*SQRT(-2*LN(RAND()))*COS(2*PI()*RAND()))*$E75*$J75*$K75)))</x:f>
        <x:v>773.5514915389771</x:v>
      </x:c>
      <x:c r="H75" s="11" t="n">
        <x:f>IF($A75="","",$G75*$F75+$C75*(1-$F75))</x:f>
        <x:v>819.993022038642</x:v>
      </x:c>
      <x:c r="I75" s="11" t="n">
        <x:f>IF($A75="","",AVERAGE($H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837.8900666232738</x:v>
      </x:c>
      <x:c r="J75" s="12" t="n">
        <x:f>IF($A75="","",1+SUMIFS(Assumptions!$S$5:$S$10,Assumptions!$P$5:$P$10,$B75,Assumptions!$Q$5:$Q$10,"&lt;="&amp;$A75,Assumptions!$R$5:$R$10,"&gt;="&amp;$A75))</x:f>
        <x:v>1</x:v>
      </x:c>
      <x:c r="K75" s="12" t="n">
        <x:f>IF($A75="","",1+((($A75-Assumptions!$B$5)/30)*INDEX(Assumptions!$J$5:$J$12,MATCH($B75,Assumptions!$D$5:$D$12,0))))</x:f>
        <x:v>1.0004666666666666</x:v>
      </x:c>
      <x:c r="L75" t="str">
        <x:f>IF($A75="","",IFERROR(INDEX(Assumptions!$O$5:$O$10,MATCH(1,(Assumptions!$P$5:$P$10=$B75)*(Assumptions!$Q$5:$Q$10&lt;=$A75)*(Assumptions!$R$5:$R$10&gt;=$A75),0)),""))</x:f>
      </x:c>
      <x:c r="M75" t="n">
        <x:f>--($A75&lt;&gt;"")</x:f>
        <x:v>1</x:v>
      </x:c>
    </x:row>
    <x:row r="76">
      <x:c r="A76" s="10" t="n">
        <x:f>IF(Assumptions!$B$5+INT((ROW()-2)/Assumptions!$B$7)&gt;Assumptions!$B$6,"",Assumptions!$B$5+INT((ROW()-2)/Assumptions!$B$7))</x:f>
        <x:v>46037</x:v>
      </x:c>
      <x:c r="B76" t="str">
        <x:f>IF($A76="","",INDEX(Assumptions!$D$5:$D$12,MOD(ROW()-2,Assumptions!$B$7)+1))</x:f>
        <x:v>Yutani Ridge</x:v>
      </x:c>
      <x:c r="C76" s="11" t="n">
        <x:f>IF($A76="","",INDEX(Assumptions!$F$5:$F$12,MATCH($B76,Assumptions!$D$5:$D$12,0)))</x:f>
        <x:v>1050</x:v>
      </x:c>
      <x:c r="D76" s="11" t="n">
        <x:f>IF($A76="","",INDEX(Assumptions!$G$5:$G$12,MATCH($B76,Assumptions!$D$5:$D$12,0)))</x:f>
        <x:v>125</x:v>
      </x:c>
      <x:c r="E76" s="11" t="n">
        <x:f>IF($A76="","",INDEX(Assumptions!$M$5:$M$11,WEEKDAY($A76,2)))</x:f>
        <x:v>1</x:v>
      </x:c>
      <x:c r="F76" s="11" t="n">
        <x:f>IF($A76="","",Assumptions!$B$15)</x:f>
        <x:v>0.35</x:v>
      </x:c>
      <x:c r="G76" s="11" t="n">
        <x:f>IF($A76="","",MAX(INDEX(Assumptions!$H$5:$H$12,MATCH($B76,Assumptions!$D$5:$D$12,0)),MIN(INDEX(Assumptions!$I$5:$I$12,MATCH($B76,Assumptions!$D$5:$D$12,0)),($C76+$D76*SQRT(-2*LN(RAND()))*COS(2*PI()*RAND()))*$E76*$J76*$K76)))</x:f>
        <x:v>1124.3556134991013</x:v>
      </x:c>
      <x:c r="H76" s="11" t="n">
        <x:f>IF($A76="","",$G76*$F76+$C76*(1-$F76))</x:f>
        <x:v>1076.0244647246855</x:v>
      </x:c>
      <x:c r="I76" s="11" t="n">
        <x:f>IF($A76="","",AVERAGE($H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1036.5453980436303</x:v>
      </x:c>
      <x:c r="J76" s="12" t="n">
        <x:f>IF($A76="","",1+SUMIFS(Assumptions!$S$5:$S$10,Assumptions!$P$5:$P$10,$B76,Assumptions!$Q$5:$Q$10,"&lt;="&amp;$A76,Assumptions!$R$5:$R$10,"&gt;="&amp;$A76))</x:f>
        <x:v>1</x:v>
      </x:c>
      <x:c r="K76" s="12" t="n">
        <x:f>IF($A76="","",1+((($A76-Assumptions!$B$5)/30)*INDEX(Assumptions!$J$5:$J$12,MATCH($B76,Assumptions!$D$5:$D$12,0))))</x:f>
        <x:v>1.0011666666666668</x:v>
      </x:c>
      <x:c r="L76" t="str">
        <x:f>IF($A76="","",IFERROR(INDEX(Assumptions!$O$5:$O$10,MATCH(1,(Assumptions!$P$5:$P$10=$B76)*(Assumptions!$Q$5:$Q$10&lt;=$A76)*(Assumptions!$R$5:$R$10&gt;=$A76),0)),""))</x:f>
      </x:c>
      <x:c r="M76" t="n">
        <x:f>--($A76&lt;&gt;"")</x:f>
        <x:v>1</x:v>
      </x:c>
    </x:row>
    <x:row r="77">
      <x:c r="A77" s="10" t="n">
        <x:f>IF(Assumptions!$B$5+INT((ROW()-2)/Assumptions!$B$7)&gt;Assumptions!$B$6,"",Assumptions!$B$5+INT((ROW()-2)/Assumptions!$B$7))</x:f>
        <x:v>46038</x:v>
      </x:c>
      <x:c r="B77" t="str">
        <x:f>IF($A77="","",INDEX(Assumptions!$D$5:$D$12,MOD(ROW()-2,Assumptions!$B$7)+1))</x:f>
        <x:v>Acheron Prime</x:v>
      </x:c>
      <x:c r="C77" s="11" t="n">
        <x:f>IF($A77="","",INDEX(Assumptions!$F$5:$F$12,MATCH($B77,Assumptions!$D$5:$D$12,0)))</x:f>
        <x:v>1120</x:v>
      </x:c>
      <x:c r="D77" s="11" t="n">
        <x:f>IF($A77="","",INDEX(Assumptions!$G$5:$G$12,MATCH($B77,Assumptions!$D$5:$D$12,0)))</x:f>
        <x:v>115</x:v>
      </x:c>
      <x:c r="E77" s="11" t="n">
        <x:f>IF($A77="","",INDEX(Assumptions!$M$5:$M$11,WEEKDAY($A77,2)))</x:f>
        <x:v>0.98</x:v>
      </x:c>
      <x:c r="F77" s="11" t="n">
        <x:f>IF($A77="","",Assumptions!$B$15)</x:f>
        <x:v>0.35</x:v>
      </x:c>
      <x:c r="G77" s="11" t="n">
        <x:f>IF($A77="","",MAX(INDEX(Assumptions!$H$5:$H$12,MATCH($B77,Assumptions!$D$5:$D$12,0)),MIN(INDEX(Assumptions!$I$5:$I$12,MATCH($B77,Assumptions!$D$5:$D$12,0)),($C77+$D77*SQRT(-2*LN(RAND()))*COS(2*PI()*RAND()))*$E77*$J77*$K77)))</x:f>
        <x:v>1043.6755308876038</x:v>
      </x:c>
      <x:c r="H77" s="11" t="n">
        <x:f>IF($A77="","",$G77*$F77+$C77*(1-$F77))</x:f>
        <x:v>1093.2864358106613</x:v>
      </x:c>
      <x:c r="I77" s="11" t="n">
        <x:f>IF($A77="","",AVERAGE($H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1096.2340965309315</x:v>
      </x:c>
      <x:c r="J77" s="12" t="n">
        <x:f>IF($A77="","",1+SUMIFS(Assumptions!$S$5:$S$10,Assumptions!$P$5:$P$10,$B77,Assumptions!$Q$5:$Q$10,"&lt;="&amp;$A77,Assumptions!$R$5:$R$10,"&gt;="&amp;$A77))</x:f>
        <x:v>1</x:v>
      </x:c>
      <x:c r="K77" s="12" t="n">
        <x:f>IF($A77="","",1+((($A77-Assumptions!$B$5)/30)*INDEX(Assumptions!$J$5:$J$12,MATCH($B77,Assumptions!$D$5:$D$12,0))))</x:f>
        <x:v>1.001</x:v>
      </x:c>
      <x:c r="L77" t="str">
        <x:f>IF($A77="","",IFERROR(INDEX(Assumptions!$O$5:$O$10,MATCH(1,(Assumptions!$P$5:$P$10=$B77)*(Assumptions!$Q$5:$Q$10&lt;=$A77)*(Assumptions!$R$5:$R$10&gt;=$A77),0)),""))</x:f>
      </x:c>
      <x:c r="M77" t="n">
        <x:f>--($A77&lt;&gt;"")</x:f>
        <x:v>1</x:v>
      </x:c>
    </x:row>
    <x:row r="78">
      <x:c r="A78" s="10" t="n">
        <x:f>IF(Assumptions!$B$5+INT((ROW()-2)/Assumptions!$B$7)&gt;Assumptions!$B$6,"",Assumptions!$B$5+INT((ROW()-2)/Assumptions!$B$7))</x:f>
        <x:v>46038</x:v>
      </x:c>
      <x:c r="B78" t="str">
        <x:f>IF($A78="","",INDEX(Assumptions!$D$5:$D$12,MOD(ROW()-2,Assumptions!$B$7)+1))</x:f>
        <x:v>LV-426 North</x:v>
      </x:c>
      <x:c r="C78" s="11" t="n">
        <x:f>IF($A78="","",INDEX(Assumptions!$F$5:$F$12,MATCH($B78,Assumptions!$D$5:$D$12,0)))</x:f>
        <x:v>930</x:v>
      </x:c>
      <x:c r="D78" s="11" t="n">
        <x:f>IF($A78="","",INDEX(Assumptions!$G$5:$G$12,MATCH($B78,Assumptions!$D$5:$D$12,0)))</x:f>
        <x:v>95</x:v>
      </x:c>
      <x:c r="E78" s="11" t="n">
        <x:f>IF($A78="","",INDEX(Assumptions!$M$5:$M$11,WEEKDAY($A78,2)))</x:f>
        <x:v>0.98</x:v>
      </x:c>
      <x:c r="F78" s="11" t="n">
        <x:f>IF($A78="","",Assumptions!$B$15)</x:f>
        <x:v>0.35</x:v>
      </x:c>
      <x:c r="G78" s="11" t="n">
        <x:f>IF($A78="","",MAX(INDEX(Assumptions!$H$5:$H$12,MATCH($B78,Assumptions!$D$5:$D$12,0)),MIN(INDEX(Assumptions!$I$5:$I$12,MATCH($B78,Assumptions!$D$5:$D$12,0)),($C78+$D78*SQRT(-2*LN(RAND()))*COS(2*PI()*RAND()))*$E78*$J78*$K78)))</x:f>
        <x:v>949.3948811332775</x:v>
      </x:c>
      <x:c r="H78" s="11" t="n">
        <x:f>IF($A78="","",$G78*$F78+$C78*(1-$F78))</x:f>
        <x:v>936.7882083966472</x:v>
      </x:c>
      <x:c r="I78" s="11" t="n">
        <x:f>IF($A78="","",AVERAGE($H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911.6470253445335</x:v>
      </x:c>
      <x:c r="J78" s="12" t="n">
        <x:f>IF($A78="","",1+SUMIFS(Assumptions!$S$5:$S$10,Assumptions!$P$5:$P$10,$B78,Assumptions!$Q$5:$Q$10,"&lt;="&amp;$A78,Assumptions!$R$5:$R$10,"&gt;="&amp;$A78))</x:f>
        <x:v>1</x:v>
      </x:c>
      <x:c r="K78" s="12" t="n">
        <x:f>IF($A78="","",1+((($A78-Assumptions!$B$5)/30)*INDEX(Assumptions!$J$5:$J$12,MATCH($B78,Assumptions!$D$5:$D$12,0))))</x:f>
        <x:v>0.9995</x:v>
      </x:c>
      <x:c r="L78" t="str">
        <x:f>IF($A78="","",IFERROR(INDEX(Assumptions!$O$5:$O$10,MATCH(1,(Assumptions!$P$5:$P$10=$B78)*(Assumptions!$Q$5:$Q$10&lt;=$A78)*(Assumptions!$R$5:$R$10&gt;=$A78),0)),""))</x:f>
      </x:c>
      <x:c r="M78" t="n">
        <x:f>--($A78&lt;&gt;"")</x:f>
        <x:v>1</x:v>
      </x:c>
    </x:row>
    <x:row r="79">
      <x:c r="A79" s="10" t="n">
        <x:f>IF(Assumptions!$B$5+INT((ROW()-2)/Assumptions!$B$7)&gt;Assumptions!$B$6,"",Assumptions!$B$5+INT((ROW()-2)/Assumptions!$B$7))</x:f>
        <x:v>46038</x:v>
      </x:c>
      <x:c r="B79" t="str">
        <x:f>IF($A79="","",INDEX(Assumptions!$D$5:$D$12,MOD(ROW()-2,Assumptions!$B$7)+1))</x:f>
        <x:v>Nostromo Deep</x:v>
      </x:c>
      <x:c r="C79" s="11" t="n">
        <x:f>IF($A79="","",INDEX(Assumptions!$F$5:$F$12,MATCH($B79,Assumptions!$D$5:$D$12,0)))</x:f>
        <x:v>1260</x:v>
      </x:c>
      <x:c r="D79" s="11" t="n">
        <x:f>IF($A79="","",INDEX(Assumptions!$G$5:$G$12,MATCH($B79,Assumptions!$D$5:$D$12,0)))</x:f>
        <x:v>145</x:v>
      </x:c>
      <x:c r="E79" s="11" t="n">
        <x:f>IF($A79="","",INDEX(Assumptions!$M$5:$M$11,WEEKDAY($A79,2)))</x:f>
        <x:v>0.98</x:v>
      </x:c>
      <x:c r="F79" s="11" t="n">
        <x:f>IF($A79="","",Assumptions!$B$15)</x:f>
        <x:v>0.35</x:v>
      </x:c>
      <x:c r="G79" s="11" t="n">
        <x:f>IF($A79="","",MAX(INDEX(Assumptions!$H$5:$H$12,MATCH($B79,Assumptions!$D$5:$D$12,0)),MIN(INDEX(Assumptions!$I$5:$I$12,MATCH($B79,Assumptions!$D$5:$D$12,0)),($C79+$D79*SQRT(-2*LN(RAND()))*COS(2*PI()*RAND()))*$E79*$J79*$K79)))</x:f>
        <x:v>1326.136825426987</x:v>
      </x:c>
      <x:c r="H79" s="11" t="n">
        <x:f>IF($A79="","",$G79*$F79+$C79*(1-$F79))</x:f>
        <x:v>1283.1478888994454</x:v>
      </x:c>
      <x:c r="I79" s="11" t="n">
        <x:f>IF($A79="","",AVERAGE($H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1270.048848291673</x:v>
      </x:c>
      <x:c r="J79" s="12" t="n">
        <x:f>IF($A79="","",1+SUMIFS(Assumptions!$S$5:$S$10,Assumptions!$P$5:$P$10,$B79,Assumptions!$Q$5:$Q$10,"&lt;="&amp;$A79,Assumptions!$R$5:$R$10,"&gt;="&amp;$A79))</x:f>
        <x:v>1</x:v>
      </x:c>
      <x:c r="K79" s="12" t="n">
        <x:f>IF($A79="","",1+((($A79-Assumptions!$B$5)/30)*INDEX(Assumptions!$J$5:$J$12,MATCH($B79,Assumptions!$D$5:$D$12,0))))</x:f>
        <x:v>1.0015</x:v>
      </x:c>
      <x:c r="L79" t="str">
        <x:f>IF($A79="","",IFERROR(INDEX(Assumptions!$O$5:$O$10,MATCH(1,(Assumptions!$P$5:$P$10=$B79)*(Assumptions!$Q$5:$Q$10&lt;=$A79)*(Assumptions!$R$5:$R$10&gt;=$A79),0)),""))</x:f>
      </x:c>
      <x:c r="M79" t="n">
        <x:f>--($A79&lt;&gt;"")</x:f>
        <x:v>1</x:v>
      </x:c>
    </x:row>
    <x:row r="80">
      <x:c r="A80" s="10" t="n">
        <x:f>IF(Assumptions!$B$5+INT((ROW()-2)/Assumptions!$B$7)&gt;Assumptions!$B$6,"",Assumptions!$B$5+INT((ROW()-2)/Assumptions!$B$7))</x:f>
        <x:v>46038</x:v>
      </x:c>
      <x:c r="B80" t="str">
        <x:f>IF($A80="","",INDEX(Assumptions!$D$5:$D$12,MOD(ROW()-2,Assumptions!$B$7)+1))</x:f>
        <x:v>Hadley's Hope</x:v>
      </x:c>
      <x:c r="C80" s="11" t="n">
        <x:f>IF($A80="","",INDEX(Assumptions!$F$5:$F$12,MATCH($B80,Assumptions!$D$5:$D$12,0)))</x:f>
        <x:v>845</x:v>
      </x:c>
      <x:c r="D80" s="11" t="n">
        <x:f>IF($A80="","",INDEX(Assumptions!$G$5:$G$12,MATCH($B80,Assumptions!$D$5:$D$12,0)))</x:f>
        <x:v>80</x:v>
      </x:c>
      <x:c r="E80" s="11" t="n">
        <x:f>IF($A80="","",INDEX(Assumptions!$M$5:$M$11,WEEKDAY($A80,2)))</x:f>
        <x:v>0.98</x:v>
      </x:c>
      <x:c r="F80" s="11" t="n">
        <x:f>IF($A80="","",Assumptions!$B$15)</x:f>
        <x:v>0.35</x:v>
      </x:c>
      <x:c r="G80" s="11" t="n">
        <x:f>IF($A80="","",MAX(INDEX(Assumptions!$H$5:$H$12,MATCH($B80,Assumptions!$D$5:$D$12,0)),MIN(INDEX(Assumptions!$I$5:$I$12,MATCH($B80,Assumptions!$D$5:$D$12,0)),($C80+$D80*SQRT(-2*LN(RAND()))*COS(2*PI()*RAND()))*$E80*$J80*$K80)))</x:f>
        <x:v>603.3762645880184</x:v>
      </x:c>
      <x:c r="H80" s="11" t="n">
        <x:f>IF($A80="","",$G80*$F80+$C80*(1-$F80))</x:f>
        <x:v>760.4316926058065</x:v>
      </x:c>
      <x:c r="I80" s="11" t="n">
        <x:f>IF($A80="","",AVERAGE($H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830.6611908917656</x:v>
      </x:c>
      <x:c r="J80" s="12" t="n">
        <x:f>IF($A80="","",1+SUMIFS(Assumptions!$S$5:$S$10,Assumptions!$P$5:$P$10,$B80,Assumptions!$Q$5:$Q$10,"&lt;="&amp;$A80,Assumptions!$R$5:$R$10,"&gt;="&amp;$A80))</x:f>
        <x:v>1</x:v>
      </x:c>
      <x:c r="K80" s="12" t="n">
        <x:f>IF($A80="","",1+((($A80-Assumptions!$B$5)/30)*INDEX(Assumptions!$J$5:$J$12,MATCH($B80,Assumptions!$D$5:$D$12,0))))</x:f>
        <x:v>1.0005</x:v>
      </x:c>
      <x:c r="L80" t="str">
        <x:f>IF($A80="","",IFERROR(INDEX(Assumptions!$O$5:$O$10,MATCH(1,(Assumptions!$P$5:$P$10=$B80)*(Assumptions!$Q$5:$Q$10&lt;=$A80)*(Assumptions!$R$5:$R$10&gt;=$A80),0)),""))</x:f>
      </x:c>
      <x:c r="M80" t="n">
        <x:f>--($A80&lt;&gt;"")</x:f>
        <x:v>1</x:v>
      </x:c>
    </x:row>
    <x:row r="81">
      <x:c r="A81" s="10" t="n">
        <x:f>IF(Assumptions!$B$5+INT((ROW()-2)/Assumptions!$B$7)&gt;Assumptions!$B$6,"",Assumptions!$B$5+INT((ROW()-2)/Assumptions!$B$7))</x:f>
        <x:v>46038</x:v>
      </x:c>
      <x:c r="B81" t="str">
        <x:f>IF($A81="","",INDEX(Assumptions!$D$5:$D$12,MOD(ROW()-2,Assumptions!$B$7)+1))</x:f>
        <x:v>Yutani Ridge</x:v>
      </x:c>
      <x:c r="C81" s="11" t="n">
        <x:f>IF($A81="","",INDEX(Assumptions!$F$5:$F$12,MATCH($B81,Assumptions!$D$5:$D$12,0)))</x:f>
        <x:v>1050</x:v>
      </x:c>
      <x:c r="D81" s="11" t="n">
        <x:f>IF($A81="","",INDEX(Assumptions!$G$5:$G$12,MATCH($B81,Assumptions!$D$5:$D$12,0)))</x:f>
        <x:v>125</x:v>
      </x:c>
      <x:c r="E81" s="11" t="n">
        <x:f>IF($A81="","",INDEX(Assumptions!$M$5:$M$11,WEEKDAY($A81,2)))</x:f>
        <x:v>0.98</x:v>
      </x:c>
      <x:c r="F81" s="11" t="n">
        <x:f>IF($A81="","",Assumptions!$B$15)</x:f>
        <x:v>0.35</x:v>
      </x:c>
      <x:c r="G81" s="11" t="n">
        <x:f>IF($A81="","",MAX(INDEX(Assumptions!$H$5:$H$12,MATCH($B81,Assumptions!$D$5:$D$12,0)),MIN(INDEX(Assumptions!$I$5:$I$12,MATCH($B81,Assumptions!$D$5:$D$12,0)),($C81+$D81*SQRT(-2*LN(RAND()))*COS(2*PI()*RAND()))*$E81*$J81*$K81)))</x:f>
        <x:v>1079.6846525043024</x:v>
      </x:c>
      <x:c r="H81" s="11" t="n">
        <x:f>IF($A81="","",$G81*$F81+$C81*(1-$F81))</x:f>
        <x:v>1060.3896283765057</x:v>
      </x:c>
      <x:c r="I81" s="11" t="n">
        <x:f>IF($A81="","",AVERAGE($H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1046.5097231393831</x:v>
      </x:c>
      <x:c r="J81" s="12" t="n">
        <x:f>IF($A81="","",1+SUMIFS(Assumptions!$S$5:$S$10,Assumptions!$P$5:$P$10,$B81,Assumptions!$Q$5:$Q$10,"&lt;="&amp;$A81,Assumptions!$R$5:$R$10,"&gt;="&amp;$A81))</x:f>
        <x:v>1</x:v>
      </x:c>
      <x:c r="K81" s="12" t="n">
        <x:f>IF($A81="","",1+((($A81-Assumptions!$B$5)/30)*INDEX(Assumptions!$J$5:$J$12,MATCH($B81,Assumptions!$D$5:$D$12,0))))</x:f>
        <x:v>1.00125</x:v>
      </x:c>
      <x:c r="L81" t="str">
        <x:f>IF($A81="","",IFERROR(INDEX(Assumptions!$O$5:$O$10,MATCH(1,(Assumptions!$P$5:$P$10=$B81)*(Assumptions!$Q$5:$Q$10&lt;=$A81)*(Assumptions!$R$5:$R$10&gt;=$A81),0)),""))</x:f>
      </x:c>
      <x:c r="M81" t="n">
        <x:f>--($A81&lt;&gt;"")</x:f>
        <x:v>1</x:v>
      </x:c>
    </x:row>
    <x:row r="82">
      <x:c r="A82" s="10" t="n">
        <x:f>IF(Assumptions!$B$5+INT((ROW()-2)/Assumptions!$B$7)&gt;Assumptions!$B$6,"",Assumptions!$B$5+INT((ROW()-2)/Assumptions!$B$7))</x:f>
        <x:v>46039</x:v>
      </x:c>
      <x:c r="B82" t="str">
        <x:f>IF($A82="","",INDEX(Assumptions!$D$5:$D$12,MOD(ROW()-2,Assumptions!$B$7)+1))</x:f>
        <x:v>Acheron Prime</x:v>
      </x:c>
      <x:c r="C82" s="11" t="n">
        <x:f>IF($A82="","",INDEX(Assumptions!$F$5:$F$12,MATCH($B82,Assumptions!$D$5:$D$12,0)))</x:f>
        <x:v>1120</x:v>
      </x:c>
      <x:c r="D82" s="11" t="n">
        <x:f>IF($A82="","",INDEX(Assumptions!$G$5:$G$12,MATCH($B82,Assumptions!$D$5:$D$12,0)))</x:f>
        <x:v>115</x:v>
      </x:c>
      <x:c r="E82" s="11" t="n">
        <x:f>IF($A82="","",INDEX(Assumptions!$M$5:$M$11,WEEKDAY($A82,2)))</x:f>
        <x:v>0.91</x:v>
      </x:c>
      <x:c r="F82" s="11" t="n">
        <x:f>IF($A82="","",Assumptions!$B$15)</x:f>
        <x:v>0.35</x:v>
      </x:c>
      <x:c r="G82" s="11" t="n">
        <x:f>IF($A82="","",MAX(INDEX(Assumptions!$H$5:$H$12,MATCH($B82,Assumptions!$D$5:$D$12,0)),MIN(INDEX(Assumptions!$I$5:$I$12,MATCH($B82,Assumptions!$D$5:$D$12,0)),($C82+$D82*SQRT(-2*LN(RAND()))*COS(2*PI()*RAND()))*$E82*$J82*$K82)))</x:f>
        <x:v>966.6079024067589</x:v>
      </x:c>
      <x:c r="H82" s="11" t="n">
        <x:f>IF($A82="","",$G82*$F82+$C82*(1-$F82))</x:f>
        <x:v>1066.3127658423655</x:v>
      </x:c>
      <x:c r="I82" s="11" t="n">
        <x:f>IF($A82="","",AVERAGE($H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1099.106962403658</x:v>
      </x:c>
      <x:c r="J82" s="12" t="n">
        <x:f>IF($A82="","",1+SUMIFS(Assumptions!$S$5:$S$10,Assumptions!$P$5:$P$10,$B82,Assumptions!$Q$5:$Q$10,"&lt;="&amp;$A82,Assumptions!$R$5:$R$10,"&gt;="&amp;$A82))</x:f>
        <x:v>1</x:v>
      </x:c>
      <x:c r="K82" s="12" t="n">
        <x:f>IF($A82="","",1+((($A82-Assumptions!$B$5)/30)*INDEX(Assumptions!$J$5:$J$12,MATCH($B82,Assumptions!$D$5:$D$12,0))))</x:f>
        <x:v>1.0010666666666668</x:v>
      </x:c>
      <x:c r="L82" t="str">
        <x:f>IF($A82="","",IFERROR(INDEX(Assumptions!$O$5:$O$10,MATCH(1,(Assumptions!$P$5:$P$10=$B82)*(Assumptions!$Q$5:$Q$10&lt;=$A82)*(Assumptions!$R$5:$R$10&gt;=$A82),0)),""))</x:f>
      </x:c>
      <x:c r="M82" t="n">
        <x:f>--($A82&lt;&gt;"")</x:f>
        <x:v>1</x:v>
      </x:c>
    </x:row>
    <x:row r="83">
      <x:c r="A83" s="10" t="n">
        <x:f>IF(Assumptions!$B$5+INT((ROW()-2)/Assumptions!$B$7)&gt;Assumptions!$B$6,"",Assumptions!$B$5+INT((ROW()-2)/Assumptions!$B$7))</x:f>
        <x:v>46039</x:v>
      </x:c>
      <x:c r="B83" t="str">
        <x:f>IF($A83="","",INDEX(Assumptions!$D$5:$D$12,MOD(ROW()-2,Assumptions!$B$7)+1))</x:f>
        <x:v>LV-426 North</x:v>
      </x:c>
      <x:c r="C83" s="11" t="n">
        <x:f>IF($A83="","",INDEX(Assumptions!$F$5:$F$12,MATCH($B83,Assumptions!$D$5:$D$12,0)))</x:f>
        <x:v>930</x:v>
      </x:c>
      <x:c r="D83" s="11" t="n">
        <x:f>IF($A83="","",INDEX(Assumptions!$G$5:$G$12,MATCH($B83,Assumptions!$D$5:$D$12,0)))</x:f>
        <x:v>95</x:v>
      </x:c>
      <x:c r="E83" s="11" t="n">
        <x:f>IF($A83="","",INDEX(Assumptions!$M$5:$M$11,WEEKDAY($A83,2)))</x:f>
        <x:v>0.91</x:v>
      </x:c>
      <x:c r="F83" s="11" t="n">
        <x:f>IF($A83="","",Assumptions!$B$15)</x:f>
        <x:v>0.35</x:v>
      </x:c>
      <x:c r="G83" s="11" t="n">
        <x:f>IF($A83="","",MAX(INDEX(Assumptions!$H$5:$H$12,MATCH($B83,Assumptions!$D$5:$D$12,0)),MIN(INDEX(Assumptions!$I$5:$I$12,MATCH($B83,Assumptions!$D$5:$D$12,0)),($C83+$D83*SQRT(-2*LN(RAND()))*COS(2*PI()*RAND()))*$E83*$J83*$K83)))</x:f>
        <x:v>832.8248086942044</x:v>
      </x:c>
      <x:c r="H83" s="11" t="n">
        <x:f>IF($A83="","",$G83*$F83+$C83*(1-$F83))</x:f>
        <x:v>895.9886830429715</x:v>
      </x:c>
      <x:c r="I83" s="11" t="n">
        <x:f>IF($A83="","",AVERAGE($H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913.7313290230092</x:v>
      </x:c>
      <x:c r="J83" s="12" t="n">
        <x:f>IF($A83="","",1+SUMIFS(Assumptions!$S$5:$S$10,Assumptions!$P$5:$P$10,$B83,Assumptions!$Q$5:$Q$10,"&lt;="&amp;$A83,Assumptions!$R$5:$R$10,"&gt;="&amp;$A83))</x:f>
        <x:v>1</x:v>
      </x:c>
      <x:c r="K83" s="12" t="n">
        <x:f>IF($A83="","",1+((($A83-Assumptions!$B$5)/30)*INDEX(Assumptions!$J$5:$J$12,MATCH($B83,Assumptions!$D$5:$D$12,0))))</x:f>
        <x:v>0.9994666666666666</x:v>
      </x:c>
      <x:c r="L83" t="str">
        <x:f>IF($A83="","",IFERROR(INDEX(Assumptions!$O$5:$O$10,MATCH(1,(Assumptions!$P$5:$P$10=$B83)*(Assumptions!$Q$5:$Q$10&lt;=$A83)*(Assumptions!$R$5:$R$10&gt;=$A83),0)),""))</x:f>
      </x:c>
      <x:c r="M83" t="n">
        <x:f>--($A83&lt;&gt;"")</x:f>
        <x:v>1</x:v>
      </x:c>
    </x:row>
    <x:row r="84">
      <x:c r="A84" s="10" t="n">
        <x:f>IF(Assumptions!$B$5+INT((ROW()-2)/Assumptions!$B$7)&gt;Assumptions!$B$6,"",Assumptions!$B$5+INT((ROW()-2)/Assumptions!$B$7))</x:f>
        <x:v>46039</x:v>
      </x:c>
      <x:c r="B84" t="str">
        <x:f>IF($A84="","",INDEX(Assumptions!$D$5:$D$12,MOD(ROW()-2,Assumptions!$B$7)+1))</x:f>
        <x:v>Nostromo Deep</x:v>
      </x:c>
      <x:c r="C84" s="11" t="n">
        <x:f>IF($A84="","",INDEX(Assumptions!$F$5:$F$12,MATCH($B84,Assumptions!$D$5:$D$12,0)))</x:f>
        <x:v>1260</x:v>
      </x:c>
      <x:c r="D84" s="11" t="n">
        <x:f>IF($A84="","",INDEX(Assumptions!$G$5:$G$12,MATCH($B84,Assumptions!$D$5:$D$12,0)))</x:f>
        <x:v>145</x:v>
      </x:c>
      <x:c r="E84" s="11" t="n">
        <x:f>IF($A84="","",INDEX(Assumptions!$M$5:$M$11,WEEKDAY($A84,2)))</x:f>
        <x:v>0.91</x:v>
      </x:c>
      <x:c r="F84" s="11" t="n">
        <x:f>IF($A84="","",Assumptions!$B$15)</x:f>
        <x:v>0.35</x:v>
      </x:c>
      <x:c r="G84" s="11" t="n">
        <x:f>IF($A84="","",MAX(INDEX(Assumptions!$H$5:$H$12,MATCH($B84,Assumptions!$D$5:$D$12,0)),MIN(INDEX(Assumptions!$I$5:$I$12,MATCH($B84,Assumptions!$D$5:$D$12,0)),($C84+$D84*SQRT(-2*LN(RAND()))*COS(2*PI()*RAND()))*$E84*$J84*$K84)))</x:f>
        <x:v>1108.2164942995475</x:v>
      </x:c>
      <x:c r="H84" s="11" t="n">
        <x:f>IF($A84="","",$G84*$F84+$C84*(1-$F84))</x:f>
        <x:v>1206.8757730048417</x:v>
      </x:c>
      <x:c r="I84" s="11" t="n">
        <x:f>IF($A84="","",AVERAGE($H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1254.5220927496302</x:v>
      </x:c>
      <x:c r="J84" s="12" t="n">
        <x:f>IF($A84="","",1+SUMIFS(Assumptions!$S$5:$S$10,Assumptions!$P$5:$P$10,$B84,Assumptions!$Q$5:$Q$10,"&lt;="&amp;$A84,Assumptions!$R$5:$R$10,"&gt;="&amp;$A84))</x:f>
        <x:v>1</x:v>
      </x:c>
      <x:c r="K84" s="12" t="n">
        <x:f>IF($A84="","",1+((($A84-Assumptions!$B$5)/30)*INDEX(Assumptions!$J$5:$J$12,MATCH($B84,Assumptions!$D$5:$D$12,0))))</x:f>
        <x:v>1.0016</x:v>
      </x:c>
      <x:c r="L84" t="str">
        <x:f>IF($A84="","",IFERROR(INDEX(Assumptions!$O$5:$O$10,MATCH(1,(Assumptions!$P$5:$P$10=$B84)*(Assumptions!$Q$5:$Q$10&lt;=$A84)*(Assumptions!$R$5:$R$10&gt;=$A84),0)),""))</x:f>
      </x:c>
      <x:c r="M84" t="n">
        <x:f>--($A84&lt;&gt;"")</x:f>
        <x:v>1</x:v>
      </x:c>
    </x:row>
    <x:row r="85">
      <x:c r="A85" s="10" t="n">
        <x:f>IF(Assumptions!$B$5+INT((ROW()-2)/Assumptions!$B$7)&gt;Assumptions!$B$6,"",Assumptions!$B$5+INT((ROW()-2)/Assumptions!$B$7))</x:f>
        <x:v>46039</x:v>
      </x:c>
      <x:c r="B85" t="str">
        <x:f>IF($A85="","",INDEX(Assumptions!$D$5:$D$12,MOD(ROW()-2,Assumptions!$B$7)+1))</x:f>
        <x:v>Hadley's Hope</x:v>
      </x:c>
      <x:c r="C85" s="11" t="n">
        <x:f>IF($A85="","",INDEX(Assumptions!$F$5:$F$12,MATCH($B85,Assumptions!$D$5:$D$12,0)))</x:f>
        <x:v>845</x:v>
      </x:c>
      <x:c r="D85" s="11" t="n">
        <x:f>IF($A85="","",INDEX(Assumptions!$G$5:$G$12,MATCH($B85,Assumptions!$D$5:$D$12,0)))</x:f>
        <x:v>80</x:v>
      </x:c>
      <x:c r="E85" s="11" t="n">
        <x:f>IF($A85="","",INDEX(Assumptions!$M$5:$M$11,WEEKDAY($A85,2)))</x:f>
        <x:v>0.91</x:v>
      </x:c>
      <x:c r="F85" s="11" t="n">
        <x:f>IF($A85="","",Assumptions!$B$15)</x:f>
        <x:v>0.35</x:v>
      </x:c>
      <x:c r="G85" s="11" t="n">
        <x:f>IF($A85="","",MAX(INDEX(Assumptions!$H$5:$H$12,MATCH($B85,Assumptions!$D$5:$D$12,0)),MIN(INDEX(Assumptions!$I$5:$I$12,MATCH($B85,Assumptions!$D$5:$D$12,0)),($C85+$D85*SQRT(-2*LN(RAND()))*COS(2*PI()*RAND()))*$E85*$J85*$K85)))</x:f>
        <x:v>739.2032837159801</x:v>
      </x:c>
      <x:c r="H85" s="11" t="n">
        <x:f>IF($A85="","",$G85*$F85+$C85*(1-$F85))</x:f>
        <x:v>807.971149300593</x:v>
      </x:c>
      <x:c r="I85" s="11" t="n">
        <x:f>IF($A85="","",AVERAGE($H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826.4579129492828</x:v>
      </x:c>
      <x:c r="J85" s="12" t="n">
        <x:f>IF($A85="","",1+SUMIFS(Assumptions!$S$5:$S$10,Assumptions!$P$5:$P$10,$B85,Assumptions!$Q$5:$Q$10,"&lt;="&amp;$A85,Assumptions!$R$5:$R$10,"&gt;="&amp;$A85))</x:f>
        <x:v>1</x:v>
      </x:c>
      <x:c r="K85" s="12" t="n">
        <x:f>IF($A85="","",1+((($A85-Assumptions!$B$5)/30)*INDEX(Assumptions!$J$5:$J$12,MATCH($B85,Assumptions!$D$5:$D$12,0))))</x:f>
        <x:v>1.0005333333333333</x:v>
      </x:c>
      <x:c r="L85" t="str">
        <x:f>IF($A85="","",IFERROR(INDEX(Assumptions!$O$5:$O$10,MATCH(1,(Assumptions!$P$5:$P$10=$B85)*(Assumptions!$Q$5:$Q$10&lt;=$A85)*(Assumptions!$R$5:$R$10&gt;=$A85),0)),""))</x:f>
      </x:c>
      <x:c r="M85" t="n">
        <x:f>--($A85&lt;&gt;"")</x:f>
        <x:v>1</x:v>
      </x:c>
    </x:row>
    <x:row r="86">
      <x:c r="A86" s="10" t="n">
        <x:f>IF(Assumptions!$B$5+INT((ROW()-2)/Assumptions!$B$7)&gt;Assumptions!$B$6,"",Assumptions!$B$5+INT((ROW()-2)/Assumptions!$B$7))</x:f>
        <x:v>46039</x:v>
      </x:c>
      <x:c r="B86" t="str">
        <x:f>IF($A86="","",INDEX(Assumptions!$D$5:$D$12,MOD(ROW()-2,Assumptions!$B$7)+1))</x:f>
        <x:v>Yutani Ridge</x:v>
      </x:c>
      <x:c r="C86" s="11" t="n">
        <x:f>IF($A86="","",INDEX(Assumptions!$F$5:$F$12,MATCH($B86,Assumptions!$D$5:$D$12,0)))</x:f>
        <x:v>1050</x:v>
      </x:c>
      <x:c r="D86" s="11" t="n">
        <x:f>IF($A86="","",INDEX(Assumptions!$G$5:$G$12,MATCH($B86,Assumptions!$D$5:$D$12,0)))</x:f>
        <x:v>125</x:v>
      </x:c>
      <x:c r="E86" s="11" t="n">
        <x:f>IF($A86="","",INDEX(Assumptions!$M$5:$M$11,WEEKDAY($A86,2)))</x:f>
        <x:v>0.91</x:v>
      </x:c>
      <x:c r="F86" s="11" t="n">
        <x:f>IF($A86="","",Assumptions!$B$15)</x:f>
        <x:v>0.35</x:v>
      </x:c>
      <x:c r="G86" s="11" t="n">
        <x:f>IF($A86="","",MAX(INDEX(Assumptions!$H$5:$H$12,MATCH($B86,Assumptions!$D$5:$D$12,0)),MIN(INDEX(Assumptions!$I$5:$I$12,MATCH($B86,Assumptions!$D$5:$D$12,0)),($C86+$D86*SQRT(-2*LN(RAND()))*COS(2*PI()*RAND()))*$E86*$J86*$K86)))</x:f>
        <x:v>948.8006513900762</x:v>
      </x:c>
      <x:c r="H86" s="11" t="n">
        <x:f>IF($A86="","",$G86*$F86+$C86*(1-$F86))</x:f>
        <x:v>1014.5802279865266</x:v>
      </x:c>
      <x:c r="I86" s="11" t="n">
        <x:f>IF($A86="","",AVERAGE($H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1047.555557712689</x:v>
      </x:c>
      <x:c r="J86" s="12" t="n">
        <x:f>IF($A86="","",1+SUMIFS(Assumptions!$S$5:$S$10,Assumptions!$P$5:$P$10,$B86,Assumptions!$Q$5:$Q$10,"&lt;="&amp;$A86,Assumptions!$R$5:$R$10,"&gt;="&amp;$A86))</x:f>
        <x:v>1</x:v>
      </x:c>
      <x:c r="K86" s="12" t="n">
        <x:f>IF($A86="","",1+((($A86-Assumptions!$B$5)/30)*INDEX(Assumptions!$J$5:$J$12,MATCH($B86,Assumptions!$D$5:$D$12,0))))</x:f>
        <x:v>1.0013333333333334</x:v>
      </x:c>
      <x:c r="L86" t="str">
        <x:f>IF($A86="","",IFERROR(INDEX(Assumptions!$O$5:$O$10,MATCH(1,(Assumptions!$P$5:$P$10=$B86)*(Assumptions!$Q$5:$Q$10&lt;=$A86)*(Assumptions!$R$5:$R$10&gt;=$A86),0)),""))</x:f>
      </x:c>
      <x:c r="M86" t="n">
        <x:f>--($A86&lt;&gt;"")</x:f>
        <x:v>1</x:v>
      </x:c>
    </x:row>
    <x:row r="87">
      <x:c r="A87" s="10" t="n">
        <x:f>IF(Assumptions!$B$5+INT((ROW()-2)/Assumptions!$B$7)&gt;Assumptions!$B$6,"",Assumptions!$B$5+INT((ROW()-2)/Assumptions!$B$7))</x:f>
        <x:v>46040</x:v>
      </x:c>
      <x:c r="B87" t="str">
        <x:f>IF($A87="","",INDEX(Assumptions!$D$5:$D$12,MOD(ROW()-2,Assumptions!$B$7)+1))</x:f>
        <x:v>Acheron Prime</x:v>
      </x:c>
      <x:c r="C87" s="11" t="n">
        <x:f>IF($A87="","",INDEX(Assumptions!$F$5:$F$12,MATCH($B87,Assumptions!$D$5:$D$12,0)))</x:f>
        <x:v>1120</x:v>
      </x:c>
      <x:c r="D87" s="11" t="n">
        <x:f>IF($A87="","",INDEX(Assumptions!$G$5:$G$12,MATCH($B87,Assumptions!$D$5:$D$12,0)))</x:f>
        <x:v>115</x:v>
      </x:c>
      <x:c r="E87" s="11" t="n">
        <x:f>IF($A87="","",INDEX(Assumptions!$M$5:$M$11,WEEKDAY($A87,2)))</x:f>
        <x:v>0.87</x:v>
      </x:c>
      <x:c r="F87" s="11" t="n">
        <x:f>IF($A87="","",Assumptions!$B$15)</x:f>
        <x:v>0.35</x:v>
      </x:c>
      <x:c r="G87" s="11" t="n">
        <x:f>IF($A87="","",MAX(INDEX(Assumptions!$H$5:$H$12,MATCH($B87,Assumptions!$D$5:$D$12,0)),MIN(INDEX(Assumptions!$I$5:$I$12,MATCH($B87,Assumptions!$D$5:$D$12,0)),($C87+$D87*SQRT(-2*LN(RAND()))*COS(2*PI()*RAND()))*$E87*$J87*$K87)))</x:f>
        <x:v>965.3294477136737</x:v>
      </x:c>
      <x:c r="H87" s="11" t="n">
        <x:f>IF($A87="","",$G87*$F87+$C87*(1-$F87))</x:f>
        <x:v>1065.8653066997858</x:v>
      </x:c>
      <x:c r="I87" s="11" t="n">
        <x:f>IF($A87="","",AVERAGE($H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1098.2036541790305</x:v>
      </x:c>
      <x:c r="J87" s="12" t="n">
        <x:f>IF($A87="","",1+SUMIFS(Assumptions!$S$5:$S$10,Assumptions!$P$5:$P$10,$B87,Assumptions!$Q$5:$Q$10,"&lt;="&amp;$A87,Assumptions!$R$5:$R$10,"&gt;="&amp;$A87))</x:f>
        <x:v>1</x:v>
      </x:c>
      <x:c r="K87" s="12" t="n">
        <x:f>IF($A87="","",1+((($A87-Assumptions!$B$5)/30)*INDEX(Assumptions!$J$5:$J$12,MATCH($B87,Assumptions!$D$5:$D$12,0))))</x:f>
        <x:v>1.0011333333333334</x:v>
      </x:c>
      <x:c r="L87" t="str">
        <x:f>IF($A87="","",IFERROR(INDEX(Assumptions!$O$5:$O$10,MATCH(1,(Assumptions!$P$5:$P$10=$B87)*(Assumptions!$Q$5:$Q$10&lt;=$A87)*(Assumptions!$R$5:$R$10&gt;=$A87),0)),""))</x:f>
      </x:c>
      <x:c r="M87" t="n">
        <x:f>--($A87&lt;&gt;"")</x:f>
        <x:v>1</x:v>
      </x:c>
    </x:row>
    <x:row r="88">
      <x:c r="A88" s="10" t="n">
        <x:f>IF(Assumptions!$B$5+INT((ROW()-2)/Assumptions!$B$7)&gt;Assumptions!$B$6,"",Assumptions!$B$5+INT((ROW()-2)/Assumptions!$B$7))</x:f>
        <x:v>46040</x:v>
      </x:c>
      <x:c r="B88" t="str">
        <x:f>IF($A88="","",INDEX(Assumptions!$D$5:$D$12,MOD(ROW()-2,Assumptions!$B$7)+1))</x:f>
        <x:v>LV-426 North</x:v>
      </x:c>
      <x:c r="C88" s="11" t="n">
        <x:f>IF($A88="","",INDEX(Assumptions!$F$5:$F$12,MATCH($B88,Assumptions!$D$5:$D$12,0)))</x:f>
        <x:v>930</x:v>
      </x:c>
      <x:c r="D88" s="11" t="n">
        <x:f>IF($A88="","",INDEX(Assumptions!$G$5:$G$12,MATCH($B88,Assumptions!$D$5:$D$12,0)))</x:f>
        <x:v>95</x:v>
      </x:c>
      <x:c r="E88" s="11" t="n">
        <x:f>IF($A88="","",INDEX(Assumptions!$M$5:$M$11,WEEKDAY($A88,2)))</x:f>
        <x:v>0.87</x:v>
      </x:c>
      <x:c r="F88" s="11" t="n">
        <x:f>IF($A88="","",Assumptions!$B$15)</x:f>
        <x:v>0.35</x:v>
      </x:c>
      <x:c r="G88" s="11" t="n">
        <x:f>IF($A88="","",MAX(INDEX(Assumptions!$H$5:$H$12,MATCH($B88,Assumptions!$D$5:$D$12,0)),MIN(INDEX(Assumptions!$I$5:$I$12,MATCH($B88,Assumptions!$D$5:$D$12,0)),($C88+$D88*SQRT(-2*LN(RAND()))*COS(2*PI()*RAND()))*$E88*$J88*$K88)))</x:f>
        <x:v>960.6301595275752</x:v>
      </x:c>
      <x:c r="H88" s="11" t="n">
        <x:f>IF($A88="","",$G88*$F88+$C88*(1-$F88))</x:f>
        <x:v>940.7205558346513</x:v>
      </x:c>
      <x:c r="I88" s="11" t="n">
        <x:f>IF($A88="","",AVERAGE($H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930.762836999388</x:v>
      </x:c>
      <x:c r="J88" s="12" t="n">
        <x:f>IF($A88="","",1+SUMIFS(Assumptions!$S$5:$S$10,Assumptions!$P$5:$P$10,$B88,Assumptions!$Q$5:$Q$10,"&lt;="&amp;$A88,Assumptions!$R$5:$R$10,"&gt;="&amp;$A88))</x:f>
        <x:v>1</x:v>
      </x:c>
      <x:c r="K88" s="12" t="n">
        <x:f>IF($A88="","",1+((($A88-Assumptions!$B$5)/30)*INDEX(Assumptions!$J$5:$J$12,MATCH($B88,Assumptions!$D$5:$D$12,0))))</x:f>
        <x:v>0.9994333333333333</x:v>
      </x:c>
      <x:c r="L88" t="str">
        <x:f>IF($A88="","",IFERROR(INDEX(Assumptions!$O$5:$O$10,MATCH(1,(Assumptions!$P$5:$P$10=$B88)*(Assumptions!$Q$5:$Q$10&lt;=$A88)*(Assumptions!$R$5:$R$10&gt;=$A88),0)),""))</x:f>
      </x:c>
      <x:c r="M88" t="n">
        <x:f>--($A88&lt;&gt;"")</x:f>
        <x:v>1</x:v>
      </x:c>
    </x:row>
    <x:row r="89">
      <x:c r="A89" s="10" t="n">
        <x:f>IF(Assumptions!$B$5+INT((ROW()-2)/Assumptions!$B$7)&gt;Assumptions!$B$6,"",Assumptions!$B$5+INT((ROW()-2)/Assumptions!$B$7))</x:f>
        <x:v>46040</x:v>
      </x:c>
      <x:c r="B89" t="str">
        <x:f>IF($A89="","",INDEX(Assumptions!$D$5:$D$12,MOD(ROW()-2,Assumptions!$B$7)+1))</x:f>
        <x:v>Nostromo Deep</x:v>
      </x:c>
      <x:c r="C89" s="11" t="n">
        <x:f>IF($A89="","",INDEX(Assumptions!$F$5:$F$12,MATCH($B89,Assumptions!$D$5:$D$12,0)))</x:f>
        <x:v>1260</x:v>
      </x:c>
      <x:c r="D89" s="11" t="n">
        <x:f>IF($A89="","",INDEX(Assumptions!$G$5:$G$12,MATCH($B89,Assumptions!$D$5:$D$12,0)))</x:f>
        <x:v>145</x:v>
      </x:c>
      <x:c r="E89" s="11" t="n">
        <x:f>IF($A89="","",INDEX(Assumptions!$M$5:$M$11,WEEKDAY($A89,2)))</x:f>
        <x:v>0.87</x:v>
      </x:c>
      <x:c r="F89" s="11" t="n">
        <x:f>IF($A89="","",Assumptions!$B$15)</x:f>
        <x:v>0.35</x:v>
      </x:c>
      <x:c r="G89" s="11" t="n">
        <x:f>IF($A89="","",MAX(INDEX(Assumptions!$H$5:$H$12,MATCH($B89,Assumptions!$D$5:$D$12,0)),MIN(INDEX(Assumptions!$I$5:$I$12,MATCH($B89,Assumptions!$D$5:$D$12,0)),($C89+$D89*SQRT(-2*LN(RAND()))*COS(2*PI()*RAND()))*$E89*$J89*$K89)))</x:f>
        <x:v>1280.0498443932709</x:v>
      </x:c>
      <x:c r="H89" s="11" t="n">
        <x:f>IF($A89="","",$G89*$F89+$C89*(1-$F89))</x:f>
        <x:v>1267.0174455376448</x:v>
      </x:c>
      <x:c r="I89" s="11" t="n">
        <x:f>IF($A89="","",AVERAGE($H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1267.847854082805</x:v>
      </x:c>
      <x:c r="J89" s="12" t="n">
        <x:f>IF($A89="","",1+SUMIFS(Assumptions!$S$5:$S$10,Assumptions!$P$5:$P$10,$B89,Assumptions!$Q$5:$Q$10,"&lt;="&amp;$A89,Assumptions!$R$5:$R$10,"&gt;="&amp;$A89))</x:f>
        <x:v>1</x:v>
      </x:c>
      <x:c r="K89" s="12" t="n">
        <x:f>IF($A89="","",1+((($A89-Assumptions!$B$5)/30)*INDEX(Assumptions!$J$5:$J$12,MATCH($B89,Assumptions!$D$5:$D$12,0))))</x:f>
        <x:v>1.0017</x:v>
      </x:c>
      <x:c r="L89" t="str">
        <x:f>IF($A89="","",IFERROR(INDEX(Assumptions!$O$5:$O$10,MATCH(1,(Assumptions!$P$5:$P$10=$B89)*(Assumptions!$Q$5:$Q$10&lt;=$A89)*(Assumptions!$R$5:$R$10&gt;=$A89),0)),""))</x:f>
      </x:c>
      <x:c r="M89" t="n">
        <x:f>--($A89&lt;&gt;"")</x:f>
        <x:v>1</x:v>
      </x:c>
    </x:row>
    <x:row r="90">
      <x:c r="A90" s="10" t="n">
        <x:f>IF(Assumptions!$B$5+INT((ROW()-2)/Assumptions!$B$7)&gt;Assumptions!$B$6,"",Assumptions!$B$5+INT((ROW()-2)/Assumptions!$B$7))</x:f>
        <x:v>46040</x:v>
      </x:c>
      <x:c r="B90" t="str">
        <x:f>IF($A90="","",INDEX(Assumptions!$D$5:$D$12,MOD(ROW()-2,Assumptions!$B$7)+1))</x:f>
        <x:v>Hadley's Hope</x:v>
      </x:c>
      <x:c r="C90" s="11" t="n">
        <x:f>IF($A90="","",INDEX(Assumptions!$F$5:$F$12,MATCH($B90,Assumptions!$D$5:$D$12,0)))</x:f>
        <x:v>845</x:v>
      </x:c>
      <x:c r="D90" s="11" t="n">
        <x:f>IF($A90="","",INDEX(Assumptions!$G$5:$G$12,MATCH($B90,Assumptions!$D$5:$D$12,0)))</x:f>
        <x:v>80</x:v>
      </x:c>
      <x:c r="E90" s="11" t="n">
        <x:f>IF($A90="","",INDEX(Assumptions!$M$5:$M$11,WEEKDAY($A90,2)))</x:f>
        <x:v>0.87</x:v>
      </x:c>
      <x:c r="F90" s="11" t="n">
        <x:f>IF($A90="","",Assumptions!$B$15)</x:f>
        <x:v>0.35</x:v>
      </x:c>
      <x:c r="G90" s="11" t="n">
        <x:f>IF($A90="","",MAX(INDEX(Assumptions!$H$5:$H$12,MATCH($B90,Assumptions!$D$5:$D$12,0)),MIN(INDEX(Assumptions!$I$5:$I$12,MATCH($B90,Assumptions!$D$5:$D$12,0)),($C90+$D90*SQRT(-2*LN(RAND()))*COS(2*PI()*RAND()))*$E90*$J90*$K90)))</x:f>
        <x:v>706.4501056991489</x:v>
      </x:c>
      <x:c r="H90" s="11" t="n">
        <x:f>IF($A90="","",$G90*$F90+$C90*(1-$F90))</x:f>
        <x:v>796.5075369947021</x:v>
      </x:c>
      <x:c r="I90" s="11" t="n">
        <x:f>IF($A90="","",AVERAGE($H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822.4609083294708</x:v>
      </x:c>
      <x:c r="J90" s="12" t="n">
        <x:f>IF($A90="","",1+SUMIFS(Assumptions!$S$5:$S$10,Assumptions!$P$5:$P$10,$B90,Assumptions!$Q$5:$Q$10,"&lt;="&amp;$A90,Assumptions!$R$5:$R$10,"&gt;="&amp;$A90))</x:f>
        <x:v>1</x:v>
      </x:c>
      <x:c r="K90" s="12" t="n">
        <x:f>IF($A90="","",1+((($A90-Assumptions!$B$5)/30)*INDEX(Assumptions!$J$5:$J$12,MATCH($B90,Assumptions!$D$5:$D$12,0))))</x:f>
        <x:v>1.0005666666666666</x:v>
      </x:c>
      <x:c r="L90" t="str">
        <x:f>IF($A90="","",IFERROR(INDEX(Assumptions!$O$5:$O$10,MATCH(1,(Assumptions!$P$5:$P$10=$B90)*(Assumptions!$Q$5:$Q$10&lt;=$A90)*(Assumptions!$R$5:$R$10&gt;=$A90),0)),""))</x:f>
      </x:c>
      <x:c r="M90" t="n">
        <x:f>--($A90&lt;&gt;"")</x:f>
        <x:v>1</x:v>
      </x:c>
    </x:row>
    <x:row r="91">
      <x:c r="A91" s="10" t="n">
        <x:f>IF(Assumptions!$B$5+INT((ROW()-2)/Assumptions!$B$7)&gt;Assumptions!$B$6,"",Assumptions!$B$5+INT((ROW()-2)/Assumptions!$B$7))</x:f>
        <x:v>46040</x:v>
      </x:c>
      <x:c r="B91" t="str">
        <x:f>IF($A91="","",INDEX(Assumptions!$D$5:$D$12,MOD(ROW()-2,Assumptions!$B$7)+1))</x:f>
        <x:v>Yutani Ridge</x:v>
      </x:c>
      <x:c r="C91" s="11" t="n">
        <x:f>IF($A91="","",INDEX(Assumptions!$F$5:$F$12,MATCH($B91,Assumptions!$D$5:$D$12,0)))</x:f>
        <x:v>1050</x:v>
      </x:c>
      <x:c r="D91" s="11" t="n">
        <x:f>IF($A91="","",INDEX(Assumptions!$G$5:$G$12,MATCH($B91,Assumptions!$D$5:$D$12,0)))</x:f>
        <x:v>125</x:v>
      </x:c>
      <x:c r="E91" s="11" t="n">
        <x:f>IF($A91="","",INDEX(Assumptions!$M$5:$M$11,WEEKDAY($A91,2)))</x:f>
        <x:v>0.87</x:v>
      </x:c>
      <x:c r="F91" s="11" t="n">
        <x:f>IF($A91="","",Assumptions!$B$15)</x:f>
        <x:v>0.35</x:v>
      </x:c>
      <x:c r="G91" s="11" t="n">
        <x:f>IF($A91="","",MAX(INDEX(Assumptions!$H$5:$H$12,MATCH($B91,Assumptions!$D$5:$D$12,0)),MIN(INDEX(Assumptions!$I$5:$I$12,MATCH($B91,Assumptions!$D$5:$D$12,0)),($C91+$D91*SQRT(-2*LN(RAND()))*COS(2*PI()*RAND()))*$E91*$J91*$K91)))</x:f>
        <x:v>1037.6091154949115</x:v>
      </x:c>
      <x:c r="H91" s="11" t="n">
        <x:f>IF($A91="","",$G91*$F91+$C91*(1-$F91))</x:f>
        <x:v>1045.663190423219</x:v>
      </x:c>
      <x:c r="I91" s="11" t="n">
        <x:f>IF($A91="","",AVERAGE($H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1058.556035635708</x:v>
      </x:c>
      <x:c r="J91" s="12" t="n">
        <x:f>IF($A91="","",1+SUMIFS(Assumptions!$S$5:$S$10,Assumptions!$P$5:$P$10,$B91,Assumptions!$Q$5:$Q$10,"&lt;="&amp;$A91,Assumptions!$R$5:$R$10,"&gt;="&amp;$A91))</x:f>
        <x:v>1</x:v>
      </x:c>
      <x:c r="K91" s="12" t="n">
        <x:f>IF($A91="","",1+((($A91-Assumptions!$B$5)/30)*INDEX(Assumptions!$J$5:$J$12,MATCH($B91,Assumptions!$D$5:$D$12,0))))</x:f>
        <x:v>1.0014166666666666</x:v>
      </x:c>
      <x:c r="L91" t="str">
        <x:f>IF($A91="","",IFERROR(INDEX(Assumptions!$O$5:$O$10,MATCH(1,(Assumptions!$P$5:$P$10=$B91)*(Assumptions!$Q$5:$Q$10&lt;=$A91)*(Assumptions!$R$5:$R$10&gt;=$A91),0)),""))</x:f>
      </x:c>
      <x:c r="M91" t="n">
        <x:f>--($A91&lt;&gt;"")</x:f>
        <x:v>1</x:v>
      </x:c>
    </x:row>
    <x:row r="92">
      <x:c r="A92" s="10" t="n">
        <x:f>IF(Assumptions!$B$5+INT((ROW()-2)/Assumptions!$B$7)&gt;Assumptions!$B$6,"",Assumptions!$B$5+INT((ROW()-2)/Assumptions!$B$7))</x:f>
        <x:v>46041</x:v>
      </x:c>
      <x:c r="B92" t="str">
        <x:f>IF($A92="","",INDEX(Assumptions!$D$5:$D$12,MOD(ROW()-2,Assumptions!$B$7)+1))</x:f>
        <x:v>Acheron Prime</x:v>
      </x:c>
      <x:c r="C92" s="11" t="n">
        <x:f>IF($A92="","",INDEX(Assumptions!$F$5:$F$12,MATCH($B92,Assumptions!$D$5:$D$12,0)))</x:f>
        <x:v>1120</x:v>
      </x:c>
      <x:c r="D92" s="11" t="n">
        <x:f>IF($A92="","",INDEX(Assumptions!$G$5:$G$12,MATCH($B92,Assumptions!$D$5:$D$12,0)))</x:f>
        <x:v>115</x:v>
      </x:c>
      <x:c r="E92" s="11" t="n">
        <x:f>IF($A92="","",INDEX(Assumptions!$M$5:$M$11,WEEKDAY($A92,2)))</x:f>
        <x:v>1.03</x:v>
      </x:c>
      <x:c r="F92" s="11" t="n">
        <x:f>IF($A92="","",Assumptions!$B$15)</x:f>
        <x:v>0.35</x:v>
      </x:c>
      <x:c r="G92" s="11" t="n">
        <x:f>IF($A92="","",MAX(INDEX(Assumptions!$H$5:$H$12,MATCH($B92,Assumptions!$D$5:$D$12,0)),MIN(INDEX(Assumptions!$I$5:$I$12,MATCH($B92,Assumptions!$D$5:$D$12,0)),($C92+$D92*SQRT(-2*LN(RAND()))*COS(2*PI()*RAND()))*$E92*$J92*$K92)))</x:f>
        <x:v>1043.1869086410084</x:v>
      </x:c>
      <x:c r="H92" s="11" t="n">
        <x:f>IF($A92="","",$G92*$F92+$C92*(1-$F92))</x:f>
        <x:v>1093.115418024353</x:v>
      </x:c>
      <x:c r="I92" s="11" t="n">
        <x:f>IF($A92="","",AVERAGE($H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1089.0218010289684</x:v>
      </x:c>
      <x:c r="J92" s="12" t="n">
        <x:f>IF($A92="","",1+SUMIFS(Assumptions!$S$5:$S$10,Assumptions!$P$5:$P$10,$B92,Assumptions!$Q$5:$Q$10,"&lt;="&amp;$A92,Assumptions!$R$5:$R$10,"&gt;="&amp;$A92))</x:f>
        <x:v>1</x:v>
      </x:c>
      <x:c r="K92" s="12" t="n">
        <x:f>IF($A92="","",1+((($A92-Assumptions!$B$5)/30)*INDEX(Assumptions!$J$5:$J$12,MATCH($B92,Assumptions!$D$5:$D$12,0))))</x:f>
        <x:v>1.0012</x:v>
      </x:c>
      <x:c r="L92" t="str">
        <x:f>IF($A92="","",IFERROR(INDEX(Assumptions!$O$5:$O$10,MATCH(1,(Assumptions!$P$5:$P$10=$B92)*(Assumptions!$Q$5:$Q$10&lt;=$A92)*(Assumptions!$R$5:$R$10&gt;=$A92),0)),""))</x:f>
      </x:c>
      <x:c r="M92" t="n">
        <x:f>--($A92&lt;&gt;"")</x:f>
        <x:v>1</x:v>
      </x:c>
    </x:row>
    <x:row r="93">
      <x:c r="A93" s="10" t="n">
        <x:f>IF(Assumptions!$B$5+INT((ROW()-2)/Assumptions!$B$7)&gt;Assumptions!$B$6,"",Assumptions!$B$5+INT((ROW()-2)/Assumptions!$B$7))</x:f>
        <x:v>46041</x:v>
      </x:c>
      <x:c r="B93" t="str">
        <x:f>IF($A93="","",INDEX(Assumptions!$D$5:$D$12,MOD(ROW()-2,Assumptions!$B$7)+1))</x:f>
        <x:v>LV-426 North</x:v>
      </x:c>
      <x:c r="C93" s="11" t="n">
        <x:f>IF($A93="","",INDEX(Assumptions!$F$5:$F$12,MATCH($B93,Assumptions!$D$5:$D$12,0)))</x:f>
        <x:v>930</x:v>
      </x:c>
      <x:c r="D93" s="11" t="n">
        <x:f>IF($A93="","",INDEX(Assumptions!$G$5:$G$12,MATCH($B93,Assumptions!$D$5:$D$12,0)))</x:f>
        <x:v>95</x:v>
      </x:c>
      <x:c r="E93" s="11" t="n">
        <x:f>IF($A93="","",INDEX(Assumptions!$M$5:$M$11,WEEKDAY($A93,2)))</x:f>
        <x:v>1.03</x:v>
      </x:c>
      <x:c r="F93" s="11" t="n">
        <x:f>IF($A93="","",Assumptions!$B$15)</x:f>
        <x:v>0.35</x:v>
      </x:c>
      <x:c r="G93" s="11" t="n">
        <x:f>IF($A93="","",MAX(INDEX(Assumptions!$H$5:$H$12,MATCH($B93,Assumptions!$D$5:$D$12,0)),MIN(INDEX(Assumptions!$I$5:$I$12,MATCH($B93,Assumptions!$D$5:$D$12,0)),($C93+$D93*SQRT(-2*LN(RAND()))*COS(2*PI()*RAND()))*$E93*$J93*$K93)))</x:f>
        <x:v>1085.7127053123638</x:v>
      </x:c>
      <x:c r="H93" s="11" t="n">
        <x:f>IF($A93="","",$G93*$F93+$C93*(1-$F93))</x:f>
        <x:v>984.4994468593272</x:v>
      </x:c>
      <x:c r="I93" s="11" t="n">
        <x:f>IF($A93="","",AVERAGE($H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938.4786315190033</x:v>
      </x:c>
      <x:c r="J93" s="12" t="n">
        <x:f>IF($A93="","",1+SUMIFS(Assumptions!$S$5:$S$10,Assumptions!$P$5:$P$10,$B93,Assumptions!$Q$5:$Q$10,"&lt;="&amp;$A93,Assumptions!$R$5:$R$10,"&gt;="&amp;$A93))</x:f>
        <x:v>1</x:v>
      </x:c>
      <x:c r="K93" s="12" t="n">
        <x:f>IF($A93="","",1+((($A93-Assumptions!$B$5)/30)*INDEX(Assumptions!$J$5:$J$12,MATCH($B93,Assumptions!$D$5:$D$12,0))))</x:f>
        <x:v>0.9994</x:v>
      </x:c>
      <x:c r="L93" t="str">
        <x:f>IF($A93="","",IFERROR(INDEX(Assumptions!$O$5:$O$10,MATCH(1,(Assumptions!$P$5:$P$10=$B93)*(Assumptions!$Q$5:$Q$10&lt;=$A93)*(Assumptions!$R$5:$R$10&gt;=$A93),0)),""))</x:f>
      </x:c>
      <x:c r="M93" t="n">
        <x:f>--($A93&lt;&gt;"")</x:f>
        <x:v>1</x:v>
      </x:c>
    </x:row>
    <x:row r="94">
      <x:c r="A94" s="10" t="n">
        <x:f>IF(Assumptions!$B$5+INT((ROW()-2)/Assumptions!$B$7)&gt;Assumptions!$B$6,"",Assumptions!$B$5+INT((ROW()-2)/Assumptions!$B$7))</x:f>
        <x:v>46041</x:v>
      </x:c>
      <x:c r="B94" t="str">
        <x:f>IF($A94="","",INDEX(Assumptions!$D$5:$D$12,MOD(ROW()-2,Assumptions!$B$7)+1))</x:f>
        <x:v>Nostromo Deep</x:v>
      </x:c>
      <x:c r="C94" s="11" t="n">
        <x:f>IF($A94="","",INDEX(Assumptions!$F$5:$F$12,MATCH($B94,Assumptions!$D$5:$D$12,0)))</x:f>
        <x:v>1260</x:v>
      </x:c>
      <x:c r="D94" s="11" t="n">
        <x:f>IF($A94="","",INDEX(Assumptions!$G$5:$G$12,MATCH($B94,Assumptions!$D$5:$D$12,0)))</x:f>
        <x:v>145</x:v>
      </x:c>
      <x:c r="E94" s="11" t="n">
        <x:f>IF($A94="","",INDEX(Assumptions!$M$5:$M$11,WEEKDAY($A94,2)))</x:f>
        <x:v>1.03</x:v>
      </x:c>
      <x:c r="F94" s="11" t="n">
        <x:f>IF($A94="","",Assumptions!$B$15)</x:f>
        <x:v>0.35</x:v>
      </x:c>
      <x:c r="G94" s="11" t="n">
        <x:f>IF($A94="","",MAX(INDEX(Assumptions!$H$5:$H$12,MATCH($B94,Assumptions!$D$5:$D$12,0)),MIN(INDEX(Assumptions!$I$5:$I$12,MATCH($B94,Assumptions!$D$5:$D$12,0)),($C94+$D94*SQRT(-2*LN(RAND()))*COS(2*PI()*RAND()))*$E94*$J94*$K94)))</x:f>
        <x:v>1363.1861640440866</x:v>
      </x:c>
      <x:c r="H94" s="11" t="n">
        <x:f>IF($A94="","",$G94*$F94+$C94*(1-$F94))</x:f>
        <x:v>1296.1151574154303</x:v>
      </x:c>
      <x:c r="I94" s="11" t="n">
        <x:f>IF($A94="","",AVERAGE($H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1285.0241770968084</x:v>
      </x:c>
      <x:c r="J94" s="12" t="n">
        <x:f>IF($A94="","",1+SUMIFS(Assumptions!$S$5:$S$10,Assumptions!$P$5:$P$10,$B94,Assumptions!$Q$5:$Q$10,"&lt;="&amp;$A94,Assumptions!$R$5:$R$10,"&gt;="&amp;$A94))</x:f>
        <x:v>1</x:v>
      </x:c>
      <x:c r="K94" s="12" t="n">
        <x:f>IF($A94="","",1+((($A94-Assumptions!$B$5)/30)*INDEX(Assumptions!$J$5:$J$12,MATCH($B94,Assumptions!$D$5:$D$12,0))))</x:f>
        <x:v>1.0018</x:v>
      </x:c>
      <x:c r="L94" t="str">
        <x:f>IF($A94="","",IFERROR(INDEX(Assumptions!$O$5:$O$10,MATCH(1,(Assumptions!$P$5:$P$10=$B94)*(Assumptions!$Q$5:$Q$10&lt;=$A94)*(Assumptions!$R$5:$R$10&gt;=$A94),0)),""))</x:f>
      </x:c>
      <x:c r="M94" t="n">
        <x:f>--($A94&lt;&gt;"")</x:f>
        <x:v>1</x:v>
      </x:c>
    </x:row>
    <x:row r="95">
      <x:c r="A95" s="10" t="n">
        <x:f>IF(Assumptions!$B$5+INT((ROW()-2)/Assumptions!$B$7)&gt;Assumptions!$B$6,"",Assumptions!$B$5+INT((ROW()-2)/Assumptions!$B$7))</x:f>
        <x:v>46041</x:v>
      </x:c>
      <x:c r="B95" t="str">
        <x:f>IF($A95="","",INDEX(Assumptions!$D$5:$D$12,MOD(ROW()-2,Assumptions!$B$7)+1))</x:f>
        <x:v>Hadley's Hope</x:v>
      </x:c>
      <x:c r="C95" s="11" t="n">
        <x:f>IF($A95="","",INDEX(Assumptions!$F$5:$F$12,MATCH($B95,Assumptions!$D$5:$D$12,0)))</x:f>
        <x:v>845</x:v>
      </x:c>
      <x:c r="D95" s="11" t="n">
        <x:f>IF($A95="","",INDEX(Assumptions!$G$5:$G$12,MATCH($B95,Assumptions!$D$5:$D$12,0)))</x:f>
        <x:v>80</x:v>
      </x:c>
      <x:c r="E95" s="11" t="n">
        <x:f>IF($A95="","",INDEX(Assumptions!$M$5:$M$11,WEEKDAY($A95,2)))</x:f>
        <x:v>1.03</x:v>
      </x:c>
      <x:c r="F95" s="11" t="n">
        <x:f>IF($A95="","",Assumptions!$B$15)</x:f>
        <x:v>0.35</x:v>
      </x:c>
      <x:c r="G95" s="11" t="n">
        <x:f>IF($A95="","",MAX(INDEX(Assumptions!$H$5:$H$12,MATCH($B95,Assumptions!$D$5:$D$12,0)),MIN(INDEX(Assumptions!$I$5:$I$12,MATCH($B95,Assumptions!$D$5:$D$12,0)),($C95+$D95*SQRT(-2*LN(RAND()))*COS(2*PI()*RAND()))*$E95*$J95*$K95)))</x:f>
        <x:v>826.0658223115302</x:v>
      </x:c>
      <x:c r="H95" s="11" t="n">
        <x:f>IF($A95="","",$G95*$F95+$C95*(1-$F95))</x:f>
        <x:v>838.3730378090355</x:v>
      </x:c>
      <x:c r="I95" s="11" t="n">
        <x:f>IF($A95="","",AVERAGE($H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824.0144637530726</x:v>
      </x:c>
      <x:c r="J95" s="12" t="n">
        <x:f>IF($A95="","",1+SUMIFS(Assumptions!$S$5:$S$10,Assumptions!$P$5:$P$10,$B95,Assumptions!$Q$5:$Q$10,"&lt;="&amp;$A95,Assumptions!$R$5:$R$10,"&gt;="&amp;$A95))</x:f>
        <x:v>1</x:v>
      </x:c>
      <x:c r="K95" s="12" t="n">
        <x:f>IF($A95="","",1+((($A95-Assumptions!$B$5)/30)*INDEX(Assumptions!$J$5:$J$12,MATCH($B95,Assumptions!$D$5:$D$12,0))))</x:f>
        <x:v>1.0006</x:v>
      </x:c>
      <x:c r="L95" t="str">
        <x:f>IF($A95="","",IFERROR(INDEX(Assumptions!$O$5:$O$10,MATCH(1,(Assumptions!$P$5:$P$10=$B95)*(Assumptions!$Q$5:$Q$10&lt;=$A95)*(Assumptions!$R$5:$R$10&gt;=$A95),0)),""))</x:f>
      </x:c>
      <x:c r="M95" t="n">
        <x:f>--($A95&lt;&gt;"")</x:f>
        <x:v>1</x:v>
      </x:c>
    </x:row>
    <x:row r="96">
      <x:c r="A96" s="10" t="n">
        <x:f>IF(Assumptions!$B$5+INT((ROW()-2)/Assumptions!$B$7)&gt;Assumptions!$B$6,"",Assumptions!$B$5+INT((ROW()-2)/Assumptions!$B$7))</x:f>
        <x:v>46041</x:v>
      </x:c>
      <x:c r="B96" t="str">
        <x:f>IF($A96="","",INDEX(Assumptions!$D$5:$D$12,MOD(ROW()-2,Assumptions!$B$7)+1))</x:f>
        <x:v>Yutani Ridge</x:v>
      </x:c>
      <x:c r="C96" s="11" t="n">
        <x:f>IF($A96="","",INDEX(Assumptions!$F$5:$F$12,MATCH($B96,Assumptions!$D$5:$D$12,0)))</x:f>
        <x:v>1050</x:v>
      </x:c>
      <x:c r="D96" s="11" t="n">
        <x:f>IF($A96="","",INDEX(Assumptions!$G$5:$G$12,MATCH($B96,Assumptions!$D$5:$D$12,0)))</x:f>
        <x:v>125</x:v>
      </x:c>
      <x:c r="E96" s="11" t="n">
        <x:f>IF($A96="","",INDEX(Assumptions!$M$5:$M$11,WEEKDAY($A96,2)))</x:f>
        <x:v>1.03</x:v>
      </x:c>
      <x:c r="F96" s="11" t="n">
        <x:f>IF($A96="","",Assumptions!$B$15)</x:f>
        <x:v>0.35</x:v>
      </x:c>
      <x:c r="G96" s="11" t="n">
        <x:f>IF($A96="","",MAX(INDEX(Assumptions!$H$5:$H$12,MATCH($B96,Assumptions!$D$5:$D$12,0)),MIN(INDEX(Assumptions!$I$5:$I$12,MATCH($B96,Assumptions!$D$5:$D$12,0)),($C96+$D96*SQRT(-2*LN(RAND()))*COS(2*PI()*RAND()))*$E96*$J96*$K96)))</x:f>
        <x:v>903.7464863163927</x:v>
      </x:c>
      <x:c r="H96" s="11" t="n">
        <x:f>IF($A96="","",$G96*$F96+$C96*(1-$F96))</x:f>
        <x:v>998.8112702107375</x:v>
      </x:c>
      <x:c r="I96" s="11" t="n">
        <x:f>IF($A96="","",AVERAGE($H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1052.066427944024</x:v>
      </x:c>
      <x:c r="J96" s="12" t="n">
        <x:f>IF($A96="","",1+SUMIFS(Assumptions!$S$5:$S$10,Assumptions!$P$5:$P$10,$B96,Assumptions!$Q$5:$Q$10,"&lt;="&amp;$A96,Assumptions!$R$5:$R$10,"&gt;="&amp;$A96))</x:f>
        <x:v>1</x:v>
      </x:c>
      <x:c r="K96" s="12" t="n">
        <x:f>IF($A96="","",1+((($A96-Assumptions!$B$5)/30)*INDEX(Assumptions!$J$5:$J$12,MATCH($B96,Assumptions!$D$5:$D$12,0))))</x:f>
        <x:v>1.0015</x:v>
      </x:c>
      <x:c r="L96" t="str">
        <x:f>IF($A96="","",IFERROR(INDEX(Assumptions!$O$5:$O$10,MATCH(1,(Assumptions!$P$5:$P$10=$B96)*(Assumptions!$Q$5:$Q$10&lt;=$A96)*(Assumptions!$R$5:$R$10&gt;=$A96),0)),""))</x:f>
      </x:c>
      <x:c r="M96" t="n">
        <x:f>--($A96&lt;&gt;"")</x:f>
        <x:v>1</x:v>
      </x:c>
    </x:row>
    <x:row r="97">
      <x:c r="A97" s="10" t="n">
        <x:f>IF(Assumptions!$B$5+INT((ROW()-2)/Assumptions!$B$7)&gt;Assumptions!$B$6,"",Assumptions!$B$5+INT((ROW()-2)/Assumptions!$B$7))</x:f>
        <x:v>46042</x:v>
      </x:c>
      <x:c r="B97" t="str">
        <x:f>IF($A97="","",INDEX(Assumptions!$D$5:$D$12,MOD(ROW()-2,Assumptions!$B$7)+1))</x:f>
        <x:v>Acheron Prime</x:v>
      </x:c>
      <x:c r="C97" s="11" t="n">
        <x:f>IF($A97="","",INDEX(Assumptions!$F$5:$F$12,MATCH($B97,Assumptions!$D$5:$D$12,0)))</x:f>
        <x:v>1120</x:v>
      </x:c>
      <x:c r="D97" s="11" t="n">
        <x:f>IF($A97="","",INDEX(Assumptions!$G$5:$G$12,MATCH($B97,Assumptions!$D$5:$D$12,0)))</x:f>
        <x:v>115</x:v>
      </x:c>
      <x:c r="E97" s="11" t="n">
        <x:f>IF($A97="","",INDEX(Assumptions!$M$5:$M$11,WEEKDAY($A97,2)))</x:f>
        <x:v>1.02</x:v>
      </x:c>
      <x:c r="F97" s="11" t="n">
        <x:f>IF($A97="","",Assumptions!$B$15)</x:f>
        <x:v>0.35</x:v>
      </x:c>
      <x:c r="G97" s="11" t="n">
        <x:f>IF($A97="","",MAX(INDEX(Assumptions!$H$5:$H$12,MATCH($B97,Assumptions!$D$5:$D$12,0)),MIN(INDEX(Assumptions!$I$5:$I$12,MATCH($B97,Assumptions!$D$5:$D$12,0)),($C97+$D97*SQRT(-2*LN(RAND()))*COS(2*PI()*RAND()))*$E97*$J97*$K97)))</x:f>
        <x:v>1212.7958528849401</x:v>
      </x:c>
      <x:c r="H97" s="11" t="n">
        <x:f>IF($A97="","",$G97*$F97+$C97*(1-$F97))</x:f>
        <x:v>1152.478548509729</x:v>
      </x:c>
      <x:c r="I97" s="11" t="n">
        <x:f>IF($A97="","",AVERAGE($H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1106.9190898967106</x:v>
      </x:c>
      <x:c r="J97" s="12" t="n">
        <x:f>IF($A97="","",1+SUMIFS(Assumptions!$S$5:$S$10,Assumptions!$P$5:$P$10,$B97,Assumptions!$Q$5:$Q$10,"&lt;="&amp;$A97,Assumptions!$R$5:$R$10,"&gt;="&amp;$A97))</x:f>
        <x:v>1</x:v>
      </x:c>
      <x:c r="K97" s="12" t="n">
        <x:f>IF($A97="","",1+((($A97-Assumptions!$B$5)/30)*INDEX(Assumptions!$J$5:$J$12,MATCH($B97,Assumptions!$D$5:$D$12,0))))</x:f>
        <x:v>1.0012666666666667</x:v>
      </x:c>
      <x:c r="L97" t="str">
        <x:f>IF($A97="","",IFERROR(INDEX(Assumptions!$O$5:$O$10,MATCH(1,(Assumptions!$P$5:$P$10=$B97)*(Assumptions!$Q$5:$Q$10&lt;=$A97)*(Assumptions!$R$5:$R$10&gt;=$A97),0)),""))</x:f>
      </x:c>
      <x:c r="M97" t="n">
        <x:f>--($A97&lt;&gt;"")</x:f>
        <x:v>1</x:v>
      </x:c>
    </x:row>
    <x:row r="98">
      <x:c r="A98" s="10" t="n">
        <x:f>IF(Assumptions!$B$5+INT((ROW()-2)/Assumptions!$B$7)&gt;Assumptions!$B$6,"",Assumptions!$B$5+INT((ROW()-2)/Assumptions!$B$7))</x:f>
        <x:v>46042</x:v>
      </x:c>
      <x:c r="B98" t="str">
        <x:f>IF($A98="","",INDEX(Assumptions!$D$5:$D$12,MOD(ROW()-2,Assumptions!$B$7)+1))</x:f>
        <x:v>LV-426 North</x:v>
      </x:c>
      <x:c r="C98" s="11" t="n">
        <x:f>IF($A98="","",INDEX(Assumptions!$F$5:$F$12,MATCH($B98,Assumptions!$D$5:$D$12,0)))</x:f>
        <x:v>930</x:v>
      </x:c>
      <x:c r="D98" s="11" t="n">
        <x:f>IF($A98="","",INDEX(Assumptions!$G$5:$G$12,MATCH($B98,Assumptions!$D$5:$D$12,0)))</x:f>
        <x:v>95</x:v>
      </x:c>
      <x:c r="E98" s="11" t="n">
        <x:f>IF($A98="","",INDEX(Assumptions!$M$5:$M$11,WEEKDAY($A98,2)))</x:f>
        <x:v>1.02</x:v>
      </x:c>
      <x:c r="F98" s="11" t="n">
        <x:f>IF($A98="","",Assumptions!$B$15)</x:f>
        <x:v>0.35</x:v>
      </x:c>
      <x:c r="G98" s="11" t="n">
        <x:f>IF($A98="","",MAX(INDEX(Assumptions!$H$5:$H$12,MATCH($B98,Assumptions!$D$5:$D$12,0)),MIN(INDEX(Assumptions!$I$5:$I$12,MATCH($B98,Assumptions!$D$5:$D$12,0)),($C98+$D98*SQRT(-2*LN(RAND()))*COS(2*PI()*RAND()))*$E98*$J98*$K98)))</x:f>
        <x:v>949.9130815384933</x:v>
      </x:c>
      <x:c r="H98" s="11" t="n">
        <x:f>IF($A98="","",$G98*$F98+$C98*(1-$F98))</x:f>
        <x:v>936.9695785384727</x:v>
      </x:c>
      <x:c r="I98" s="11" t="n">
        <x:f>IF($A98="","",AVERAGE($H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937.4182357704375</x:v>
      </x:c>
      <x:c r="J98" s="12" t="n">
        <x:f>IF($A98="","",1+SUMIFS(Assumptions!$S$5:$S$10,Assumptions!$P$5:$P$10,$B98,Assumptions!$Q$5:$Q$10,"&lt;="&amp;$A98,Assumptions!$R$5:$R$10,"&gt;="&amp;$A98))</x:f>
        <x:v>1</x:v>
      </x:c>
      <x:c r="K98" s="12" t="n">
        <x:f>IF($A98="","",1+((($A98-Assumptions!$B$5)/30)*INDEX(Assumptions!$J$5:$J$12,MATCH($B98,Assumptions!$D$5:$D$12,0))))</x:f>
        <x:v>0.9993666666666666</x:v>
      </x:c>
      <x:c r="L98" t="str">
        <x:f>IF($A98="","",IFERROR(INDEX(Assumptions!$O$5:$O$10,MATCH(1,(Assumptions!$P$5:$P$10=$B98)*(Assumptions!$Q$5:$Q$10&lt;=$A98)*(Assumptions!$R$5:$R$10&gt;=$A98),0)),""))</x:f>
      </x:c>
      <x:c r="M98" t="n">
        <x:f>--($A98&lt;&gt;"")</x:f>
        <x:v>1</x:v>
      </x:c>
    </x:row>
    <x:row r="99">
      <x:c r="A99" s="10" t="n">
        <x:f>IF(Assumptions!$B$5+INT((ROW()-2)/Assumptions!$B$7)&gt;Assumptions!$B$6,"",Assumptions!$B$5+INT((ROW()-2)/Assumptions!$B$7))</x:f>
        <x:v>46042</x:v>
      </x:c>
      <x:c r="B99" t="str">
        <x:f>IF($A99="","",INDEX(Assumptions!$D$5:$D$12,MOD(ROW()-2,Assumptions!$B$7)+1))</x:f>
        <x:v>Nostromo Deep</x:v>
      </x:c>
      <x:c r="C99" s="11" t="n">
        <x:f>IF($A99="","",INDEX(Assumptions!$F$5:$F$12,MATCH($B99,Assumptions!$D$5:$D$12,0)))</x:f>
        <x:v>1260</x:v>
      </x:c>
      <x:c r="D99" s="11" t="n">
        <x:f>IF($A99="","",INDEX(Assumptions!$G$5:$G$12,MATCH($B99,Assumptions!$D$5:$D$12,0)))</x:f>
        <x:v>145</x:v>
      </x:c>
      <x:c r="E99" s="11" t="n">
        <x:f>IF($A99="","",INDEX(Assumptions!$M$5:$M$11,WEEKDAY($A99,2)))</x:f>
        <x:v>1.02</x:v>
      </x:c>
      <x:c r="F99" s="11" t="n">
        <x:f>IF($A99="","",Assumptions!$B$15)</x:f>
        <x:v>0.35</x:v>
      </x:c>
      <x:c r="G99" s="11" t="n">
        <x:f>IF($A99="","",MAX(INDEX(Assumptions!$H$5:$H$12,MATCH($B99,Assumptions!$D$5:$D$12,0)),MIN(INDEX(Assumptions!$I$5:$I$12,MATCH($B99,Assumptions!$D$5:$D$12,0)),($C99+$D99*SQRT(-2*LN(RAND()))*COS(2*PI()*RAND()))*$E99*$J99*$K99)))</x:f>
        <x:v>1564.0954167345963</x:v>
      </x:c>
      <x:c r="H99" s="11" t="n">
        <x:f>IF($A99="","",$G99*$F99+$C99*(1-$F99))</x:f>
        <x:v>1366.4333958571087</x:v>
      </x:c>
      <x:c r="I99" s="11" t="n">
        <x:f>IF($A99="","",AVERAGE($H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1289.5196187335732</x:v>
      </x:c>
      <x:c r="J99" s="12" t="n">
        <x:f>IF($A99="","",1+SUMIFS(Assumptions!$S$5:$S$10,Assumptions!$P$5:$P$10,$B99,Assumptions!$Q$5:$Q$10,"&lt;="&amp;$A99,Assumptions!$R$5:$R$10,"&gt;="&amp;$A99))</x:f>
        <x:v>1</x:v>
      </x:c>
      <x:c r="K99" s="12" t="n">
        <x:f>IF($A99="","",1+((($A99-Assumptions!$B$5)/30)*INDEX(Assumptions!$J$5:$J$12,MATCH($B99,Assumptions!$D$5:$D$12,0))))</x:f>
        <x:v>1.0019</x:v>
      </x:c>
      <x:c r="L99" t="str">
        <x:f>IF($A99="","",IFERROR(INDEX(Assumptions!$O$5:$O$10,MATCH(1,(Assumptions!$P$5:$P$10=$B99)*(Assumptions!$Q$5:$Q$10&lt;=$A99)*(Assumptions!$R$5:$R$10&gt;=$A99),0)),""))</x:f>
      </x:c>
      <x:c r="M99" t="n">
        <x:f>--($A99&lt;&gt;"")</x:f>
        <x:v>1</x:v>
      </x:c>
    </x:row>
    <x:row r="100">
      <x:c r="A100" s="10" t="n">
        <x:f>IF(Assumptions!$B$5+INT((ROW()-2)/Assumptions!$B$7)&gt;Assumptions!$B$6,"",Assumptions!$B$5+INT((ROW()-2)/Assumptions!$B$7))</x:f>
        <x:v>46042</x:v>
      </x:c>
      <x:c r="B100" t="str">
        <x:f>IF($A100="","",INDEX(Assumptions!$D$5:$D$12,MOD(ROW()-2,Assumptions!$B$7)+1))</x:f>
        <x:v>Hadley's Hope</x:v>
      </x:c>
      <x:c r="C100" s="11" t="n">
        <x:f>IF($A100="","",INDEX(Assumptions!$F$5:$F$12,MATCH($B100,Assumptions!$D$5:$D$12,0)))</x:f>
        <x:v>845</x:v>
      </x:c>
      <x:c r="D100" s="11" t="n">
        <x:f>IF($A100="","",INDEX(Assumptions!$G$5:$G$12,MATCH($B100,Assumptions!$D$5:$D$12,0)))</x:f>
        <x:v>80</x:v>
      </x:c>
      <x:c r="E100" s="11" t="n">
        <x:f>IF($A100="","",INDEX(Assumptions!$M$5:$M$11,WEEKDAY($A100,2)))</x:f>
        <x:v>1.02</x:v>
      </x:c>
      <x:c r="F100" s="11" t="n">
        <x:f>IF($A100="","",Assumptions!$B$15)</x:f>
        <x:v>0.35</x:v>
      </x:c>
      <x:c r="G100" s="11" t="n">
        <x:f>IF($A100="","",MAX(INDEX(Assumptions!$H$5:$H$12,MATCH($B100,Assumptions!$D$5:$D$12,0)),MIN(INDEX(Assumptions!$I$5:$I$12,MATCH($B100,Assumptions!$D$5:$D$12,0)),($C100+$D100*SQRT(-2*LN(RAND()))*COS(2*PI()*RAND()))*$E100*$J100*$K100)))</x:f>
        <x:v>805.2556570990221</x:v>
      </x:c>
      <x:c r="H100" s="11" t="n">
        <x:f>IF($A100="","",$G100*$F100+$C100*(1-$F100))</x:f>
        <x:v>831.0894799846577</x:v>
      </x:c>
      <x:c r="I100" s="11" t="n">
        <x:f>IF($A100="","",AVERAGE($H100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819.8008477807095</x:v>
      </x:c>
      <x:c r="J100" s="12" t="n">
        <x:f>IF($A100="","",1+SUMIFS(Assumptions!$S$5:$S$10,Assumptions!$P$5:$P$10,$B100,Assumptions!$Q$5:$Q$10,"&lt;="&amp;$A100,Assumptions!$R$5:$R$10,"&gt;="&amp;$A100))</x:f>
        <x:v>1</x:v>
      </x:c>
      <x:c r="K100" s="12" t="n">
        <x:f>IF($A100="","",1+((($A100-Assumptions!$B$5)/30)*INDEX(Assumptions!$J$5:$J$12,MATCH($B100,Assumptions!$D$5:$D$12,0))))</x:f>
        <x:v>1.0006333333333333</x:v>
      </x:c>
      <x:c r="L100" t="str">
        <x:f>IF($A100="","",IFERROR(INDEX(Assumptions!$O$5:$O$10,MATCH(1,(Assumptions!$P$5:$P$10=$B100)*(Assumptions!$Q$5:$Q$10&lt;=$A100)*(Assumptions!$R$5:$R$10&gt;=$A100),0)),""))</x:f>
      </x:c>
      <x:c r="M100" t="n">
        <x:f>--($A100&lt;&gt;"")</x:f>
        <x:v>1</x:v>
      </x:c>
    </x:row>
    <x:row r="101">
      <x:c r="A101" s="10" t="n">
        <x:f>IF(Assumptions!$B$5+INT((ROW()-2)/Assumptions!$B$7)&gt;Assumptions!$B$6,"",Assumptions!$B$5+INT((ROW()-2)/Assumptions!$B$7))</x:f>
        <x:v>46042</x:v>
      </x:c>
      <x:c r="B101" t="str">
        <x:f>IF($A101="","",INDEX(Assumptions!$D$5:$D$12,MOD(ROW()-2,Assumptions!$B$7)+1))</x:f>
        <x:v>Yutani Ridge</x:v>
      </x:c>
      <x:c r="C101" s="11" t="n">
        <x:f>IF($A101="","",INDEX(Assumptions!$F$5:$F$12,MATCH($B101,Assumptions!$D$5:$D$12,0)))</x:f>
        <x:v>1050</x:v>
      </x:c>
      <x:c r="D101" s="11" t="n">
        <x:f>IF($A101="","",INDEX(Assumptions!$G$5:$G$12,MATCH($B101,Assumptions!$D$5:$D$12,0)))</x:f>
        <x:v>125</x:v>
      </x:c>
      <x:c r="E101" s="11" t="n">
        <x:f>IF($A101="","",INDEX(Assumptions!$M$5:$M$11,WEEKDAY($A101,2)))</x:f>
        <x:v>1.02</x:v>
      </x:c>
      <x:c r="F101" s="11" t="n">
        <x:f>IF($A101="","",Assumptions!$B$15)</x:f>
        <x:v>0.35</x:v>
      </x:c>
      <x:c r="G101" s="11" t="n">
        <x:f>IF($A101="","",MAX(INDEX(Assumptions!$H$5:$H$12,MATCH($B101,Assumptions!$D$5:$D$12,0)),MIN(INDEX(Assumptions!$I$5:$I$12,MATCH($B101,Assumptions!$D$5:$D$12,0)),($C101+$D101*SQRT(-2*LN(RAND()))*COS(2*PI()*RAND()))*$E101*$J101*$K101)))</x:f>
        <x:v>1102.6564104200602</x:v>
      </x:c>
      <x:c r="H101" s="11" t="n">
        <x:f>IF($A101="","",$G101*$F101+$C101*(1-$F101))</x:f>
        <x:v>1068.429743647021</x:v>
      </x:c>
      <x:c r="I101" s="11" t="n">
        <x:f>IF($A101="","",AVERAGE($H101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1047.1923161491136</x:v>
      </x:c>
      <x:c r="J101" s="12" t="n">
        <x:f>IF($A101="","",1+SUMIFS(Assumptions!$S$5:$S$10,Assumptions!$P$5:$P$10,$B101,Assumptions!$Q$5:$Q$10,"&lt;="&amp;$A101,Assumptions!$R$5:$R$10,"&gt;="&amp;$A101))</x:f>
        <x:v>1</x:v>
      </x:c>
      <x:c r="K101" s="12" t="n">
        <x:f>IF($A101="","",1+((($A101-Assumptions!$B$5)/30)*INDEX(Assumptions!$J$5:$J$12,MATCH($B101,Assumptions!$D$5:$D$12,0))))</x:f>
        <x:v>1.0015833333333333</x:v>
      </x:c>
      <x:c r="L101" t="str">
        <x:f>IF($A101="","",IFERROR(INDEX(Assumptions!$O$5:$O$10,MATCH(1,(Assumptions!$P$5:$P$10=$B101)*(Assumptions!$Q$5:$Q$10&lt;=$A101)*(Assumptions!$R$5:$R$10&gt;=$A101),0)),""))</x:f>
      </x:c>
      <x:c r="M101" t="n">
        <x:f>--($A101&lt;&gt;"")</x:f>
        <x:v>1</x:v>
      </x:c>
    </x:row>
    <x:row r="102">
      <x:c r="A102" s="10" t="n">
        <x:f>IF(Assumptions!$B$5+INT((ROW()-2)/Assumptions!$B$7)&gt;Assumptions!$B$6,"",Assumptions!$B$5+INT((ROW()-2)/Assumptions!$B$7))</x:f>
        <x:v>46043</x:v>
      </x:c>
      <x:c r="B102" t="str">
        <x:f>IF($A102="","",INDEX(Assumptions!$D$5:$D$12,MOD(ROW()-2,Assumptions!$B$7)+1))</x:f>
        <x:v>Acheron Prime</x:v>
      </x:c>
      <x:c r="C102" s="11" t="n">
        <x:f>IF($A102="","",INDEX(Assumptions!$F$5:$F$12,MATCH($B102,Assumptions!$D$5:$D$12,0)))</x:f>
        <x:v>1120</x:v>
      </x:c>
      <x:c r="D102" s="11" t="n">
        <x:f>IF($A102="","",INDEX(Assumptions!$G$5:$G$12,MATCH($B102,Assumptions!$D$5:$D$12,0)))</x:f>
        <x:v>115</x:v>
      </x:c>
      <x:c r="E102" s="11" t="n">
        <x:f>IF($A102="","",INDEX(Assumptions!$M$5:$M$11,WEEKDAY($A102,2)))</x:f>
        <x:v>1.01</x:v>
      </x:c>
      <x:c r="F102" s="11" t="n">
        <x:f>IF($A102="","",Assumptions!$B$15)</x:f>
        <x:v>0.35</x:v>
      </x:c>
      <x:c r="G102" s="11" t="n">
        <x:f>IF($A102="","",MAX(INDEX(Assumptions!$H$5:$H$12,MATCH($B102,Assumptions!$D$5:$D$12,0)),MIN(INDEX(Assumptions!$I$5:$I$12,MATCH($B102,Assumptions!$D$5:$D$12,0)),($C102+$D102*SQRT(-2*LN(RAND()))*COS(2*PI()*RAND()))*$E102*$J102*$K102)))</x:f>
        <x:v>951.7502311350102</x:v>
      </x:c>
      <x:c r="H102" s="11" t="n">
        <x:f>IF($A102="","",$G102*$F102+$C102*(1-$F102))</x:f>
        <x:v>1061.1125808972536</x:v>
      </x:c>
      <x:c r="I102" s="11" t="n">
        <x:f>IF($A102="","",AVERAGE($H102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1093.1071702332406</x:v>
      </x:c>
      <x:c r="J102" s="12" t="n">
        <x:f>IF($A102="","",1+SUMIFS(Assumptions!$S$5:$S$10,Assumptions!$P$5:$P$10,$B102,Assumptions!$Q$5:$Q$10,"&lt;="&amp;$A102,Assumptions!$R$5:$R$10,"&gt;="&amp;$A102))</x:f>
        <x:v>1</x:v>
      </x:c>
      <x:c r="K102" s="12" t="n">
        <x:f>IF($A102="","",1+((($A102-Assumptions!$B$5)/30)*INDEX(Assumptions!$J$5:$J$12,MATCH($B102,Assumptions!$D$5:$D$12,0))))</x:f>
        <x:v>1.0013333333333334</x:v>
      </x:c>
      <x:c r="L102" t="str">
        <x:f>IF($A102="","",IFERROR(INDEX(Assumptions!$O$5:$O$10,MATCH(1,(Assumptions!$P$5:$P$10=$B102)*(Assumptions!$Q$5:$Q$10&lt;=$A102)*(Assumptions!$R$5:$R$10&gt;=$A102),0)),""))</x:f>
      </x:c>
      <x:c r="M102" t="n">
        <x:f>--($A102&lt;&gt;"")</x:f>
        <x:v>1</x:v>
      </x:c>
    </x:row>
    <x:row r="103">
      <x:c r="A103" s="10" t="n">
        <x:f>IF(Assumptions!$B$5+INT((ROW()-2)/Assumptions!$B$7)&gt;Assumptions!$B$6,"",Assumptions!$B$5+INT((ROW()-2)/Assumptions!$B$7))</x:f>
        <x:v>46043</x:v>
      </x:c>
      <x:c r="B103" t="str">
        <x:f>IF($A103="","",INDEX(Assumptions!$D$5:$D$12,MOD(ROW()-2,Assumptions!$B$7)+1))</x:f>
        <x:v>LV-426 North</x:v>
      </x:c>
      <x:c r="C103" s="11" t="n">
        <x:f>IF($A103="","",INDEX(Assumptions!$F$5:$F$12,MATCH($B103,Assumptions!$D$5:$D$12,0)))</x:f>
        <x:v>930</x:v>
      </x:c>
      <x:c r="D103" s="11" t="n">
        <x:f>IF($A103="","",INDEX(Assumptions!$G$5:$G$12,MATCH($B103,Assumptions!$D$5:$D$12,0)))</x:f>
        <x:v>95</x:v>
      </x:c>
      <x:c r="E103" s="11" t="n">
        <x:f>IF($A103="","",INDEX(Assumptions!$M$5:$M$11,WEEKDAY($A103,2)))</x:f>
        <x:v>1.01</x:v>
      </x:c>
      <x:c r="F103" s="11" t="n">
        <x:f>IF($A103="","",Assumptions!$B$15)</x:f>
        <x:v>0.35</x:v>
      </x:c>
      <x:c r="G103" s="11" t="n">
        <x:f>IF($A103="","",MAX(INDEX(Assumptions!$H$5:$H$12,MATCH($B103,Assumptions!$D$5:$D$12,0)),MIN(INDEX(Assumptions!$I$5:$I$12,MATCH($B103,Assumptions!$D$5:$D$12,0)),($C103+$D103*SQRT(-2*LN(RAND()))*COS(2*PI()*RAND()))*$E103*$J103*$K103)))</x:f>
        <x:v>935.2199307810986</x:v>
      </x:c>
      <x:c r="H103" s="11" t="n">
        <x:f>IF($A103="","",$G103*$F103+$C103*(1-$F103))</x:f>
        <x:v>931.8269757733844</x:v>
      </x:c>
      <x:c r="I103" s="11" t="n">
        <x:f>IF($A103="","",AVERAGE($H103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937.156266041707</x:v>
      </x:c>
      <x:c r="J103" s="12" t="n">
        <x:f>IF($A103="","",1+SUMIFS(Assumptions!$S$5:$S$10,Assumptions!$P$5:$P$10,$B103,Assumptions!$Q$5:$Q$10,"&lt;="&amp;$A103,Assumptions!$R$5:$R$10,"&gt;="&amp;$A103))</x:f>
        <x:v>1</x:v>
      </x:c>
      <x:c r="K103" s="12" t="n">
        <x:f>IF($A103="","",1+((($A103-Assumptions!$B$5)/30)*INDEX(Assumptions!$J$5:$J$12,MATCH($B103,Assumptions!$D$5:$D$12,0))))</x:f>
        <x:v>0.9993333333333333</x:v>
      </x:c>
      <x:c r="L103" t="str">
        <x:f>IF($A103="","",IFERROR(INDEX(Assumptions!$O$5:$O$10,MATCH(1,(Assumptions!$P$5:$P$10=$B103)*(Assumptions!$Q$5:$Q$10&lt;=$A103)*(Assumptions!$R$5:$R$10&gt;=$A103),0)),""))</x:f>
      </x:c>
      <x:c r="M103" t="n">
        <x:f>--($A103&lt;&gt;"")</x:f>
        <x:v>1</x:v>
      </x:c>
    </x:row>
    <x:row r="104">
      <x:c r="A104" s="10" t="n">
        <x:f>IF(Assumptions!$B$5+INT((ROW()-2)/Assumptions!$B$7)&gt;Assumptions!$B$6,"",Assumptions!$B$5+INT((ROW()-2)/Assumptions!$B$7))</x:f>
        <x:v>46043</x:v>
      </x:c>
      <x:c r="B104" t="str">
        <x:f>IF($A104="","",INDEX(Assumptions!$D$5:$D$12,MOD(ROW()-2,Assumptions!$B$7)+1))</x:f>
        <x:v>Nostromo Deep</x:v>
      </x:c>
      <x:c r="C104" s="11" t="n">
        <x:f>IF($A104="","",INDEX(Assumptions!$F$5:$F$12,MATCH($B104,Assumptions!$D$5:$D$12,0)))</x:f>
        <x:v>1260</x:v>
      </x:c>
      <x:c r="D104" s="11" t="n">
        <x:f>IF($A104="","",INDEX(Assumptions!$G$5:$G$12,MATCH($B104,Assumptions!$D$5:$D$12,0)))</x:f>
        <x:v>145</x:v>
      </x:c>
      <x:c r="E104" s="11" t="n">
        <x:f>IF($A104="","",INDEX(Assumptions!$M$5:$M$11,WEEKDAY($A104,2)))</x:f>
        <x:v>1.01</x:v>
      </x:c>
      <x:c r="F104" s="11" t="n">
        <x:f>IF($A104="","",Assumptions!$B$15)</x:f>
        <x:v>0.35</x:v>
      </x:c>
      <x:c r="G104" s="11" t="n">
        <x:f>IF($A104="","",MAX(INDEX(Assumptions!$H$5:$H$12,MATCH($B104,Assumptions!$D$5:$D$12,0)),MIN(INDEX(Assumptions!$I$5:$I$12,MATCH($B104,Assumptions!$D$5:$D$12,0)),($C104+$D104*SQRT(-2*LN(RAND()))*COS(2*PI()*RAND()))*$E104*$J104*$K104)))</x:f>
        <x:v>1158.0873672017444</x:v>
      </x:c>
      <x:c r="H104" s="11" t="n">
        <x:f>IF($A104="","",$G104*$F104+$C104*(1-$F104))</x:f>
        <x:v>1224.3305785206105</x:v>
      </x:c>
      <x:c r="I104" s="11" t="n">
        <x:f>IF($A104="","",AVERAGE($H104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1278.7187326298003</x:v>
      </x:c>
      <x:c r="J104" s="12" t="n">
        <x:f>IF($A104="","",1+SUMIFS(Assumptions!$S$5:$S$10,Assumptions!$P$5:$P$10,$B104,Assumptions!$Q$5:$Q$10,"&lt;="&amp;$A104,Assumptions!$R$5:$R$10,"&gt;="&amp;$A104))</x:f>
        <x:v>1</x:v>
      </x:c>
      <x:c r="K104" s="12" t="n">
        <x:f>IF($A104="","",1+((($A104-Assumptions!$B$5)/30)*INDEX(Assumptions!$J$5:$J$12,MATCH($B104,Assumptions!$D$5:$D$12,0))))</x:f>
        <x:v>1.002</x:v>
      </x:c>
      <x:c r="L104" t="str">
        <x:f>IF($A104="","",IFERROR(INDEX(Assumptions!$O$5:$O$10,MATCH(1,(Assumptions!$P$5:$P$10=$B104)*(Assumptions!$Q$5:$Q$10&lt;=$A104)*(Assumptions!$R$5:$R$10&gt;=$A104),0)),""))</x:f>
      </x:c>
      <x:c r="M104" t="n">
        <x:f>--($A104&lt;&gt;"")</x:f>
        <x:v>1</x:v>
      </x:c>
    </x:row>
    <x:row r="105">
      <x:c r="A105" s="10" t="n">
        <x:f>IF(Assumptions!$B$5+INT((ROW()-2)/Assumptions!$B$7)&gt;Assumptions!$B$6,"",Assumptions!$B$5+INT((ROW()-2)/Assumptions!$B$7))</x:f>
        <x:v>46043</x:v>
      </x:c>
      <x:c r="B105" t="str">
        <x:f>IF($A105="","",INDEX(Assumptions!$D$5:$D$12,MOD(ROW()-2,Assumptions!$B$7)+1))</x:f>
        <x:v>Hadley's Hope</x:v>
      </x:c>
      <x:c r="C105" s="11" t="n">
        <x:f>IF($A105="","",INDEX(Assumptions!$F$5:$F$12,MATCH($B105,Assumptions!$D$5:$D$12,0)))</x:f>
        <x:v>845</x:v>
      </x:c>
      <x:c r="D105" s="11" t="n">
        <x:f>IF($A105="","",INDEX(Assumptions!$G$5:$G$12,MATCH($B105,Assumptions!$D$5:$D$12,0)))</x:f>
        <x:v>80</x:v>
      </x:c>
      <x:c r="E105" s="11" t="n">
        <x:f>IF($A105="","",INDEX(Assumptions!$M$5:$M$11,WEEKDAY($A105,2)))</x:f>
        <x:v>1.01</x:v>
      </x:c>
      <x:c r="F105" s="11" t="n">
        <x:f>IF($A105="","",Assumptions!$B$15)</x:f>
        <x:v>0.35</x:v>
      </x:c>
      <x:c r="G105" s="11" t="n">
        <x:f>IF($A105="","",MAX(INDEX(Assumptions!$H$5:$H$12,MATCH($B105,Assumptions!$D$5:$D$12,0)),MIN(INDEX(Assumptions!$I$5:$I$12,MATCH($B105,Assumptions!$D$5:$D$12,0)),($C105+$D105*SQRT(-2*LN(RAND()))*COS(2*PI()*RAND()))*$E105*$J105*$K105)))</x:f>
        <x:v>850.0297351711652</x:v>
      </x:c>
      <x:c r="H105" s="11" t="n">
        <x:f>IF($A105="","",$G105*$F105+$C105*(1-$F105))</x:f>
        <x:v>846.7604073099078</x:v>
      </x:c>
      <x:c r="I105" s="11" t="n">
        <x:f>IF($A105="","",AVERAGE($H105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814.446618006192</x:v>
      </x:c>
      <x:c r="J105" s="12" t="n">
        <x:f>IF($A105="","",1+SUMIFS(Assumptions!$S$5:$S$10,Assumptions!$P$5:$P$10,$B105,Assumptions!$Q$5:$Q$10,"&lt;="&amp;$A105,Assumptions!$R$5:$R$10,"&gt;="&amp;$A105))</x:f>
        <x:v>1</x:v>
      </x:c>
      <x:c r="K105" s="12" t="n">
        <x:f>IF($A105="","",1+((($A105-Assumptions!$B$5)/30)*INDEX(Assumptions!$J$5:$J$12,MATCH($B105,Assumptions!$D$5:$D$12,0))))</x:f>
        <x:v>1.0006666666666666</x:v>
      </x:c>
      <x:c r="L105" t="str">
        <x:f>IF($A105="","",IFERROR(INDEX(Assumptions!$O$5:$O$10,MATCH(1,(Assumptions!$P$5:$P$10=$B105)*(Assumptions!$Q$5:$Q$10&lt;=$A105)*(Assumptions!$R$5:$R$10&gt;=$A105),0)),""))</x:f>
      </x:c>
      <x:c r="M105" t="n">
        <x:f>--($A105&lt;&gt;"")</x:f>
        <x:v>1</x:v>
      </x:c>
    </x:row>
    <x:row r="106">
      <x:c r="A106" s="10" t="n">
        <x:f>IF(Assumptions!$B$5+INT((ROW()-2)/Assumptions!$B$7)&gt;Assumptions!$B$6,"",Assumptions!$B$5+INT((ROW()-2)/Assumptions!$B$7))</x:f>
        <x:v>46043</x:v>
      </x:c>
      <x:c r="B106" t="str">
        <x:f>IF($A106="","",INDEX(Assumptions!$D$5:$D$12,MOD(ROW()-2,Assumptions!$B$7)+1))</x:f>
        <x:v>Yutani Ridge</x:v>
      </x:c>
      <x:c r="C106" s="11" t="n">
        <x:f>IF($A106="","",INDEX(Assumptions!$F$5:$F$12,MATCH($B106,Assumptions!$D$5:$D$12,0)))</x:f>
        <x:v>1050</x:v>
      </x:c>
      <x:c r="D106" s="11" t="n">
        <x:f>IF($A106="","",INDEX(Assumptions!$G$5:$G$12,MATCH($B106,Assumptions!$D$5:$D$12,0)))</x:f>
        <x:v>125</x:v>
      </x:c>
      <x:c r="E106" s="11" t="n">
        <x:f>IF($A106="","",INDEX(Assumptions!$M$5:$M$11,WEEKDAY($A106,2)))</x:f>
        <x:v>1.01</x:v>
      </x:c>
      <x:c r="F106" s="11" t="n">
        <x:f>IF($A106="","",Assumptions!$B$15)</x:f>
        <x:v>0.35</x:v>
      </x:c>
      <x:c r="G106" s="11" t="n">
        <x:f>IF($A106="","",MAX(INDEX(Assumptions!$H$5:$H$12,MATCH($B106,Assumptions!$D$5:$D$12,0)),MIN(INDEX(Assumptions!$I$5:$I$12,MATCH($B106,Assumptions!$D$5:$D$12,0)),($C106+$D106*SQRT(-2*LN(RAND()))*COS(2*PI()*RAND()))*$E106*$J106*$K106)))</x:f>
        <x:v>1156.829612200045</x:v>
      </x:c>
      <x:c r="H106" s="11" t="n">
        <x:f>IF($A106="","",$G106*$F106+$C106*(1-$F106))</x:f>
        <x:v>1087.3903642700157</x:v>
      </x:c>
      <x:c r="I106" s="11" t="n">
        <x:f>IF($A106="","",AVERAGE($H106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1050.1841270912444</x:v>
      </x:c>
      <x:c r="J106" s="12" t="n">
        <x:f>IF($A106="","",1+SUMIFS(Assumptions!$S$5:$S$10,Assumptions!$P$5:$P$10,$B106,Assumptions!$Q$5:$Q$10,"&lt;="&amp;$A106,Assumptions!$R$5:$R$10,"&gt;="&amp;$A106))</x:f>
        <x:v>1</x:v>
      </x:c>
      <x:c r="K106" s="12" t="n">
        <x:f>IF($A106="","",1+((($A106-Assumptions!$B$5)/30)*INDEX(Assumptions!$J$5:$J$12,MATCH($B106,Assumptions!$D$5:$D$12,0))))</x:f>
        <x:v>1.0016666666666667</x:v>
      </x:c>
      <x:c r="L106" t="str">
        <x:f>IF($A106="","",IFERROR(INDEX(Assumptions!$O$5:$O$10,MATCH(1,(Assumptions!$P$5:$P$10=$B106)*(Assumptions!$Q$5:$Q$10&lt;=$A106)*(Assumptions!$R$5:$R$10&gt;=$A106),0)),""))</x:f>
      </x:c>
      <x:c r="M106" t="n">
        <x:f>--($A106&lt;&gt;"")</x:f>
        <x:v>1</x:v>
      </x:c>
    </x:row>
    <x:row r="107">
      <x:c r="A107" s="10" t="n">
        <x:f>IF(Assumptions!$B$5+INT((ROW()-2)/Assumptions!$B$7)&gt;Assumptions!$B$6,"",Assumptions!$B$5+INT((ROW()-2)/Assumptions!$B$7))</x:f>
        <x:v>46044</x:v>
      </x:c>
      <x:c r="B107" t="str">
        <x:f>IF($A107="","",INDEX(Assumptions!$D$5:$D$12,MOD(ROW()-2,Assumptions!$B$7)+1))</x:f>
        <x:v>Acheron Prime</x:v>
      </x:c>
      <x:c r="C107" s="11" t="n">
        <x:f>IF($A107="","",INDEX(Assumptions!$F$5:$F$12,MATCH($B107,Assumptions!$D$5:$D$12,0)))</x:f>
        <x:v>1120</x:v>
      </x:c>
      <x:c r="D107" s="11" t="n">
        <x:f>IF($A107="","",INDEX(Assumptions!$G$5:$G$12,MATCH($B107,Assumptions!$D$5:$D$12,0)))</x:f>
        <x:v>115</x:v>
      </x:c>
      <x:c r="E107" s="11" t="n">
        <x:f>IF($A107="","",INDEX(Assumptions!$M$5:$M$11,WEEKDAY($A107,2)))</x:f>
        <x:v>1</x:v>
      </x:c>
      <x:c r="F107" s="11" t="n">
        <x:f>IF($A107="","",Assumptions!$B$15)</x:f>
        <x:v>0.35</x:v>
      </x:c>
      <x:c r="G107" s="11" t="n">
        <x:f>IF($A107="","",MAX(INDEX(Assumptions!$H$5:$H$12,MATCH($B107,Assumptions!$D$5:$D$12,0)),MIN(INDEX(Assumptions!$I$5:$I$12,MATCH($B107,Assumptions!$D$5:$D$12,0)),($C107+$D107*SQRT(-2*LN(RAND()))*COS(2*PI()*RAND()))*$E107*$J107*$K107)))</x:f>
        <x:v>1361.888904205391</x:v>
      </x:c>
      <x:c r="H107" s="11" t="n">
        <x:f>IF($A107="","",$G107*$F107+$C107*(1-$F107))</x:f>
        <x:v>1204.6611164718868</x:v>
      </x:c>
      <x:c r="I107" s="11" t="n">
        <x:f>IF($A107="","",AVERAGE($H107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1105.2617388937192</x:v>
      </x:c>
      <x:c r="J107" s="12" t="n">
        <x:f>IF($A107="","",1+SUMIFS(Assumptions!$S$5:$S$10,Assumptions!$P$5:$P$10,$B107,Assumptions!$Q$5:$Q$10,"&lt;="&amp;$A107,Assumptions!$R$5:$R$10,"&gt;="&amp;$A107))</x:f>
        <x:v>1</x:v>
      </x:c>
      <x:c r="K107" s="12" t="n">
        <x:f>IF($A107="","",1+((($A107-Assumptions!$B$5)/30)*INDEX(Assumptions!$J$5:$J$12,MATCH($B107,Assumptions!$D$5:$D$12,0))))</x:f>
        <x:v>1.0014</x:v>
      </x:c>
      <x:c r="L107" t="str">
        <x:f>IF($A107="","",IFERROR(INDEX(Assumptions!$O$5:$O$10,MATCH(1,(Assumptions!$P$5:$P$10=$B107)*(Assumptions!$Q$5:$Q$10&lt;=$A107)*(Assumptions!$R$5:$R$10&gt;=$A107),0)),""))</x:f>
      </x:c>
      <x:c r="M107" t="n">
        <x:f>--($A107&lt;&gt;"")</x:f>
        <x:v>1</x:v>
      </x:c>
    </x:row>
    <x:row r="108">
      <x:c r="A108" s="10" t="n">
        <x:f>IF(Assumptions!$B$5+INT((ROW()-2)/Assumptions!$B$7)&gt;Assumptions!$B$6,"",Assumptions!$B$5+INT((ROW()-2)/Assumptions!$B$7))</x:f>
        <x:v>46044</x:v>
      </x:c>
      <x:c r="B108" t="str">
        <x:f>IF($A108="","",INDEX(Assumptions!$D$5:$D$12,MOD(ROW()-2,Assumptions!$B$7)+1))</x:f>
        <x:v>LV-426 North</x:v>
      </x:c>
      <x:c r="C108" s="11" t="n">
        <x:f>IF($A108="","",INDEX(Assumptions!$F$5:$F$12,MATCH($B108,Assumptions!$D$5:$D$12,0)))</x:f>
        <x:v>930</x:v>
      </x:c>
      <x:c r="D108" s="11" t="n">
        <x:f>IF($A108="","",INDEX(Assumptions!$G$5:$G$12,MATCH($B108,Assumptions!$D$5:$D$12,0)))</x:f>
        <x:v>95</x:v>
      </x:c>
      <x:c r="E108" s="11" t="n">
        <x:f>IF($A108="","",INDEX(Assumptions!$M$5:$M$11,WEEKDAY($A108,2)))</x:f>
        <x:v>1</x:v>
      </x:c>
      <x:c r="F108" s="11" t="n">
        <x:f>IF($A108="","",Assumptions!$B$15)</x:f>
        <x:v>0.35</x:v>
      </x:c>
      <x:c r="G108" s="11" t="n">
        <x:f>IF($A108="","",MAX(INDEX(Assumptions!$H$5:$H$12,MATCH($B108,Assumptions!$D$5:$D$12,0)),MIN(INDEX(Assumptions!$I$5:$I$12,MATCH($B108,Assumptions!$D$5:$D$12,0)),($C108+$D108*SQRT(-2*LN(RAND()))*COS(2*PI()*RAND()))*$E108*$J108*$K108)))</x:f>
        <x:v>844.2979774027353</x:v>
      </x:c>
      <x:c r="H108" s="11" t="n">
        <x:f>IF($A108="","",$G108*$F108+$C108*(1-$F108))</x:f>
        <x:v>900.0042920909573</x:v>
      </x:c>
      <x:c r="I108" s="11" t="n">
        <x:f>IF($A108="","",AVERAGE($H108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932.3996772194872</x:v>
      </x:c>
      <x:c r="J108" s="12" t="n">
        <x:f>IF($A108="","",1+SUMIFS(Assumptions!$S$5:$S$10,Assumptions!$P$5:$P$10,$B108,Assumptions!$Q$5:$Q$10,"&lt;="&amp;$A108,Assumptions!$R$5:$R$10,"&gt;="&amp;$A108))</x:f>
        <x:v>1</x:v>
      </x:c>
      <x:c r="K108" s="12" t="n">
        <x:f>IF($A108="","",1+((($A108-Assumptions!$B$5)/30)*INDEX(Assumptions!$J$5:$J$12,MATCH($B108,Assumptions!$D$5:$D$12,0))))</x:f>
        <x:v>0.9993</x:v>
      </x:c>
      <x:c r="L108" t="str">
        <x:f>IF($A108="","",IFERROR(INDEX(Assumptions!$O$5:$O$10,MATCH(1,(Assumptions!$P$5:$P$10=$B108)*(Assumptions!$Q$5:$Q$10&lt;=$A108)*(Assumptions!$R$5:$R$10&gt;=$A108),0)),""))</x:f>
      </x:c>
      <x:c r="M108" t="n">
        <x:f>--($A108&lt;&gt;"")</x:f>
        <x:v>1</x:v>
      </x:c>
    </x:row>
    <x:row r="109">
      <x:c r="A109" s="10" t="n">
        <x:f>IF(Assumptions!$B$5+INT((ROW()-2)/Assumptions!$B$7)&gt;Assumptions!$B$6,"",Assumptions!$B$5+INT((ROW()-2)/Assumptions!$B$7))</x:f>
        <x:v>46044</x:v>
      </x:c>
      <x:c r="B109" t="str">
        <x:f>IF($A109="","",INDEX(Assumptions!$D$5:$D$12,MOD(ROW()-2,Assumptions!$B$7)+1))</x:f>
        <x:v>Nostromo Deep</x:v>
      </x:c>
      <x:c r="C109" s="11" t="n">
        <x:f>IF($A109="","",INDEX(Assumptions!$F$5:$F$12,MATCH($B109,Assumptions!$D$5:$D$12,0)))</x:f>
        <x:v>1260</x:v>
      </x:c>
      <x:c r="D109" s="11" t="n">
        <x:f>IF($A109="","",INDEX(Assumptions!$G$5:$G$12,MATCH($B109,Assumptions!$D$5:$D$12,0)))</x:f>
        <x:v>145</x:v>
      </x:c>
      <x:c r="E109" s="11" t="n">
        <x:f>IF($A109="","",INDEX(Assumptions!$M$5:$M$11,WEEKDAY($A109,2)))</x:f>
        <x:v>1</x:v>
      </x:c>
      <x:c r="F109" s="11" t="n">
        <x:f>IF($A109="","",Assumptions!$B$15)</x:f>
        <x:v>0.35</x:v>
      </x:c>
      <x:c r="G109" s="11" t="n">
        <x:f>IF($A109="","",MAX(INDEX(Assumptions!$H$5:$H$12,MATCH($B109,Assumptions!$D$5:$D$12,0)),MIN(INDEX(Assumptions!$I$5:$I$12,MATCH($B109,Assumptions!$D$5:$D$12,0)),($C109+$D109*SQRT(-2*LN(RAND()))*COS(2*PI()*RAND()))*$E109*$J109*$K109)))</x:f>
        <x:v>1557.3607516664538</x:v>
      </x:c>
      <x:c r="H109" s="11" t="n">
        <x:f>IF($A109="","",$G109*$F109+$C109*(1-$F109))</x:f>
        <x:v>1364.0762630832587</x:v>
      </x:c>
      <x:c r="I109" s="11" t="n">
        <x:f>IF($A109="","",AVERAGE($H109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1286.8566431883341</x:v>
      </x:c>
      <x:c r="J109" s="12" t="n">
        <x:f>IF($A109="","",1+SUMIFS(Assumptions!$S$5:$S$10,Assumptions!$P$5:$P$10,$B109,Assumptions!$Q$5:$Q$10,"&lt;="&amp;$A109,Assumptions!$R$5:$R$10,"&gt;="&amp;$A109))</x:f>
        <x:v>1</x:v>
      </x:c>
      <x:c r="K109" s="12" t="n">
        <x:f>IF($A109="","",1+((($A109-Assumptions!$B$5)/30)*INDEX(Assumptions!$J$5:$J$12,MATCH($B109,Assumptions!$D$5:$D$12,0))))</x:f>
        <x:v>1.0021</x:v>
      </x:c>
      <x:c r="L109" t="str">
        <x:f>IF($A109="","",IFERROR(INDEX(Assumptions!$O$5:$O$10,MATCH(1,(Assumptions!$P$5:$P$10=$B109)*(Assumptions!$Q$5:$Q$10&lt;=$A109)*(Assumptions!$R$5:$R$10&gt;=$A109),0)),""))</x:f>
      </x:c>
      <x:c r="M109" t="n">
        <x:f>--($A109&lt;&gt;"")</x:f>
        <x:v>1</x:v>
      </x:c>
    </x:row>
    <x:row r="110">
      <x:c r="A110" s="10" t="n">
        <x:f>IF(Assumptions!$B$5+INT((ROW()-2)/Assumptions!$B$7)&gt;Assumptions!$B$6,"",Assumptions!$B$5+INT((ROW()-2)/Assumptions!$B$7))</x:f>
        <x:v>46044</x:v>
      </x:c>
      <x:c r="B110" t="str">
        <x:f>IF($A110="","",INDEX(Assumptions!$D$5:$D$12,MOD(ROW()-2,Assumptions!$B$7)+1))</x:f>
        <x:v>Hadley's Hope</x:v>
      </x:c>
      <x:c r="C110" s="11" t="n">
        <x:f>IF($A110="","",INDEX(Assumptions!$F$5:$F$12,MATCH($B110,Assumptions!$D$5:$D$12,0)))</x:f>
        <x:v>845</x:v>
      </x:c>
      <x:c r="D110" s="11" t="n">
        <x:f>IF($A110="","",INDEX(Assumptions!$G$5:$G$12,MATCH($B110,Assumptions!$D$5:$D$12,0)))</x:f>
        <x:v>80</x:v>
      </x:c>
      <x:c r="E110" s="11" t="n">
        <x:f>IF($A110="","",INDEX(Assumptions!$M$5:$M$11,WEEKDAY($A110,2)))</x:f>
        <x:v>1</x:v>
      </x:c>
      <x:c r="F110" s="11" t="n">
        <x:f>IF($A110="","",Assumptions!$B$15)</x:f>
        <x:v>0.35</x:v>
      </x:c>
      <x:c r="G110" s="11" t="n">
        <x:f>IF($A110="","",MAX(INDEX(Assumptions!$H$5:$H$12,MATCH($B110,Assumptions!$D$5:$D$12,0)),MIN(INDEX(Assumptions!$I$5:$I$12,MATCH($B110,Assumptions!$D$5:$D$12,0)),($C110+$D110*SQRT(-2*LN(RAND()))*COS(2*PI()*RAND()))*$E110*$J110*$K110)))</x:f>
        <x:v>932.3071163721999</x:v>
      </x:c>
      <x:c r="H110" s="11" t="n">
        <x:f>IF($A110="","",$G110*$F110+$C110*(1-$F110))</x:f>
        <x:v>875.5574907302699</x:v>
      </x:c>
      <x:c r="I110" s="11" t="n">
        <x:f>IF($A110="","",AVERAGE($H110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822.3843992478533</x:v>
      </x:c>
      <x:c r="J110" s="12" t="n">
        <x:f>IF($A110="","",1+SUMIFS(Assumptions!$S$5:$S$10,Assumptions!$P$5:$P$10,$B110,Assumptions!$Q$5:$Q$10,"&lt;="&amp;$A110,Assumptions!$R$5:$R$10,"&gt;="&amp;$A110))</x:f>
        <x:v>1</x:v>
      </x:c>
      <x:c r="K110" s="12" t="n">
        <x:f>IF($A110="","",1+((($A110-Assumptions!$B$5)/30)*INDEX(Assumptions!$J$5:$J$12,MATCH($B110,Assumptions!$D$5:$D$12,0))))</x:f>
        <x:v>1.0007</x:v>
      </x:c>
      <x:c r="L110" t="str">
        <x:f>IF($A110="","",IFERROR(INDEX(Assumptions!$O$5:$O$10,MATCH(1,(Assumptions!$P$5:$P$10=$B110)*(Assumptions!$Q$5:$Q$10&lt;=$A110)*(Assumptions!$R$5:$R$10&gt;=$A110),0)),""))</x:f>
      </x:c>
      <x:c r="M110" t="n">
        <x:f>--($A110&lt;&gt;"")</x:f>
        <x:v>1</x:v>
      </x:c>
    </x:row>
    <x:row r="111">
      <x:c r="A111" s="10" t="n">
        <x:f>IF(Assumptions!$B$5+INT((ROW()-2)/Assumptions!$B$7)&gt;Assumptions!$B$6,"",Assumptions!$B$5+INT((ROW()-2)/Assumptions!$B$7))</x:f>
        <x:v>46044</x:v>
      </x:c>
      <x:c r="B111" t="str">
        <x:f>IF($A111="","",INDEX(Assumptions!$D$5:$D$12,MOD(ROW()-2,Assumptions!$B$7)+1))</x:f>
        <x:v>Yutani Ridge</x:v>
      </x:c>
      <x:c r="C111" s="11" t="n">
        <x:f>IF($A111="","",INDEX(Assumptions!$F$5:$F$12,MATCH($B111,Assumptions!$D$5:$D$12,0)))</x:f>
        <x:v>1050</x:v>
      </x:c>
      <x:c r="D111" s="11" t="n">
        <x:f>IF($A111="","",INDEX(Assumptions!$G$5:$G$12,MATCH($B111,Assumptions!$D$5:$D$12,0)))</x:f>
        <x:v>125</x:v>
      </x:c>
      <x:c r="E111" s="11" t="n">
        <x:f>IF($A111="","",INDEX(Assumptions!$M$5:$M$11,WEEKDAY($A111,2)))</x:f>
        <x:v>1</x:v>
      </x:c>
      <x:c r="F111" s="11" t="n">
        <x:f>IF($A111="","",Assumptions!$B$15)</x:f>
        <x:v>0.35</x:v>
      </x:c>
      <x:c r="G111" s="11" t="n">
        <x:f>IF($A111="","",MAX(INDEX(Assumptions!$H$5:$H$12,MATCH($B111,Assumptions!$D$5:$D$12,0)),MIN(INDEX(Assumptions!$I$5:$I$12,MATCH($B111,Assumptions!$D$5:$D$12,0)),($C111+$D111*SQRT(-2*LN(RAND()))*COS(2*PI()*RAND()))*$E111*$J111*$K111)))</x:f>
        <x:v>1049.3556701196858</x:v>
      </x:c>
      <x:c r="H111" s="11" t="n">
        <x:f>IF($A111="","",$G111*$F111+$C111*(1-$F111))</x:f>
        <x:v>1049.77448454189</x:v>
      </x:c>
      <x:c r="I111" s="11" t="n">
        <x:f>IF($A111="","",AVERAGE($H111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1046.4341299222738</x:v>
      </x:c>
      <x:c r="J111" s="12" t="n">
        <x:f>IF($A111="","",1+SUMIFS(Assumptions!$S$5:$S$10,Assumptions!$P$5:$P$10,$B111,Assumptions!$Q$5:$Q$10,"&lt;="&amp;$A111,Assumptions!$R$5:$R$10,"&gt;="&amp;$A111))</x:f>
        <x:v>1</x:v>
      </x:c>
      <x:c r="K111" s="12" t="n">
        <x:f>IF($A111="","",1+((($A111-Assumptions!$B$5)/30)*INDEX(Assumptions!$J$5:$J$12,MATCH($B111,Assumptions!$D$5:$D$12,0))))</x:f>
        <x:v>1.00175</x:v>
      </x:c>
      <x:c r="L111" t="str">
        <x:f>IF($A111="","",IFERROR(INDEX(Assumptions!$O$5:$O$10,MATCH(1,(Assumptions!$P$5:$P$10=$B111)*(Assumptions!$Q$5:$Q$10&lt;=$A111)*(Assumptions!$R$5:$R$10&gt;=$A111),0)),""))</x:f>
      </x:c>
      <x:c r="M111" t="n">
        <x:f>--($A111&lt;&gt;"")</x:f>
        <x:v>1</x:v>
      </x:c>
    </x:row>
    <x:row r="112">
      <x:c r="A112" s="10" t="n">
        <x:f>IF(Assumptions!$B$5+INT((ROW()-2)/Assumptions!$B$7)&gt;Assumptions!$B$6,"",Assumptions!$B$5+INT((ROW()-2)/Assumptions!$B$7))</x:f>
        <x:v>46045</x:v>
      </x:c>
      <x:c r="B112" t="str">
        <x:f>IF($A112="","",INDEX(Assumptions!$D$5:$D$12,MOD(ROW()-2,Assumptions!$B$7)+1))</x:f>
        <x:v>Acheron Prime</x:v>
      </x:c>
      <x:c r="C112" s="11" t="n">
        <x:f>IF($A112="","",INDEX(Assumptions!$F$5:$F$12,MATCH($B112,Assumptions!$D$5:$D$12,0)))</x:f>
        <x:v>1120</x:v>
      </x:c>
      <x:c r="D112" s="11" t="n">
        <x:f>IF($A112="","",INDEX(Assumptions!$G$5:$G$12,MATCH($B112,Assumptions!$D$5:$D$12,0)))</x:f>
        <x:v>115</x:v>
      </x:c>
      <x:c r="E112" s="11" t="n">
        <x:f>IF($A112="","",INDEX(Assumptions!$M$5:$M$11,WEEKDAY($A112,2)))</x:f>
        <x:v>0.98</x:v>
      </x:c>
      <x:c r="F112" s="11" t="n">
        <x:f>IF($A112="","",Assumptions!$B$15)</x:f>
        <x:v>0.35</x:v>
      </x:c>
      <x:c r="G112" s="11" t="n">
        <x:f>IF($A112="","",MAX(INDEX(Assumptions!$H$5:$H$12,MATCH($B112,Assumptions!$D$5:$D$12,0)),MIN(INDEX(Assumptions!$I$5:$I$12,MATCH($B112,Assumptions!$D$5:$D$12,0)),($C112+$D112*SQRT(-2*LN(RAND()))*COS(2*PI()*RAND()))*$E112*$J112*$K112)))</x:f>
        <x:v>1089.1353806850018</x:v>
      </x:c>
      <x:c r="H112" s="11" t="n">
        <x:f>IF($A112="","",$G112*$F112+$C112*(1-$F112))</x:f>
        <x:v>1109.1973832397507</x:v>
      </x:c>
      <x:c r="I112" s="11" t="n">
        <x:f>IF($A112="","",AVERAGE($H112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1107.5347313835894</x:v>
      </x:c>
      <x:c r="J112" s="12" t="n">
        <x:f>IF($A112="","",1+SUMIFS(Assumptions!$S$5:$S$10,Assumptions!$P$5:$P$10,$B112,Assumptions!$Q$5:$Q$10,"&lt;="&amp;$A112,Assumptions!$R$5:$R$10,"&gt;="&amp;$A112))</x:f>
        <x:v>1</x:v>
      </x:c>
      <x:c r="K112" s="12" t="n">
        <x:f>IF($A112="","",1+((($A112-Assumptions!$B$5)/30)*INDEX(Assumptions!$J$5:$J$12,MATCH($B112,Assumptions!$D$5:$D$12,0))))</x:f>
        <x:v>1.0014666666666667</x:v>
      </x:c>
      <x:c r="L112" t="str">
        <x:f>IF($A112="","",IFERROR(INDEX(Assumptions!$O$5:$O$10,MATCH(1,(Assumptions!$P$5:$P$10=$B112)*(Assumptions!$Q$5:$Q$10&lt;=$A112)*(Assumptions!$R$5:$R$10&gt;=$A112),0)),""))</x:f>
      </x:c>
      <x:c r="M112" t="n">
        <x:f>--($A112&lt;&gt;"")</x:f>
        <x:v>1</x:v>
      </x:c>
    </x:row>
    <x:row r="113">
      <x:c r="A113" s="10" t="n">
        <x:f>IF(Assumptions!$B$5+INT((ROW()-2)/Assumptions!$B$7)&gt;Assumptions!$B$6,"",Assumptions!$B$5+INT((ROW()-2)/Assumptions!$B$7))</x:f>
        <x:v>46045</x:v>
      </x:c>
      <x:c r="B113" t="str">
        <x:f>IF($A113="","",INDEX(Assumptions!$D$5:$D$12,MOD(ROW()-2,Assumptions!$B$7)+1))</x:f>
        <x:v>LV-426 North</x:v>
      </x:c>
      <x:c r="C113" s="11" t="n">
        <x:f>IF($A113="","",INDEX(Assumptions!$F$5:$F$12,MATCH($B113,Assumptions!$D$5:$D$12,0)))</x:f>
        <x:v>930</x:v>
      </x:c>
      <x:c r="D113" s="11" t="n">
        <x:f>IF($A113="","",INDEX(Assumptions!$G$5:$G$12,MATCH($B113,Assumptions!$D$5:$D$12,0)))</x:f>
        <x:v>95</x:v>
      </x:c>
      <x:c r="E113" s="11" t="n">
        <x:f>IF($A113="","",INDEX(Assumptions!$M$5:$M$11,WEEKDAY($A113,2)))</x:f>
        <x:v>0.98</x:v>
      </x:c>
      <x:c r="F113" s="11" t="n">
        <x:f>IF($A113="","",Assumptions!$B$15)</x:f>
        <x:v>0.35</x:v>
      </x:c>
      <x:c r="G113" s="11" t="n">
        <x:f>IF($A113="","",MAX(INDEX(Assumptions!$H$5:$H$12,MATCH($B113,Assumptions!$D$5:$D$12,0)),MIN(INDEX(Assumptions!$I$5:$I$12,MATCH($B113,Assumptions!$D$5:$D$12,0)),($C113+$D113*SQRT(-2*LN(RAND()))*COS(2*PI()*RAND()))*$E113*$J113*$K113)))</x:f>
        <x:v>904.1612069124978</x:v>
      </x:c>
      <x:c r="H113" s="11" t="n">
        <x:f>IF($A113="","",$G113*$F113+$C113*(1-$F113))</x:f>
        <x:v>920.9564224193742</x:v>
      </x:c>
      <x:c r="I113" s="11" t="n">
        <x:f>IF($A113="","",AVERAGE($H113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930.1379935084485</x:v>
      </x:c>
      <x:c r="J113" s="12" t="n">
        <x:f>IF($A113="","",1+SUMIFS(Assumptions!$S$5:$S$10,Assumptions!$P$5:$P$10,$B113,Assumptions!$Q$5:$Q$10,"&lt;="&amp;$A113,Assumptions!$R$5:$R$10,"&gt;="&amp;$A113))</x:f>
        <x:v>1</x:v>
      </x:c>
      <x:c r="K113" s="12" t="n">
        <x:f>IF($A113="","",1+((($A113-Assumptions!$B$5)/30)*INDEX(Assumptions!$J$5:$J$12,MATCH($B113,Assumptions!$D$5:$D$12,0))))</x:f>
        <x:v>0.9992666666666666</x:v>
      </x:c>
      <x:c r="L113" t="str">
        <x:f>IF($A113="","",IFERROR(INDEX(Assumptions!$O$5:$O$10,MATCH(1,(Assumptions!$P$5:$P$10=$B113)*(Assumptions!$Q$5:$Q$10&lt;=$A113)*(Assumptions!$R$5:$R$10&gt;=$A113),0)),""))</x:f>
      </x:c>
      <x:c r="M113" t="n">
        <x:f>--($A113&lt;&gt;"")</x:f>
        <x:v>1</x:v>
      </x:c>
    </x:row>
    <x:row r="114">
      <x:c r="A114" s="10" t="n">
        <x:f>IF(Assumptions!$B$5+INT((ROW()-2)/Assumptions!$B$7)&gt;Assumptions!$B$6,"",Assumptions!$B$5+INT((ROW()-2)/Assumptions!$B$7))</x:f>
        <x:v>46045</x:v>
      </x:c>
      <x:c r="B114" t="str">
        <x:f>IF($A114="","",INDEX(Assumptions!$D$5:$D$12,MOD(ROW()-2,Assumptions!$B$7)+1))</x:f>
        <x:v>Nostromo Deep</x:v>
      </x:c>
      <x:c r="C114" s="11" t="n">
        <x:f>IF($A114="","",INDEX(Assumptions!$F$5:$F$12,MATCH($B114,Assumptions!$D$5:$D$12,0)))</x:f>
        <x:v>1260</x:v>
      </x:c>
      <x:c r="D114" s="11" t="n">
        <x:f>IF($A114="","",INDEX(Assumptions!$G$5:$G$12,MATCH($B114,Assumptions!$D$5:$D$12,0)))</x:f>
        <x:v>145</x:v>
      </x:c>
      <x:c r="E114" s="11" t="n">
        <x:f>IF($A114="","",INDEX(Assumptions!$M$5:$M$11,WEEKDAY($A114,2)))</x:f>
        <x:v>0.98</x:v>
      </x:c>
      <x:c r="F114" s="11" t="n">
        <x:f>IF($A114="","",Assumptions!$B$15)</x:f>
        <x:v>0.35</x:v>
      </x:c>
      <x:c r="G114" s="11" t="n">
        <x:f>IF($A114="","",MAX(INDEX(Assumptions!$H$5:$H$12,MATCH($B114,Assumptions!$D$5:$D$12,0)),MIN(INDEX(Assumptions!$I$5:$I$12,MATCH($B114,Assumptions!$D$5:$D$12,0)),($C114+$D114*SQRT(-2*LN(RAND()))*COS(2*PI()*RAND()))*$E114*$J114*$K114)))</x:f>
        <x:v>1365.0492399988739</x:v>
      </x:c>
      <x:c r="H114" s="11" t="n">
        <x:f>IF($A114="","",$G114*$F114+$C114*(1-$F114))</x:f>
        <x:v>1296.7672339996059</x:v>
      </x:c>
      <x:c r="I114" s="11" t="n">
        <x:f>IF($A114="","",AVERAGE($H114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1288.8022639169285</x:v>
      </x:c>
      <x:c r="J114" s="12" t="n">
        <x:f>IF($A114="","",1+SUMIFS(Assumptions!$S$5:$S$10,Assumptions!$P$5:$P$10,$B114,Assumptions!$Q$5:$Q$10,"&lt;="&amp;$A114,Assumptions!$R$5:$R$10,"&gt;="&amp;$A114))</x:f>
        <x:v>1</x:v>
      </x:c>
      <x:c r="K114" s="12" t="n">
        <x:f>IF($A114="","",1+((($A114-Assumptions!$B$5)/30)*INDEX(Assumptions!$J$5:$J$12,MATCH($B114,Assumptions!$D$5:$D$12,0))))</x:f>
        <x:v>1.0022</x:v>
      </x:c>
      <x:c r="L114" t="str">
        <x:f>IF($A114="","",IFERROR(INDEX(Assumptions!$O$5:$O$10,MATCH(1,(Assumptions!$P$5:$P$10=$B114)*(Assumptions!$Q$5:$Q$10&lt;=$A114)*(Assumptions!$R$5:$R$10&gt;=$A114),0)),""))</x:f>
      </x:c>
      <x:c r="M114" t="n">
        <x:f>--($A114&lt;&gt;"")</x:f>
        <x:v>1</x:v>
      </x:c>
    </x:row>
    <x:row r="115">
      <x:c r="A115" s="10" t="n">
        <x:f>IF(Assumptions!$B$5+INT((ROW()-2)/Assumptions!$B$7)&gt;Assumptions!$B$6,"",Assumptions!$B$5+INT((ROW()-2)/Assumptions!$B$7))</x:f>
        <x:v>46045</x:v>
      </x:c>
      <x:c r="B115" t="str">
        <x:f>IF($A115="","",INDEX(Assumptions!$D$5:$D$12,MOD(ROW()-2,Assumptions!$B$7)+1))</x:f>
        <x:v>Hadley's Hope</x:v>
      </x:c>
      <x:c r="C115" s="11" t="n">
        <x:f>IF($A115="","",INDEX(Assumptions!$F$5:$F$12,MATCH($B115,Assumptions!$D$5:$D$12,0)))</x:f>
        <x:v>845</x:v>
      </x:c>
      <x:c r="D115" s="11" t="n">
        <x:f>IF($A115="","",INDEX(Assumptions!$G$5:$G$12,MATCH($B115,Assumptions!$D$5:$D$12,0)))</x:f>
        <x:v>80</x:v>
      </x:c>
      <x:c r="E115" s="11" t="n">
        <x:f>IF($A115="","",INDEX(Assumptions!$M$5:$M$11,WEEKDAY($A115,2)))</x:f>
        <x:v>0.98</x:v>
      </x:c>
      <x:c r="F115" s="11" t="n">
        <x:f>IF($A115="","",Assumptions!$B$15)</x:f>
        <x:v>0.35</x:v>
      </x:c>
      <x:c r="G115" s="11" t="n">
        <x:f>IF($A115="","",MAX(INDEX(Assumptions!$H$5:$H$12,MATCH($B115,Assumptions!$D$5:$D$12,0)),MIN(INDEX(Assumptions!$I$5:$I$12,MATCH($B115,Assumptions!$D$5:$D$12,0)),($C115+$D115*SQRT(-2*LN(RAND()))*COS(2*PI()*RAND()))*$E115*$J115*$K115)))</x:f>
        <x:v>822.8519391807292</x:v>
      </x:c>
      <x:c r="H115" s="11" t="n">
        <x:f>IF($A115="","",$G115*$F115+$C115*(1-$F115))</x:f>
        <x:v>837.2481787132551</x:v>
      </x:c>
      <x:c r="I115" s="11" t="n">
        <x:f>IF($A115="","",AVERAGE($H115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833.3581829774887</x:v>
      </x:c>
      <x:c r="J115" s="12" t="n">
        <x:f>IF($A115="","",1+SUMIFS(Assumptions!$S$5:$S$10,Assumptions!$P$5:$P$10,$B115,Assumptions!$Q$5:$Q$10,"&lt;="&amp;$A115,Assumptions!$R$5:$R$10,"&gt;="&amp;$A115))</x:f>
        <x:v>1</x:v>
      </x:c>
      <x:c r="K115" s="12" t="n">
        <x:f>IF($A115="","",1+((($A115-Assumptions!$B$5)/30)*INDEX(Assumptions!$J$5:$J$12,MATCH($B115,Assumptions!$D$5:$D$12,0))))</x:f>
        <x:v>1.0007333333333333</x:v>
      </x:c>
      <x:c r="L115" t="str">
        <x:f>IF($A115="","",IFERROR(INDEX(Assumptions!$O$5:$O$10,MATCH(1,(Assumptions!$P$5:$P$10=$B115)*(Assumptions!$Q$5:$Q$10&lt;=$A115)*(Assumptions!$R$5:$R$10&gt;=$A115),0)),""))</x:f>
      </x:c>
      <x:c r="M115" t="n">
        <x:f>--($A115&lt;&gt;"")</x:f>
        <x:v>1</x:v>
      </x:c>
    </x:row>
    <x:row r="116">
      <x:c r="A116" s="10" t="n">
        <x:f>IF(Assumptions!$B$5+INT((ROW()-2)/Assumptions!$B$7)&gt;Assumptions!$B$6,"",Assumptions!$B$5+INT((ROW()-2)/Assumptions!$B$7))</x:f>
        <x:v>46045</x:v>
      </x:c>
      <x:c r="B116" t="str">
        <x:f>IF($A116="","",INDEX(Assumptions!$D$5:$D$12,MOD(ROW()-2,Assumptions!$B$7)+1))</x:f>
        <x:v>Yutani Ridge</x:v>
      </x:c>
      <x:c r="C116" s="11" t="n">
        <x:f>IF($A116="","",INDEX(Assumptions!$F$5:$F$12,MATCH($B116,Assumptions!$D$5:$D$12,0)))</x:f>
        <x:v>1050</x:v>
      </x:c>
      <x:c r="D116" s="11" t="n">
        <x:f>IF($A116="","",INDEX(Assumptions!$G$5:$G$12,MATCH($B116,Assumptions!$D$5:$D$12,0)))</x:f>
        <x:v>125</x:v>
      </x:c>
      <x:c r="E116" s="11" t="n">
        <x:f>IF($A116="","",INDEX(Assumptions!$M$5:$M$11,WEEKDAY($A116,2)))</x:f>
        <x:v>0.98</x:v>
      </x:c>
      <x:c r="F116" s="11" t="n">
        <x:f>IF($A116="","",Assumptions!$B$15)</x:f>
        <x:v>0.35</x:v>
      </x:c>
      <x:c r="G116" s="11" t="n">
        <x:f>IF($A116="","",MAX(INDEX(Assumptions!$H$5:$H$12,MATCH($B116,Assumptions!$D$5:$D$12,0)),MIN(INDEX(Assumptions!$I$5:$I$12,MATCH($B116,Assumptions!$D$5:$D$12,0)),($C116+$D116*SQRT(-2*LN(RAND()))*COS(2*PI()*RAND()))*$E116*$J116*$K116)))</x:f>
        <x:v>1027.9846585893256</x:v>
      </x:c>
      <x:c r="H116" s="11" t="n">
        <x:f>IF($A116="","",$G116*$F116+$C116*(1-$F116))</x:f>
        <x:v>1042.294630506264</x:v>
      </x:c>
      <x:c r="I116" s="11" t="n">
        <x:f>IF($A116="","",AVERAGE($H116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1043.8491302265247</x:v>
      </x:c>
      <x:c r="J116" s="12" t="n">
        <x:f>IF($A116="","",1+SUMIFS(Assumptions!$S$5:$S$10,Assumptions!$P$5:$P$10,$B116,Assumptions!$Q$5:$Q$10,"&lt;="&amp;$A116,Assumptions!$R$5:$R$10,"&gt;="&amp;$A116))</x:f>
        <x:v>1</x:v>
      </x:c>
      <x:c r="K116" s="12" t="n">
        <x:f>IF($A116="","",1+((($A116-Assumptions!$B$5)/30)*INDEX(Assumptions!$J$5:$J$12,MATCH($B116,Assumptions!$D$5:$D$12,0))))</x:f>
        <x:v>1.0018333333333334</x:v>
      </x:c>
      <x:c r="L116" t="str">
        <x:f>IF($A116="","",IFERROR(INDEX(Assumptions!$O$5:$O$10,MATCH(1,(Assumptions!$P$5:$P$10=$B116)*(Assumptions!$Q$5:$Q$10&lt;=$A116)*(Assumptions!$R$5:$R$10&gt;=$A116),0)),""))</x:f>
      </x:c>
      <x:c r="M116" t="n">
        <x:f>--($A116&lt;&gt;"")</x:f>
        <x:v>1</x:v>
      </x:c>
    </x:row>
    <x:row r="117">
      <x:c r="A117" s="10" t="n">
        <x:f>IF(Assumptions!$B$5+INT((ROW()-2)/Assumptions!$B$7)&gt;Assumptions!$B$6,"",Assumptions!$B$5+INT((ROW()-2)/Assumptions!$B$7))</x:f>
        <x:v>46046</x:v>
      </x:c>
      <x:c r="B117" t="str">
        <x:f>IF($A117="","",INDEX(Assumptions!$D$5:$D$12,MOD(ROW()-2,Assumptions!$B$7)+1))</x:f>
        <x:v>Acheron Prime</x:v>
      </x:c>
      <x:c r="C117" s="11" t="n">
        <x:f>IF($A117="","",INDEX(Assumptions!$F$5:$F$12,MATCH($B117,Assumptions!$D$5:$D$12,0)))</x:f>
        <x:v>1120</x:v>
      </x:c>
      <x:c r="D117" s="11" t="n">
        <x:f>IF($A117="","",INDEX(Assumptions!$G$5:$G$12,MATCH($B117,Assumptions!$D$5:$D$12,0)))</x:f>
        <x:v>115</x:v>
      </x:c>
      <x:c r="E117" s="11" t="n">
        <x:f>IF($A117="","",INDEX(Assumptions!$M$5:$M$11,WEEKDAY($A117,2)))</x:f>
        <x:v>0.91</x:v>
      </x:c>
      <x:c r="F117" s="11" t="n">
        <x:f>IF($A117="","",Assumptions!$B$15)</x:f>
        <x:v>0.35</x:v>
      </x:c>
      <x:c r="G117" s="11" t="n">
        <x:f>IF($A117="","",MAX(INDEX(Assumptions!$H$5:$H$12,MATCH($B117,Assumptions!$D$5:$D$12,0)),MIN(INDEX(Assumptions!$I$5:$I$12,MATCH($B117,Assumptions!$D$5:$D$12,0)),($C117+$D117*SQRT(-2*LN(RAND()))*COS(2*PI()*RAND()))*$E117*$J117*$K117)))</x:f>
        <x:v>889.5960459109921</x:v>
      </x:c>
      <x:c r="H117" s="11" t="n">
        <x:f>IF($A117="","",$G117*$F117+$C117*(1-$F117))</x:f>
        <x:v>1039.3586160688471</x:v>
      </x:c>
      <x:c r="I117" s="11" t="n">
        <x:f>IF($A117="","",AVERAGE($H117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1103.684138558801</x:v>
      </x:c>
      <x:c r="J117" s="12" t="n">
        <x:f>IF($A117="","",1+SUMIFS(Assumptions!$S$5:$S$10,Assumptions!$P$5:$P$10,$B117,Assumptions!$Q$5:$Q$10,"&lt;="&amp;$A117,Assumptions!$R$5:$R$10,"&gt;="&amp;$A117))</x:f>
        <x:v>1</x:v>
      </x:c>
      <x:c r="K117" s="12" t="n">
        <x:f>IF($A117="","",1+((($A117-Assumptions!$B$5)/30)*INDEX(Assumptions!$J$5:$J$12,MATCH($B117,Assumptions!$D$5:$D$12,0))))</x:f>
        <x:v>1.0015333333333334</x:v>
      </x:c>
      <x:c r="L117" t="str">
        <x:f>IF($A117="","",IFERROR(INDEX(Assumptions!$O$5:$O$10,MATCH(1,(Assumptions!$P$5:$P$10=$B117)*(Assumptions!$Q$5:$Q$10&lt;=$A117)*(Assumptions!$R$5:$R$10&gt;=$A117),0)),""))</x:f>
      </x:c>
      <x:c r="M117" t="n">
        <x:f>--($A117&lt;&gt;"")</x:f>
        <x:v>1</x:v>
      </x:c>
    </x:row>
    <x:row r="118">
      <x:c r="A118" s="10" t="n">
        <x:f>IF(Assumptions!$B$5+INT((ROW()-2)/Assumptions!$B$7)&gt;Assumptions!$B$6,"",Assumptions!$B$5+INT((ROW()-2)/Assumptions!$B$7))</x:f>
        <x:v>46046</x:v>
      </x:c>
      <x:c r="B118" t="str">
        <x:f>IF($A118="","",INDEX(Assumptions!$D$5:$D$12,MOD(ROW()-2,Assumptions!$B$7)+1))</x:f>
        <x:v>LV-426 North</x:v>
      </x:c>
      <x:c r="C118" s="11" t="n">
        <x:f>IF($A118="","",INDEX(Assumptions!$F$5:$F$12,MATCH($B118,Assumptions!$D$5:$D$12,0)))</x:f>
        <x:v>930</x:v>
      </x:c>
      <x:c r="D118" s="11" t="n">
        <x:f>IF($A118="","",INDEX(Assumptions!$G$5:$G$12,MATCH($B118,Assumptions!$D$5:$D$12,0)))</x:f>
        <x:v>95</x:v>
      </x:c>
      <x:c r="E118" s="11" t="n">
        <x:f>IF($A118="","",INDEX(Assumptions!$M$5:$M$11,WEEKDAY($A118,2)))</x:f>
        <x:v>0.91</x:v>
      </x:c>
      <x:c r="F118" s="11" t="n">
        <x:f>IF($A118="","",Assumptions!$B$15)</x:f>
        <x:v>0.35</x:v>
      </x:c>
      <x:c r="G118" s="11" t="n">
        <x:f>IF($A118="","",MAX(INDEX(Assumptions!$H$5:$H$12,MATCH($B118,Assumptions!$D$5:$D$12,0)),MIN(INDEX(Assumptions!$I$5:$I$12,MATCH($B118,Assumptions!$D$5:$D$12,0)),($C118+$D118*SQRT(-2*LN(RAND()))*COS(2*PI()*RAND()))*$E118*$J118*$K118)))</x:f>
        <x:v>730.5435128561813</x:v>
      </x:c>
      <x:c r="H118" s="11" t="n">
        <x:f>IF($A118="","",$G118*$F118+$C118*(1-$F118))</x:f>
        <x:v>860.1902294996635</x:v>
      </x:c>
      <x:c r="I118" s="11" t="n">
        <x:f>IF($A118="","",AVERAGE($H118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925.0239287165474</x:v>
      </x:c>
      <x:c r="J118" s="12" t="n">
        <x:f>IF($A118="","",1+SUMIFS(Assumptions!$S$5:$S$10,Assumptions!$P$5:$P$10,$B118,Assumptions!$Q$5:$Q$10,"&lt;="&amp;$A118,Assumptions!$R$5:$R$10,"&gt;="&amp;$A118))</x:f>
        <x:v>1</x:v>
      </x:c>
      <x:c r="K118" s="12" t="n">
        <x:f>IF($A118="","",1+((($A118-Assumptions!$B$5)/30)*INDEX(Assumptions!$J$5:$J$12,MATCH($B118,Assumptions!$D$5:$D$12,0))))</x:f>
        <x:v>0.9992333333333333</x:v>
      </x:c>
      <x:c r="L118" t="str">
        <x:f>IF($A118="","",IFERROR(INDEX(Assumptions!$O$5:$O$10,MATCH(1,(Assumptions!$P$5:$P$10=$B118)*(Assumptions!$Q$5:$Q$10&lt;=$A118)*(Assumptions!$R$5:$R$10&gt;=$A118),0)),""))</x:f>
      </x:c>
      <x:c r="M118" t="n">
        <x:f>--($A118&lt;&gt;"")</x:f>
        <x:v>1</x:v>
      </x:c>
    </x:row>
    <x:row r="119">
      <x:c r="A119" s="10" t="n">
        <x:f>IF(Assumptions!$B$5+INT((ROW()-2)/Assumptions!$B$7)&gt;Assumptions!$B$6,"",Assumptions!$B$5+INT((ROW()-2)/Assumptions!$B$7))</x:f>
        <x:v>46046</x:v>
      </x:c>
      <x:c r="B119" t="str">
        <x:f>IF($A119="","",INDEX(Assumptions!$D$5:$D$12,MOD(ROW()-2,Assumptions!$B$7)+1))</x:f>
        <x:v>Nostromo Deep</x:v>
      </x:c>
      <x:c r="C119" s="11" t="n">
        <x:f>IF($A119="","",INDEX(Assumptions!$F$5:$F$12,MATCH($B119,Assumptions!$D$5:$D$12,0)))</x:f>
        <x:v>1260</x:v>
      </x:c>
      <x:c r="D119" s="11" t="n">
        <x:f>IF($A119="","",INDEX(Assumptions!$G$5:$G$12,MATCH($B119,Assumptions!$D$5:$D$12,0)))</x:f>
        <x:v>145</x:v>
      </x:c>
      <x:c r="E119" s="11" t="n">
        <x:f>IF($A119="","",INDEX(Assumptions!$M$5:$M$11,WEEKDAY($A119,2)))</x:f>
        <x:v>0.91</x:v>
      </x:c>
      <x:c r="F119" s="11" t="n">
        <x:f>IF($A119="","",Assumptions!$B$15)</x:f>
        <x:v>0.35</x:v>
      </x:c>
      <x:c r="G119" s="11" t="n">
        <x:f>IF($A119="","",MAX(INDEX(Assumptions!$H$5:$H$12,MATCH($B119,Assumptions!$D$5:$D$12,0)),MIN(INDEX(Assumptions!$I$5:$I$12,MATCH($B119,Assumptions!$D$5:$D$12,0)),($C119+$D119*SQRT(-2*LN(RAND()))*COS(2*PI()*RAND()))*$E119*$J119*$K119)))</x:f>
        <x:v>1010.266025608753</x:v>
      </x:c>
      <x:c r="H119" s="11" t="n">
        <x:f>IF($A119="","",$G119*$F119+$C119*(1-$F119))</x:f>
        <x:v>1172.5931089630635</x:v>
      </x:c>
      <x:c r="I119" s="11" t="n">
        <x:f>IF($A119="","",AVERAGE($H119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1283.904740482389</x:v>
      </x:c>
      <x:c r="J119" s="12" t="n">
        <x:f>IF($A119="","",1+SUMIFS(Assumptions!$S$5:$S$10,Assumptions!$P$5:$P$10,$B119,Assumptions!$Q$5:$Q$10,"&lt;="&amp;$A119,Assumptions!$R$5:$R$10,"&gt;="&amp;$A119))</x:f>
        <x:v>1</x:v>
      </x:c>
      <x:c r="K119" s="12" t="n">
        <x:f>IF($A119="","",1+((($A119-Assumptions!$B$5)/30)*INDEX(Assumptions!$J$5:$J$12,MATCH($B119,Assumptions!$D$5:$D$12,0))))</x:f>
        <x:v>1.0023</x:v>
      </x:c>
      <x:c r="L119" t="str">
        <x:f>IF($A119="","",IFERROR(INDEX(Assumptions!$O$5:$O$10,MATCH(1,(Assumptions!$P$5:$P$10=$B119)*(Assumptions!$Q$5:$Q$10&lt;=$A119)*(Assumptions!$R$5:$R$10&gt;=$A119),0)),""))</x:f>
      </x:c>
      <x:c r="M119" t="n">
        <x:f>--($A119&lt;&gt;"")</x:f>
        <x:v>1</x:v>
      </x:c>
    </x:row>
    <x:row r="120">
      <x:c r="A120" s="10" t="n">
        <x:f>IF(Assumptions!$B$5+INT((ROW()-2)/Assumptions!$B$7)&gt;Assumptions!$B$6,"",Assumptions!$B$5+INT((ROW()-2)/Assumptions!$B$7))</x:f>
        <x:v>46046</x:v>
      </x:c>
      <x:c r="B120" t="str">
        <x:f>IF($A120="","",INDEX(Assumptions!$D$5:$D$12,MOD(ROW()-2,Assumptions!$B$7)+1))</x:f>
        <x:v>Hadley's Hope</x:v>
      </x:c>
      <x:c r="C120" s="11" t="n">
        <x:f>IF($A120="","",INDEX(Assumptions!$F$5:$F$12,MATCH($B120,Assumptions!$D$5:$D$12,0)))</x:f>
        <x:v>845</x:v>
      </x:c>
      <x:c r="D120" s="11" t="n">
        <x:f>IF($A120="","",INDEX(Assumptions!$G$5:$G$12,MATCH($B120,Assumptions!$D$5:$D$12,0)))</x:f>
        <x:v>80</x:v>
      </x:c>
      <x:c r="E120" s="11" t="n">
        <x:f>IF($A120="","",INDEX(Assumptions!$M$5:$M$11,WEEKDAY($A120,2)))</x:f>
        <x:v>0.91</x:v>
      </x:c>
      <x:c r="F120" s="11" t="n">
        <x:f>IF($A120="","",Assumptions!$B$15)</x:f>
        <x:v>0.35</x:v>
      </x:c>
      <x:c r="G120" s="11" t="n">
        <x:f>IF($A120="","",MAX(INDEX(Assumptions!$H$5:$H$12,MATCH($B120,Assumptions!$D$5:$D$12,0)),MIN(INDEX(Assumptions!$I$5:$I$12,MATCH($B120,Assumptions!$D$5:$D$12,0)),($C120+$D120*SQRT(-2*LN(RAND()))*COS(2*PI()*RAND()))*$E120*$J120*$K120)))</x:f>
        <x:v>818.2711558570007</x:v>
      </x:c>
      <x:c r="H120" s="11" t="n">
        <x:f>IF($A120="","",$G120*$F120+$C120*(1-$F120))</x:f>
        <x:v>835.6449045499503</x:v>
      </x:c>
      <x:c r="I120" s="11" t="n">
        <x:f>IF($A120="","",AVERAGE($H120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837.3115765845398</x:v>
      </x:c>
      <x:c r="J120" s="12" t="n">
        <x:f>IF($A120="","",1+SUMIFS(Assumptions!$S$5:$S$10,Assumptions!$P$5:$P$10,$B120,Assumptions!$Q$5:$Q$10,"&lt;="&amp;$A120,Assumptions!$R$5:$R$10,"&gt;="&amp;$A120))</x:f>
        <x:v>1</x:v>
      </x:c>
      <x:c r="K120" s="12" t="n">
        <x:f>IF($A120="","",1+((($A120-Assumptions!$B$5)/30)*INDEX(Assumptions!$J$5:$J$12,MATCH($B120,Assumptions!$D$5:$D$12,0))))</x:f>
        <x:v>1.0007666666666666</x:v>
      </x:c>
      <x:c r="L120" t="str">
        <x:f>IF($A120="","",IFERROR(INDEX(Assumptions!$O$5:$O$10,MATCH(1,(Assumptions!$P$5:$P$10=$B120)*(Assumptions!$Q$5:$Q$10&lt;=$A120)*(Assumptions!$R$5:$R$10&gt;=$A120),0)),""))</x:f>
      </x:c>
      <x:c r="M120" t="n">
        <x:f>--($A120&lt;&gt;"")</x:f>
        <x:v>1</x:v>
      </x:c>
    </x:row>
    <x:row r="121">
      <x:c r="A121" s="10" t="n">
        <x:f>IF(Assumptions!$B$5+INT((ROW()-2)/Assumptions!$B$7)&gt;Assumptions!$B$6,"",Assumptions!$B$5+INT((ROW()-2)/Assumptions!$B$7))</x:f>
        <x:v>46046</x:v>
      </x:c>
      <x:c r="B121" t="str">
        <x:f>IF($A121="","",INDEX(Assumptions!$D$5:$D$12,MOD(ROW()-2,Assumptions!$B$7)+1))</x:f>
        <x:v>Yutani Ridge</x:v>
      </x:c>
      <x:c r="C121" s="11" t="n">
        <x:f>IF($A121="","",INDEX(Assumptions!$F$5:$F$12,MATCH($B121,Assumptions!$D$5:$D$12,0)))</x:f>
        <x:v>1050</x:v>
      </x:c>
      <x:c r="D121" s="11" t="n">
        <x:f>IF($A121="","",INDEX(Assumptions!$G$5:$G$12,MATCH($B121,Assumptions!$D$5:$D$12,0)))</x:f>
        <x:v>125</x:v>
      </x:c>
      <x:c r="E121" s="11" t="n">
        <x:f>IF($A121="","",INDEX(Assumptions!$M$5:$M$11,WEEKDAY($A121,2)))</x:f>
        <x:v>0.91</x:v>
      </x:c>
      <x:c r="F121" s="11" t="n">
        <x:f>IF($A121="","",Assumptions!$B$15)</x:f>
        <x:v>0.35</x:v>
      </x:c>
      <x:c r="G121" s="11" t="n">
        <x:f>IF($A121="","",MAX(INDEX(Assumptions!$H$5:$H$12,MATCH($B121,Assumptions!$D$5:$D$12,0)),MIN(INDEX(Assumptions!$I$5:$I$12,MATCH($B121,Assumptions!$D$5:$D$12,0)),($C121+$D121*SQRT(-2*LN(RAND()))*COS(2*PI()*RAND()))*$E121*$J121*$K121)))</x:f>
        <x:v>961.2648557039653</x:v>
      </x:c>
      <x:c r="H121" s="11" t="n">
        <x:f>IF($A121="","",$G121*$F121+$C121*(1-$F121))</x:f>
        <x:v>1018.9426994963878</x:v>
      </x:c>
      <x:c r="I121" s="11" t="n">
        <x:f>IF($A121="","",AVERAGE($H121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1044.4723404422193</x:v>
      </x:c>
      <x:c r="J121" s="12" t="n">
        <x:f>IF($A121="","",1+SUMIFS(Assumptions!$S$5:$S$10,Assumptions!$P$5:$P$10,$B121,Assumptions!$Q$5:$Q$10,"&lt;="&amp;$A121,Assumptions!$R$5:$R$10,"&gt;="&amp;$A121))</x:f>
        <x:v>1</x:v>
      </x:c>
      <x:c r="K121" s="12" t="n">
        <x:f>IF($A121="","",1+((($A121-Assumptions!$B$5)/30)*INDEX(Assumptions!$J$5:$J$12,MATCH($B121,Assumptions!$D$5:$D$12,0))))</x:f>
        <x:v>1.0019166666666666</x:v>
      </x:c>
      <x:c r="L121" t="str">
        <x:f>IF($A121="","",IFERROR(INDEX(Assumptions!$O$5:$O$10,MATCH(1,(Assumptions!$P$5:$P$10=$B121)*(Assumptions!$Q$5:$Q$10&lt;=$A121)*(Assumptions!$R$5:$R$10&gt;=$A121),0)),""))</x:f>
      </x:c>
      <x:c r="M121" t="n">
        <x:f>--($A121&lt;&gt;"")</x:f>
        <x:v>1</x:v>
      </x:c>
    </x:row>
    <x:row r="122">
      <x:c r="A122" s="10" t="n">
        <x:f>IF(Assumptions!$B$5+INT((ROW()-2)/Assumptions!$B$7)&gt;Assumptions!$B$6,"",Assumptions!$B$5+INT((ROW()-2)/Assumptions!$B$7))</x:f>
        <x:v>46047</x:v>
      </x:c>
      <x:c r="B122" t="str">
        <x:f>IF($A122="","",INDEX(Assumptions!$D$5:$D$12,MOD(ROW()-2,Assumptions!$B$7)+1))</x:f>
        <x:v>Acheron Prime</x:v>
      </x:c>
      <x:c r="C122" s="11" t="n">
        <x:f>IF($A122="","",INDEX(Assumptions!$F$5:$F$12,MATCH($B122,Assumptions!$D$5:$D$12,0)))</x:f>
        <x:v>1120</x:v>
      </x:c>
      <x:c r="D122" s="11" t="n">
        <x:f>IF($A122="","",INDEX(Assumptions!$G$5:$G$12,MATCH($B122,Assumptions!$D$5:$D$12,0)))</x:f>
        <x:v>115</x:v>
      </x:c>
      <x:c r="E122" s="11" t="n">
        <x:f>IF($A122="","",INDEX(Assumptions!$M$5:$M$11,WEEKDAY($A122,2)))</x:f>
        <x:v>0.87</x:v>
      </x:c>
      <x:c r="F122" s="11" t="n">
        <x:f>IF($A122="","",Assumptions!$B$15)</x:f>
        <x:v>0.35</x:v>
      </x:c>
      <x:c r="G122" s="11" t="n">
        <x:f>IF($A122="","",MAX(INDEX(Assumptions!$H$5:$H$12,MATCH($B122,Assumptions!$D$5:$D$12,0)),MIN(INDEX(Assumptions!$I$5:$I$12,MATCH($B122,Assumptions!$D$5:$D$12,0)),($C122+$D122*SQRT(-2*LN(RAND()))*COS(2*PI()*RAND()))*$E122*$J122*$K122)))</x:f>
        <x:v>1080.2361786259537</x:v>
      </x:c>
      <x:c r="H122" s="11" t="n">
        <x:f>IF($A122="","",$G122*$F122+$C122*(1-$F122))</x:f>
        <x:v>1106.082662519084</x:v>
      </x:c>
      <x:c r="I122" s="11" t="n">
        <x:f>IF($A122="","",AVERAGE($H122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1109.429475104415</x:v>
      </x:c>
      <x:c r="J122" s="12" t="n">
        <x:f>IF($A122="","",1+SUMIFS(Assumptions!$S$5:$S$10,Assumptions!$P$5:$P$10,$B122,Assumptions!$Q$5:$Q$10,"&lt;="&amp;$A122,Assumptions!$R$5:$R$10,"&gt;="&amp;$A122))</x:f>
        <x:v>1</x:v>
      </x:c>
      <x:c r="K122" s="12" t="n">
        <x:f>IF($A122="","",1+((($A122-Assumptions!$B$5)/30)*INDEX(Assumptions!$J$5:$J$12,MATCH($B122,Assumptions!$D$5:$D$12,0))))</x:f>
        <x:v>1.0016</x:v>
      </x:c>
      <x:c r="L122" t="str">
        <x:f>IF($A122="","",IFERROR(INDEX(Assumptions!$O$5:$O$10,MATCH(1,(Assumptions!$P$5:$P$10=$B122)*(Assumptions!$Q$5:$Q$10&lt;=$A122)*(Assumptions!$R$5:$R$10&gt;=$A122),0)),""))</x:f>
      </x:c>
      <x:c r="M122" t="n">
        <x:f>--($A122&lt;&gt;"")</x:f>
        <x:v>1</x:v>
      </x:c>
    </x:row>
    <x:row r="123">
      <x:c r="A123" s="10" t="n">
        <x:f>IF(Assumptions!$B$5+INT((ROW()-2)/Assumptions!$B$7)&gt;Assumptions!$B$6,"",Assumptions!$B$5+INT((ROW()-2)/Assumptions!$B$7))</x:f>
        <x:v>46047</x:v>
      </x:c>
      <x:c r="B123" t="str">
        <x:f>IF($A123="","",INDEX(Assumptions!$D$5:$D$12,MOD(ROW()-2,Assumptions!$B$7)+1))</x:f>
        <x:v>LV-426 North</x:v>
      </x:c>
      <x:c r="C123" s="11" t="n">
        <x:f>IF($A123="","",INDEX(Assumptions!$F$5:$F$12,MATCH($B123,Assumptions!$D$5:$D$12,0)))</x:f>
        <x:v>930</x:v>
      </x:c>
      <x:c r="D123" s="11" t="n">
        <x:f>IF($A123="","",INDEX(Assumptions!$G$5:$G$12,MATCH($B123,Assumptions!$D$5:$D$12,0)))</x:f>
        <x:v>95</x:v>
      </x:c>
      <x:c r="E123" s="11" t="n">
        <x:f>IF($A123="","",INDEX(Assumptions!$M$5:$M$11,WEEKDAY($A123,2)))</x:f>
        <x:v>0.87</x:v>
      </x:c>
      <x:c r="F123" s="11" t="n">
        <x:f>IF($A123="","",Assumptions!$B$15)</x:f>
        <x:v>0.35</x:v>
      </x:c>
      <x:c r="G123" s="11" t="n">
        <x:f>IF($A123="","",MAX(INDEX(Assumptions!$H$5:$H$12,MATCH($B123,Assumptions!$D$5:$D$12,0)),MIN(INDEX(Assumptions!$I$5:$I$12,MATCH($B123,Assumptions!$D$5:$D$12,0)),($C123+$D123*SQRT(-2*LN(RAND()))*COS(2*PI()*RAND()))*$E123*$J123*$K123)))</x:f>
        <x:v>695.0564925533248</x:v>
      </x:c>
      <x:c r="H123" s="11" t="n">
        <x:f>IF($A123="","",$G123*$F123+$C123*(1-$F123))</x:f>
        <x:v>847.7697723936636</x:v>
      </x:c>
      <x:c r="I123" s="11" t="n">
        <x:f>IF($A123="","",AVERAGE($H123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911.7452453678349</x:v>
      </x:c>
      <x:c r="J123" s="12" t="n">
        <x:f>IF($A123="","",1+SUMIFS(Assumptions!$S$5:$S$10,Assumptions!$P$5:$P$10,$B123,Assumptions!$Q$5:$Q$10,"&lt;="&amp;$A123,Assumptions!$R$5:$R$10,"&gt;="&amp;$A123))</x:f>
        <x:v>1</x:v>
      </x:c>
      <x:c r="K123" s="12" t="n">
        <x:f>IF($A123="","",1+((($A123-Assumptions!$B$5)/30)*INDEX(Assumptions!$J$5:$J$12,MATCH($B123,Assumptions!$D$5:$D$12,0))))</x:f>
        <x:v>0.9992</x:v>
      </x:c>
      <x:c r="L123" t="str">
        <x:f>IF($A123="","",IFERROR(INDEX(Assumptions!$O$5:$O$10,MATCH(1,(Assumptions!$P$5:$P$10=$B123)*(Assumptions!$Q$5:$Q$10&lt;=$A123)*(Assumptions!$R$5:$R$10&gt;=$A123),0)),""))</x:f>
      </x:c>
      <x:c r="M123" t="n">
        <x:f>--($A123&lt;&gt;"")</x:f>
        <x:v>1</x:v>
      </x:c>
    </x:row>
    <x:row r="124">
      <x:c r="A124" s="10" t="n">
        <x:f>IF(Assumptions!$B$5+INT((ROW()-2)/Assumptions!$B$7)&gt;Assumptions!$B$6,"",Assumptions!$B$5+INT((ROW()-2)/Assumptions!$B$7))</x:f>
        <x:v>46047</x:v>
      </x:c>
      <x:c r="B124" t="str">
        <x:f>IF($A124="","",INDEX(Assumptions!$D$5:$D$12,MOD(ROW()-2,Assumptions!$B$7)+1))</x:f>
        <x:v>Nostromo Deep</x:v>
      </x:c>
      <x:c r="C124" s="11" t="n">
        <x:f>IF($A124="","",INDEX(Assumptions!$F$5:$F$12,MATCH($B124,Assumptions!$D$5:$D$12,0)))</x:f>
        <x:v>1260</x:v>
      </x:c>
      <x:c r="D124" s="11" t="n">
        <x:f>IF($A124="","",INDEX(Assumptions!$G$5:$G$12,MATCH($B124,Assumptions!$D$5:$D$12,0)))</x:f>
        <x:v>145</x:v>
      </x:c>
      <x:c r="E124" s="11" t="n">
        <x:f>IF($A124="","",INDEX(Assumptions!$M$5:$M$11,WEEKDAY($A124,2)))</x:f>
        <x:v>0.87</x:v>
      </x:c>
      <x:c r="F124" s="11" t="n">
        <x:f>IF($A124="","",Assumptions!$B$15)</x:f>
        <x:v>0.35</x:v>
      </x:c>
      <x:c r="G124" s="11" t="n">
        <x:f>IF($A124="","",MAX(INDEX(Assumptions!$H$5:$H$12,MATCH($B124,Assumptions!$D$5:$D$12,0)),MIN(INDEX(Assumptions!$I$5:$I$12,MATCH($B124,Assumptions!$D$5:$D$12,0)),($C124+$D124*SQRT(-2*LN(RAND()))*COS(2*PI()*RAND()))*$E124*$J124*$K124)))</x:f>
        <x:v>1026.288775499265</x:v>
      </x:c>
      <x:c r="H124" s="11" t="n">
        <x:f>IF($A124="","",$G124*$F124+$C124*(1-$F124))</x:f>
        <x:v>1178.2010714247426</x:v>
      </x:c>
      <x:c r="I124" s="11" t="n">
        <x:f>IF($A124="","",AVERAGE($H124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1271.2166870376884</x:v>
      </x:c>
      <x:c r="J124" s="12" t="n">
        <x:f>IF($A124="","",1+SUMIFS(Assumptions!$S$5:$S$10,Assumptions!$P$5:$P$10,$B124,Assumptions!$Q$5:$Q$10,"&lt;="&amp;$A124,Assumptions!$R$5:$R$10,"&gt;="&amp;$A124))</x:f>
        <x:v>1</x:v>
      </x:c>
      <x:c r="K124" s="12" t="n">
        <x:f>IF($A124="","",1+((($A124-Assumptions!$B$5)/30)*INDEX(Assumptions!$J$5:$J$12,MATCH($B124,Assumptions!$D$5:$D$12,0))))</x:f>
        <x:v>1.0024</x:v>
      </x:c>
      <x:c r="L124" t="str">
        <x:f>IF($A124="","",IFERROR(INDEX(Assumptions!$O$5:$O$10,MATCH(1,(Assumptions!$P$5:$P$10=$B124)*(Assumptions!$Q$5:$Q$10&lt;=$A124)*(Assumptions!$R$5:$R$10&gt;=$A124),0)),""))</x:f>
      </x:c>
      <x:c r="M124" t="n">
        <x:f>--($A124&lt;&gt;"")</x:f>
        <x:v>1</x:v>
      </x:c>
    </x:row>
    <x:row r="125">
      <x:c r="A125" s="10" t="n">
        <x:f>IF(Assumptions!$B$5+INT((ROW()-2)/Assumptions!$B$7)&gt;Assumptions!$B$6,"",Assumptions!$B$5+INT((ROW()-2)/Assumptions!$B$7))</x:f>
        <x:v>46047</x:v>
      </x:c>
      <x:c r="B125" t="str">
        <x:f>IF($A125="","",INDEX(Assumptions!$D$5:$D$12,MOD(ROW()-2,Assumptions!$B$7)+1))</x:f>
        <x:v>Hadley's Hope</x:v>
      </x:c>
      <x:c r="C125" s="11" t="n">
        <x:f>IF($A125="","",INDEX(Assumptions!$F$5:$F$12,MATCH($B125,Assumptions!$D$5:$D$12,0)))</x:f>
        <x:v>845</x:v>
      </x:c>
      <x:c r="D125" s="11" t="n">
        <x:f>IF($A125="","",INDEX(Assumptions!$G$5:$G$12,MATCH($B125,Assumptions!$D$5:$D$12,0)))</x:f>
        <x:v>80</x:v>
      </x:c>
      <x:c r="E125" s="11" t="n">
        <x:f>IF($A125="","",INDEX(Assumptions!$M$5:$M$11,WEEKDAY($A125,2)))</x:f>
        <x:v>0.87</x:v>
      </x:c>
      <x:c r="F125" s="11" t="n">
        <x:f>IF($A125="","",Assumptions!$B$15)</x:f>
        <x:v>0.35</x:v>
      </x:c>
      <x:c r="G125" s="11" t="n">
        <x:f>IF($A125="","",MAX(INDEX(Assumptions!$H$5:$H$12,MATCH($B125,Assumptions!$D$5:$D$12,0)),MIN(INDEX(Assumptions!$I$5:$I$12,MATCH($B125,Assumptions!$D$5:$D$12,0)),($C125+$D125*SQRT(-2*LN(RAND()))*COS(2*PI()*RAND()))*$E125*$J125*$K125)))</x:f>
        <x:v>659.1873944285868</x:v>
      </x:c>
      <x:c r="H125" s="11" t="n">
        <x:f>IF($A125="","",$G125*$F125+$C125*(1-$F125))</x:f>
        <x:v>779.9655880500054</x:v>
      </x:c>
      <x:c r="I125" s="11" t="n">
        <x:f>IF($A125="","",AVERAGE($H125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834.9484410210117</x:v>
      </x:c>
      <x:c r="J125" s="12" t="n">
        <x:f>IF($A125="","",1+SUMIFS(Assumptions!$S$5:$S$10,Assumptions!$P$5:$P$10,$B125,Assumptions!$Q$5:$Q$10,"&lt;="&amp;$A125,Assumptions!$R$5:$R$10,"&gt;="&amp;$A125))</x:f>
        <x:v>1</x:v>
      </x:c>
      <x:c r="K125" s="12" t="n">
        <x:f>IF($A125="","",1+((($A125-Assumptions!$B$5)/30)*INDEX(Assumptions!$J$5:$J$12,MATCH($B125,Assumptions!$D$5:$D$12,0))))</x:f>
        <x:v>1.0008</x:v>
      </x:c>
      <x:c r="L125" t="str">
        <x:f>IF($A125="","",IFERROR(INDEX(Assumptions!$O$5:$O$10,MATCH(1,(Assumptions!$P$5:$P$10=$B125)*(Assumptions!$Q$5:$Q$10&lt;=$A125)*(Assumptions!$R$5:$R$10&gt;=$A125),0)),""))</x:f>
      </x:c>
      <x:c r="M125" t="n">
        <x:f>--($A125&lt;&gt;"")</x:f>
        <x:v>1</x:v>
      </x:c>
    </x:row>
    <x:row r="126">
      <x:c r="A126" s="10" t="n">
        <x:f>IF(Assumptions!$B$5+INT((ROW()-2)/Assumptions!$B$7)&gt;Assumptions!$B$6,"",Assumptions!$B$5+INT((ROW()-2)/Assumptions!$B$7))</x:f>
        <x:v>46047</x:v>
      </x:c>
      <x:c r="B126" t="str">
        <x:f>IF($A126="","",INDEX(Assumptions!$D$5:$D$12,MOD(ROW()-2,Assumptions!$B$7)+1))</x:f>
        <x:v>Yutani Ridge</x:v>
      </x:c>
      <x:c r="C126" s="11" t="n">
        <x:f>IF($A126="","",INDEX(Assumptions!$F$5:$F$12,MATCH($B126,Assumptions!$D$5:$D$12,0)))</x:f>
        <x:v>1050</x:v>
      </x:c>
      <x:c r="D126" s="11" t="n">
        <x:f>IF($A126="","",INDEX(Assumptions!$G$5:$G$12,MATCH($B126,Assumptions!$D$5:$D$12,0)))</x:f>
        <x:v>125</x:v>
      </x:c>
      <x:c r="E126" s="11" t="n">
        <x:f>IF($A126="","",INDEX(Assumptions!$M$5:$M$11,WEEKDAY($A126,2)))</x:f>
        <x:v>0.87</x:v>
      </x:c>
      <x:c r="F126" s="11" t="n">
        <x:f>IF($A126="","",Assumptions!$B$15)</x:f>
        <x:v>0.35</x:v>
      </x:c>
      <x:c r="G126" s="11" t="n">
        <x:f>IF($A126="","",MAX(INDEX(Assumptions!$H$5:$H$12,MATCH($B126,Assumptions!$D$5:$D$12,0)),MIN(INDEX(Assumptions!$I$5:$I$12,MATCH($B126,Assumptions!$D$5:$D$12,0)),($C126+$D126*SQRT(-2*LN(RAND()))*COS(2*PI()*RAND()))*$E126*$J126*$K126)))</x:f>
        <x:v>862.0786480206659</x:v>
      </x:c>
      <x:c r="H126" s="11" t="n">
        <x:f>IF($A126="","",$G126*$F126+$C126*(1-$F126))</x:f>
        <x:v>984.2275268072331</x:v>
      </x:c>
      <x:c r="I126" s="11" t="n">
        <x:f>IF($A126="","",AVERAGE($H126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1035.6958170685068</x:v>
      </x:c>
      <x:c r="J126" s="12" t="n">
        <x:f>IF($A126="","",1+SUMIFS(Assumptions!$S$5:$S$10,Assumptions!$P$5:$P$10,$B126,Assumptions!$Q$5:$Q$10,"&lt;="&amp;$A126,Assumptions!$R$5:$R$10,"&gt;="&amp;$A126))</x:f>
        <x:v>1</x:v>
      </x:c>
      <x:c r="K126" s="12" t="n">
        <x:f>IF($A126="","",1+((($A126-Assumptions!$B$5)/30)*INDEX(Assumptions!$J$5:$J$12,MATCH($B126,Assumptions!$D$5:$D$12,0))))</x:f>
        <x:v>1.002</x:v>
      </x:c>
      <x:c r="L126" t="str">
        <x:f>IF($A126="","",IFERROR(INDEX(Assumptions!$O$5:$O$10,MATCH(1,(Assumptions!$P$5:$P$10=$B126)*(Assumptions!$Q$5:$Q$10&lt;=$A126)*(Assumptions!$R$5:$R$10&gt;=$A126),0)),""))</x:f>
      </x:c>
      <x:c r="M126" t="n">
        <x:f>--($A126&lt;&gt;"")</x:f>
        <x:v>1</x:v>
      </x:c>
    </x:row>
    <x:row r="127">
      <x:c r="A127" s="10" t="n">
        <x:f>IF(Assumptions!$B$5+INT((ROW()-2)/Assumptions!$B$7)&gt;Assumptions!$B$6,"",Assumptions!$B$5+INT((ROW()-2)/Assumptions!$B$7))</x:f>
        <x:v>46048</x:v>
      </x:c>
      <x:c r="B127" t="str">
        <x:f>IF($A127="","",INDEX(Assumptions!$D$5:$D$12,MOD(ROW()-2,Assumptions!$B$7)+1))</x:f>
        <x:v>Acheron Prime</x:v>
      </x:c>
      <x:c r="C127" s="11" t="n">
        <x:f>IF($A127="","",INDEX(Assumptions!$F$5:$F$12,MATCH($B127,Assumptions!$D$5:$D$12,0)))</x:f>
        <x:v>1120</x:v>
      </x:c>
      <x:c r="D127" s="11" t="n">
        <x:f>IF($A127="","",INDEX(Assumptions!$G$5:$G$12,MATCH($B127,Assumptions!$D$5:$D$12,0)))</x:f>
        <x:v>115</x:v>
      </x:c>
      <x:c r="E127" s="11" t="n">
        <x:f>IF($A127="","",INDEX(Assumptions!$M$5:$M$11,WEEKDAY($A127,2)))</x:f>
        <x:v>1.03</x:v>
      </x:c>
      <x:c r="F127" s="11" t="n">
        <x:f>IF($A127="","",Assumptions!$B$15)</x:f>
        <x:v>0.35</x:v>
      </x:c>
      <x:c r="G127" s="11" t="n">
        <x:f>IF($A127="","",MAX(INDEX(Assumptions!$H$5:$H$12,MATCH($B127,Assumptions!$D$5:$D$12,0)),MIN(INDEX(Assumptions!$I$5:$I$12,MATCH($B127,Assumptions!$D$5:$D$12,0)),($C127+$D127*SQRT(-2*LN(RAND()))*COS(2*PI()*RAND()))*$E127*$J127*$K127)))</x:f>
        <x:v>1267.2353645059538</x:v>
      </x:c>
      <x:c r="H127" s="11" t="n">
        <x:f>IF($A127="","",$G127*$F127+$C127*(1-$F127))</x:f>
        <x:v>1171.532377577084</x:v>
      </x:c>
      <x:c r="I127" s="11" t="n">
        <x:f>IF($A127="","",AVERAGE($H127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1120.6318978976622</x:v>
      </x:c>
      <x:c r="J127" s="12" t="n">
        <x:f>IF($A127="","",1+SUMIFS(Assumptions!$S$5:$S$10,Assumptions!$P$5:$P$10,$B127,Assumptions!$Q$5:$Q$10,"&lt;="&amp;$A127,Assumptions!$R$5:$R$10,"&gt;="&amp;$A127))</x:f>
        <x:v>1</x:v>
      </x:c>
      <x:c r="K127" s="12" t="n">
        <x:f>IF($A127="","",1+((($A127-Assumptions!$B$5)/30)*INDEX(Assumptions!$J$5:$J$12,MATCH($B127,Assumptions!$D$5:$D$12,0))))</x:f>
        <x:v>1.0016666666666667</x:v>
      </x:c>
      <x:c r="L127" t="str">
        <x:f>IF($A127="","",IFERROR(INDEX(Assumptions!$O$5:$O$10,MATCH(1,(Assumptions!$P$5:$P$10=$B127)*(Assumptions!$Q$5:$Q$10&lt;=$A127)*(Assumptions!$R$5:$R$10&gt;=$A127),0)),""))</x:f>
      </x:c>
      <x:c r="M127" t="n">
        <x:f>--($A127&lt;&gt;"")</x:f>
        <x:v>1</x:v>
      </x:c>
    </x:row>
    <x:row r="128">
      <x:c r="A128" s="10" t="n">
        <x:f>IF(Assumptions!$B$5+INT((ROW()-2)/Assumptions!$B$7)&gt;Assumptions!$B$6,"",Assumptions!$B$5+INT((ROW()-2)/Assumptions!$B$7))</x:f>
        <x:v>46048</x:v>
      </x:c>
      <x:c r="B128" t="str">
        <x:f>IF($A128="","",INDEX(Assumptions!$D$5:$D$12,MOD(ROW()-2,Assumptions!$B$7)+1))</x:f>
        <x:v>LV-426 North</x:v>
      </x:c>
      <x:c r="C128" s="11" t="n">
        <x:f>IF($A128="","",INDEX(Assumptions!$F$5:$F$12,MATCH($B128,Assumptions!$D$5:$D$12,0)))</x:f>
        <x:v>930</x:v>
      </x:c>
      <x:c r="D128" s="11" t="n">
        <x:f>IF($A128="","",INDEX(Assumptions!$G$5:$G$12,MATCH($B128,Assumptions!$D$5:$D$12,0)))</x:f>
        <x:v>95</x:v>
      </x:c>
      <x:c r="E128" s="11" t="n">
        <x:f>IF($A128="","",INDEX(Assumptions!$M$5:$M$11,WEEKDAY($A128,2)))</x:f>
        <x:v>1.03</x:v>
      </x:c>
      <x:c r="F128" s="11" t="n">
        <x:f>IF($A128="","",Assumptions!$B$15)</x:f>
        <x:v>0.35</x:v>
      </x:c>
      <x:c r="G128" s="11" t="n">
        <x:f>IF($A128="","",MAX(INDEX(Assumptions!$H$5:$H$12,MATCH($B128,Assumptions!$D$5:$D$12,0)),MIN(INDEX(Assumptions!$I$5:$I$12,MATCH($B128,Assumptions!$D$5:$D$12,0)),($C128+$D128*SQRT(-2*LN(RAND()))*COS(2*PI()*RAND()))*$E128*$J128*$K128)))</x:f>
        <x:v>1069.4373485613946</x:v>
      </x:c>
      <x:c r="H128" s="11" t="n">
        <x:f>IF($A128="","",$G128*$F128+$C128*(1-$F128))</x:f>
        <x:v>978.8030719964881</x:v>
      </x:c>
      <x:c r="I128" s="11" t="n">
        <x:f>IF($A128="","",AVERAGE($H128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910.9314775302862</x:v>
      </x:c>
      <x:c r="J128" s="12" t="n">
        <x:f>IF($A128="","",1+SUMIFS(Assumptions!$S$5:$S$10,Assumptions!$P$5:$P$10,$B128,Assumptions!$Q$5:$Q$10,"&lt;="&amp;$A128,Assumptions!$R$5:$R$10,"&gt;="&amp;$A128))</x:f>
        <x:v>1</x:v>
      </x:c>
      <x:c r="K128" s="12" t="n">
        <x:f>IF($A128="","",1+((($A128-Assumptions!$B$5)/30)*INDEX(Assumptions!$J$5:$J$12,MATCH($B128,Assumptions!$D$5:$D$12,0))))</x:f>
        <x:v>0.9991666666666666</x:v>
      </x:c>
      <x:c r="L128" t="str">
        <x:f>IF($A128="","",IFERROR(INDEX(Assumptions!$O$5:$O$10,MATCH(1,(Assumptions!$P$5:$P$10=$B128)*(Assumptions!$Q$5:$Q$10&lt;=$A128)*(Assumptions!$R$5:$R$10&gt;=$A128),0)),""))</x:f>
      </x:c>
      <x:c r="M128" t="n">
        <x:f>--($A128&lt;&gt;"")</x:f>
        <x:v>1</x:v>
      </x:c>
    </x:row>
    <x:row r="129">
      <x:c r="A129" s="10" t="n">
        <x:f>IF(Assumptions!$B$5+INT((ROW()-2)/Assumptions!$B$7)&gt;Assumptions!$B$6,"",Assumptions!$B$5+INT((ROW()-2)/Assumptions!$B$7))</x:f>
        <x:v>46048</x:v>
      </x:c>
      <x:c r="B129" t="str">
        <x:f>IF($A129="","",INDEX(Assumptions!$D$5:$D$12,MOD(ROW()-2,Assumptions!$B$7)+1))</x:f>
        <x:v>Nostromo Deep</x:v>
      </x:c>
      <x:c r="C129" s="11" t="n">
        <x:f>IF($A129="","",INDEX(Assumptions!$F$5:$F$12,MATCH($B129,Assumptions!$D$5:$D$12,0)))</x:f>
        <x:v>1260</x:v>
      </x:c>
      <x:c r="D129" s="11" t="n">
        <x:f>IF($A129="","",INDEX(Assumptions!$G$5:$G$12,MATCH($B129,Assumptions!$D$5:$D$12,0)))</x:f>
        <x:v>145</x:v>
      </x:c>
      <x:c r="E129" s="11" t="n">
        <x:f>IF($A129="","",INDEX(Assumptions!$M$5:$M$11,WEEKDAY($A129,2)))</x:f>
        <x:v>1.03</x:v>
      </x:c>
      <x:c r="F129" s="11" t="n">
        <x:f>IF($A129="","",Assumptions!$B$15)</x:f>
        <x:v>0.35</x:v>
      </x:c>
      <x:c r="G129" s="11" t="n">
        <x:f>IF($A129="","",MAX(INDEX(Assumptions!$H$5:$H$12,MATCH($B129,Assumptions!$D$5:$D$12,0)),MIN(INDEX(Assumptions!$I$5:$I$12,MATCH($B129,Assumptions!$D$5:$D$12,0)),($C129+$D129*SQRT(-2*LN(RAND()))*COS(2*PI()*RAND()))*$E129*$J129*$K129)))</x:f>
        <x:v>1248.475666624007</x:v>
      </x:c>
      <x:c r="H129" s="11" t="n">
        <x:f>IF($A129="","",$G129*$F129+$C129*(1-$F129))</x:f>
        <x:v>1255.9664833184024</x:v>
      </x:c>
      <x:c r="I129" s="11" t="n">
        <x:f>IF($A129="","",AVERAGE($H129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1265.4811621666845</x:v>
      </x:c>
      <x:c r="J129" s="12" t="n">
        <x:f>IF($A129="","",1+SUMIFS(Assumptions!$S$5:$S$10,Assumptions!$P$5:$P$10,$B129,Assumptions!$Q$5:$Q$10,"&lt;="&amp;$A129,Assumptions!$R$5:$R$10,"&gt;="&amp;$A129))</x:f>
        <x:v>1</x:v>
      </x:c>
      <x:c r="K129" s="12" t="n">
        <x:f>IF($A129="","",1+((($A129-Assumptions!$B$5)/30)*INDEX(Assumptions!$J$5:$J$12,MATCH($B129,Assumptions!$D$5:$D$12,0))))</x:f>
        <x:v>1.0025</x:v>
      </x:c>
      <x:c r="L129" t="str">
        <x:f>IF($A129="","",IFERROR(INDEX(Assumptions!$O$5:$O$10,MATCH(1,(Assumptions!$P$5:$P$10=$B129)*(Assumptions!$Q$5:$Q$10&lt;=$A129)*(Assumptions!$R$5:$R$10&gt;=$A129),0)),""))</x:f>
      </x:c>
      <x:c r="M129" t="n">
        <x:f>--($A129&lt;&gt;"")</x:f>
        <x:v>1</x:v>
      </x:c>
    </x:row>
    <x:row r="130">
      <x:c r="A130" s="10" t="n">
        <x:f>IF(Assumptions!$B$5+INT((ROW()-2)/Assumptions!$B$7)&gt;Assumptions!$B$6,"",Assumptions!$B$5+INT((ROW()-2)/Assumptions!$B$7))</x:f>
        <x:v>46048</x:v>
      </x:c>
      <x:c r="B130" t="str">
        <x:f>IF($A130="","",INDEX(Assumptions!$D$5:$D$12,MOD(ROW()-2,Assumptions!$B$7)+1))</x:f>
        <x:v>Hadley's Hope</x:v>
      </x:c>
      <x:c r="C130" s="11" t="n">
        <x:f>IF($A130="","",INDEX(Assumptions!$F$5:$F$12,MATCH($B130,Assumptions!$D$5:$D$12,0)))</x:f>
        <x:v>845</x:v>
      </x:c>
      <x:c r="D130" s="11" t="n">
        <x:f>IF($A130="","",INDEX(Assumptions!$G$5:$G$12,MATCH($B130,Assumptions!$D$5:$D$12,0)))</x:f>
        <x:v>80</x:v>
      </x:c>
      <x:c r="E130" s="11" t="n">
        <x:f>IF($A130="","",INDEX(Assumptions!$M$5:$M$11,WEEKDAY($A130,2)))</x:f>
        <x:v>1.03</x:v>
      </x:c>
      <x:c r="F130" s="11" t="n">
        <x:f>IF($A130="","",Assumptions!$B$15)</x:f>
        <x:v>0.35</x:v>
      </x:c>
      <x:c r="G130" s="11" t="n">
        <x:f>IF($A130="","",MAX(INDEX(Assumptions!$H$5:$H$12,MATCH($B130,Assumptions!$D$5:$D$12,0)),MIN(INDEX(Assumptions!$I$5:$I$12,MATCH($B130,Assumptions!$D$5:$D$12,0)),($C130+$D130*SQRT(-2*LN(RAND()))*COS(2*PI()*RAND()))*$E130*$J130*$K130)))</x:f>
        <x:v>873.8173604938111</x:v>
      </x:c>
      <x:c r="H130" s="11" t="n">
        <x:f>IF($A130="","",$G130*$F130+$C130*(1-$F130))</x:f>
        <x:v>855.0860761728338</x:v>
      </x:c>
      <x:c r="I130" s="11" t="n">
        <x:f>IF($A130="","",AVERAGE($H130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837.3360179301259</x:v>
      </x:c>
      <x:c r="J130" s="12" t="n">
        <x:f>IF($A130="","",1+SUMIFS(Assumptions!$S$5:$S$10,Assumptions!$P$5:$P$10,$B130,Assumptions!$Q$5:$Q$10,"&lt;="&amp;$A130,Assumptions!$R$5:$R$10,"&gt;="&amp;$A130))</x:f>
        <x:v>1</x:v>
      </x:c>
      <x:c r="K130" s="12" t="n">
        <x:f>IF($A130="","",1+((($A130-Assumptions!$B$5)/30)*INDEX(Assumptions!$J$5:$J$12,MATCH($B130,Assumptions!$D$5:$D$12,0))))</x:f>
        <x:v>1.0008333333333332</x:v>
      </x:c>
      <x:c r="L130" t="str">
        <x:f>IF($A130="","",IFERROR(INDEX(Assumptions!$O$5:$O$10,MATCH(1,(Assumptions!$P$5:$P$10=$B130)*(Assumptions!$Q$5:$Q$10&lt;=$A130)*(Assumptions!$R$5:$R$10&gt;=$A130),0)),""))</x:f>
      </x:c>
      <x:c r="M130" t="n">
        <x:f>--($A130&lt;&gt;"")</x:f>
        <x:v>1</x:v>
      </x:c>
    </x:row>
    <x:row r="131">
      <x:c r="A131" s="10" t="n">
        <x:f>IF(Assumptions!$B$5+INT((ROW()-2)/Assumptions!$B$7)&gt;Assumptions!$B$6,"",Assumptions!$B$5+INT((ROW()-2)/Assumptions!$B$7))</x:f>
        <x:v>46048</x:v>
      </x:c>
      <x:c r="B131" t="str">
        <x:f>IF($A131="","",INDEX(Assumptions!$D$5:$D$12,MOD(ROW()-2,Assumptions!$B$7)+1))</x:f>
        <x:v>Yutani Ridge</x:v>
      </x:c>
      <x:c r="C131" s="11" t="n">
        <x:f>IF($A131="","",INDEX(Assumptions!$F$5:$F$12,MATCH($B131,Assumptions!$D$5:$D$12,0)))</x:f>
        <x:v>1050</x:v>
      </x:c>
      <x:c r="D131" s="11" t="n">
        <x:f>IF($A131="","",INDEX(Assumptions!$G$5:$G$12,MATCH($B131,Assumptions!$D$5:$D$12,0)))</x:f>
        <x:v>125</x:v>
      </x:c>
      <x:c r="E131" s="11" t="n">
        <x:f>IF($A131="","",INDEX(Assumptions!$M$5:$M$11,WEEKDAY($A131,2)))</x:f>
        <x:v>1.03</x:v>
      </x:c>
      <x:c r="F131" s="11" t="n">
        <x:f>IF($A131="","",Assumptions!$B$15)</x:f>
        <x:v>0.35</x:v>
      </x:c>
      <x:c r="G131" s="11" t="n">
        <x:f>IF($A131="","",MAX(INDEX(Assumptions!$H$5:$H$12,MATCH($B131,Assumptions!$D$5:$D$12,0)),MIN(INDEX(Assumptions!$I$5:$I$12,MATCH($B131,Assumptions!$D$5:$D$12,0)),($C131+$D131*SQRT(-2*LN(RAND()))*COS(2*PI()*RAND()))*$E131*$J131*$K131)))</x:f>
        <x:v>917.9491586176082</x:v>
      </x:c>
      <x:c r="H131" s="11" t="n">
        <x:f>IF($A131="","",$G131*$F131+$C131*(1-$F131))</x:f>
        <x:v>1003.7822055161628</x:v>
      </x:c>
      <x:c r="I131" s="11" t="n">
        <x:f>IF($A131="","",AVERAGE($H131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1036.4059506835677</x:v>
      </x:c>
      <x:c r="J131" s="12" t="n">
        <x:f>IF($A131="","",1+SUMIFS(Assumptions!$S$5:$S$10,Assumptions!$P$5:$P$10,$B131,Assumptions!$Q$5:$Q$10,"&lt;="&amp;$A131,Assumptions!$R$5:$R$10,"&gt;="&amp;$A131))</x:f>
        <x:v>1</x:v>
      </x:c>
      <x:c r="K131" s="12" t="n">
        <x:f>IF($A131="","",1+((($A131-Assumptions!$B$5)/30)*INDEX(Assumptions!$J$5:$J$12,MATCH($B131,Assumptions!$D$5:$D$12,0))))</x:f>
        <x:v>1.0020833333333334</x:v>
      </x:c>
      <x:c r="L131" t="str">
        <x:f>IF($A131="","",IFERROR(INDEX(Assumptions!$O$5:$O$10,MATCH(1,(Assumptions!$P$5:$P$10=$B131)*(Assumptions!$Q$5:$Q$10&lt;=$A131)*(Assumptions!$R$5:$R$10&gt;=$A131),0)),""))</x:f>
      </x:c>
      <x:c r="M131" t="n">
        <x:f>--($A131&lt;&gt;"")</x:f>
        <x:v>1</x:v>
      </x:c>
    </x:row>
    <x:row r="132">
      <x:c r="A132" s="10" t="n">
        <x:f>IF(Assumptions!$B$5+INT((ROW()-2)/Assumptions!$B$7)&gt;Assumptions!$B$6,"",Assumptions!$B$5+INT((ROW()-2)/Assumptions!$B$7))</x:f>
        <x:v>46049</x:v>
      </x:c>
      <x:c r="B132" t="str">
        <x:f>IF($A132="","",INDEX(Assumptions!$D$5:$D$12,MOD(ROW()-2,Assumptions!$B$7)+1))</x:f>
        <x:v>Acheron Prime</x:v>
      </x:c>
      <x:c r="C132" s="11" t="n">
        <x:f>IF($A132="","",INDEX(Assumptions!$F$5:$F$12,MATCH($B132,Assumptions!$D$5:$D$12,0)))</x:f>
        <x:v>1120</x:v>
      </x:c>
      <x:c r="D132" s="11" t="n">
        <x:f>IF($A132="","",INDEX(Assumptions!$G$5:$G$12,MATCH($B132,Assumptions!$D$5:$D$12,0)))</x:f>
        <x:v>115</x:v>
      </x:c>
      <x:c r="E132" s="11" t="n">
        <x:f>IF($A132="","",INDEX(Assumptions!$M$5:$M$11,WEEKDAY($A132,2)))</x:f>
        <x:v>1.02</x:v>
      </x:c>
      <x:c r="F132" s="11" t="n">
        <x:f>IF($A132="","",Assumptions!$B$15)</x:f>
        <x:v>0.35</x:v>
      </x:c>
      <x:c r="G132" s="11" t="n">
        <x:f>IF($A132="","",MAX(INDEX(Assumptions!$H$5:$H$12,MATCH($B132,Assumptions!$D$5:$D$12,0)),MIN(INDEX(Assumptions!$I$5:$I$12,MATCH($B132,Assumptions!$D$5:$D$12,0)),($C132+$D132*SQRT(-2*LN(RAND()))*COS(2*PI()*RAND()))*$E132*$J132*$K132)))</x:f>
        <x:v>1029.590719688201</x:v>
      </x:c>
      <x:c r="H132" s="11" t="n">
        <x:f>IF($A132="","",$G132*$F132+$C132*(1-$F132))</x:f>
        <x:v>1088.3567518908703</x:v>
      </x:c>
      <x:c r="I132" s="11" t="n">
        <x:f>IF($A132="","",AVERAGE($H132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1111.4716412378252</x:v>
      </x:c>
      <x:c r="J132" s="12" t="n">
        <x:f>IF($A132="","",1+SUMIFS(Assumptions!$S$5:$S$10,Assumptions!$P$5:$P$10,$B132,Assumptions!$Q$5:$Q$10,"&lt;="&amp;$A132,Assumptions!$R$5:$R$10,"&gt;="&amp;$A132))</x:f>
        <x:v>1</x:v>
      </x:c>
      <x:c r="K132" s="12" t="n">
        <x:f>IF($A132="","",1+((($A132-Assumptions!$B$5)/30)*INDEX(Assumptions!$J$5:$J$12,MATCH($B132,Assumptions!$D$5:$D$12,0))))</x:f>
        <x:v>1.0017333333333334</x:v>
      </x:c>
      <x:c r="L132" t="str">
        <x:f>IF($A132="","",IFERROR(INDEX(Assumptions!$O$5:$O$10,MATCH(1,(Assumptions!$P$5:$P$10=$B132)*(Assumptions!$Q$5:$Q$10&lt;=$A132)*(Assumptions!$R$5:$R$10&gt;=$A132),0)),""))</x:f>
      </x:c>
      <x:c r="M132" t="n">
        <x:f>--($A132&lt;&gt;"")</x:f>
        <x:v>1</x:v>
      </x:c>
    </x:row>
    <x:row r="133">
      <x:c r="A133" s="10" t="n">
        <x:f>IF(Assumptions!$B$5+INT((ROW()-2)/Assumptions!$B$7)&gt;Assumptions!$B$6,"",Assumptions!$B$5+INT((ROW()-2)/Assumptions!$B$7))</x:f>
        <x:v>46049</x:v>
      </x:c>
      <x:c r="B133" t="str">
        <x:f>IF($A133="","",INDEX(Assumptions!$D$5:$D$12,MOD(ROW()-2,Assumptions!$B$7)+1))</x:f>
        <x:v>LV-426 North</x:v>
      </x:c>
      <x:c r="C133" s="11" t="n">
        <x:f>IF($A133="","",INDEX(Assumptions!$F$5:$F$12,MATCH($B133,Assumptions!$D$5:$D$12,0)))</x:f>
        <x:v>930</x:v>
      </x:c>
      <x:c r="D133" s="11" t="n">
        <x:f>IF($A133="","",INDEX(Assumptions!$G$5:$G$12,MATCH($B133,Assumptions!$D$5:$D$12,0)))</x:f>
        <x:v>95</x:v>
      </x:c>
      <x:c r="E133" s="11" t="n">
        <x:f>IF($A133="","",INDEX(Assumptions!$M$5:$M$11,WEEKDAY($A133,2)))</x:f>
        <x:v>1.02</x:v>
      </x:c>
      <x:c r="F133" s="11" t="n">
        <x:f>IF($A133="","",Assumptions!$B$15)</x:f>
        <x:v>0.35</x:v>
      </x:c>
      <x:c r="G133" s="11" t="n">
        <x:f>IF($A133="","",MAX(INDEX(Assumptions!$H$5:$H$12,MATCH($B133,Assumptions!$D$5:$D$12,0)),MIN(INDEX(Assumptions!$I$5:$I$12,MATCH($B133,Assumptions!$D$5:$D$12,0)),($C133+$D133*SQRT(-2*LN(RAND()))*COS(2*PI()*RAND()))*$E133*$J133*$K133)))</x:f>
        <x:v>1118.1744953601067</x:v>
      </x:c>
      <x:c r="H133" s="11" t="n">
        <x:f>IF($A133="","",$G133*$F133+$C133*(1-$F133))</x:f>
        <x:v>995.8610733760373</x:v>
      </x:c>
      <x:c r="I133" s="11" t="n">
        <x:f>IF($A133="","",AVERAGE($H133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919.3445482213668</x:v>
      </x:c>
      <x:c r="J133" s="12" t="n">
        <x:f>IF($A133="","",1+SUMIFS(Assumptions!$S$5:$S$10,Assumptions!$P$5:$P$10,$B133,Assumptions!$Q$5:$Q$10,"&lt;="&amp;$A133,Assumptions!$R$5:$R$10,"&gt;="&amp;$A133))</x:f>
        <x:v>1</x:v>
      </x:c>
      <x:c r="K133" s="12" t="n">
        <x:f>IF($A133="","",1+((($A133-Assumptions!$B$5)/30)*INDEX(Assumptions!$J$5:$J$12,MATCH($B133,Assumptions!$D$5:$D$12,0))))</x:f>
        <x:v>0.9991333333333333</x:v>
      </x:c>
      <x:c r="L133" t="str">
        <x:f>IF($A133="","",IFERROR(INDEX(Assumptions!$O$5:$O$10,MATCH(1,(Assumptions!$P$5:$P$10=$B133)*(Assumptions!$Q$5:$Q$10&lt;=$A133)*(Assumptions!$R$5:$R$10&gt;=$A133),0)),""))</x:f>
      </x:c>
      <x:c r="M133" t="n">
        <x:f>--($A133&lt;&gt;"")</x:f>
        <x:v>1</x:v>
      </x:c>
    </x:row>
    <x:row r="134">
      <x:c r="A134" s="10" t="n">
        <x:f>IF(Assumptions!$B$5+INT((ROW()-2)/Assumptions!$B$7)&gt;Assumptions!$B$6,"",Assumptions!$B$5+INT((ROW()-2)/Assumptions!$B$7))</x:f>
        <x:v>46049</x:v>
      </x:c>
      <x:c r="B134" t="str">
        <x:f>IF($A134="","",INDEX(Assumptions!$D$5:$D$12,MOD(ROW()-2,Assumptions!$B$7)+1))</x:f>
        <x:v>Nostromo Deep</x:v>
      </x:c>
      <x:c r="C134" s="11" t="n">
        <x:f>IF($A134="","",INDEX(Assumptions!$F$5:$F$12,MATCH($B134,Assumptions!$D$5:$D$12,0)))</x:f>
        <x:v>1260</x:v>
      </x:c>
      <x:c r="D134" s="11" t="n">
        <x:f>IF($A134="","",INDEX(Assumptions!$G$5:$G$12,MATCH($B134,Assumptions!$D$5:$D$12,0)))</x:f>
        <x:v>145</x:v>
      </x:c>
      <x:c r="E134" s="11" t="n">
        <x:f>IF($A134="","",INDEX(Assumptions!$M$5:$M$11,WEEKDAY($A134,2)))</x:f>
        <x:v>1.02</x:v>
      </x:c>
      <x:c r="F134" s="11" t="n">
        <x:f>IF($A134="","",Assumptions!$B$15)</x:f>
        <x:v>0.35</x:v>
      </x:c>
      <x:c r="G134" s="11" t="n">
        <x:f>IF($A134="","",MAX(INDEX(Assumptions!$H$5:$H$12,MATCH($B134,Assumptions!$D$5:$D$12,0)),MIN(INDEX(Assumptions!$I$5:$I$12,MATCH($B134,Assumptions!$D$5:$D$12,0)),($C134+$D134*SQRT(-2*LN(RAND()))*COS(2*PI()*RAND()))*$E134*$J134*$K134)))</x:f>
        <x:v>1547.3576085951947</x:v>
      </x:c>
      <x:c r="H134" s="11" t="n">
        <x:f>IF($A134="","",$G134*$F134+$C134*(1-$F134))</x:f>
        <x:v>1360.5751630083182</x:v>
      </x:c>
      <x:c r="I134" s="11" t="n">
        <x:f>IF($A134="","",AVERAGE($H134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1264.6442717597147</x:v>
      </x:c>
      <x:c r="J134" s="12" t="n">
        <x:f>IF($A134="","",1+SUMIFS(Assumptions!$S$5:$S$10,Assumptions!$P$5:$P$10,$B134,Assumptions!$Q$5:$Q$10,"&lt;="&amp;$A134,Assumptions!$R$5:$R$10,"&gt;="&amp;$A134))</x:f>
        <x:v>1</x:v>
      </x:c>
      <x:c r="K134" s="12" t="n">
        <x:f>IF($A134="","",1+((($A134-Assumptions!$B$5)/30)*INDEX(Assumptions!$J$5:$J$12,MATCH($B134,Assumptions!$D$5:$D$12,0))))</x:f>
        <x:v>1.0026</x:v>
      </x:c>
      <x:c r="L134" t="str">
        <x:f>IF($A134="","",IFERROR(INDEX(Assumptions!$O$5:$O$10,MATCH(1,(Assumptions!$P$5:$P$10=$B134)*(Assumptions!$Q$5:$Q$10&lt;=$A134)*(Assumptions!$R$5:$R$10&gt;=$A134),0)),""))</x:f>
      </x:c>
      <x:c r="M134" t="n">
        <x:f>--($A134&lt;&gt;"")</x:f>
        <x:v>1</x:v>
      </x:c>
    </x:row>
    <x:row r="135">
      <x:c r="A135" s="10" t="n">
        <x:f>IF(Assumptions!$B$5+INT((ROW()-2)/Assumptions!$B$7)&gt;Assumptions!$B$6,"",Assumptions!$B$5+INT((ROW()-2)/Assumptions!$B$7))</x:f>
        <x:v>46049</x:v>
      </x:c>
      <x:c r="B135" t="str">
        <x:f>IF($A135="","",INDEX(Assumptions!$D$5:$D$12,MOD(ROW()-2,Assumptions!$B$7)+1))</x:f>
        <x:v>Hadley's Hope</x:v>
      </x:c>
      <x:c r="C135" s="11" t="n">
        <x:f>IF($A135="","",INDEX(Assumptions!$F$5:$F$12,MATCH($B135,Assumptions!$D$5:$D$12,0)))</x:f>
        <x:v>845</x:v>
      </x:c>
      <x:c r="D135" s="11" t="n">
        <x:f>IF($A135="","",INDEX(Assumptions!$G$5:$G$12,MATCH($B135,Assumptions!$D$5:$D$12,0)))</x:f>
        <x:v>80</x:v>
      </x:c>
      <x:c r="E135" s="11" t="n">
        <x:f>IF($A135="","",INDEX(Assumptions!$M$5:$M$11,WEEKDAY($A135,2)))</x:f>
        <x:v>1.02</x:v>
      </x:c>
      <x:c r="F135" s="11" t="n">
        <x:f>IF($A135="","",Assumptions!$B$15)</x:f>
        <x:v>0.35</x:v>
      </x:c>
      <x:c r="G135" s="11" t="n">
        <x:f>IF($A135="","",MAX(INDEX(Assumptions!$H$5:$H$12,MATCH($B135,Assumptions!$D$5:$D$12,0)),MIN(INDEX(Assumptions!$I$5:$I$12,MATCH($B135,Assumptions!$D$5:$D$12,0)),($C135+$D135*SQRT(-2*LN(RAND()))*COS(2*PI()*RAND()))*$E135*$J135*$K135)))</x:f>
        <x:v>890.275388938152</x:v>
      </x:c>
      <x:c r="H135" s="11" t="n">
        <x:f>IF($A135="","",$G135*$F135+$C135*(1-$F135))</x:f>
        <x:v>860.8463861283532</x:v>
      </x:c>
      <x:c r="I135" s="11" t="n">
        <x:f>IF($A135="","",AVERAGE($H135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841.5870045220823</x:v>
      </x:c>
      <x:c r="J135" s="12" t="n">
        <x:f>IF($A135="","",1+SUMIFS(Assumptions!$S$5:$S$10,Assumptions!$P$5:$P$10,$B135,Assumptions!$Q$5:$Q$10,"&lt;="&amp;$A135,Assumptions!$R$5:$R$10,"&gt;="&amp;$A135))</x:f>
        <x:v>1</x:v>
      </x:c>
      <x:c r="K135" s="12" t="n">
        <x:f>IF($A135="","",1+((($A135-Assumptions!$B$5)/30)*INDEX(Assumptions!$J$5:$J$12,MATCH($B135,Assumptions!$D$5:$D$12,0))))</x:f>
        <x:v>1.0008666666666666</x:v>
      </x:c>
      <x:c r="L135" t="str">
        <x:f>IF($A135="","",IFERROR(INDEX(Assumptions!$O$5:$O$10,MATCH(1,(Assumptions!$P$5:$P$10=$B135)*(Assumptions!$Q$5:$Q$10&lt;=$A135)*(Assumptions!$R$5:$R$10&gt;=$A135),0)),""))</x:f>
      </x:c>
      <x:c r="M135" t="n">
        <x:f>--($A135&lt;&gt;"")</x:f>
        <x:v>1</x:v>
      </x:c>
    </x:row>
    <x:row r="136">
      <x:c r="A136" s="10" t="n">
        <x:f>IF(Assumptions!$B$5+INT((ROW()-2)/Assumptions!$B$7)&gt;Assumptions!$B$6,"",Assumptions!$B$5+INT((ROW()-2)/Assumptions!$B$7))</x:f>
        <x:v>46049</x:v>
      </x:c>
      <x:c r="B136" t="str">
        <x:f>IF($A136="","",INDEX(Assumptions!$D$5:$D$12,MOD(ROW()-2,Assumptions!$B$7)+1))</x:f>
        <x:v>Yutani Ridge</x:v>
      </x:c>
      <x:c r="C136" s="11" t="n">
        <x:f>IF($A136="","",INDEX(Assumptions!$F$5:$F$12,MATCH($B136,Assumptions!$D$5:$D$12,0)))</x:f>
        <x:v>1050</x:v>
      </x:c>
      <x:c r="D136" s="11" t="n">
        <x:f>IF($A136="","",INDEX(Assumptions!$G$5:$G$12,MATCH($B136,Assumptions!$D$5:$D$12,0)))</x:f>
        <x:v>125</x:v>
      </x:c>
      <x:c r="E136" s="11" t="n">
        <x:f>IF($A136="","",INDEX(Assumptions!$M$5:$M$11,WEEKDAY($A136,2)))</x:f>
        <x:v>1.02</x:v>
      </x:c>
      <x:c r="F136" s="11" t="n">
        <x:f>IF($A136="","",Assumptions!$B$15)</x:f>
        <x:v>0.35</x:v>
      </x:c>
      <x:c r="G136" s="11" t="n">
        <x:f>IF($A136="","",MAX(INDEX(Assumptions!$H$5:$H$12,MATCH($B136,Assumptions!$D$5:$D$12,0)),MIN(INDEX(Assumptions!$I$5:$I$12,MATCH($B136,Assumptions!$D$5:$D$12,0)),($C136+$D136*SQRT(-2*LN(RAND()))*COS(2*PI()*RAND()))*$E136*$J136*$K136)))</x:f>
        <x:v>1090.789911750029</x:v>
      </x:c>
      <x:c r="H136" s="11" t="n">
        <x:f>IF($A136="","",$G136*$F136+$C136*(1-$F136))</x:f>
        <x:v>1064.27646911251</x:v>
      </x:c>
      <x:c r="I136" s="11" t="n">
        <x:f>IF($A136="","",AVERAGE($H136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1035.8126257500662</x:v>
      </x:c>
      <x:c r="J136" s="12" t="n">
        <x:f>IF($A136="","",1+SUMIFS(Assumptions!$S$5:$S$10,Assumptions!$P$5:$P$10,$B136,Assumptions!$Q$5:$Q$10,"&lt;="&amp;$A136,Assumptions!$R$5:$R$10,"&gt;="&amp;$A136))</x:f>
        <x:v>1</x:v>
      </x:c>
      <x:c r="K136" s="12" t="n">
        <x:f>IF($A136="","",1+((($A136-Assumptions!$B$5)/30)*INDEX(Assumptions!$J$5:$J$12,MATCH($B136,Assumptions!$D$5:$D$12,0))))</x:f>
        <x:v>1.0021666666666667</x:v>
      </x:c>
      <x:c r="L136" t="str">
        <x:f>IF($A136="","",IFERROR(INDEX(Assumptions!$O$5:$O$10,MATCH(1,(Assumptions!$P$5:$P$10=$B136)*(Assumptions!$Q$5:$Q$10&lt;=$A136)*(Assumptions!$R$5:$R$10&gt;=$A136),0)),""))</x:f>
      </x:c>
      <x:c r="M136" t="n">
        <x:f>--($A136&lt;&gt;"")</x:f>
        <x:v>1</x:v>
      </x:c>
    </x:row>
    <x:row r="137">
      <x:c r="A137" s="10" t="n">
        <x:f>IF(Assumptions!$B$5+INT((ROW()-2)/Assumptions!$B$7)&gt;Assumptions!$B$6,"",Assumptions!$B$5+INT((ROW()-2)/Assumptions!$B$7))</x:f>
        <x:v>46050</x:v>
      </x:c>
      <x:c r="B137" t="str">
        <x:f>IF($A137="","",INDEX(Assumptions!$D$5:$D$12,MOD(ROW()-2,Assumptions!$B$7)+1))</x:f>
        <x:v>Acheron Prime</x:v>
      </x:c>
      <x:c r="C137" s="11" t="n">
        <x:f>IF($A137="","",INDEX(Assumptions!$F$5:$F$12,MATCH($B137,Assumptions!$D$5:$D$12,0)))</x:f>
        <x:v>1120</x:v>
      </x:c>
      <x:c r="D137" s="11" t="n">
        <x:f>IF($A137="","",INDEX(Assumptions!$G$5:$G$12,MATCH($B137,Assumptions!$D$5:$D$12,0)))</x:f>
        <x:v>115</x:v>
      </x:c>
      <x:c r="E137" s="11" t="n">
        <x:f>IF($A137="","",INDEX(Assumptions!$M$5:$M$11,WEEKDAY($A137,2)))</x:f>
        <x:v>1.01</x:v>
      </x:c>
      <x:c r="F137" s="11" t="n">
        <x:f>IF($A137="","",Assumptions!$B$15)</x:f>
        <x:v>0.35</x:v>
      </x:c>
      <x:c r="G137" s="11" t="n">
        <x:f>IF($A137="","",MAX(INDEX(Assumptions!$H$5:$H$12,MATCH($B137,Assumptions!$D$5:$D$12,0)),MIN(INDEX(Assumptions!$I$5:$I$12,MATCH($B137,Assumptions!$D$5:$D$12,0)),($C137+$D137*SQRT(-2*LN(RAND()))*COS(2*PI()*RAND()))*$E137*$J137*$K137)))</x:f>
        <x:v>1160.4590613377018</x:v>
      </x:c>
      <x:c r="H137" s="11" t="n">
        <x:f>IF($A137="","",$G137*$F137+$C137*(1-$F137))</x:f>
        <x:v>1134.1606714681957</x:v>
      </x:c>
      <x:c r="I137" s="11" t="n">
        <x:f>IF($A137="","",AVERAGE($H137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1121.9070827479597</x:v>
      </x:c>
      <x:c r="J137" s="12" t="n">
        <x:f>IF($A137="","",1+SUMIFS(Assumptions!$S$5:$S$10,Assumptions!$P$5:$P$10,$B137,Assumptions!$Q$5:$Q$10,"&lt;="&amp;$A137,Assumptions!$R$5:$R$10,"&gt;="&amp;$A137))</x:f>
        <x:v>1</x:v>
      </x:c>
      <x:c r="K137" s="12" t="n">
        <x:f>IF($A137="","",1+((($A137-Assumptions!$B$5)/30)*INDEX(Assumptions!$J$5:$J$12,MATCH($B137,Assumptions!$D$5:$D$12,0))))</x:f>
        <x:v>1.0018</x:v>
      </x:c>
      <x:c r="L137" t="str">
        <x:f>IF($A137="","",IFERROR(INDEX(Assumptions!$O$5:$O$10,MATCH(1,(Assumptions!$P$5:$P$10=$B137)*(Assumptions!$Q$5:$Q$10&lt;=$A137)*(Assumptions!$R$5:$R$10&gt;=$A137),0)),""))</x:f>
      </x:c>
      <x:c r="M137" t="n">
        <x:f>--($A137&lt;&gt;"")</x:f>
        <x:v>1</x:v>
      </x:c>
    </x:row>
    <x:row r="138">
      <x:c r="A138" s="10" t="n">
        <x:f>IF(Assumptions!$B$5+INT((ROW()-2)/Assumptions!$B$7)&gt;Assumptions!$B$6,"",Assumptions!$B$5+INT((ROW()-2)/Assumptions!$B$7))</x:f>
        <x:v>46050</x:v>
      </x:c>
      <x:c r="B138" t="str">
        <x:f>IF($A138="","",INDEX(Assumptions!$D$5:$D$12,MOD(ROW()-2,Assumptions!$B$7)+1))</x:f>
        <x:v>LV-426 North</x:v>
      </x:c>
      <x:c r="C138" s="11" t="n">
        <x:f>IF($A138="","",INDEX(Assumptions!$F$5:$F$12,MATCH($B138,Assumptions!$D$5:$D$12,0)))</x:f>
        <x:v>930</x:v>
      </x:c>
      <x:c r="D138" s="11" t="n">
        <x:f>IF($A138="","",INDEX(Assumptions!$G$5:$G$12,MATCH($B138,Assumptions!$D$5:$D$12,0)))</x:f>
        <x:v>95</x:v>
      </x:c>
      <x:c r="E138" s="11" t="n">
        <x:f>IF($A138="","",INDEX(Assumptions!$M$5:$M$11,WEEKDAY($A138,2)))</x:f>
        <x:v>1.01</x:v>
      </x:c>
      <x:c r="F138" s="11" t="n">
        <x:f>IF($A138="","",Assumptions!$B$15)</x:f>
        <x:v>0.35</x:v>
      </x:c>
      <x:c r="G138" s="11" t="n">
        <x:f>IF($A138="","",MAX(INDEX(Assumptions!$H$5:$H$12,MATCH($B138,Assumptions!$D$5:$D$12,0)),MIN(INDEX(Assumptions!$I$5:$I$12,MATCH($B138,Assumptions!$D$5:$D$12,0)),($C138+$D138*SQRT(-2*LN(RAND()))*COS(2*PI()*RAND()))*$E138*$J138*$K138)))</x:f>
        <x:v>839.1599252920292</x:v>
      </x:c>
      <x:c r="H138" s="11" t="n">
        <x:f>IF($A138="","",$G138*$F138+$C138*(1-$F138))</x:f>
        <x:v>898.2059738522103</x:v>
      </x:c>
      <x:c r="I138" s="11" t="n">
        <x:f>IF($A138="","",AVERAGE($H138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914.5415479469135</x:v>
      </x:c>
      <x:c r="J138" s="12" t="n">
        <x:f>IF($A138="","",1+SUMIFS(Assumptions!$S$5:$S$10,Assumptions!$P$5:$P$10,$B138,Assumptions!$Q$5:$Q$10,"&lt;="&amp;$A138,Assumptions!$R$5:$R$10,"&gt;="&amp;$A138))</x:f>
        <x:v>1</x:v>
      </x:c>
      <x:c r="K138" s="12" t="n">
        <x:f>IF($A138="","",1+((($A138-Assumptions!$B$5)/30)*INDEX(Assumptions!$J$5:$J$12,MATCH($B138,Assumptions!$D$5:$D$12,0))))</x:f>
        <x:v>0.9991</x:v>
      </x:c>
      <x:c r="L138" t="str">
        <x:f>IF($A138="","",IFERROR(INDEX(Assumptions!$O$5:$O$10,MATCH(1,(Assumptions!$P$5:$P$10=$B138)*(Assumptions!$Q$5:$Q$10&lt;=$A138)*(Assumptions!$R$5:$R$10&gt;=$A138),0)),""))</x:f>
      </x:c>
      <x:c r="M138" t="n">
        <x:f>--($A138&lt;&gt;"")</x:f>
        <x:v>1</x:v>
      </x:c>
    </x:row>
    <x:row r="139">
      <x:c r="A139" s="10" t="n">
        <x:f>IF(Assumptions!$B$5+INT((ROW()-2)/Assumptions!$B$7)&gt;Assumptions!$B$6,"",Assumptions!$B$5+INT((ROW()-2)/Assumptions!$B$7))</x:f>
        <x:v>46050</x:v>
      </x:c>
      <x:c r="B139" t="str">
        <x:f>IF($A139="","",INDEX(Assumptions!$D$5:$D$12,MOD(ROW()-2,Assumptions!$B$7)+1))</x:f>
        <x:v>Nostromo Deep</x:v>
      </x:c>
      <x:c r="C139" s="11" t="n">
        <x:f>IF($A139="","",INDEX(Assumptions!$F$5:$F$12,MATCH($B139,Assumptions!$D$5:$D$12,0)))</x:f>
        <x:v>1260</x:v>
      </x:c>
      <x:c r="D139" s="11" t="n">
        <x:f>IF($A139="","",INDEX(Assumptions!$G$5:$G$12,MATCH($B139,Assumptions!$D$5:$D$12,0)))</x:f>
        <x:v>145</x:v>
      </x:c>
      <x:c r="E139" s="11" t="n">
        <x:f>IF($A139="","",INDEX(Assumptions!$M$5:$M$11,WEEKDAY($A139,2)))</x:f>
        <x:v>1.01</x:v>
      </x:c>
      <x:c r="F139" s="11" t="n">
        <x:f>IF($A139="","",Assumptions!$B$15)</x:f>
        <x:v>0.35</x:v>
      </x:c>
      <x:c r="G139" s="11" t="n">
        <x:f>IF($A139="","",MAX(INDEX(Assumptions!$H$5:$H$12,MATCH($B139,Assumptions!$D$5:$D$12,0)),MIN(INDEX(Assumptions!$I$5:$I$12,MATCH($B139,Assumptions!$D$5:$D$12,0)),($C139+$D139*SQRT(-2*LN(RAND()))*COS(2*PI()*RAND()))*$E139*$J139*$K139)))</x:f>
        <x:v>1354.3928309169607</x:v>
      </x:c>
      <x:c r="H139" s="11" t="n">
        <x:f>IF($A139="","",$G139*$F139+$C139*(1-$F139))</x:f>
        <x:v>1293.0374908209362</x:v>
      </x:c>
      <x:c r="I139" s="11" t="n">
        <x:f>IF($A139="","",AVERAGE($H139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1274.4595449454755</x:v>
      </x:c>
      <x:c r="J139" s="12" t="n">
        <x:f>IF($A139="","",1+SUMIFS(Assumptions!$S$5:$S$10,Assumptions!$P$5:$P$10,$B139,Assumptions!$Q$5:$Q$10,"&lt;="&amp;$A139,Assumptions!$R$5:$R$10,"&gt;="&amp;$A139))</x:f>
        <x:v>1</x:v>
      </x:c>
      <x:c r="K139" s="12" t="n">
        <x:f>IF($A139="","",1+((($A139-Assumptions!$B$5)/30)*INDEX(Assumptions!$J$5:$J$12,MATCH($B139,Assumptions!$D$5:$D$12,0))))</x:f>
        <x:v>1.0027</x:v>
      </x:c>
      <x:c r="L139" t="str">
        <x:f>IF($A139="","",IFERROR(INDEX(Assumptions!$O$5:$O$10,MATCH(1,(Assumptions!$P$5:$P$10=$B139)*(Assumptions!$Q$5:$Q$10&lt;=$A139)*(Assumptions!$R$5:$R$10&gt;=$A139),0)),""))</x:f>
      </x:c>
      <x:c r="M139" t="n">
        <x:f>--($A139&lt;&gt;"")</x:f>
        <x:v>1</x:v>
      </x:c>
    </x:row>
    <x:row r="140">
      <x:c r="A140" s="10" t="n">
        <x:f>IF(Assumptions!$B$5+INT((ROW()-2)/Assumptions!$B$7)&gt;Assumptions!$B$6,"",Assumptions!$B$5+INT((ROW()-2)/Assumptions!$B$7))</x:f>
        <x:v>46050</x:v>
      </x:c>
      <x:c r="B140" t="str">
        <x:f>IF($A140="","",INDEX(Assumptions!$D$5:$D$12,MOD(ROW()-2,Assumptions!$B$7)+1))</x:f>
        <x:v>Hadley's Hope</x:v>
      </x:c>
      <x:c r="C140" s="11" t="n">
        <x:f>IF($A140="","",INDEX(Assumptions!$F$5:$F$12,MATCH($B140,Assumptions!$D$5:$D$12,0)))</x:f>
        <x:v>845</x:v>
      </x:c>
      <x:c r="D140" s="11" t="n">
        <x:f>IF($A140="","",INDEX(Assumptions!$G$5:$G$12,MATCH($B140,Assumptions!$D$5:$D$12,0)))</x:f>
        <x:v>80</x:v>
      </x:c>
      <x:c r="E140" s="11" t="n">
        <x:f>IF($A140="","",INDEX(Assumptions!$M$5:$M$11,WEEKDAY($A140,2)))</x:f>
        <x:v>1.01</x:v>
      </x:c>
      <x:c r="F140" s="11" t="n">
        <x:f>IF($A140="","",Assumptions!$B$15)</x:f>
        <x:v>0.35</x:v>
      </x:c>
      <x:c r="G140" s="11" t="n">
        <x:f>IF($A140="","",MAX(INDEX(Assumptions!$H$5:$H$12,MATCH($B140,Assumptions!$D$5:$D$12,0)),MIN(INDEX(Assumptions!$I$5:$I$12,MATCH($B140,Assumptions!$D$5:$D$12,0)),($C140+$D140*SQRT(-2*LN(RAND()))*COS(2*PI()*RAND()))*$E140*$J140*$K140)))</x:f>
        <x:v>1045.061892384618</x:v>
      </x:c>
      <x:c r="H140" s="11" t="n">
        <x:f>IF($A140="","",$G140*$F140+$C140*(1-$F140))</x:f>
        <x:v>915.0216623346163</x:v>
      </x:c>
      <x:c r="I140" s="11" t="n">
        <x:f>IF($A140="","",AVERAGE($H140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851.3386123827548</x:v>
      </x:c>
      <x:c r="J140" s="12" t="n">
        <x:f>IF($A140="","",1+SUMIFS(Assumptions!$S$5:$S$10,Assumptions!$P$5:$P$10,$B140,Assumptions!$Q$5:$Q$10,"&lt;="&amp;$A140,Assumptions!$R$5:$R$10,"&gt;="&amp;$A140))</x:f>
        <x:v>1</x:v>
      </x:c>
      <x:c r="K140" s="12" t="n">
        <x:f>IF($A140="","",1+((($A140-Assumptions!$B$5)/30)*INDEX(Assumptions!$J$5:$J$12,MATCH($B140,Assumptions!$D$5:$D$12,0))))</x:f>
        <x:v>1.0009</x:v>
      </x:c>
      <x:c r="L140" t="str">
        <x:f>IF($A140="","",IFERROR(INDEX(Assumptions!$O$5:$O$10,MATCH(1,(Assumptions!$P$5:$P$10=$B140)*(Assumptions!$Q$5:$Q$10&lt;=$A140)*(Assumptions!$R$5:$R$10&gt;=$A140),0)),""))</x:f>
      </x:c>
      <x:c r="M140" t="n">
        <x:f>--($A140&lt;&gt;"")</x:f>
        <x:v>1</x:v>
      </x:c>
    </x:row>
    <x:row r="141">
      <x:c r="A141" s="10" t="n">
        <x:f>IF(Assumptions!$B$5+INT((ROW()-2)/Assumptions!$B$7)&gt;Assumptions!$B$6,"",Assumptions!$B$5+INT((ROW()-2)/Assumptions!$B$7))</x:f>
        <x:v>46050</x:v>
      </x:c>
      <x:c r="B141" t="str">
        <x:f>IF($A141="","",INDEX(Assumptions!$D$5:$D$12,MOD(ROW()-2,Assumptions!$B$7)+1))</x:f>
        <x:v>Yutani Ridge</x:v>
      </x:c>
      <x:c r="C141" s="11" t="n">
        <x:f>IF($A141="","",INDEX(Assumptions!$F$5:$F$12,MATCH($B141,Assumptions!$D$5:$D$12,0)))</x:f>
        <x:v>1050</x:v>
      </x:c>
      <x:c r="D141" s="11" t="n">
        <x:f>IF($A141="","",INDEX(Assumptions!$G$5:$G$12,MATCH($B141,Assumptions!$D$5:$D$12,0)))</x:f>
        <x:v>125</x:v>
      </x:c>
      <x:c r="E141" s="11" t="n">
        <x:f>IF($A141="","",INDEX(Assumptions!$M$5:$M$11,WEEKDAY($A141,2)))</x:f>
        <x:v>1.01</x:v>
      </x:c>
      <x:c r="F141" s="11" t="n">
        <x:f>IF($A141="","",Assumptions!$B$15)</x:f>
        <x:v>0.35</x:v>
      </x:c>
      <x:c r="G141" s="11" t="n">
        <x:f>IF($A141="","",MAX(INDEX(Assumptions!$H$5:$H$12,MATCH($B141,Assumptions!$D$5:$D$12,0)),MIN(INDEX(Assumptions!$I$5:$I$12,MATCH($B141,Assumptions!$D$5:$D$12,0)),($C141+$D141*SQRT(-2*LN(RAND()))*COS(2*PI()*RAND()))*$E141*$J141*$K141)))</x:f>
        <x:v>866.2823032522397</x:v>
      </x:c>
      <x:c r="H141" s="11" t="n">
        <x:f>IF($A141="","",$G141*$F141+$C141*(1-$F141))</x:f>
        <x:v>985.6988061382839</x:v>
      </x:c>
      <x:c r="I141" s="11" t="n">
        <x:f>IF($A141="","",AVERAGE($H141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1021.285260302676</x:v>
      </x:c>
      <x:c r="J141" s="12" t="n">
        <x:f>IF($A141="","",1+SUMIFS(Assumptions!$S$5:$S$10,Assumptions!$P$5:$P$10,$B141,Assumptions!$Q$5:$Q$10,"&lt;="&amp;$A141,Assumptions!$R$5:$R$10,"&gt;="&amp;$A141))</x:f>
        <x:v>1</x:v>
      </x:c>
      <x:c r="K141" s="12" t="n">
        <x:f>IF($A141="","",1+((($A141-Assumptions!$B$5)/30)*INDEX(Assumptions!$J$5:$J$12,MATCH($B141,Assumptions!$D$5:$D$12,0))))</x:f>
        <x:v>1.00225</x:v>
      </x:c>
      <x:c r="L141" t="str">
        <x:f>IF($A141="","",IFERROR(INDEX(Assumptions!$O$5:$O$10,MATCH(1,(Assumptions!$P$5:$P$10=$B141)*(Assumptions!$Q$5:$Q$10&lt;=$A141)*(Assumptions!$R$5:$R$10&gt;=$A141),0)),""))</x:f>
      </x:c>
      <x:c r="M141" t="n">
        <x:f>--($A141&lt;&gt;"")</x:f>
        <x:v>1</x:v>
      </x:c>
    </x:row>
    <x:row r="142">
      <x:c r="A142" s="10" t="n">
        <x:f>IF(Assumptions!$B$5+INT((ROW()-2)/Assumptions!$B$7)&gt;Assumptions!$B$6,"",Assumptions!$B$5+INT((ROW()-2)/Assumptions!$B$7))</x:f>
        <x:v>46051</x:v>
      </x:c>
      <x:c r="B142" t="str">
        <x:f>IF($A142="","",INDEX(Assumptions!$D$5:$D$12,MOD(ROW()-2,Assumptions!$B$7)+1))</x:f>
        <x:v>Acheron Prime</x:v>
      </x:c>
      <x:c r="C142" s="11" t="n">
        <x:f>IF($A142="","",INDEX(Assumptions!$F$5:$F$12,MATCH($B142,Assumptions!$D$5:$D$12,0)))</x:f>
        <x:v>1120</x:v>
      </x:c>
      <x:c r="D142" s="11" t="n">
        <x:f>IF($A142="","",INDEX(Assumptions!$G$5:$G$12,MATCH($B142,Assumptions!$D$5:$D$12,0)))</x:f>
        <x:v>115</x:v>
      </x:c>
      <x:c r="E142" s="11" t="n">
        <x:f>IF($A142="","",INDEX(Assumptions!$M$5:$M$11,WEEKDAY($A142,2)))</x:f>
        <x:v>1</x:v>
      </x:c>
      <x:c r="F142" s="11" t="n">
        <x:f>IF($A142="","",Assumptions!$B$15)</x:f>
        <x:v>0.35</x:v>
      </x:c>
      <x:c r="G142" s="11" t="n">
        <x:f>IF($A142="","",MAX(INDEX(Assumptions!$H$5:$H$12,MATCH($B142,Assumptions!$D$5:$D$12,0)),MIN(INDEX(Assumptions!$I$5:$I$12,MATCH($B142,Assumptions!$D$5:$D$12,0)),($C142+$D142*SQRT(-2*LN(RAND()))*COS(2*PI()*RAND()))*$E142*$J142*$K142)))</x:f>
        <x:v>1032.253694432171</x:v>
      </x:c>
      <x:c r="H142" s="11" t="n">
        <x:f>IF($A142="","",$G142*$F142+$C142*(1-$F142))</x:f>
        <x:v>1089.2887930512597</x:v>
      </x:c>
      <x:c r="I142" s="11" t="n">
        <x:f>IF($A142="","",AVERAGE($H142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1105.4253222592988</x:v>
      </x:c>
      <x:c r="J142" s="12" t="n">
        <x:f>IF($A142="","",1+SUMIFS(Assumptions!$S$5:$S$10,Assumptions!$P$5:$P$10,$B142,Assumptions!$Q$5:$Q$10,"&lt;="&amp;$A142,Assumptions!$R$5:$R$10,"&gt;="&amp;$A142))</x:f>
        <x:v>1</x:v>
      </x:c>
      <x:c r="K142" s="12" t="n">
        <x:f>IF($A142="","",1+((($A142-Assumptions!$B$5)/30)*INDEX(Assumptions!$J$5:$J$12,MATCH($B142,Assumptions!$D$5:$D$12,0))))</x:f>
        <x:v>1.0018666666666667</x:v>
      </x:c>
      <x:c r="L142" t="str">
        <x:f>IF($A142="","",IFERROR(INDEX(Assumptions!$O$5:$O$10,MATCH(1,(Assumptions!$P$5:$P$10=$B142)*(Assumptions!$Q$5:$Q$10&lt;=$A142)*(Assumptions!$R$5:$R$10&gt;=$A142),0)),""))</x:f>
      </x:c>
      <x:c r="M142" t="n">
        <x:f>--($A142&lt;&gt;"")</x:f>
        <x:v>1</x:v>
      </x:c>
    </x:row>
    <x:row r="143">
      <x:c r="A143" s="10" t="n">
        <x:f>IF(Assumptions!$B$5+INT((ROW()-2)/Assumptions!$B$7)&gt;Assumptions!$B$6,"",Assumptions!$B$5+INT((ROW()-2)/Assumptions!$B$7))</x:f>
        <x:v>46051</x:v>
      </x:c>
      <x:c r="B143" t="str">
        <x:f>IF($A143="","",INDEX(Assumptions!$D$5:$D$12,MOD(ROW()-2,Assumptions!$B$7)+1))</x:f>
        <x:v>LV-426 North</x:v>
      </x:c>
      <x:c r="C143" s="11" t="n">
        <x:f>IF($A143="","",INDEX(Assumptions!$F$5:$F$12,MATCH($B143,Assumptions!$D$5:$D$12,0)))</x:f>
        <x:v>930</x:v>
      </x:c>
      <x:c r="D143" s="11" t="n">
        <x:f>IF($A143="","",INDEX(Assumptions!$G$5:$G$12,MATCH($B143,Assumptions!$D$5:$D$12,0)))</x:f>
        <x:v>95</x:v>
      </x:c>
      <x:c r="E143" s="11" t="n">
        <x:f>IF($A143="","",INDEX(Assumptions!$M$5:$M$11,WEEKDAY($A143,2)))</x:f>
        <x:v>1</x:v>
      </x:c>
      <x:c r="F143" s="11" t="n">
        <x:f>IF($A143="","",Assumptions!$B$15)</x:f>
        <x:v>0.35</x:v>
      </x:c>
      <x:c r="G143" s="11" t="n">
        <x:f>IF($A143="","",MAX(INDEX(Assumptions!$H$5:$H$12,MATCH($B143,Assumptions!$D$5:$D$12,0)),MIN(INDEX(Assumptions!$I$5:$I$12,MATCH($B143,Assumptions!$D$5:$D$12,0)),($C143+$D143*SQRT(-2*LN(RAND()))*COS(2*PI()*RAND()))*$E143*$J143*$K143)))</x:f>
        <x:v>928.168309495531</x:v>
      </x:c>
      <x:c r="H143" s="11" t="n">
        <x:f>IF($A143="","",$G143*$F143+$C143*(1-$F143))</x:f>
        <x:v>929.3589083234358</x:v>
      </x:c>
      <x:c r="I143" s="11" t="n">
        <x:f>IF($A143="","",AVERAGE($H143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918.7350645515534</x:v>
      </x:c>
      <x:c r="J143" s="12" t="n">
        <x:f>IF($A143="","",1+SUMIFS(Assumptions!$S$5:$S$10,Assumptions!$P$5:$P$10,$B143,Assumptions!$Q$5:$Q$10,"&lt;="&amp;$A143,Assumptions!$R$5:$R$10,"&gt;="&amp;$A143))</x:f>
        <x:v>1</x:v>
      </x:c>
      <x:c r="K143" s="12" t="n">
        <x:f>IF($A143="","",1+((($A143-Assumptions!$B$5)/30)*INDEX(Assumptions!$J$5:$J$12,MATCH($B143,Assumptions!$D$5:$D$12,0))))</x:f>
        <x:v>0.9990666666666667</x:v>
      </x:c>
      <x:c r="L143" t="str">
        <x:f>IF($A143="","",IFERROR(INDEX(Assumptions!$O$5:$O$10,MATCH(1,(Assumptions!$P$5:$P$10=$B143)*(Assumptions!$Q$5:$Q$10&lt;=$A143)*(Assumptions!$R$5:$R$10&gt;=$A143),0)),""))</x:f>
      </x:c>
      <x:c r="M143" t="n">
        <x:f>--($A143&lt;&gt;"")</x:f>
        <x:v>1</x:v>
      </x:c>
    </x:row>
    <x:row r="144">
      <x:c r="A144" s="10" t="n">
        <x:f>IF(Assumptions!$B$5+INT((ROW()-2)/Assumptions!$B$7)&gt;Assumptions!$B$6,"",Assumptions!$B$5+INT((ROW()-2)/Assumptions!$B$7))</x:f>
        <x:v>46051</x:v>
      </x:c>
      <x:c r="B144" t="str">
        <x:f>IF($A144="","",INDEX(Assumptions!$D$5:$D$12,MOD(ROW()-2,Assumptions!$B$7)+1))</x:f>
        <x:v>Nostromo Deep</x:v>
      </x:c>
      <x:c r="C144" s="11" t="n">
        <x:f>IF($A144="","",INDEX(Assumptions!$F$5:$F$12,MATCH($B144,Assumptions!$D$5:$D$12,0)))</x:f>
        <x:v>1260</x:v>
      </x:c>
      <x:c r="D144" s="11" t="n">
        <x:f>IF($A144="","",INDEX(Assumptions!$G$5:$G$12,MATCH($B144,Assumptions!$D$5:$D$12,0)))</x:f>
        <x:v>145</x:v>
      </x:c>
      <x:c r="E144" s="11" t="n">
        <x:f>IF($A144="","",INDEX(Assumptions!$M$5:$M$11,WEEKDAY($A144,2)))</x:f>
        <x:v>1</x:v>
      </x:c>
      <x:c r="F144" s="11" t="n">
        <x:f>IF($A144="","",Assumptions!$B$15)</x:f>
        <x:v>0.35</x:v>
      </x:c>
      <x:c r="G144" s="11" t="n">
        <x:f>IF($A144="","",MAX(INDEX(Assumptions!$H$5:$H$12,MATCH($B144,Assumptions!$D$5:$D$12,0)),MIN(INDEX(Assumptions!$I$5:$I$12,MATCH($B144,Assumptions!$D$5:$D$12,0)),($C144+$D144*SQRT(-2*LN(RAND()))*COS(2*PI()*RAND()))*$E144*$J144*$K144)))</x:f>
        <x:v>1318.04651811743</x:v>
      </x:c>
      <x:c r="H144" s="11" t="n">
        <x:f>IF($A144="","",$G144*$F144+$C144*(1-$F144))</x:f>
        <x:v>1280.3162813411004</x:v>
      </x:c>
      <x:c r="I144" s="11" t="n">
        <x:f>IF($A144="","",AVERAGE($H144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1262.4938332680242</x:v>
      </x:c>
      <x:c r="J144" s="12" t="n">
        <x:f>IF($A144="","",1+SUMIFS(Assumptions!$S$5:$S$10,Assumptions!$P$5:$P$10,$B144,Assumptions!$Q$5:$Q$10,"&lt;="&amp;$A144,Assumptions!$R$5:$R$10,"&gt;="&amp;$A144))</x:f>
        <x:v>1</x:v>
      </x:c>
      <x:c r="K144" s="12" t="n">
        <x:f>IF($A144="","",1+((($A144-Assumptions!$B$5)/30)*INDEX(Assumptions!$J$5:$J$12,MATCH($B144,Assumptions!$D$5:$D$12,0))))</x:f>
        <x:v>1.0028</x:v>
      </x:c>
      <x:c r="L144" t="str">
        <x:f>IF($A144="","",IFERROR(INDEX(Assumptions!$O$5:$O$10,MATCH(1,(Assumptions!$P$5:$P$10=$B144)*(Assumptions!$Q$5:$Q$10&lt;=$A144)*(Assumptions!$R$5:$R$10&gt;=$A144),0)),""))</x:f>
      </x:c>
      <x:c r="M144" t="n">
        <x:f>--($A144&lt;&gt;"")</x:f>
        <x:v>1</x:v>
      </x:c>
    </x:row>
    <x:row r="145">
      <x:c r="A145" s="10" t="n">
        <x:f>IF(Assumptions!$B$5+INT((ROW()-2)/Assumptions!$B$7)&gt;Assumptions!$B$6,"",Assumptions!$B$5+INT((ROW()-2)/Assumptions!$B$7))</x:f>
        <x:v>46051</x:v>
      </x:c>
      <x:c r="B145" t="str">
        <x:f>IF($A145="","",INDEX(Assumptions!$D$5:$D$12,MOD(ROW()-2,Assumptions!$B$7)+1))</x:f>
        <x:v>Hadley's Hope</x:v>
      </x:c>
      <x:c r="C145" s="11" t="n">
        <x:f>IF($A145="","",INDEX(Assumptions!$F$5:$F$12,MATCH($B145,Assumptions!$D$5:$D$12,0)))</x:f>
        <x:v>845</x:v>
      </x:c>
      <x:c r="D145" s="11" t="n">
        <x:f>IF($A145="","",INDEX(Assumptions!$G$5:$G$12,MATCH($B145,Assumptions!$D$5:$D$12,0)))</x:f>
        <x:v>80</x:v>
      </x:c>
      <x:c r="E145" s="11" t="n">
        <x:f>IF($A145="","",INDEX(Assumptions!$M$5:$M$11,WEEKDAY($A145,2)))</x:f>
        <x:v>1</x:v>
      </x:c>
      <x:c r="F145" s="11" t="n">
        <x:f>IF($A145="","",Assumptions!$B$15)</x:f>
        <x:v>0.35</x:v>
      </x:c>
      <x:c r="G145" s="11" t="n">
        <x:f>IF($A145="","",MAX(INDEX(Assumptions!$H$5:$H$12,MATCH($B145,Assumptions!$D$5:$D$12,0)),MIN(INDEX(Assumptions!$I$5:$I$12,MATCH($B145,Assumptions!$D$5:$D$12,0)),($C145+$D145*SQRT(-2*LN(RAND()))*COS(2*PI()*RAND()))*$E145*$J145*$K145)))</x:f>
        <x:v>808.0215517630986</x:v>
      </x:c>
      <x:c r="H145" s="11" t="n">
        <x:f>IF($A145="","",$G145*$F145+$C145*(1-$F145))</x:f>
        <x:v>832.0575431170845</x:v>
      </x:c>
      <x:c r="I145" s="11" t="n">
        <x:f>IF($A145="","",AVERAGE($H145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845.1243341522996</x:v>
      </x:c>
      <x:c r="J145" s="12" t="n">
        <x:f>IF($A145="","",1+SUMIFS(Assumptions!$S$5:$S$10,Assumptions!$P$5:$P$10,$B145,Assumptions!$Q$5:$Q$10,"&lt;="&amp;$A145,Assumptions!$R$5:$R$10,"&gt;="&amp;$A145))</x:f>
        <x:v>1</x:v>
      </x:c>
      <x:c r="K145" s="12" t="n">
        <x:f>IF($A145="","",1+((($A145-Assumptions!$B$5)/30)*INDEX(Assumptions!$J$5:$J$12,MATCH($B145,Assumptions!$D$5:$D$12,0))))</x:f>
        <x:v>1.0009333333333332</x:v>
      </x:c>
      <x:c r="L145" t="str">
        <x:f>IF($A145="","",IFERROR(INDEX(Assumptions!$O$5:$O$10,MATCH(1,(Assumptions!$P$5:$P$10=$B145)*(Assumptions!$Q$5:$Q$10&lt;=$A145)*(Assumptions!$R$5:$R$10&gt;=$A145),0)),""))</x:f>
      </x:c>
      <x:c r="M145" t="n">
        <x:f>--($A145&lt;&gt;"")</x:f>
        <x:v>1</x:v>
      </x:c>
    </x:row>
    <x:row r="146">
      <x:c r="A146" s="10" t="n">
        <x:f>IF(Assumptions!$B$5+INT((ROW()-2)/Assumptions!$B$7)&gt;Assumptions!$B$6,"",Assumptions!$B$5+INT((ROW()-2)/Assumptions!$B$7))</x:f>
        <x:v>46051</x:v>
      </x:c>
      <x:c r="B146" t="str">
        <x:f>IF($A146="","",INDEX(Assumptions!$D$5:$D$12,MOD(ROW()-2,Assumptions!$B$7)+1))</x:f>
        <x:v>Yutani Ridge</x:v>
      </x:c>
      <x:c r="C146" s="11" t="n">
        <x:f>IF($A146="","",INDEX(Assumptions!$F$5:$F$12,MATCH($B146,Assumptions!$D$5:$D$12,0)))</x:f>
        <x:v>1050</x:v>
      </x:c>
      <x:c r="D146" s="11" t="n">
        <x:f>IF($A146="","",INDEX(Assumptions!$G$5:$G$12,MATCH($B146,Assumptions!$D$5:$D$12,0)))</x:f>
        <x:v>125</x:v>
      </x:c>
      <x:c r="E146" s="11" t="n">
        <x:f>IF($A146="","",INDEX(Assumptions!$M$5:$M$11,WEEKDAY($A146,2)))</x:f>
        <x:v>1</x:v>
      </x:c>
      <x:c r="F146" s="11" t="n">
        <x:f>IF($A146="","",Assumptions!$B$15)</x:f>
        <x:v>0.35</x:v>
      </x:c>
      <x:c r="G146" s="11" t="n">
        <x:f>IF($A146="","",MAX(INDEX(Assumptions!$H$5:$H$12,MATCH($B146,Assumptions!$D$5:$D$12,0)),MIN(INDEX(Assumptions!$I$5:$I$12,MATCH($B146,Assumptions!$D$5:$D$12,0)),($C146+$D146*SQRT(-2*LN(RAND()))*COS(2*PI()*RAND()))*$E146*$J146*$K146)))</x:f>
        <x:v>984.1141827795752</x:v>
      </x:c>
      <x:c r="H146" s="11" t="n">
        <x:f>IF($A146="","",$G146*$F146+$C146*(1-$F146))</x:f>
        <x:v>1026.9399639728513</x:v>
      </x:c>
      <x:c r="I146" s="11" t="n">
        <x:f>IF($A146="","",AVERAGE($H146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1018.0231859356705</x:v>
      </x:c>
      <x:c r="J146" s="12" t="n">
        <x:f>IF($A146="","",1+SUMIFS(Assumptions!$S$5:$S$10,Assumptions!$P$5:$P$10,$B146,Assumptions!$Q$5:$Q$10,"&lt;="&amp;$A146,Assumptions!$R$5:$R$10,"&gt;="&amp;$A146))</x:f>
        <x:v>1</x:v>
      </x:c>
      <x:c r="K146" s="12" t="n">
        <x:f>IF($A146="","",1+((($A146-Assumptions!$B$5)/30)*INDEX(Assumptions!$J$5:$J$12,MATCH($B146,Assumptions!$D$5:$D$12,0))))</x:f>
        <x:v>1.0023333333333333</x:v>
      </x:c>
      <x:c r="L146" t="str">
        <x:f>IF($A146="","",IFERROR(INDEX(Assumptions!$O$5:$O$10,MATCH(1,(Assumptions!$P$5:$P$10=$B146)*(Assumptions!$Q$5:$Q$10&lt;=$A146)*(Assumptions!$R$5:$R$10&gt;=$A146),0)),""))</x:f>
      </x:c>
      <x:c r="M146" t="n">
        <x:f>--($A146&lt;&gt;"")</x:f>
        <x:v>1</x:v>
      </x:c>
    </x:row>
    <x:row r="147">
      <x:c r="A147" s="10" t="n">
        <x:f>IF(Assumptions!$B$5+INT((ROW()-2)/Assumptions!$B$7)&gt;Assumptions!$B$6,"",Assumptions!$B$5+INT((ROW()-2)/Assumptions!$B$7))</x:f>
        <x:v>46052</x:v>
      </x:c>
      <x:c r="B147" t="str">
        <x:f>IF($A147="","",INDEX(Assumptions!$D$5:$D$12,MOD(ROW()-2,Assumptions!$B$7)+1))</x:f>
        <x:v>Acheron Prime</x:v>
      </x:c>
      <x:c r="C147" s="11" t="n">
        <x:f>IF($A147="","",INDEX(Assumptions!$F$5:$F$12,MATCH($B147,Assumptions!$D$5:$D$12,0)))</x:f>
        <x:v>1120</x:v>
      </x:c>
      <x:c r="D147" s="11" t="n">
        <x:f>IF($A147="","",INDEX(Assumptions!$G$5:$G$12,MATCH($B147,Assumptions!$D$5:$D$12,0)))</x:f>
        <x:v>115</x:v>
      </x:c>
      <x:c r="E147" s="11" t="n">
        <x:f>IF($A147="","",INDEX(Assumptions!$M$5:$M$11,WEEKDAY($A147,2)))</x:f>
        <x:v>0.98</x:v>
      </x:c>
      <x:c r="F147" s="11" t="n">
        <x:f>IF($A147="","",Assumptions!$B$15)</x:f>
        <x:v>0.35</x:v>
      </x:c>
      <x:c r="G147" s="11" t="n">
        <x:f>IF($A147="","",MAX(INDEX(Assumptions!$H$5:$H$12,MATCH($B147,Assumptions!$D$5:$D$12,0)),MIN(INDEX(Assumptions!$I$5:$I$12,MATCH($B147,Assumptions!$D$5:$D$12,0)),($C147+$D147*SQRT(-2*LN(RAND()))*COS(2*PI()*RAND()))*$E147*$J147*$K147)))</x:f>
        <x:v>1051.2114417547627</x:v>
      </x:c>
      <x:c r="H147" s="11" t="n">
        <x:f>IF($A147="","",$G147*$F147+$C147*(1-$F147))</x:f>
        <x:v>1095.924004614167</x:v>
      </x:c>
      <x:c r="I147" s="11" t="n">
        <x:f>IF($A147="","",AVERAGE($H147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1103.5291253127868</x:v>
      </x:c>
      <x:c r="J147" s="12" t="n">
        <x:f>IF($A147="","",1+SUMIFS(Assumptions!$S$5:$S$10,Assumptions!$P$5:$P$10,$B147,Assumptions!$Q$5:$Q$10,"&lt;="&amp;$A147,Assumptions!$R$5:$R$10,"&gt;="&amp;$A147))</x:f>
        <x:v>1</x:v>
      </x:c>
      <x:c r="K147" s="12" t="n">
        <x:f>IF($A147="","",1+((($A147-Assumptions!$B$5)/30)*INDEX(Assumptions!$J$5:$J$12,MATCH($B147,Assumptions!$D$5:$D$12,0))))</x:f>
        <x:v>1.0019333333333333</x:v>
      </x:c>
      <x:c r="L147" t="str">
        <x:f>IF($A147="","",IFERROR(INDEX(Assumptions!$O$5:$O$10,MATCH(1,(Assumptions!$P$5:$P$10=$B147)*(Assumptions!$Q$5:$Q$10&lt;=$A147)*(Assumptions!$R$5:$R$10&gt;=$A147),0)),""))</x:f>
      </x:c>
      <x:c r="M147" t="n">
        <x:f>--($A147&lt;&gt;"")</x:f>
        <x:v>1</x:v>
      </x:c>
    </x:row>
    <x:row r="148">
      <x:c r="A148" s="10" t="n">
        <x:f>IF(Assumptions!$B$5+INT((ROW()-2)/Assumptions!$B$7)&gt;Assumptions!$B$6,"",Assumptions!$B$5+INT((ROW()-2)/Assumptions!$B$7))</x:f>
        <x:v>46052</x:v>
      </x:c>
      <x:c r="B148" t="str">
        <x:f>IF($A148="","",INDEX(Assumptions!$D$5:$D$12,MOD(ROW()-2,Assumptions!$B$7)+1))</x:f>
        <x:v>LV-426 North</x:v>
      </x:c>
      <x:c r="C148" s="11" t="n">
        <x:f>IF($A148="","",INDEX(Assumptions!$F$5:$F$12,MATCH($B148,Assumptions!$D$5:$D$12,0)))</x:f>
        <x:v>930</x:v>
      </x:c>
      <x:c r="D148" s="11" t="n">
        <x:f>IF($A148="","",INDEX(Assumptions!$G$5:$G$12,MATCH($B148,Assumptions!$D$5:$D$12,0)))</x:f>
        <x:v>95</x:v>
      </x:c>
      <x:c r="E148" s="11" t="n">
        <x:f>IF($A148="","",INDEX(Assumptions!$M$5:$M$11,WEEKDAY($A148,2)))</x:f>
        <x:v>0.98</x:v>
      </x:c>
      <x:c r="F148" s="11" t="n">
        <x:f>IF($A148="","",Assumptions!$B$15)</x:f>
        <x:v>0.35</x:v>
      </x:c>
      <x:c r="G148" s="11" t="n">
        <x:f>IF($A148="","",MAX(INDEX(Assumptions!$H$5:$H$12,MATCH($B148,Assumptions!$D$5:$D$12,0)),MIN(INDEX(Assumptions!$I$5:$I$12,MATCH($B148,Assumptions!$D$5:$D$12,0)),($C148+$D148*SQRT(-2*LN(RAND()))*COS(2*PI()*RAND()))*$E148*$J148*$K148)))</x:f>
        <x:v>960.0020158829742</x:v>
      </x:c>
      <x:c r="H148" s="11" t="n">
        <x:f>IF($A148="","",$G148*$F148+$C148*(1-$F148))</x:f>
        <x:v>940.500705559041</x:v>
      </x:c>
      <x:c r="I148" s="11" t="n">
        <x:f>IF($A148="","",AVERAGE($H148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921.5271050000772</x:v>
      </x:c>
      <x:c r="J148" s="12" t="n">
        <x:f>IF($A148="","",1+SUMIFS(Assumptions!$S$5:$S$10,Assumptions!$P$5:$P$10,$B148,Assumptions!$Q$5:$Q$10,"&lt;="&amp;$A148,Assumptions!$R$5:$R$10,"&gt;="&amp;$A148))</x:f>
        <x:v>1</x:v>
      </x:c>
      <x:c r="K148" s="12" t="n">
        <x:f>IF($A148="","",1+((($A148-Assumptions!$B$5)/30)*INDEX(Assumptions!$J$5:$J$12,MATCH($B148,Assumptions!$D$5:$D$12,0))))</x:f>
        <x:v>0.9990333333333333</x:v>
      </x:c>
      <x:c r="L148" t="str">
        <x:f>IF($A148="","",IFERROR(INDEX(Assumptions!$O$5:$O$10,MATCH(1,(Assumptions!$P$5:$P$10=$B148)*(Assumptions!$Q$5:$Q$10&lt;=$A148)*(Assumptions!$R$5:$R$10&gt;=$A148),0)),""))</x:f>
      </x:c>
      <x:c r="M148" t="n">
        <x:f>--($A148&lt;&gt;"")</x:f>
        <x:v>1</x:v>
      </x:c>
    </x:row>
    <x:row r="149">
      <x:c r="A149" s="10" t="n">
        <x:f>IF(Assumptions!$B$5+INT((ROW()-2)/Assumptions!$B$7)&gt;Assumptions!$B$6,"",Assumptions!$B$5+INT((ROW()-2)/Assumptions!$B$7))</x:f>
        <x:v>46052</x:v>
      </x:c>
      <x:c r="B149" t="str">
        <x:f>IF($A149="","",INDEX(Assumptions!$D$5:$D$12,MOD(ROW()-2,Assumptions!$B$7)+1))</x:f>
        <x:v>Nostromo Deep</x:v>
      </x:c>
      <x:c r="C149" s="11" t="n">
        <x:f>IF($A149="","",INDEX(Assumptions!$F$5:$F$12,MATCH($B149,Assumptions!$D$5:$D$12,0)))</x:f>
        <x:v>1260</x:v>
      </x:c>
      <x:c r="D149" s="11" t="n">
        <x:f>IF($A149="","",INDEX(Assumptions!$G$5:$G$12,MATCH($B149,Assumptions!$D$5:$D$12,0)))</x:f>
        <x:v>145</x:v>
      </x:c>
      <x:c r="E149" s="11" t="n">
        <x:f>IF($A149="","",INDEX(Assumptions!$M$5:$M$11,WEEKDAY($A149,2)))</x:f>
        <x:v>0.98</x:v>
      </x:c>
      <x:c r="F149" s="11" t="n">
        <x:f>IF($A149="","",Assumptions!$B$15)</x:f>
        <x:v>0.35</x:v>
      </x:c>
      <x:c r="G149" s="11" t="n">
        <x:f>IF($A149="","",MAX(INDEX(Assumptions!$H$5:$H$12,MATCH($B149,Assumptions!$D$5:$D$12,0)),MIN(INDEX(Assumptions!$I$5:$I$12,MATCH($B149,Assumptions!$D$5:$D$12,0)),($C149+$D149*SQRT(-2*LN(RAND()))*COS(2*PI()*RAND()))*$E149*$J149*$K149)))</x:f>
        <x:v>1198.4340193599965</x:v>
      </x:c>
      <x:c r="H149" s="11" t="n">
        <x:f>IF($A149="","",$G149*$F149+$C149*(1-$F149))</x:f>
        <x:v>1238.4519067759989</x:v>
      </x:c>
      <x:c r="I149" s="11" t="n">
        <x:f>IF($A149="","",AVERAGE($H149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1254.1630722360803</x:v>
      </x:c>
      <x:c r="J149" s="12" t="n">
        <x:f>IF($A149="","",1+SUMIFS(Assumptions!$S$5:$S$10,Assumptions!$P$5:$P$10,$B149,Assumptions!$Q$5:$Q$10,"&lt;="&amp;$A149,Assumptions!$R$5:$R$10,"&gt;="&amp;$A149))</x:f>
        <x:v>1</x:v>
      </x:c>
      <x:c r="K149" s="12" t="n">
        <x:f>IF($A149="","",1+((($A149-Assumptions!$B$5)/30)*INDEX(Assumptions!$J$5:$J$12,MATCH($B149,Assumptions!$D$5:$D$12,0))))</x:f>
        <x:v>1.0029</x:v>
      </x:c>
      <x:c r="L149" t="str">
        <x:f>IF($A149="","",IFERROR(INDEX(Assumptions!$O$5:$O$10,MATCH(1,(Assumptions!$P$5:$P$10=$B149)*(Assumptions!$Q$5:$Q$10&lt;=$A149)*(Assumptions!$R$5:$R$10&gt;=$A149),0)),""))</x:f>
      </x:c>
      <x:c r="M149" t="n">
        <x:f>--($A149&lt;&gt;"")</x:f>
        <x:v>1</x:v>
      </x:c>
    </x:row>
    <x:row r="150">
      <x:c r="A150" s="10" t="n">
        <x:f>IF(Assumptions!$B$5+INT((ROW()-2)/Assumptions!$B$7)&gt;Assumptions!$B$6,"",Assumptions!$B$5+INT((ROW()-2)/Assumptions!$B$7))</x:f>
        <x:v>46052</x:v>
      </x:c>
      <x:c r="B150" t="str">
        <x:f>IF($A150="","",INDEX(Assumptions!$D$5:$D$12,MOD(ROW()-2,Assumptions!$B$7)+1))</x:f>
        <x:v>Hadley's Hope</x:v>
      </x:c>
      <x:c r="C150" s="11" t="n">
        <x:f>IF($A150="","",INDEX(Assumptions!$F$5:$F$12,MATCH($B150,Assumptions!$D$5:$D$12,0)))</x:f>
        <x:v>845</x:v>
      </x:c>
      <x:c r="D150" s="11" t="n">
        <x:f>IF($A150="","",INDEX(Assumptions!$G$5:$G$12,MATCH($B150,Assumptions!$D$5:$D$12,0)))</x:f>
        <x:v>80</x:v>
      </x:c>
      <x:c r="E150" s="11" t="n">
        <x:f>IF($A150="","",INDEX(Assumptions!$M$5:$M$11,WEEKDAY($A150,2)))</x:f>
        <x:v>0.98</x:v>
      </x:c>
      <x:c r="F150" s="11" t="n">
        <x:f>IF($A150="","",Assumptions!$B$15)</x:f>
        <x:v>0.35</x:v>
      </x:c>
      <x:c r="G150" s="11" t="n">
        <x:f>IF($A150="","",MAX(INDEX(Assumptions!$H$5:$H$12,MATCH($B150,Assumptions!$D$5:$D$12,0)),MIN(INDEX(Assumptions!$I$5:$I$12,MATCH($B150,Assumptions!$D$5:$D$12,0)),($C150+$D150*SQRT(-2*LN(RAND()))*COS(2*PI()*RAND()))*$E150*$J150*$K150)))</x:f>
        <x:v>933.6431959103033</x:v>
      </x:c>
      <x:c r="H150" s="11" t="n">
        <x:f>IF($A150="","",$G150*$F150+$C150*(1-$F150))</x:f>
        <x:v>876.0251185686061</x:v>
      </x:c>
      <x:c r="I150" s="11" t="n">
        <x:f>IF($A150="","",AVERAGE($H150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850.6638969887784</x:v>
      </x:c>
      <x:c r="J150" s="12" t="n">
        <x:f>IF($A150="","",1+SUMIFS(Assumptions!$S$5:$S$10,Assumptions!$P$5:$P$10,$B150,Assumptions!$Q$5:$Q$10,"&lt;="&amp;$A150,Assumptions!$R$5:$R$10,"&gt;="&amp;$A150))</x:f>
        <x:v>1</x:v>
      </x:c>
      <x:c r="K150" s="12" t="n">
        <x:f>IF($A150="","",1+((($A150-Assumptions!$B$5)/30)*INDEX(Assumptions!$J$5:$J$12,MATCH($B150,Assumptions!$D$5:$D$12,0))))</x:f>
        <x:v>1.0009666666666666</x:v>
      </x:c>
      <x:c r="L150" t="str">
        <x:f>IF($A150="","",IFERROR(INDEX(Assumptions!$O$5:$O$10,MATCH(1,(Assumptions!$P$5:$P$10=$B150)*(Assumptions!$Q$5:$Q$10&lt;=$A150)*(Assumptions!$R$5:$R$10&gt;=$A150),0)),""))</x:f>
      </x:c>
      <x:c r="M150" t="n">
        <x:f>--($A150&lt;&gt;"")</x:f>
        <x:v>1</x:v>
      </x:c>
    </x:row>
    <x:row r="151">
      <x:c r="A151" s="10" t="n">
        <x:f>IF(Assumptions!$B$5+INT((ROW()-2)/Assumptions!$B$7)&gt;Assumptions!$B$6,"",Assumptions!$B$5+INT((ROW()-2)/Assumptions!$B$7))</x:f>
        <x:v>46052</x:v>
      </x:c>
      <x:c r="B151" t="str">
        <x:f>IF($A151="","",INDEX(Assumptions!$D$5:$D$12,MOD(ROW()-2,Assumptions!$B$7)+1))</x:f>
        <x:v>Yutani Ridge</x:v>
      </x:c>
      <x:c r="C151" s="11" t="n">
        <x:f>IF($A151="","",INDEX(Assumptions!$F$5:$F$12,MATCH($B151,Assumptions!$D$5:$D$12,0)))</x:f>
        <x:v>1050</x:v>
      </x:c>
      <x:c r="D151" s="11" t="n">
        <x:f>IF($A151="","",INDEX(Assumptions!$G$5:$G$12,MATCH($B151,Assumptions!$D$5:$D$12,0)))</x:f>
        <x:v>125</x:v>
      </x:c>
      <x:c r="E151" s="11" t="n">
        <x:f>IF($A151="","",INDEX(Assumptions!$M$5:$M$11,WEEKDAY($A151,2)))</x:f>
        <x:v>0.98</x:v>
      </x:c>
      <x:c r="F151" s="11" t="n">
        <x:f>IF($A151="","",Assumptions!$B$15)</x:f>
        <x:v>0.35</x:v>
      </x:c>
      <x:c r="G151" s="11" t="n">
        <x:f>IF($A151="","",MAX(INDEX(Assumptions!$H$5:$H$12,MATCH($B151,Assumptions!$D$5:$D$12,0)),MIN(INDEX(Assumptions!$I$5:$I$12,MATCH($B151,Assumptions!$D$5:$D$12,0)),($C151+$D151*SQRT(-2*LN(RAND()))*COS(2*PI()*RAND()))*$E151*$J151*$K151)))</x:f>
        <x:v>972.2850289866637</x:v>
      </x:c>
      <x:c r="H151" s="11" t="n">
        <x:f>IF($A151="","",$G151*$F151+$C151*(1-$F151))</x:f>
        <x:v>1022.7997601453324</x:v>
      </x:c>
      <x:c r="I151" s="11" t="n">
        <x:f>IF($A151="","",AVERAGE($H151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1015.2382044555372</x:v>
      </x:c>
      <x:c r="J151" s="12" t="n">
        <x:f>IF($A151="","",1+SUMIFS(Assumptions!$S$5:$S$10,Assumptions!$P$5:$P$10,$B151,Assumptions!$Q$5:$Q$10,"&lt;="&amp;$A151,Assumptions!$R$5:$R$10,"&gt;="&amp;$A151))</x:f>
        <x:v>1</x:v>
      </x:c>
      <x:c r="K151" s="12" t="n">
        <x:f>IF($A151="","",1+((($A151-Assumptions!$B$5)/30)*INDEX(Assumptions!$J$5:$J$12,MATCH($B151,Assumptions!$D$5:$D$12,0))))</x:f>
        <x:v>1.0024166666666667</x:v>
      </x:c>
      <x:c r="L151" t="str">
        <x:f>IF($A151="","",IFERROR(INDEX(Assumptions!$O$5:$O$10,MATCH(1,(Assumptions!$P$5:$P$10=$B151)*(Assumptions!$Q$5:$Q$10&lt;=$A151)*(Assumptions!$R$5:$R$10&gt;=$A151),0)),""))</x:f>
      </x:c>
      <x:c r="M151" t="n">
        <x:f>--($A151&lt;&gt;"")</x:f>
        <x:v>1</x:v>
      </x:c>
    </x:row>
    <x:row r="152">
      <x:c r="A152" s="10" t="n">
        <x:f>IF(Assumptions!$B$5+INT((ROW()-2)/Assumptions!$B$7)&gt;Assumptions!$B$6,"",Assumptions!$B$5+INT((ROW()-2)/Assumptions!$B$7))</x:f>
        <x:v>46053</x:v>
      </x:c>
      <x:c r="B152" t="str">
        <x:f>IF($A152="","",INDEX(Assumptions!$D$5:$D$12,MOD(ROW()-2,Assumptions!$B$7)+1))</x:f>
        <x:v>Acheron Prime</x:v>
      </x:c>
      <x:c r="C152" s="11" t="n">
        <x:f>IF($A152="","",INDEX(Assumptions!$F$5:$F$12,MATCH($B152,Assumptions!$D$5:$D$12,0)))</x:f>
        <x:v>1120</x:v>
      </x:c>
      <x:c r="D152" s="11" t="n">
        <x:f>IF($A152="","",INDEX(Assumptions!$G$5:$G$12,MATCH($B152,Assumptions!$D$5:$D$12,0)))</x:f>
        <x:v>115</x:v>
      </x:c>
      <x:c r="E152" s="11" t="n">
        <x:f>IF($A152="","",INDEX(Assumptions!$M$5:$M$11,WEEKDAY($A152,2)))</x:f>
        <x:v>0.91</x:v>
      </x:c>
      <x:c r="F152" s="11" t="n">
        <x:f>IF($A152="","",Assumptions!$B$15)</x:f>
        <x:v>0.35</x:v>
      </x:c>
      <x:c r="G152" s="11" t="n">
        <x:f>IF($A152="","",MAX(INDEX(Assumptions!$H$5:$H$12,MATCH($B152,Assumptions!$D$5:$D$12,0)),MIN(INDEX(Assumptions!$I$5:$I$12,MATCH($B152,Assumptions!$D$5:$D$12,0)),($C152+$D152*SQRT(-2*LN(RAND()))*COS(2*PI()*RAND()))*$E152*$J152*$K152)))</x:f>
        <x:v>1032.3454246115082</x:v>
      </x:c>
      <x:c r="H152" s="11" t="n">
        <x:f>IF($A152="","",$G152*$F152+$C152*(1-$F152))</x:f>
        <x:v>1089.3208986140278</x:v>
      </x:c>
      <x:c r="I152" s="11" t="n">
        <x:f>IF($A152="","",AVERAGE($H152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1110.6665942478126</x:v>
      </x:c>
      <x:c r="J152" s="12" t="n">
        <x:f>IF($A152="","",1+SUMIFS(Assumptions!$S$5:$S$10,Assumptions!$P$5:$P$10,$B152,Assumptions!$Q$5:$Q$10,"&lt;="&amp;$A152,Assumptions!$R$5:$R$10,"&gt;="&amp;$A152))</x:f>
        <x:v>1</x:v>
      </x:c>
      <x:c r="K152" s="12" t="n">
        <x:f>IF($A152="","",1+((($A152-Assumptions!$B$5)/30)*INDEX(Assumptions!$J$5:$J$12,MATCH($B152,Assumptions!$D$5:$D$12,0))))</x:f>
        <x:v>1.002</x:v>
      </x:c>
      <x:c r="L152" t="str">
        <x:f>IF($A152="","",IFERROR(INDEX(Assumptions!$O$5:$O$10,MATCH(1,(Assumptions!$P$5:$P$10=$B152)*(Assumptions!$Q$5:$Q$10&lt;=$A152)*(Assumptions!$R$5:$R$10&gt;=$A152),0)),""))</x:f>
      </x:c>
      <x:c r="M152" t="n">
        <x:f>--($A152&lt;&gt;"")</x:f>
        <x:v>1</x:v>
      </x:c>
    </x:row>
    <x:row r="153">
      <x:c r="A153" s="10" t="n">
        <x:f>IF(Assumptions!$B$5+INT((ROW()-2)/Assumptions!$B$7)&gt;Assumptions!$B$6,"",Assumptions!$B$5+INT((ROW()-2)/Assumptions!$B$7))</x:f>
        <x:v>46053</x:v>
      </x:c>
      <x:c r="B153" t="str">
        <x:f>IF($A153="","",INDEX(Assumptions!$D$5:$D$12,MOD(ROW()-2,Assumptions!$B$7)+1))</x:f>
        <x:v>LV-426 North</x:v>
      </x:c>
      <x:c r="C153" s="11" t="n">
        <x:f>IF($A153="","",INDEX(Assumptions!$F$5:$F$12,MATCH($B153,Assumptions!$D$5:$D$12,0)))</x:f>
        <x:v>930</x:v>
      </x:c>
      <x:c r="D153" s="11" t="n">
        <x:f>IF($A153="","",INDEX(Assumptions!$G$5:$G$12,MATCH($B153,Assumptions!$D$5:$D$12,0)))</x:f>
        <x:v>95</x:v>
      </x:c>
      <x:c r="E153" s="11" t="n">
        <x:f>IF($A153="","",INDEX(Assumptions!$M$5:$M$11,WEEKDAY($A153,2)))</x:f>
        <x:v>0.91</x:v>
      </x:c>
      <x:c r="F153" s="11" t="n">
        <x:f>IF($A153="","",Assumptions!$B$15)</x:f>
        <x:v>0.35</x:v>
      </x:c>
      <x:c r="G153" s="11" t="n">
        <x:f>IF($A153="","",MAX(INDEX(Assumptions!$H$5:$H$12,MATCH($B153,Assumptions!$D$5:$D$12,0)),MIN(INDEX(Assumptions!$I$5:$I$12,MATCH($B153,Assumptions!$D$5:$D$12,0)),($C153+$D153*SQRT(-2*LN(RAND()))*COS(2*PI()*RAND()))*$E153*$J153*$K153)))</x:f>
        <x:v>762.7819147266623</x:v>
      </x:c>
      <x:c r="H153" s="11" t="n">
        <x:f>IF($A153="","",$G153*$F153+$C153*(1-$F153))</x:f>
        <x:v>871.4736701543318</x:v>
      </x:c>
      <x:c r="I153" s="11" t="n">
        <x:f>IF($A153="","",AVERAGE($H153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923.139025093601</x:v>
      </x:c>
      <x:c r="J153" s="12" t="n">
        <x:f>IF($A153="","",1+SUMIFS(Assumptions!$S$5:$S$10,Assumptions!$P$5:$P$10,$B153,Assumptions!$Q$5:$Q$10,"&lt;="&amp;$A153,Assumptions!$R$5:$R$10,"&gt;="&amp;$A153))</x:f>
        <x:v>1</x:v>
      </x:c>
      <x:c r="K153" s="12" t="n">
        <x:f>IF($A153="","",1+((($A153-Assumptions!$B$5)/30)*INDEX(Assumptions!$J$5:$J$12,MATCH($B153,Assumptions!$D$5:$D$12,0))))</x:f>
        <x:v>0.999</x:v>
      </x:c>
      <x:c r="L153" t="str">
        <x:f>IF($A153="","",IFERROR(INDEX(Assumptions!$O$5:$O$10,MATCH(1,(Assumptions!$P$5:$P$10=$B153)*(Assumptions!$Q$5:$Q$10&lt;=$A153)*(Assumptions!$R$5:$R$10&gt;=$A153),0)),""))</x:f>
      </x:c>
      <x:c r="M153" t="n">
        <x:f>--($A153&lt;&gt;"")</x:f>
        <x:v>1</x:v>
      </x:c>
    </x:row>
    <x:row r="154">
      <x:c r="A154" s="10" t="n">
        <x:f>IF(Assumptions!$B$5+INT((ROW()-2)/Assumptions!$B$7)&gt;Assumptions!$B$6,"",Assumptions!$B$5+INT((ROW()-2)/Assumptions!$B$7))</x:f>
        <x:v>46053</x:v>
      </x:c>
      <x:c r="B154" t="str">
        <x:f>IF($A154="","",INDEX(Assumptions!$D$5:$D$12,MOD(ROW()-2,Assumptions!$B$7)+1))</x:f>
        <x:v>Nostromo Deep</x:v>
      </x:c>
      <x:c r="C154" s="11" t="n">
        <x:f>IF($A154="","",INDEX(Assumptions!$F$5:$F$12,MATCH($B154,Assumptions!$D$5:$D$12,0)))</x:f>
        <x:v>1260</x:v>
      </x:c>
      <x:c r="D154" s="11" t="n">
        <x:f>IF($A154="","",INDEX(Assumptions!$G$5:$G$12,MATCH($B154,Assumptions!$D$5:$D$12,0)))</x:f>
        <x:v>145</x:v>
      </x:c>
      <x:c r="E154" s="11" t="n">
        <x:f>IF($A154="","",INDEX(Assumptions!$M$5:$M$11,WEEKDAY($A154,2)))</x:f>
        <x:v>0.91</x:v>
      </x:c>
      <x:c r="F154" s="11" t="n">
        <x:f>IF($A154="","",Assumptions!$B$15)</x:f>
        <x:v>0.35</x:v>
      </x:c>
      <x:c r="G154" s="11" t="n">
        <x:f>IF($A154="","",MAX(INDEX(Assumptions!$H$5:$H$12,MATCH($B154,Assumptions!$D$5:$D$12,0)),MIN(INDEX(Assumptions!$I$5:$I$12,MATCH($B154,Assumptions!$D$5:$D$12,0)),($C154+$D154*SQRT(-2*LN(RAND()))*COS(2*PI()*RAND()))*$E154*$J154*$K154)))</x:f>
        <x:v>1028.747682465289</x:v>
      </x:c>
      <x:c r="H154" s="11" t="n">
        <x:f>IF($A154="","",$G154*$F154+$C154*(1-$F154))</x:f>
        <x:v>1179.061688862851</x:v>
      </x:c>
      <x:c r="I154" s="11" t="n">
        <x:f>IF($A154="","",AVERAGE($H154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1255.0871550789072</x:v>
      </x:c>
      <x:c r="J154" s="12" t="n">
        <x:f>IF($A154="","",1+SUMIFS(Assumptions!$S$5:$S$10,Assumptions!$P$5:$P$10,$B154,Assumptions!$Q$5:$Q$10,"&lt;="&amp;$A154,Assumptions!$R$5:$R$10,"&gt;="&amp;$A154))</x:f>
        <x:v>1</x:v>
      </x:c>
      <x:c r="K154" s="12" t="n">
        <x:f>IF($A154="","",1+((($A154-Assumptions!$B$5)/30)*INDEX(Assumptions!$J$5:$J$12,MATCH($B154,Assumptions!$D$5:$D$12,0))))</x:f>
        <x:v>1.003</x:v>
      </x:c>
      <x:c r="L154" t="str">
        <x:f>IF($A154="","",IFERROR(INDEX(Assumptions!$O$5:$O$10,MATCH(1,(Assumptions!$P$5:$P$10=$B154)*(Assumptions!$Q$5:$Q$10&lt;=$A154)*(Assumptions!$R$5:$R$10&gt;=$A154),0)),""))</x:f>
      </x:c>
      <x:c r="M154" t="n">
        <x:f>--($A154&lt;&gt;"")</x:f>
        <x:v>1</x:v>
      </x:c>
    </x:row>
    <x:row r="155">
      <x:c r="A155" s="10" t="n">
        <x:f>IF(Assumptions!$B$5+INT((ROW()-2)/Assumptions!$B$7)&gt;Assumptions!$B$6,"",Assumptions!$B$5+INT((ROW()-2)/Assumptions!$B$7))</x:f>
        <x:v>46053</x:v>
      </x:c>
      <x:c r="B155" t="str">
        <x:f>IF($A155="","",INDEX(Assumptions!$D$5:$D$12,MOD(ROW()-2,Assumptions!$B$7)+1))</x:f>
        <x:v>Hadley's Hope</x:v>
      </x:c>
      <x:c r="C155" s="11" t="n">
        <x:f>IF($A155="","",INDEX(Assumptions!$F$5:$F$12,MATCH($B155,Assumptions!$D$5:$D$12,0)))</x:f>
        <x:v>845</x:v>
      </x:c>
      <x:c r="D155" s="11" t="n">
        <x:f>IF($A155="","",INDEX(Assumptions!$G$5:$G$12,MATCH($B155,Assumptions!$D$5:$D$12,0)))</x:f>
        <x:v>80</x:v>
      </x:c>
      <x:c r="E155" s="11" t="n">
        <x:f>IF($A155="","",INDEX(Assumptions!$M$5:$M$11,WEEKDAY($A155,2)))</x:f>
        <x:v>0.91</x:v>
      </x:c>
      <x:c r="F155" s="11" t="n">
        <x:f>IF($A155="","",Assumptions!$B$15)</x:f>
        <x:v>0.35</x:v>
      </x:c>
      <x:c r="G155" s="11" t="n">
        <x:f>IF($A155="","",MAX(INDEX(Assumptions!$H$5:$H$12,MATCH($B155,Assumptions!$D$5:$D$12,0)),MIN(INDEX(Assumptions!$I$5:$I$12,MATCH($B155,Assumptions!$D$5:$D$12,0)),($C155+$D155*SQRT(-2*LN(RAND()))*COS(2*PI()*RAND()))*$E155*$J155*$K155)))</x:f>
        <x:v>626.928613038302</x:v>
      </x:c>
      <x:c r="H155" s="11" t="n">
        <x:f>IF($A155="","",$G155*$F155+$C155*(1-$F155))</x:f>
        <x:v>768.6750145634057</x:v>
      </x:c>
      <x:c r="I155" s="11" t="n">
        <x:f>IF($A155="","",AVERAGE($H155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841.0967698478435</x:v>
      </x:c>
      <x:c r="J155" s="12" t="n">
        <x:f>IF($A155="","",1+SUMIFS(Assumptions!$S$5:$S$10,Assumptions!$P$5:$P$10,$B155,Assumptions!$Q$5:$Q$10,"&lt;="&amp;$A155,Assumptions!$R$5:$R$10,"&gt;="&amp;$A155))</x:f>
        <x:v>1</x:v>
      </x:c>
      <x:c r="K155" s="12" t="n">
        <x:f>IF($A155="","",1+((($A155-Assumptions!$B$5)/30)*INDEX(Assumptions!$J$5:$J$12,MATCH($B155,Assumptions!$D$5:$D$12,0))))</x:f>
        <x:v>1.001</x:v>
      </x:c>
      <x:c r="L155" t="str">
        <x:f>IF($A155="","",IFERROR(INDEX(Assumptions!$O$5:$O$10,MATCH(1,(Assumptions!$P$5:$P$10=$B155)*(Assumptions!$Q$5:$Q$10&lt;=$A155)*(Assumptions!$R$5:$R$10&gt;=$A155),0)),""))</x:f>
      </x:c>
      <x:c r="M155" t="n">
        <x:f>--($A155&lt;&gt;"")</x:f>
        <x:v>1</x:v>
      </x:c>
    </x:row>
    <x:row r="156">
      <x:c r="A156" s="10" t="n">
        <x:f>IF(Assumptions!$B$5+INT((ROW()-2)/Assumptions!$B$7)&gt;Assumptions!$B$6,"",Assumptions!$B$5+INT((ROW()-2)/Assumptions!$B$7))</x:f>
        <x:v>46053</x:v>
      </x:c>
      <x:c r="B156" t="str">
        <x:f>IF($A156="","",INDEX(Assumptions!$D$5:$D$12,MOD(ROW()-2,Assumptions!$B$7)+1))</x:f>
        <x:v>Yutani Ridge</x:v>
      </x:c>
      <x:c r="C156" s="11" t="n">
        <x:f>IF($A156="","",INDEX(Assumptions!$F$5:$F$12,MATCH($B156,Assumptions!$D$5:$D$12,0)))</x:f>
        <x:v>1050</x:v>
      </x:c>
      <x:c r="D156" s="11" t="n">
        <x:f>IF($A156="","",INDEX(Assumptions!$G$5:$G$12,MATCH($B156,Assumptions!$D$5:$D$12,0)))</x:f>
        <x:v>125</x:v>
      </x:c>
      <x:c r="E156" s="11" t="n">
        <x:f>IF($A156="","",INDEX(Assumptions!$M$5:$M$11,WEEKDAY($A156,2)))</x:f>
        <x:v>0.91</x:v>
      </x:c>
      <x:c r="F156" s="11" t="n">
        <x:f>IF($A156="","",Assumptions!$B$15)</x:f>
        <x:v>0.35</x:v>
      </x:c>
      <x:c r="G156" s="11" t="n">
        <x:f>IF($A156="","",MAX(INDEX(Assumptions!$H$5:$H$12,MATCH($B156,Assumptions!$D$5:$D$12,0)),MIN(INDEX(Assumptions!$I$5:$I$12,MATCH($B156,Assumptions!$D$5:$D$12,0)),($C156+$D156*SQRT(-2*LN(RAND()))*COS(2*PI()*RAND()))*$E156*$J156*$K156)))</x:f>
        <x:v>704.5221379269979</x:v>
      </x:c>
      <x:c r="H156" s="11" t="n">
        <x:f>IF($A156="","",$G156*$F156+$C156*(1-$F156))</x:f>
        <x:v>929.0827482744493</x:v>
      </x:c>
      <x:c r="I156" s="11" t="n">
        <x:f>IF($A156="","",AVERAGE($H156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1002.401068566689</x:v>
      </x:c>
      <x:c r="J156" s="12" t="n">
        <x:f>IF($A156="","",1+SUMIFS(Assumptions!$S$5:$S$10,Assumptions!$P$5:$P$10,$B156,Assumptions!$Q$5:$Q$10,"&lt;="&amp;$A156,Assumptions!$R$5:$R$10,"&gt;="&amp;$A156))</x:f>
        <x:v>1</x:v>
      </x:c>
      <x:c r="K156" s="12" t="n">
        <x:f>IF($A156="","",1+((($A156-Assumptions!$B$5)/30)*INDEX(Assumptions!$J$5:$J$12,MATCH($B156,Assumptions!$D$5:$D$12,0))))</x:f>
        <x:v>1.0025</x:v>
      </x:c>
      <x:c r="L156" t="str">
        <x:f>IF($A156="","",IFERROR(INDEX(Assumptions!$O$5:$O$10,MATCH(1,(Assumptions!$P$5:$P$10=$B156)*(Assumptions!$Q$5:$Q$10&lt;=$A156)*(Assumptions!$R$5:$R$10&gt;=$A156),0)),""))</x:f>
      </x:c>
      <x:c r="M156" t="n">
        <x:f>--($A156&lt;&gt;"")</x:f>
        <x:v>1</x:v>
      </x:c>
    </x:row>
    <x:row r="157">
      <x:c r="A157" s="10" t="n">
        <x:f>IF(Assumptions!$B$5+INT((ROW()-2)/Assumptions!$B$7)&gt;Assumptions!$B$6,"",Assumptions!$B$5+INT((ROW()-2)/Assumptions!$B$7))</x:f>
        <x:v>46054</x:v>
      </x:c>
      <x:c r="B157" t="str">
        <x:f>IF($A157="","",INDEX(Assumptions!$D$5:$D$12,MOD(ROW()-2,Assumptions!$B$7)+1))</x:f>
        <x:v>Acheron Prime</x:v>
      </x:c>
      <x:c r="C157" s="11" t="n">
        <x:f>IF($A157="","",INDEX(Assumptions!$F$5:$F$12,MATCH($B157,Assumptions!$D$5:$D$12,0)))</x:f>
        <x:v>1120</x:v>
      </x:c>
      <x:c r="D157" s="11" t="n">
        <x:f>IF($A157="","",INDEX(Assumptions!$G$5:$G$12,MATCH($B157,Assumptions!$D$5:$D$12,0)))</x:f>
        <x:v>115</x:v>
      </x:c>
      <x:c r="E157" s="11" t="n">
        <x:f>IF($A157="","",INDEX(Assumptions!$M$5:$M$11,WEEKDAY($A157,2)))</x:f>
        <x:v>0.87</x:v>
      </x:c>
      <x:c r="F157" s="11" t="n">
        <x:f>IF($A157="","",Assumptions!$B$15)</x:f>
        <x:v>0.35</x:v>
      </x:c>
      <x:c r="G157" s="11" t="n">
        <x:f>IF($A157="","",MAX(INDEX(Assumptions!$H$5:$H$12,MATCH($B157,Assumptions!$D$5:$D$12,0)),MIN(INDEX(Assumptions!$I$5:$I$12,MATCH($B157,Assumptions!$D$5:$D$12,0)),($C157+$D157*SQRT(-2*LN(RAND()))*COS(2*PI()*RAND()))*$E157*$J157*$K157)))</x:f>
        <x:v>1042.3338857174713</x:v>
      </x:c>
      <x:c r="H157" s="11" t="n">
        <x:f>IF($A157="","",$G157*$F157+$C157*(1-$F157))</x:f>
        <x:v>1092.816860001115</x:v>
      </x:c>
      <x:c r="I157" s="11" t="n">
        <x:f>IF($A157="","",AVERAGE($H157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1108.7714796023886</x:v>
      </x:c>
      <x:c r="J157" s="12" t="n">
        <x:f>IF($A157="","",1+SUMIFS(Assumptions!$S$5:$S$10,Assumptions!$P$5:$P$10,$B157,Assumptions!$Q$5:$Q$10,"&lt;="&amp;$A157,Assumptions!$R$5:$R$10,"&gt;="&amp;$A157))</x:f>
        <x:v>1</x:v>
      </x:c>
      <x:c r="K157" s="12" t="n">
        <x:f>IF($A157="","",1+((($A157-Assumptions!$B$5)/30)*INDEX(Assumptions!$J$5:$J$12,MATCH($B157,Assumptions!$D$5:$D$12,0))))</x:f>
        <x:v>1.0020666666666667</x:v>
      </x:c>
      <x:c r="L157" t="str">
        <x:f>IF($A157="","",IFERROR(INDEX(Assumptions!$O$5:$O$10,MATCH(1,(Assumptions!$P$5:$P$10=$B157)*(Assumptions!$Q$5:$Q$10&lt;=$A157)*(Assumptions!$R$5:$R$10&gt;=$A157),0)),""))</x:f>
      </x:c>
      <x:c r="M157" t="n">
        <x:f>--($A157&lt;&gt;"")</x:f>
        <x:v>1</x:v>
      </x:c>
    </x:row>
    <x:row r="158">
      <x:c r="A158" s="10" t="n">
        <x:f>IF(Assumptions!$B$5+INT((ROW()-2)/Assumptions!$B$7)&gt;Assumptions!$B$6,"",Assumptions!$B$5+INT((ROW()-2)/Assumptions!$B$7))</x:f>
        <x:v>46054</x:v>
      </x:c>
      <x:c r="B158" t="str">
        <x:f>IF($A158="","",INDEX(Assumptions!$D$5:$D$12,MOD(ROW()-2,Assumptions!$B$7)+1))</x:f>
        <x:v>LV-426 North</x:v>
      </x:c>
      <x:c r="C158" s="11" t="n">
        <x:f>IF($A158="","",INDEX(Assumptions!$F$5:$F$12,MATCH($B158,Assumptions!$D$5:$D$12,0)))</x:f>
        <x:v>930</x:v>
      </x:c>
      <x:c r="D158" s="11" t="n">
        <x:f>IF($A158="","",INDEX(Assumptions!$G$5:$G$12,MATCH($B158,Assumptions!$D$5:$D$12,0)))</x:f>
        <x:v>95</x:v>
      </x:c>
      <x:c r="E158" s="11" t="n">
        <x:f>IF($A158="","",INDEX(Assumptions!$M$5:$M$11,WEEKDAY($A158,2)))</x:f>
        <x:v>0.87</x:v>
      </x:c>
      <x:c r="F158" s="11" t="n">
        <x:f>IF($A158="","",Assumptions!$B$15)</x:f>
        <x:v>0.35</x:v>
      </x:c>
      <x:c r="G158" s="11" t="n">
        <x:f>IF($A158="","",MAX(INDEX(Assumptions!$H$5:$H$12,MATCH($B158,Assumptions!$D$5:$D$12,0)),MIN(INDEX(Assumptions!$I$5:$I$12,MATCH($B158,Assumptions!$D$5:$D$12,0)),($C158+$D158*SQRT(-2*LN(RAND()))*COS(2*PI()*RAND()))*$E158*$J158*$K158)))</x:f>
        <x:v>795.698668084451</x:v>
      </x:c>
      <x:c r="H158" s="11" t="n">
        <x:f>IF($A158="","",$G158*$F158+$C158*(1-$F158))</x:f>
        <x:v>882.9945338295579</x:v>
      </x:c>
      <x:c r="I158" s="11" t="n">
        <x:f>IF($A158="","",AVERAGE($H158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928.1711338701574</x:v>
      </x:c>
      <x:c r="J158" s="12" t="n">
        <x:f>IF($A158="","",1+SUMIFS(Assumptions!$S$5:$S$10,Assumptions!$P$5:$P$10,$B158,Assumptions!$Q$5:$Q$10,"&lt;="&amp;$A158,Assumptions!$R$5:$R$10,"&gt;="&amp;$A158))</x:f>
        <x:v>1</x:v>
      </x:c>
      <x:c r="K158" s="12" t="n">
        <x:f>IF($A158="","",1+((($A158-Assumptions!$B$5)/30)*INDEX(Assumptions!$J$5:$J$12,MATCH($B158,Assumptions!$D$5:$D$12,0))))</x:f>
        <x:v>0.9989666666666667</x:v>
      </x:c>
      <x:c r="L158" t="str">
        <x:f>IF($A158="","",IFERROR(INDEX(Assumptions!$O$5:$O$10,MATCH(1,(Assumptions!$P$5:$P$10=$B158)*(Assumptions!$Q$5:$Q$10&lt;=$A158)*(Assumptions!$R$5:$R$10&gt;=$A158),0)),""))</x:f>
      </x:c>
      <x:c r="M158" t="n">
        <x:f>--($A158&lt;&gt;"")</x:f>
        <x:v>1</x:v>
      </x:c>
    </x:row>
    <x:row r="159">
      <x:c r="A159" s="10" t="n">
        <x:f>IF(Assumptions!$B$5+INT((ROW()-2)/Assumptions!$B$7)&gt;Assumptions!$B$6,"",Assumptions!$B$5+INT((ROW()-2)/Assumptions!$B$7))</x:f>
        <x:v>46054</x:v>
      </x:c>
      <x:c r="B159" t="str">
        <x:f>IF($A159="","",INDEX(Assumptions!$D$5:$D$12,MOD(ROW()-2,Assumptions!$B$7)+1))</x:f>
        <x:v>Nostromo Deep</x:v>
      </x:c>
      <x:c r="C159" s="11" t="n">
        <x:f>IF($A159="","",INDEX(Assumptions!$F$5:$F$12,MATCH($B159,Assumptions!$D$5:$D$12,0)))</x:f>
        <x:v>1260</x:v>
      </x:c>
      <x:c r="D159" s="11" t="n">
        <x:f>IF($A159="","",INDEX(Assumptions!$G$5:$G$12,MATCH($B159,Assumptions!$D$5:$D$12,0)))</x:f>
        <x:v>145</x:v>
      </x:c>
      <x:c r="E159" s="11" t="n">
        <x:f>IF($A159="","",INDEX(Assumptions!$M$5:$M$11,WEEKDAY($A159,2)))</x:f>
        <x:v>0.87</x:v>
      </x:c>
      <x:c r="F159" s="11" t="n">
        <x:f>IF($A159="","",Assumptions!$B$15)</x:f>
        <x:v>0.35</x:v>
      </x:c>
      <x:c r="G159" s="11" t="n">
        <x:f>IF($A159="","",MAX(INDEX(Assumptions!$H$5:$H$12,MATCH($B159,Assumptions!$D$5:$D$12,0)),MIN(INDEX(Assumptions!$I$5:$I$12,MATCH($B159,Assumptions!$D$5:$D$12,0)),($C159+$D159*SQRT(-2*LN(RAND()))*COS(2*PI()*RAND()))*$E159*$J159*$K159)))</x:f>
        <x:v>1226.5940347155688</x:v>
      </x:c>
      <x:c r="H159" s="11" t="n">
        <x:f>IF($A159="","",$G159*$F159+$C159*(1-$F159))</x:f>
        <x:v>1248.307912150449</x:v>
      </x:c>
      <x:c r="I159" s="11" t="n">
        <x:f>IF($A159="","",AVERAGE($H159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1265.1024180397221</x:v>
      </x:c>
      <x:c r="J159" s="12" t="n">
        <x:f>IF($A159="","",1+SUMIFS(Assumptions!$S$5:$S$10,Assumptions!$P$5:$P$10,$B159,Assumptions!$Q$5:$Q$10,"&lt;="&amp;$A159,Assumptions!$R$5:$R$10,"&gt;="&amp;$A159))</x:f>
        <x:v>1</x:v>
      </x:c>
      <x:c r="K159" s="12" t="n">
        <x:f>IF($A159="","",1+((($A159-Assumptions!$B$5)/30)*INDEX(Assumptions!$J$5:$J$12,MATCH($B159,Assumptions!$D$5:$D$12,0))))</x:f>
        <x:v>1.0031</x:v>
      </x:c>
      <x:c r="L159" t="str">
        <x:f>IF($A159="","",IFERROR(INDEX(Assumptions!$O$5:$O$10,MATCH(1,(Assumptions!$P$5:$P$10=$B159)*(Assumptions!$Q$5:$Q$10&lt;=$A159)*(Assumptions!$R$5:$R$10&gt;=$A159),0)),""))</x:f>
      </x:c>
      <x:c r="M159" t="n">
        <x:f>--($A159&lt;&gt;"")</x:f>
        <x:v>1</x:v>
      </x:c>
    </x:row>
    <x:row r="160">
      <x:c r="A160" s="10" t="n">
        <x:f>IF(Assumptions!$B$5+INT((ROW()-2)/Assumptions!$B$7)&gt;Assumptions!$B$6,"",Assumptions!$B$5+INT((ROW()-2)/Assumptions!$B$7))</x:f>
        <x:v>46054</x:v>
      </x:c>
      <x:c r="B160" t="str">
        <x:f>IF($A160="","",INDEX(Assumptions!$D$5:$D$12,MOD(ROW()-2,Assumptions!$B$7)+1))</x:f>
        <x:v>Hadley's Hope</x:v>
      </x:c>
      <x:c r="C160" s="11" t="n">
        <x:f>IF($A160="","",INDEX(Assumptions!$F$5:$F$12,MATCH($B160,Assumptions!$D$5:$D$12,0)))</x:f>
        <x:v>845</x:v>
      </x:c>
      <x:c r="D160" s="11" t="n">
        <x:f>IF($A160="","",INDEX(Assumptions!$G$5:$G$12,MATCH($B160,Assumptions!$D$5:$D$12,0)))</x:f>
        <x:v>80</x:v>
      </x:c>
      <x:c r="E160" s="11" t="n">
        <x:f>IF($A160="","",INDEX(Assumptions!$M$5:$M$11,WEEKDAY($A160,2)))</x:f>
        <x:v>0.87</x:v>
      </x:c>
      <x:c r="F160" s="11" t="n">
        <x:f>IF($A160="","",Assumptions!$B$15)</x:f>
        <x:v>0.35</x:v>
      </x:c>
      <x:c r="G160" s="11" t="n">
        <x:f>IF($A160="","",MAX(INDEX(Assumptions!$H$5:$H$12,MATCH($B160,Assumptions!$D$5:$D$12,0)),MIN(INDEX(Assumptions!$I$5:$I$12,MATCH($B160,Assumptions!$D$5:$D$12,0)),($C160+$D160*SQRT(-2*LN(RAND()))*COS(2*PI()*RAND()))*$E160*$J160*$K160)))</x:f>
        <x:v>606.7490039732432</x:v>
      </x:c>
      <x:c r="H160" s="11" t="n">
        <x:f>IF($A160="","",$G160*$F160+$C160*(1-$F160))</x:f>
        <x:v>761.6121513906351</x:v>
      </x:c>
      <x:c r="I160" s="11" t="n">
        <x:f>IF($A160="","",AVERAGE($H160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838.4748503250764</x:v>
      </x:c>
      <x:c r="J160" s="12" t="n">
        <x:f>IF($A160="","",1+SUMIFS(Assumptions!$S$5:$S$10,Assumptions!$P$5:$P$10,$B160,Assumptions!$Q$5:$Q$10,"&lt;="&amp;$A160,Assumptions!$R$5:$R$10,"&gt;="&amp;$A160))</x:f>
        <x:v>1</x:v>
      </x:c>
      <x:c r="K160" s="12" t="n">
        <x:f>IF($A160="","",1+((($A160-Assumptions!$B$5)/30)*INDEX(Assumptions!$J$5:$J$12,MATCH($B160,Assumptions!$D$5:$D$12,0))))</x:f>
        <x:v>1.0010333333333334</x:v>
      </x:c>
      <x:c r="L160" t="str">
        <x:f>IF($A160="","",IFERROR(INDEX(Assumptions!$O$5:$O$10,MATCH(1,(Assumptions!$P$5:$P$10=$B160)*(Assumptions!$Q$5:$Q$10&lt;=$A160)*(Assumptions!$R$5:$R$10&gt;=$A160),0)),""))</x:f>
      </x:c>
      <x:c r="M160" t="n">
        <x:f>--($A160&lt;&gt;"")</x:f>
        <x:v>1</x:v>
      </x:c>
    </x:row>
    <x:row r="161">
      <x:c r="A161" s="10" t="n">
        <x:f>IF(Assumptions!$B$5+INT((ROW()-2)/Assumptions!$B$7)&gt;Assumptions!$B$6,"",Assumptions!$B$5+INT((ROW()-2)/Assumptions!$B$7))</x:f>
        <x:v>46054</x:v>
      </x:c>
      <x:c r="B161" t="str">
        <x:f>IF($A161="","",INDEX(Assumptions!$D$5:$D$12,MOD(ROW()-2,Assumptions!$B$7)+1))</x:f>
        <x:v>Yutani Ridge</x:v>
      </x:c>
      <x:c r="C161" s="11" t="n">
        <x:f>IF($A161="","",INDEX(Assumptions!$F$5:$F$12,MATCH($B161,Assumptions!$D$5:$D$12,0)))</x:f>
        <x:v>1050</x:v>
      </x:c>
      <x:c r="D161" s="11" t="n">
        <x:f>IF($A161="","",INDEX(Assumptions!$G$5:$G$12,MATCH($B161,Assumptions!$D$5:$D$12,0)))</x:f>
        <x:v>125</x:v>
      </x:c>
      <x:c r="E161" s="11" t="n">
        <x:f>IF($A161="","",INDEX(Assumptions!$M$5:$M$11,WEEKDAY($A161,2)))</x:f>
        <x:v>0.87</x:v>
      </x:c>
      <x:c r="F161" s="11" t="n">
        <x:f>IF($A161="","",Assumptions!$B$15)</x:f>
        <x:v>0.35</x:v>
      </x:c>
      <x:c r="G161" s="11" t="n">
        <x:f>IF($A161="","",MAX(INDEX(Assumptions!$H$5:$H$12,MATCH($B161,Assumptions!$D$5:$D$12,0)),MIN(INDEX(Assumptions!$I$5:$I$12,MATCH($B161,Assumptions!$D$5:$D$12,0)),($C161+$D161*SQRT(-2*LN(RAND()))*COS(2*PI()*RAND()))*$E161*$J161*$K161)))</x:f>
        <x:v>967.3221827166303</x:v>
      </x:c>
      <x:c r="H161" s="11" t="n">
        <x:f>IF($A161="","",$G161*$F161+$C161*(1-$F161))</x:f>
        <x:v>1021.0627639508206</x:v>
      </x:c>
      <x:c r="I161" s="11" t="n">
        <x:f>IF($A161="","",AVERAGE($H161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1007.6632453014871</x:v>
      </x:c>
      <x:c r="J161" s="12" t="n">
        <x:f>IF($A161="","",1+SUMIFS(Assumptions!$S$5:$S$10,Assumptions!$P$5:$P$10,$B161,Assumptions!$Q$5:$Q$10,"&lt;="&amp;$A161,Assumptions!$R$5:$R$10,"&gt;="&amp;$A161))</x:f>
        <x:v>1</x:v>
      </x:c>
      <x:c r="K161" s="12" t="n">
        <x:f>IF($A161="","",1+((($A161-Assumptions!$B$5)/30)*INDEX(Assumptions!$J$5:$J$12,MATCH($B161,Assumptions!$D$5:$D$12,0))))</x:f>
        <x:v>1.0025833333333334</x:v>
      </x:c>
      <x:c r="L161" t="str">
        <x:f>IF($A161="","",IFERROR(INDEX(Assumptions!$O$5:$O$10,MATCH(1,(Assumptions!$P$5:$P$10=$B161)*(Assumptions!$Q$5:$Q$10&lt;=$A161)*(Assumptions!$R$5:$R$10&gt;=$A161),0)),""))</x:f>
      </x:c>
      <x:c r="M161" t="n">
        <x:f>--($A161&lt;&gt;"")</x:f>
        <x:v>1</x:v>
      </x:c>
    </x:row>
    <x:row r="162">
      <x:c r="A162" s="10" t="n">
        <x:f>IF(Assumptions!$B$5+INT((ROW()-2)/Assumptions!$B$7)&gt;Assumptions!$B$6,"",Assumptions!$B$5+INT((ROW()-2)/Assumptions!$B$7))</x:f>
        <x:v>46055</x:v>
      </x:c>
      <x:c r="B162" t="str">
        <x:f>IF($A162="","",INDEX(Assumptions!$D$5:$D$12,MOD(ROW()-2,Assumptions!$B$7)+1))</x:f>
        <x:v>Acheron Prime</x:v>
      </x:c>
      <x:c r="C162" s="11" t="n">
        <x:f>IF($A162="","",INDEX(Assumptions!$F$5:$F$12,MATCH($B162,Assumptions!$D$5:$D$12,0)))</x:f>
        <x:v>1120</x:v>
      </x:c>
      <x:c r="D162" s="11" t="n">
        <x:f>IF($A162="","",INDEX(Assumptions!$G$5:$G$12,MATCH($B162,Assumptions!$D$5:$D$12,0)))</x:f>
        <x:v>115</x:v>
      </x:c>
      <x:c r="E162" s="11" t="n">
        <x:f>IF($A162="","",INDEX(Assumptions!$M$5:$M$11,WEEKDAY($A162,2)))</x:f>
        <x:v>1.03</x:v>
      </x:c>
      <x:c r="F162" s="11" t="n">
        <x:f>IF($A162="","",Assumptions!$B$15)</x:f>
        <x:v>0.35</x:v>
      </x:c>
      <x:c r="G162" s="11" t="n">
        <x:f>IF($A162="","",MAX(INDEX(Assumptions!$H$5:$H$12,MATCH($B162,Assumptions!$D$5:$D$12,0)),MIN(INDEX(Assumptions!$I$5:$I$12,MATCH($B162,Assumptions!$D$5:$D$12,0)),($C162+$D162*SQRT(-2*LN(RAND()))*COS(2*PI()*RAND()))*$E162*$J162*$K162)))</x:f>
        <x:v>997.4185449669678</x:v>
      </x:c>
      <x:c r="H162" s="11" t="n">
        <x:f>IF($A162="","",$G162*$F162+$C162*(1-$F162))</x:f>
        <x:v>1077.0964907384387</x:v>
      </x:c>
      <x:c r="I162" s="11" t="n">
        <x:f>IF($A162="","",AVERAGE($H162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1095.2806386254392</x:v>
      </x:c>
      <x:c r="J162" s="12" t="n">
        <x:f>IF($A162="","",1+SUMIFS(Assumptions!$S$5:$S$10,Assumptions!$P$5:$P$10,$B162,Assumptions!$Q$5:$Q$10,"&lt;="&amp;$A162,Assumptions!$R$5:$R$10,"&gt;="&amp;$A162))</x:f>
        <x:v>1</x:v>
      </x:c>
      <x:c r="K162" s="12" t="n">
        <x:f>IF($A162="","",1+((($A162-Assumptions!$B$5)/30)*INDEX(Assumptions!$J$5:$J$12,MATCH($B162,Assumptions!$D$5:$D$12,0))))</x:f>
        <x:v>1.0021333333333333</x:v>
      </x:c>
      <x:c r="L162" t="str">
        <x:f>IF($A162="","",IFERROR(INDEX(Assumptions!$O$5:$O$10,MATCH(1,(Assumptions!$P$5:$P$10=$B162)*(Assumptions!$Q$5:$Q$10&lt;=$A162)*(Assumptions!$R$5:$R$10&gt;=$A162),0)),""))</x:f>
      </x:c>
      <x:c r="M162" t="n">
        <x:f>--($A162&lt;&gt;"")</x:f>
        <x:v>1</x:v>
      </x:c>
    </x:row>
    <x:row r="163">
      <x:c r="A163" s="10" t="n">
        <x:f>IF(Assumptions!$B$5+INT((ROW()-2)/Assumptions!$B$7)&gt;Assumptions!$B$6,"",Assumptions!$B$5+INT((ROW()-2)/Assumptions!$B$7))</x:f>
        <x:v>46055</x:v>
      </x:c>
      <x:c r="B163" t="str">
        <x:f>IF($A163="","",INDEX(Assumptions!$D$5:$D$12,MOD(ROW()-2,Assumptions!$B$7)+1))</x:f>
        <x:v>LV-426 North</x:v>
      </x:c>
      <x:c r="C163" s="11" t="n">
        <x:f>IF($A163="","",INDEX(Assumptions!$F$5:$F$12,MATCH($B163,Assumptions!$D$5:$D$12,0)))</x:f>
        <x:v>930</x:v>
      </x:c>
      <x:c r="D163" s="11" t="n">
        <x:f>IF($A163="","",INDEX(Assumptions!$G$5:$G$12,MATCH($B163,Assumptions!$D$5:$D$12,0)))</x:f>
        <x:v>95</x:v>
      </x:c>
      <x:c r="E163" s="11" t="n">
        <x:f>IF($A163="","",INDEX(Assumptions!$M$5:$M$11,WEEKDAY($A163,2)))</x:f>
        <x:v>1.03</x:v>
      </x:c>
      <x:c r="F163" s="11" t="n">
        <x:f>IF($A163="","",Assumptions!$B$15)</x:f>
        <x:v>0.35</x:v>
      </x:c>
      <x:c r="G163" s="11" t="n">
        <x:f>IF($A163="","",MAX(INDEX(Assumptions!$H$5:$H$12,MATCH($B163,Assumptions!$D$5:$D$12,0)),MIN(INDEX(Assumptions!$I$5:$I$12,MATCH($B163,Assumptions!$D$5:$D$12,0)),($C163+$D163*SQRT(-2*LN(RAND()))*COS(2*PI()*RAND()))*$E163*$J163*$K163)))</x:f>
        <x:v>1101.4884411837054</x:v>
      </x:c>
      <x:c r="H163" s="11" t="n">
        <x:f>IF($A163="","",$G163*$F163+$C163*(1-$F163))</x:f>
        <x:v>990.0209544142969</x:v>
      </x:c>
      <x:c r="I163" s="11" t="n">
        <x:f>IF($A163="","",AVERAGE($H163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929.7736885012729</x:v>
      </x:c>
      <x:c r="J163" s="12" t="n">
        <x:f>IF($A163="","",1+SUMIFS(Assumptions!$S$5:$S$10,Assumptions!$P$5:$P$10,$B163,Assumptions!$Q$5:$Q$10,"&lt;="&amp;$A163,Assumptions!$R$5:$R$10,"&gt;="&amp;$A163))</x:f>
        <x:v>1</x:v>
      </x:c>
      <x:c r="K163" s="12" t="n">
        <x:f>IF($A163="","",1+((($A163-Assumptions!$B$5)/30)*INDEX(Assumptions!$J$5:$J$12,MATCH($B163,Assumptions!$D$5:$D$12,0))))</x:f>
        <x:v>0.9989333333333333</x:v>
      </x:c>
      <x:c r="L163" t="str">
        <x:f>IF($A163="","",IFERROR(INDEX(Assumptions!$O$5:$O$10,MATCH(1,(Assumptions!$P$5:$P$10=$B163)*(Assumptions!$Q$5:$Q$10&lt;=$A163)*(Assumptions!$R$5:$R$10&gt;=$A163),0)),""))</x:f>
      </x:c>
      <x:c r="M163" t="n">
        <x:f>--($A163&lt;&gt;"")</x:f>
        <x:v>1</x:v>
      </x:c>
    </x:row>
    <x:row r="164">
      <x:c r="A164" s="10" t="n">
        <x:f>IF(Assumptions!$B$5+INT((ROW()-2)/Assumptions!$B$7)&gt;Assumptions!$B$6,"",Assumptions!$B$5+INT((ROW()-2)/Assumptions!$B$7))</x:f>
        <x:v>46055</x:v>
      </x:c>
      <x:c r="B164" t="str">
        <x:f>IF($A164="","",INDEX(Assumptions!$D$5:$D$12,MOD(ROW()-2,Assumptions!$B$7)+1))</x:f>
        <x:v>Nostromo Deep</x:v>
      </x:c>
      <x:c r="C164" s="11" t="n">
        <x:f>IF($A164="","",INDEX(Assumptions!$F$5:$F$12,MATCH($B164,Assumptions!$D$5:$D$12,0)))</x:f>
        <x:v>1260</x:v>
      </x:c>
      <x:c r="D164" s="11" t="n">
        <x:f>IF($A164="","",INDEX(Assumptions!$G$5:$G$12,MATCH($B164,Assumptions!$D$5:$D$12,0)))</x:f>
        <x:v>145</x:v>
      </x:c>
      <x:c r="E164" s="11" t="n">
        <x:f>IF($A164="","",INDEX(Assumptions!$M$5:$M$11,WEEKDAY($A164,2)))</x:f>
        <x:v>1.03</x:v>
      </x:c>
      <x:c r="F164" s="11" t="n">
        <x:f>IF($A164="","",Assumptions!$B$15)</x:f>
        <x:v>0.35</x:v>
      </x:c>
      <x:c r="G164" s="11" t="n">
        <x:f>IF($A164="","",MAX(INDEX(Assumptions!$H$5:$H$12,MATCH($B164,Assumptions!$D$5:$D$12,0)),MIN(INDEX(Assumptions!$I$5:$I$12,MATCH($B164,Assumptions!$D$5:$D$12,0)),($C164+$D164*SQRT(-2*LN(RAND()))*COS(2*PI()*RAND()))*$E164*$J164*$K164)))</x:f>
        <x:v>1494.697791838204</x:v>
      </x:c>
      <x:c r="H164" s="11" t="n">
        <x:f>IF($A164="","",$G164*$F164+$C164*(1-$F164))</x:f>
        <x:v>1342.1442271433714</x:v>
      </x:c>
      <x:c r="I164" s="11" t="n">
        <x:f>IF($A164="","",AVERAGE($H164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1277.4135243004318</x:v>
      </x:c>
      <x:c r="J164" s="12" t="n">
        <x:f>IF($A164="","",1+SUMIFS(Assumptions!$S$5:$S$10,Assumptions!$P$5:$P$10,$B164,Assumptions!$Q$5:$Q$10,"&lt;="&amp;$A164,Assumptions!$R$5:$R$10,"&gt;="&amp;$A164))</x:f>
        <x:v>1</x:v>
      </x:c>
      <x:c r="K164" s="12" t="n">
        <x:f>IF($A164="","",1+((($A164-Assumptions!$B$5)/30)*INDEX(Assumptions!$J$5:$J$12,MATCH($B164,Assumptions!$D$5:$D$12,0))))</x:f>
        <x:v>1.0032</x:v>
      </x:c>
      <x:c r="L164" t="str">
        <x:f>IF($A164="","",IFERROR(INDEX(Assumptions!$O$5:$O$10,MATCH(1,(Assumptions!$P$5:$P$10=$B164)*(Assumptions!$Q$5:$Q$10&lt;=$A164)*(Assumptions!$R$5:$R$10&gt;=$A164),0)),""))</x:f>
      </x:c>
      <x:c r="M164" t="n">
        <x:f>--($A164&lt;&gt;"")</x:f>
        <x:v>1</x:v>
      </x:c>
    </x:row>
    <x:row r="165">
      <x:c r="A165" s="10" t="n">
        <x:f>IF(Assumptions!$B$5+INT((ROW()-2)/Assumptions!$B$7)&gt;Assumptions!$B$6,"",Assumptions!$B$5+INT((ROW()-2)/Assumptions!$B$7))</x:f>
        <x:v>46055</x:v>
      </x:c>
      <x:c r="B165" t="str">
        <x:f>IF($A165="","",INDEX(Assumptions!$D$5:$D$12,MOD(ROW()-2,Assumptions!$B$7)+1))</x:f>
        <x:v>Hadley's Hope</x:v>
      </x:c>
      <x:c r="C165" s="11" t="n">
        <x:f>IF($A165="","",INDEX(Assumptions!$F$5:$F$12,MATCH($B165,Assumptions!$D$5:$D$12,0)))</x:f>
        <x:v>845</x:v>
      </x:c>
      <x:c r="D165" s="11" t="n">
        <x:f>IF($A165="","",INDEX(Assumptions!$G$5:$G$12,MATCH($B165,Assumptions!$D$5:$D$12,0)))</x:f>
        <x:v>80</x:v>
      </x:c>
      <x:c r="E165" s="11" t="n">
        <x:f>IF($A165="","",INDEX(Assumptions!$M$5:$M$11,WEEKDAY($A165,2)))</x:f>
        <x:v>1.03</x:v>
      </x:c>
      <x:c r="F165" s="11" t="n">
        <x:f>IF($A165="","",Assumptions!$B$15)</x:f>
        <x:v>0.35</x:v>
      </x:c>
      <x:c r="G165" s="11" t="n">
        <x:f>IF($A165="","",MAX(INDEX(Assumptions!$H$5:$H$12,MATCH($B165,Assumptions!$D$5:$D$12,0)),MIN(INDEX(Assumptions!$I$5:$I$12,MATCH($B165,Assumptions!$D$5:$D$12,0)),($C165+$D165*SQRT(-2*LN(RAND()))*COS(2*PI()*RAND()))*$E165*$J165*$K165)))</x:f>
        <x:v>889.286149229407</x:v>
      </x:c>
      <x:c r="H165" s="11" t="n">
        <x:f>IF($A165="","",$G165*$F165+$C165*(1-$F165))</x:f>
        <x:v>860.5001522302924</x:v>
      </x:c>
      <x:c r="I165" s="11" t="n">
        <x:f>IF($A165="","",AVERAGE($H165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839.2482897618562</x:v>
      </x:c>
      <x:c r="J165" s="12" t="n">
        <x:f>IF($A165="","",1+SUMIFS(Assumptions!$S$5:$S$10,Assumptions!$P$5:$P$10,$B165,Assumptions!$Q$5:$Q$10,"&lt;="&amp;$A165,Assumptions!$R$5:$R$10,"&gt;="&amp;$A165))</x:f>
        <x:v>1</x:v>
      </x:c>
      <x:c r="K165" s="12" t="n">
        <x:f>IF($A165="","",1+((($A165-Assumptions!$B$5)/30)*INDEX(Assumptions!$J$5:$J$12,MATCH($B165,Assumptions!$D$5:$D$12,0))))</x:f>
        <x:v>1.0010666666666668</x:v>
      </x:c>
      <x:c r="L165" t="str">
        <x:f>IF($A165="","",IFERROR(INDEX(Assumptions!$O$5:$O$10,MATCH(1,(Assumptions!$P$5:$P$10=$B165)*(Assumptions!$Q$5:$Q$10&lt;=$A165)*(Assumptions!$R$5:$R$10&gt;=$A165),0)),""))</x:f>
      </x:c>
      <x:c r="M165" t="n">
        <x:f>--($A165&lt;&gt;"")</x:f>
        <x:v>1</x:v>
      </x:c>
    </x:row>
    <x:row r="166">
      <x:c r="A166" s="10" t="n">
        <x:f>IF(Assumptions!$B$5+INT((ROW()-2)/Assumptions!$B$7)&gt;Assumptions!$B$6,"",Assumptions!$B$5+INT((ROW()-2)/Assumptions!$B$7))</x:f>
        <x:v>46055</x:v>
      </x:c>
      <x:c r="B166" t="str">
        <x:f>IF($A166="","",INDEX(Assumptions!$D$5:$D$12,MOD(ROW()-2,Assumptions!$B$7)+1))</x:f>
        <x:v>Yutani Ridge</x:v>
      </x:c>
      <x:c r="C166" s="11" t="n">
        <x:f>IF($A166="","",INDEX(Assumptions!$F$5:$F$12,MATCH($B166,Assumptions!$D$5:$D$12,0)))</x:f>
        <x:v>1050</x:v>
      </x:c>
      <x:c r="D166" s="11" t="n">
        <x:f>IF($A166="","",INDEX(Assumptions!$G$5:$G$12,MATCH($B166,Assumptions!$D$5:$D$12,0)))</x:f>
        <x:v>125</x:v>
      </x:c>
      <x:c r="E166" s="11" t="n">
        <x:f>IF($A166="","",INDEX(Assumptions!$M$5:$M$11,WEEKDAY($A166,2)))</x:f>
        <x:v>1.03</x:v>
      </x:c>
      <x:c r="F166" s="11" t="n">
        <x:f>IF($A166="","",Assumptions!$B$15)</x:f>
        <x:v>0.35</x:v>
      </x:c>
      <x:c r="G166" s="11" t="n">
        <x:f>IF($A166="","",MAX(INDEX(Assumptions!$H$5:$H$12,MATCH($B166,Assumptions!$D$5:$D$12,0)),MIN(INDEX(Assumptions!$I$5:$I$12,MATCH($B166,Assumptions!$D$5:$D$12,0)),($C166+$D166*SQRT(-2*LN(RAND()))*COS(2*PI()*RAND()))*$E166*$J166*$K166)))</x:f>
        <x:v>1155.4522563057521</x:v>
      </x:c>
      <x:c r="H166" s="11" t="n">
        <x:f>IF($A166="","",$G166*$F166+$C166*(1-$F166))</x:f>
        <x:v>1086.9082897070132</x:v>
      </x:c>
      <x:c r="I166" s="11" t="n">
        <x:f>IF($A166="","",AVERAGE($H166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1019.5384001858945</x:v>
      </x:c>
      <x:c r="J166" s="12" t="n">
        <x:f>IF($A166="","",1+SUMIFS(Assumptions!$S$5:$S$10,Assumptions!$P$5:$P$10,$B166,Assumptions!$Q$5:$Q$10,"&lt;="&amp;$A166,Assumptions!$R$5:$R$10,"&gt;="&amp;$A166))</x:f>
        <x:v>1</x:v>
      </x:c>
      <x:c r="K166" s="12" t="n">
        <x:f>IF($A166="","",1+((($A166-Assumptions!$B$5)/30)*INDEX(Assumptions!$J$5:$J$12,MATCH($B166,Assumptions!$D$5:$D$12,0))))</x:f>
        <x:v>1.0026666666666666</x:v>
      </x:c>
      <x:c r="L166" t="str">
        <x:f>IF($A166="","",IFERROR(INDEX(Assumptions!$O$5:$O$10,MATCH(1,(Assumptions!$P$5:$P$10=$B166)*(Assumptions!$Q$5:$Q$10&lt;=$A166)*(Assumptions!$R$5:$R$10&gt;=$A166),0)),""))</x:f>
      </x:c>
      <x:c r="M166" t="n">
        <x:f>--($A166&lt;&gt;"")</x:f>
        <x:v>1</x:v>
      </x:c>
    </x:row>
    <x:row r="167">
      <x:c r="A167" s="10" t="n">
        <x:f>IF(Assumptions!$B$5+INT((ROW()-2)/Assumptions!$B$7)&gt;Assumptions!$B$6,"",Assumptions!$B$5+INT((ROW()-2)/Assumptions!$B$7))</x:f>
        <x:v>46056</x:v>
      </x:c>
      <x:c r="B167" t="str">
        <x:f>IF($A167="","",INDEX(Assumptions!$D$5:$D$12,MOD(ROW()-2,Assumptions!$B$7)+1))</x:f>
        <x:v>Acheron Prime</x:v>
      </x:c>
      <x:c r="C167" s="11" t="n">
        <x:f>IF($A167="","",INDEX(Assumptions!$F$5:$F$12,MATCH($B167,Assumptions!$D$5:$D$12,0)))</x:f>
        <x:v>1120</x:v>
      </x:c>
      <x:c r="D167" s="11" t="n">
        <x:f>IF($A167="","",INDEX(Assumptions!$G$5:$G$12,MATCH($B167,Assumptions!$D$5:$D$12,0)))</x:f>
        <x:v>115</x:v>
      </x:c>
      <x:c r="E167" s="11" t="n">
        <x:f>IF($A167="","",INDEX(Assumptions!$M$5:$M$11,WEEKDAY($A167,2)))</x:f>
        <x:v>1.02</x:v>
      </x:c>
      <x:c r="F167" s="11" t="n">
        <x:f>IF($A167="","",Assumptions!$B$15)</x:f>
        <x:v>0.35</x:v>
      </x:c>
      <x:c r="G167" s="11" t="n">
        <x:f>IF($A167="","",MAX(INDEX(Assumptions!$H$5:$H$12,MATCH($B167,Assumptions!$D$5:$D$12,0)),MIN(INDEX(Assumptions!$I$5:$I$12,MATCH($B167,Assumptions!$D$5:$D$12,0)),($C167+$D167*SQRT(-2*LN(RAND()))*COS(2*PI()*RAND()))*$E167*$J167*$K167)))</x:f>
        <x:v>1165.6059470623522</x:v>
      </x:c>
      <x:c r="H167" s="11" t="n">
        <x:f>IF($A167="","",$G167*$F167+$C167*(1-$F167))</x:f>
        <x:v>1135.9620814718232</x:v>
      </x:c>
      <x:c r="I167" s="11" t="n">
        <x:f>IF($A167="","",AVERAGE($H167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1102.0813999941468</x:v>
      </x:c>
      <x:c r="J167" s="12" t="n">
        <x:f>IF($A167="","",1+SUMIFS(Assumptions!$S$5:$S$10,Assumptions!$P$5:$P$10,$B167,Assumptions!$Q$5:$Q$10,"&lt;="&amp;$A167,Assumptions!$R$5:$R$10,"&gt;="&amp;$A167))</x:f>
        <x:v>1</x:v>
      </x:c>
      <x:c r="K167" s="12" t="n">
        <x:f>IF($A167="","",1+((($A167-Assumptions!$B$5)/30)*INDEX(Assumptions!$J$5:$J$12,MATCH($B167,Assumptions!$D$5:$D$12,0))))</x:f>
        <x:v>1.0022</x:v>
      </x:c>
      <x:c r="L167" t="str">
        <x:f>IF($A167="","",IFERROR(INDEX(Assumptions!$O$5:$O$10,MATCH(1,(Assumptions!$P$5:$P$10=$B167)*(Assumptions!$Q$5:$Q$10&lt;=$A167)*(Assumptions!$R$5:$R$10&gt;=$A167),0)),""))</x:f>
      </x:c>
      <x:c r="M167" t="n">
        <x:f>--($A167&lt;&gt;"")</x:f>
        <x:v>1</x:v>
      </x:c>
    </x:row>
    <x:row r="168">
      <x:c r="A168" s="10" t="n">
        <x:f>IF(Assumptions!$B$5+INT((ROW()-2)/Assumptions!$B$7)&gt;Assumptions!$B$6,"",Assumptions!$B$5+INT((ROW()-2)/Assumptions!$B$7))</x:f>
        <x:v>46056</x:v>
      </x:c>
      <x:c r="B168" t="str">
        <x:f>IF($A168="","",INDEX(Assumptions!$D$5:$D$12,MOD(ROW()-2,Assumptions!$B$7)+1))</x:f>
        <x:v>LV-426 North</x:v>
      </x:c>
      <x:c r="C168" s="11" t="n">
        <x:f>IF($A168="","",INDEX(Assumptions!$F$5:$F$12,MATCH($B168,Assumptions!$D$5:$D$12,0)))</x:f>
        <x:v>930</x:v>
      </x:c>
      <x:c r="D168" s="11" t="n">
        <x:f>IF($A168="","",INDEX(Assumptions!$G$5:$G$12,MATCH($B168,Assumptions!$D$5:$D$12,0)))</x:f>
        <x:v>95</x:v>
      </x:c>
      <x:c r="E168" s="11" t="n">
        <x:f>IF($A168="","",INDEX(Assumptions!$M$5:$M$11,WEEKDAY($A168,2)))</x:f>
        <x:v>1.02</x:v>
      </x:c>
      <x:c r="F168" s="11" t="n">
        <x:f>IF($A168="","",Assumptions!$B$15)</x:f>
        <x:v>0.35</x:v>
      </x:c>
      <x:c r="G168" s="11" t="n">
        <x:f>IF($A168="","",MAX(INDEX(Assumptions!$H$5:$H$12,MATCH($B168,Assumptions!$D$5:$D$12,0)),MIN(INDEX(Assumptions!$I$5:$I$12,MATCH($B168,Assumptions!$D$5:$D$12,0)),($C168+$D168*SQRT(-2*LN(RAND()))*COS(2*PI()*RAND()))*$E168*$J168*$K168)))</x:f>
        <x:v>816.744822232512</x:v>
      </x:c>
      <x:c r="H168" s="11" t="n">
        <x:f>IF($A168="","",$G168*$F168+$C168*(1-$F168))</x:f>
        <x:v>890.3606877813792</x:v>
      </x:c>
      <x:c r="I168" s="11" t="n">
        <x:f>IF($A168="","",AVERAGE($H168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914.7022048448932</x:v>
      </x:c>
      <x:c r="J168" s="12" t="n">
        <x:f>IF($A168="","",1+SUMIFS(Assumptions!$S$5:$S$10,Assumptions!$P$5:$P$10,$B168,Assumptions!$Q$5:$Q$10,"&lt;="&amp;$A168,Assumptions!$R$5:$R$10,"&gt;="&amp;$A168))</x:f>
        <x:v>1</x:v>
      </x:c>
      <x:c r="K168" s="12" t="n">
        <x:f>IF($A168="","",1+((($A168-Assumptions!$B$5)/30)*INDEX(Assumptions!$J$5:$J$12,MATCH($B168,Assumptions!$D$5:$D$12,0))))</x:f>
        <x:v>0.9989</x:v>
      </x:c>
      <x:c r="L168" t="str">
        <x:f>IF($A168="","",IFERROR(INDEX(Assumptions!$O$5:$O$10,MATCH(1,(Assumptions!$P$5:$P$10=$B168)*(Assumptions!$Q$5:$Q$10&lt;=$A168)*(Assumptions!$R$5:$R$10&gt;=$A168),0)),""))</x:f>
      </x:c>
      <x:c r="M168" t="n">
        <x:f>--($A168&lt;&gt;"")</x:f>
        <x:v>1</x:v>
      </x:c>
    </x:row>
    <x:row r="169">
      <x:c r="A169" s="10" t="n">
        <x:f>IF(Assumptions!$B$5+INT((ROW()-2)/Assumptions!$B$7)&gt;Assumptions!$B$6,"",Assumptions!$B$5+INT((ROW()-2)/Assumptions!$B$7))</x:f>
        <x:v>46056</x:v>
      </x:c>
      <x:c r="B169" t="str">
        <x:f>IF($A169="","",INDEX(Assumptions!$D$5:$D$12,MOD(ROW()-2,Assumptions!$B$7)+1))</x:f>
        <x:v>Nostromo Deep</x:v>
      </x:c>
      <x:c r="C169" s="11" t="n">
        <x:f>IF($A169="","",INDEX(Assumptions!$F$5:$F$12,MATCH($B169,Assumptions!$D$5:$D$12,0)))</x:f>
        <x:v>1260</x:v>
      </x:c>
      <x:c r="D169" s="11" t="n">
        <x:f>IF($A169="","",INDEX(Assumptions!$G$5:$G$12,MATCH($B169,Assumptions!$D$5:$D$12,0)))</x:f>
        <x:v>145</x:v>
      </x:c>
      <x:c r="E169" s="11" t="n">
        <x:f>IF($A169="","",INDEX(Assumptions!$M$5:$M$11,WEEKDAY($A169,2)))</x:f>
        <x:v>1.02</x:v>
      </x:c>
      <x:c r="F169" s="11" t="n">
        <x:f>IF($A169="","",Assumptions!$B$15)</x:f>
        <x:v>0.35</x:v>
      </x:c>
      <x:c r="G169" s="11" t="n">
        <x:f>IF($A169="","",MAX(INDEX(Assumptions!$H$5:$H$12,MATCH($B169,Assumptions!$D$5:$D$12,0)),MIN(INDEX(Assumptions!$I$5:$I$12,MATCH($B169,Assumptions!$D$5:$D$12,0)),($C169+$D169*SQRT(-2*LN(RAND()))*COS(2*PI()*RAND()))*$E169*$J169*$K169)))</x:f>
        <x:v>1188.7852054630612</x:v>
      </x:c>
      <x:c r="H169" s="11" t="n">
        <x:f>IF($A169="","",$G169*$F169+$C169*(1-$F169))</x:f>
        <x:v>1235.0748219120715</x:v>
      </x:c>
      <x:c r="I169" s="11" t="n">
        <x:f>IF($A169="","",AVERAGE($H169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1259.4849041438254</x:v>
      </x:c>
      <x:c r="J169" s="12" t="n">
        <x:f>IF($A169="","",1+SUMIFS(Assumptions!$S$5:$S$10,Assumptions!$P$5:$P$10,$B169,Assumptions!$Q$5:$Q$10,"&lt;="&amp;$A169,Assumptions!$R$5:$R$10,"&gt;="&amp;$A169))</x:f>
        <x:v>1</x:v>
      </x:c>
      <x:c r="K169" s="12" t="n">
        <x:f>IF($A169="","",1+((($A169-Assumptions!$B$5)/30)*INDEX(Assumptions!$J$5:$J$12,MATCH($B169,Assumptions!$D$5:$D$12,0))))</x:f>
        <x:v>1.0033</x:v>
      </x:c>
      <x:c r="L169" t="str">
        <x:f>IF($A169="","",IFERROR(INDEX(Assumptions!$O$5:$O$10,MATCH(1,(Assumptions!$P$5:$P$10=$B169)*(Assumptions!$Q$5:$Q$10&lt;=$A169)*(Assumptions!$R$5:$R$10&gt;=$A169),0)),""))</x:f>
      </x:c>
      <x:c r="M169" t="n">
        <x:f>--($A169&lt;&gt;"")</x:f>
        <x:v>1</x:v>
      </x:c>
    </x:row>
    <x:row r="170">
      <x:c r="A170" s="10" t="n">
        <x:f>IF(Assumptions!$B$5+INT((ROW()-2)/Assumptions!$B$7)&gt;Assumptions!$B$6,"",Assumptions!$B$5+INT((ROW()-2)/Assumptions!$B$7))</x:f>
        <x:v>46056</x:v>
      </x:c>
      <x:c r="B170" t="str">
        <x:f>IF($A170="","",INDEX(Assumptions!$D$5:$D$12,MOD(ROW()-2,Assumptions!$B$7)+1))</x:f>
        <x:v>Hadley's Hope</x:v>
      </x:c>
      <x:c r="C170" s="11" t="n">
        <x:f>IF($A170="","",INDEX(Assumptions!$F$5:$F$12,MATCH($B170,Assumptions!$D$5:$D$12,0)))</x:f>
        <x:v>845</x:v>
      </x:c>
      <x:c r="D170" s="11" t="n">
        <x:f>IF($A170="","",INDEX(Assumptions!$G$5:$G$12,MATCH($B170,Assumptions!$D$5:$D$12,0)))</x:f>
        <x:v>80</x:v>
      </x:c>
      <x:c r="E170" s="11" t="n">
        <x:f>IF($A170="","",INDEX(Assumptions!$M$5:$M$11,WEEKDAY($A170,2)))</x:f>
        <x:v>1.02</x:v>
      </x:c>
      <x:c r="F170" s="11" t="n">
        <x:f>IF($A170="","",Assumptions!$B$15)</x:f>
        <x:v>0.35</x:v>
      </x:c>
      <x:c r="G170" s="11" t="n">
        <x:f>IF($A170="","",MAX(INDEX(Assumptions!$H$5:$H$12,MATCH($B170,Assumptions!$D$5:$D$12,0)),MIN(INDEX(Assumptions!$I$5:$I$12,MATCH($B170,Assumptions!$D$5:$D$12,0)),($C170+$D170*SQRT(-2*LN(RAND()))*COS(2*PI()*RAND()))*$E170*$J170*$K170)))</x:f>
        <x:v>782.2933505489001</x:v>
      </x:c>
      <x:c r="H170" s="11" t="n">
        <x:f>IF($A170="","",$G170*$F170+$C170*(1-$F170))</x:f>
        <x:v>823.052672692115</x:v>
      </x:c>
      <x:c r="I170" s="11" t="n">
        <x:f>IF($A170="","",AVERAGE($H170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833.8491878423936</x:v>
      </x:c>
      <x:c r="J170" s="12" t="n">
        <x:f>IF($A170="","",1+SUMIFS(Assumptions!$S$5:$S$10,Assumptions!$P$5:$P$10,$B170,Assumptions!$Q$5:$Q$10,"&lt;="&amp;$A170,Assumptions!$R$5:$R$10,"&gt;="&amp;$A170))</x:f>
        <x:v>1</x:v>
      </x:c>
      <x:c r="K170" s="12" t="n">
        <x:f>IF($A170="","",1+((($A170-Assumptions!$B$5)/30)*INDEX(Assumptions!$J$5:$J$12,MATCH($B170,Assumptions!$D$5:$D$12,0))))</x:f>
        <x:v>1.0011</x:v>
      </x:c>
      <x:c r="L170" t="str">
        <x:f>IF($A170="","",IFERROR(INDEX(Assumptions!$O$5:$O$10,MATCH(1,(Assumptions!$P$5:$P$10=$B170)*(Assumptions!$Q$5:$Q$10&lt;=$A170)*(Assumptions!$R$5:$R$10&gt;=$A170),0)),""))</x:f>
      </x:c>
      <x:c r="M170" t="n">
        <x:f>--($A170&lt;&gt;"")</x:f>
        <x:v>1</x:v>
      </x:c>
    </x:row>
    <x:row r="171">
      <x:c r="A171" s="10" t="n">
        <x:f>IF(Assumptions!$B$5+INT((ROW()-2)/Assumptions!$B$7)&gt;Assumptions!$B$6,"",Assumptions!$B$5+INT((ROW()-2)/Assumptions!$B$7))</x:f>
        <x:v>46056</x:v>
      </x:c>
      <x:c r="B171" t="str">
        <x:f>IF($A171="","",INDEX(Assumptions!$D$5:$D$12,MOD(ROW()-2,Assumptions!$B$7)+1))</x:f>
        <x:v>Yutani Ridge</x:v>
      </x:c>
      <x:c r="C171" s="11" t="n">
        <x:f>IF($A171="","",INDEX(Assumptions!$F$5:$F$12,MATCH($B171,Assumptions!$D$5:$D$12,0)))</x:f>
        <x:v>1050</x:v>
      </x:c>
      <x:c r="D171" s="11" t="n">
        <x:f>IF($A171="","",INDEX(Assumptions!$G$5:$G$12,MATCH($B171,Assumptions!$D$5:$D$12,0)))</x:f>
        <x:v>125</x:v>
      </x:c>
      <x:c r="E171" s="11" t="n">
        <x:f>IF($A171="","",INDEX(Assumptions!$M$5:$M$11,WEEKDAY($A171,2)))</x:f>
        <x:v>1.02</x:v>
      </x:c>
      <x:c r="F171" s="11" t="n">
        <x:f>IF($A171="","",Assumptions!$B$15)</x:f>
        <x:v>0.35</x:v>
      </x:c>
      <x:c r="G171" s="11" t="n">
        <x:f>IF($A171="","",MAX(INDEX(Assumptions!$H$5:$H$12,MATCH($B171,Assumptions!$D$5:$D$12,0)),MIN(INDEX(Assumptions!$I$5:$I$12,MATCH($B171,Assumptions!$D$5:$D$12,0)),($C171+$D171*SQRT(-2*LN(RAND()))*COS(2*PI()*RAND()))*$E171*$J171*$K171)))</x:f>
        <x:v>1203.7022071167612</x:v>
      </x:c>
      <x:c r="H171" s="11" t="n">
        <x:f>IF($A171="","",$G171*$F171+$C171*(1-$F171))</x:f>
        <x:v>1103.7957724908665</x:v>
      </x:c>
      <x:c r="I171" s="11" t="n">
        <x:f>IF($A171="","",AVERAGE($H171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1025.184014954231</x:v>
      </x:c>
      <x:c r="J171" s="12" t="n">
        <x:f>IF($A171="","",1+SUMIFS(Assumptions!$S$5:$S$10,Assumptions!$P$5:$P$10,$B171,Assumptions!$Q$5:$Q$10,"&lt;="&amp;$A171,Assumptions!$R$5:$R$10,"&gt;="&amp;$A171))</x:f>
        <x:v>1</x:v>
      </x:c>
      <x:c r="K171" s="12" t="n">
        <x:f>IF($A171="","",1+((($A171-Assumptions!$B$5)/30)*INDEX(Assumptions!$J$5:$J$12,MATCH($B171,Assumptions!$D$5:$D$12,0))))</x:f>
        <x:v>1.00275</x:v>
      </x:c>
      <x:c r="L171" t="str">
        <x:f>IF($A171="","",IFERROR(INDEX(Assumptions!$O$5:$O$10,MATCH(1,(Assumptions!$P$5:$P$10=$B171)*(Assumptions!$Q$5:$Q$10&lt;=$A171)*(Assumptions!$R$5:$R$10&gt;=$A171),0)),""))</x:f>
      </x:c>
      <x:c r="M171" t="n">
        <x:f>--($A171&lt;&gt;"")</x:f>
        <x:v>1</x:v>
      </x:c>
    </x:row>
    <x:row r="172">
      <x:c r="A172" s="10" t="n">
        <x:f>IF(Assumptions!$B$5+INT((ROW()-2)/Assumptions!$B$7)&gt;Assumptions!$B$6,"",Assumptions!$B$5+INT((ROW()-2)/Assumptions!$B$7))</x:f>
        <x:v>46057</x:v>
      </x:c>
      <x:c r="B172" t="str">
        <x:f>IF($A172="","",INDEX(Assumptions!$D$5:$D$12,MOD(ROW()-2,Assumptions!$B$7)+1))</x:f>
        <x:v>Acheron Prime</x:v>
      </x:c>
      <x:c r="C172" s="11" t="n">
        <x:f>IF($A172="","",INDEX(Assumptions!$F$5:$F$12,MATCH($B172,Assumptions!$D$5:$D$12,0)))</x:f>
        <x:v>1120</x:v>
      </x:c>
      <x:c r="D172" s="11" t="n">
        <x:f>IF($A172="","",INDEX(Assumptions!$G$5:$G$12,MATCH($B172,Assumptions!$D$5:$D$12,0)))</x:f>
        <x:v>115</x:v>
      </x:c>
      <x:c r="E172" s="11" t="n">
        <x:f>IF($A172="","",INDEX(Assumptions!$M$5:$M$11,WEEKDAY($A172,2)))</x:f>
        <x:v>1.01</x:v>
      </x:c>
      <x:c r="F172" s="11" t="n">
        <x:f>IF($A172="","",Assumptions!$B$15)</x:f>
        <x:v>0.35</x:v>
      </x:c>
      <x:c r="G172" s="11" t="n">
        <x:f>IF($A172="","",MAX(INDEX(Assumptions!$H$5:$H$12,MATCH($B172,Assumptions!$D$5:$D$12,0)),MIN(INDEX(Assumptions!$I$5:$I$12,MATCH($B172,Assumptions!$D$5:$D$12,0)),($C172+$D172*SQRT(-2*LN(RAND()))*COS(2*PI()*RAND()))*$E172*$J172*$K172)))</x:f>
        <x:v>1041.2608769250596</x:v>
      </x:c>
      <x:c r="H172" s="11" t="n">
        <x:f>IF($A172="","",$G172*$F172+$C172*(1-$F172))</x:f>
        <x:v>1092.4413069237708</x:v>
      </x:c>
      <x:c r="I172" s="11" t="n">
        <x:f>IF($A172="","",AVERAGE($H172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1096.1214907735146</x:v>
      </x:c>
      <x:c r="J172" s="12" t="n">
        <x:f>IF($A172="","",1+SUMIFS(Assumptions!$S$5:$S$10,Assumptions!$P$5:$P$10,$B172,Assumptions!$Q$5:$Q$10,"&lt;="&amp;$A172,Assumptions!$R$5:$R$10,"&gt;="&amp;$A172))</x:f>
        <x:v>1</x:v>
      </x:c>
      <x:c r="K172" s="12" t="n">
        <x:f>IF($A172="","",1+((($A172-Assumptions!$B$5)/30)*INDEX(Assumptions!$J$5:$J$12,MATCH($B172,Assumptions!$D$5:$D$12,0))))</x:f>
        <x:v>1.0022666666666666</x:v>
      </x:c>
      <x:c r="L172" t="str">
        <x:f>IF($A172="","",IFERROR(INDEX(Assumptions!$O$5:$O$10,MATCH(1,(Assumptions!$P$5:$P$10=$B172)*(Assumptions!$Q$5:$Q$10&lt;=$A172)*(Assumptions!$R$5:$R$10&gt;=$A172),0)),""))</x:f>
      </x:c>
      <x:c r="M172" t="n">
        <x:f>--($A172&lt;&gt;"")</x:f>
        <x:v>1</x:v>
      </x:c>
    </x:row>
    <x:row r="173">
      <x:c r="A173" s="10" t="n">
        <x:f>IF(Assumptions!$B$5+INT((ROW()-2)/Assumptions!$B$7)&gt;Assumptions!$B$6,"",Assumptions!$B$5+INT((ROW()-2)/Assumptions!$B$7))</x:f>
        <x:v>46057</x:v>
      </x:c>
      <x:c r="B173" t="str">
        <x:f>IF($A173="","",INDEX(Assumptions!$D$5:$D$12,MOD(ROW()-2,Assumptions!$B$7)+1))</x:f>
        <x:v>LV-426 North</x:v>
      </x:c>
      <x:c r="C173" s="11" t="n">
        <x:f>IF($A173="","",INDEX(Assumptions!$F$5:$F$12,MATCH($B173,Assumptions!$D$5:$D$12,0)))</x:f>
        <x:v>930</x:v>
      </x:c>
      <x:c r="D173" s="11" t="n">
        <x:f>IF($A173="","",INDEX(Assumptions!$G$5:$G$12,MATCH($B173,Assumptions!$D$5:$D$12,0)))</x:f>
        <x:v>95</x:v>
      </x:c>
      <x:c r="E173" s="11" t="n">
        <x:f>IF($A173="","",INDEX(Assumptions!$M$5:$M$11,WEEKDAY($A173,2)))</x:f>
        <x:v>1.01</x:v>
      </x:c>
      <x:c r="F173" s="11" t="n">
        <x:f>IF($A173="","",Assumptions!$B$15)</x:f>
        <x:v>0.35</x:v>
      </x:c>
      <x:c r="G173" s="11" t="n">
        <x:f>IF($A173="","",MAX(INDEX(Assumptions!$H$5:$H$12,MATCH($B173,Assumptions!$D$5:$D$12,0)),MIN(INDEX(Assumptions!$I$5:$I$12,MATCH($B173,Assumptions!$D$5:$D$12,0)),($C173+$D173*SQRT(-2*LN(RAND()))*COS(2*PI()*RAND()))*$E173*$J173*$K173)))</x:f>
        <x:v>964.7249429477725</x:v>
      </x:c>
      <x:c r="H173" s="11" t="n">
        <x:f>IF($A173="","",$G173*$F173+$C173*(1-$F173))</x:f>
        <x:v>942.1537300317204</x:v>
      </x:c>
      <x:c r="I173" s="11" t="n">
        <x:f>IF($A173="","",AVERAGE($H173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920.9804557276804</x:v>
      </x:c>
      <x:c r="J173" s="12" t="n">
        <x:f>IF($A173="","",1+SUMIFS(Assumptions!$S$5:$S$10,Assumptions!$P$5:$P$10,$B173,Assumptions!$Q$5:$Q$10,"&lt;="&amp;$A173,Assumptions!$R$5:$R$10,"&gt;="&amp;$A173))</x:f>
        <x:v>1</x:v>
      </x:c>
      <x:c r="K173" s="12" t="n">
        <x:f>IF($A173="","",1+((($A173-Assumptions!$B$5)/30)*INDEX(Assumptions!$J$5:$J$12,MATCH($B173,Assumptions!$D$5:$D$12,0))))</x:f>
        <x:v>0.9988666666666667</x:v>
      </x:c>
      <x:c r="L173" t="str">
        <x:f>IF($A173="","",IFERROR(INDEX(Assumptions!$O$5:$O$10,MATCH(1,(Assumptions!$P$5:$P$10=$B173)*(Assumptions!$Q$5:$Q$10&lt;=$A173)*(Assumptions!$R$5:$R$10&gt;=$A173),0)),""))</x:f>
      </x:c>
      <x:c r="M173" t="n">
        <x:f>--($A173&lt;&gt;"")</x:f>
        <x:v>1</x:v>
      </x:c>
    </x:row>
    <x:row r="174">
      <x:c r="A174" s="10" t="n">
        <x:f>IF(Assumptions!$B$5+INT((ROW()-2)/Assumptions!$B$7)&gt;Assumptions!$B$6,"",Assumptions!$B$5+INT((ROW()-2)/Assumptions!$B$7))</x:f>
        <x:v>46057</x:v>
      </x:c>
      <x:c r="B174" t="str">
        <x:f>IF($A174="","",INDEX(Assumptions!$D$5:$D$12,MOD(ROW()-2,Assumptions!$B$7)+1))</x:f>
        <x:v>Nostromo Deep</x:v>
      </x:c>
      <x:c r="C174" s="11" t="n">
        <x:f>IF($A174="","",INDEX(Assumptions!$F$5:$F$12,MATCH($B174,Assumptions!$D$5:$D$12,0)))</x:f>
        <x:v>1260</x:v>
      </x:c>
      <x:c r="D174" s="11" t="n">
        <x:f>IF($A174="","",INDEX(Assumptions!$G$5:$G$12,MATCH($B174,Assumptions!$D$5:$D$12,0)))</x:f>
        <x:v>145</x:v>
      </x:c>
      <x:c r="E174" s="11" t="n">
        <x:f>IF($A174="","",INDEX(Assumptions!$M$5:$M$11,WEEKDAY($A174,2)))</x:f>
        <x:v>1.01</x:v>
      </x:c>
      <x:c r="F174" s="11" t="n">
        <x:f>IF($A174="","",Assumptions!$B$15)</x:f>
        <x:v>0.35</x:v>
      </x:c>
      <x:c r="G174" s="11" t="n">
        <x:f>IF($A174="","",MAX(INDEX(Assumptions!$H$5:$H$12,MATCH($B174,Assumptions!$D$5:$D$12,0)),MIN(INDEX(Assumptions!$I$5:$I$12,MATCH($B174,Assumptions!$D$5:$D$12,0)),($C174+$D174*SQRT(-2*LN(RAND()))*COS(2*PI()*RAND()))*$E174*$J174*$K174)))</x:f>
        <x:v>1737.3944257672047</x:v>
      </x:c>
      <x:c r="H174" s="11" t="n">
        <x:f>IF($A174="","",$G174*$F174+$C174*(1-$F174))</x:f>
        <x:v>1427.0880490185216</x:v>
      </x:c>
      <x:c r="I174" s="11" t="n">
        <x:f>IF($A174="","",AVERAGE($H174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1278.6349838863375</x:v>
      </x:c>
      <x:c r="J174" s="12" t="n">
        <x:f>IF($A174="","",1+SUMIFS(Assumptions!$S$5:$S$10,Assumptions!$P$5:$P$10,$B174,Assumptions!$Q$5:$Q$10,"&lt;="&amp;$A174,Assumptions!$R$5:$R$10,"&gt;="&amp;$A174))</x:f>
        <x:v>1</x:v>
      </x:c>
      <x:c r="K174" s="12" t="n">
        <x:f>IF($A174="","",1+((($A174-Assumptions!$B$5)/30)*INDEX(Assumptions!$J$5:$J$12,MATCH($B174,Assumptions!$D$5:$D$12,0))))</x:f>
        <x:v>1.0034</x:v>
      </x:c>
      <x:c r="L174" t="str">
        <x:f>IF($A174="","",IFERROR(INDEX(Assumptions!$O$5:$O$10,MATCH(1,(Assumptions!$P$5:$P$10=$B174)*(Assumptions!$Q$5:$Q$10&lt;=$A174)*(Assumptions!$R$5:$R$10&gt;=$A174),0)),""))</x:f>
      </x:c>
      <x:c r="M174" t="n">
        <x:f>--($A174&lt;&gt;"")</x:f>
        <x:v>1</x:v>
      </x:c>
    </x:row>
    <x:row r="175">
      <x:c r="A175" s="10" t="n">
        <x:f>IF(Assumptions!$B$5+INT((ROW()-2)/Assumptions!$B$7)&gt;Assumptions!$B$6,"",Assumptions!$B$5+INT((ROW()-2)/Assumptions!$B$7))</x:f>
        <x:v>46057</x:v>
      </x:c>
      <x:c r="B175" t="str">
        <x:f>IF($A175="","",INDEX(Assumptions!$D$5:$D$12,MOD(ROW()-2,Assumptions!$B$7)+1))</x:f>
        <x:v>Hadley's Hope</x:v>
      </x:c>
      <x:c r="C175" s="11" t="n">
        <x:f>IF($A175="","",INDEX(Assumptions!$F$5:$F$12,MATCH($B175,Assumptions!$D$5:$D$12,0)))</x:f>
        <x:v>845</x:v>
      </x:c>
      <x:c r="D175" s="11" t="n">
        <x:f>IF($A175="","",INDEX(Assumptions!$G$5:$G$12,MATCH($B175,Assumptions!$D$5:$D$12,0)))</x:f>
        <x:v>80</x:v>
      </x:c>
      <x:c r="E175" s="11" t="n">
        <x:f>IF($A175="","",INDEX(Assumptions!$M$5:$M$11,WEEKDAY($A175,2)))</x:f>
        <x:v>1.01</x:v>
      </x:c>
      <x:c r="F175" s="11" t="n">
        <x:f>IF($A175="","",Assumptions!$B$15)</x:f>
        <x:v>0.35</x:v>
      </x:c>
      <x:c r="G175" s="11" t="n">
        <x:f>IF($A175="","",MAX(INDEX(Assumptions!$H$5:$H$12,MATCH($B175,Assumptions!$D$5:$D$12,0)),MIN(INDEX(Assumptions!$I$5:$I$12,MATCH($B175,Assumptions!$D$5:$D$12,0)),($C175+$D175*SQRT(-2*LN(RAND()))*COS(2*PI()*RAND()))*$E175*$J175*$K175)))</x:f>
        <x:v>952.5418073988471</x:v>
      </x:c>
      <x:c r="H175" s="11" t="n">
        <x:f>IF($A175="","",$G175*$F175+$C175*(1-$F175))</x:f>
        <x:v>882.6396325895964</x:v>
      </x:c>
      <x:c r="I175" s="11" t="n">
        <x:f>IF($A175="","",AVERAGE($H175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829.2231835931051</x:v>
      </x:c>
      <x:c r="J175" s="12" t="n">
        <x:f>IF($A175="","",1+SUMIFS(Assumptions!$S$5:$S$10,Assumptions!$P$5:$P$10,$B175,Assumptions!$Q$5:$Q$10,"&lt;="&amp;$A175,Assumptions!$R$5:$R$10,"&gt;="&amp;$A175))</x:f>
        <x:v>1</x:v>
      </x:c>
      <x:c r="K175" s="12" t="n">
        <x:f>IF($A175="","",1+((($A175-Assumptions!$B$5)/30)*INDEX(Assumptions!$J$5:$J$12,MATCH($B175,Assumptions!$D$5:$D$12,0))))</x:f>
        <x:v>1.0011333333333334</x:v>
      </x:c>
      <x:c r="L175" t="str">
        <x:f>IF($A175="","",IFERROR(INDEX(Assumptions!$O$5:$O$10,MATCH(1,(Assumptions!$P$5:$P$10=$B175)*(Assumptions!$Q$5:$Q$10&lt;=$A175)*(Assumptions!$R$5:$R$10&gt;=$A175),0)),""))</x:f>
      </x:c>
      <x:c r="M175" t="n">
        <x:f>--($A175&lt;&gt;"")</x:f>
        <x:v>1</x:v>
      </x:c>
    </x:row>
    <x:row r="176">
      <x:c r="A176" s="10" t="n">
        <x:f>IF(Assumptions!$B$5+INT((ROW()-2)/Assumptions!$B$7)&gt;Assumptions!$B$6,"",Assumptions!$B$5+INT((ROW()-2)/Assumptions!$B$7))</x:f>
        <x:v>46057</x:v>
      </x:c>
      <x:c r="B176" t="str">
        <x:f>IF($A176="","",INDEX(Assumptions!$D$5:$D$12,MOD(ROW()-2,Assumptions!$B$7)+1))</x:f>
        <x:v>Yutani Ridge</x:v>
      </x:c>
      <x:c r="C176" s="11" t="n">
        <x:f>IF($A176="","",INDEX(Assumptions!$F$5:$F$12,MATCH($B176,Assumptions!$D$5:$D$12,0)))</x:f>
        <x:v>1050</x:v>
      </x:c>
      <x:c r="D176" s="11" t="n">
        <x:f>IF($A176="","",INDEX(Assumptions!$G$5:$G$12,MATCH($B176,Assumptions!$D$5:$D$12,0)))</x:f>
        <x:v>125</x:v>
      </x:c>
      <x:c r="E176" s="11" t="n">
        <x:f>IF($A176="","",INDEX(Assumptions!$M$5:$M$11,WEEKDAY($A176,2)))</x:f>
        <x:v>1.01</x:v>
      </x:c>
      <x:c r="F176" s="11" t="n">
        <x:f>IF($A176="","",Assumptions!$B$15)</x:f>
        <x:v>0.35</x:v>
      </x:c>
      <x:c r="G176" s="11" t="n">
        <x:f>IF($A176="","",MAX(INDEX(Assumptions!$H$5:$H$12,MATCH($B176,Assumptions!$D$5:$D$12,0)),MIN(INDEX(Assumptions!$I$5:$I$12,MATCH($B176,Assumptions!$D$5:$D$12,0)),($C176+$D176*SQRT(-2*LN(RAND()))*COS(2*PI()*RAND()))*$E176*$J176*$K176)))</x:f>
        <x:v>1051.1198574932478</x:v>
      </x:c>
      <x:c r="H176" s="11" t="n">
        <x:f>IF($A176="","",$G176*$F176+$C176*(1-$F176))</x:f>
        <x:v>1050.3919501226367</x:v>
      </x:c>
      <x:c r="I176" s="11" t="n">
        <x:f>IF($A176="","",AVERAGE($H176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1034.4258926662812</x:v>
      </x:c>
      <x:c r="J176" s="12" t="n">
        <x:f>IF($A176="","",1+SUMIFS(Assumptions!$S$5:$S$10,Assumptions!$P$5:$P$10,$B176,Assumptions!$Q$5:$Q$10,"&lt;="&amp;$A176,Assumptions!$R$5:$R$10,"&gt;="&amp;$A176))</x:f>
        <x:v>1</x:v>
      </x:c>
      <x:c r="K176" s="12" t="n">
        <x:f>IF($A176="","",1+((($A176-Assumptions!$B$5)/30)*INDEX(Assumptions!$J$5:$J$12,MATCH($B176,Assumptions!$D$5:$D$12,0))))</x:f>
        <x:v>1.0028333333333332</x:v>
      </x:c>
      <x:c r="L176" t="str">
        <x:f>IF($A176="","",IFERROR(INDEX(Assumptions!$O$5:$O$10,MATCH(1,(Assumptions!$P$5:$P$10=$B176)*(Assumptions!$Q$5:$Q$10&lt;=$A176)*(Assumptions!$R$5:$R$10&gt;=$A176),0)),""))</x:f>
      </x:c>
      <x:c r="M176" t="n">
        <x:f>--($A176&lt;&gt;"")</x:f>
        <x:v>1</x:v>
      </x:c>
    </x:row>
    <x:row r="177">
      <x:c r="A177" s="10" t="n">
        <x:f>IF(Assumptions!$B$5+INT((ROW()-2)/Assumptions!$B$7)&gt;Assumptions!$B$6,"",Assumptions!$B$5+INT((ROW()-2)/Assumptions!$B$7))</x:f>
        <x:v>46058</x:v>
      </x:c>
      <x:c r="B177" t="str">
        <x:f>IF($A177="","",INDEX(Assumptions!$D$5:$D$12,MOD(ROW()-2,Assumptions!$B$7)+1))</x:f>
        <x:v>Acheron Prime</x:v>
      </x:c>
      <x:c r="C177" s="11" t="n">
        <x:f>IF($A177="","",INDEX(Assumptions!$F$5:$F$12,MATCH($B177,Assumptions!$D$5:$D$12,0)))</x:f>
        <x:v>1120</x:v>
      </x:c>
      <x:c r="D177" s="11" t="n">
        <x:f>IF($A177="","",INDEX(Assumptions!$G$5:$G$12,MATCH($B177,Assumptions!$D$5:$D$12,0)))</x:f>
        <x:v>115</x:v>
      </x:c>
      <x:c r="E177" s="11" t="n">
        <x:f>IF($A177="","",INDEX(Assumptions!$M$5:$M$11,WEEKDAY($A177,2)))</x:f>
        <x:v>1</x:v>
      </x:c>
      <x:c r="F177" s="11" t="n">
        <x:f>IF($A177="","",Assumptions!$B$15)</x:f>
        <x:v>0.35</x:v>
      </x:c>
      <x:c r="G177" s="11" t="n">
        <x:f>IF($A177="","",MAX(INDEX(Assumptions!$H$5:$H$12,MATCH($B177,Assumptions!$D$5:$D$12,0)),MIN(INDEX(Assumptions!$I$5:$I$12,MATCH($B177,Assumptions!$D$5:$D$12,0)),($C177+$D177*SQRT(-2*LN(RAND()))*COS(2*PI()*RAND()))*$E177*$J177*$K177)))</x:f>
        <x:v>1314.5888403895258</x:v>
      </x:c>
      <x:c r="H177" s="11" t="n">
        <x:f>IF($A177="","",$G177*$F177+$C177*(1-$F177))</x:f>
        <x:v>1188.106094136334</x:v>
      </x:c>
      <x:c r="I177" s="11" t="n">
        <x:f>IF($A177="","",AVERAGE($H177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1110.2382480713825</x:v>
      </x:c>
      <x:c r="J177" s="12" t="n">
        <x:f>IF($A177="","",1+SUMIFS(Assumptions!$S$5:$S$10,Assumptions!$P$5:$P$10,$B177,Assumptions!$Q$5:$Q$10,"&lt;="&amp;$A177,Assumptions!$R$5:$R$10,"&gt;="&amp;$A177))</x:f>
        <x:v>1</x:v>
      </x:c>
      <x:c r="K177" s="12" t="n">
        <x:f>IF($A177="","",1+((($A177-Assumptions!$B$5)/30)*INDEX(Assumptions!$J$5:$J$12,MATCH($B177,Assumptions!$D$5:$D$12,0))))</x:f>
        <x:v>1.0023333333333333</x:v>
      </x:c>
      <x:c r="L177" t="str">
        <x:f>IF($A177="","",IFERROR(INDEX(Assumptions!$O$5:$O$10,MATCH(1,(Assumptions!$P$5:$P$10=$B177)*(Assumptions!$Q$5:$Q$10&lt;=$A177)*(Assumptions!$R$5:$R$10&gt;=$A177),0)),""))</x:f>
      </x:c>
      <x:c r="M177" t="n">
        <x:f>--($A177&lt;&gt;"")</x:f>
        <x:v>1</x:v>
      </x:c>
    </x:row>
    <x:row r="178">
      <x:c r="A178" s="10" t="n">
        <x:f>IF(Assumptions!$B$5+INT((ROW()-2)/Assumptions!$B$7)&gt;Assumptions!$B$6,"",Assumptions!$B$5+INT((ROW()-2)/Assumptions!$B$7))</x:f>
        <x:v>46058</x:v>
      </x:c>
      <x:c r="B178" t="str">
        <x:f>IF($A178="","",INDEX(Assumptions!$D$5:$D$12,MOD(ROW()-2,Assumptions!$B$7)+1))</x:f>
        <x:v>LV-426 North</x:v>
      </x:c>
      <x:c r="C178" s="11" t="n">
        <x:f>IF($A178="","",INDEX(Assumptions!$F$5:$F$12,MATCH($B178,Assumptions!$D$5:$D$12,0)))</x:f>
        <x:v>930</x:v>
      </x:c>
      <x:c r="D178" s="11" t="n">
        <x:f>IF($A178="","",INDEX(Assumptions!$G$5:$G$12,MATCH($B178,Assumptions!$D$5:$D$12,0)))</x:f>
        <x:v>95</x:v>
      </x:c>
      <x:c r="E178" s="11" t="n">
        <x:f>IF($A178="","",INDEX(Assumptions!$M$5:$M$11,WEEKDAY($A178,2)))</x:f>
        <x:v>1</x:v>
      </x:c>
      <x:c r="F178" s="11" t="n">
        <x:f>IF($A178="","",Assumptions!$B$15)</x:f>
        <x:v>0.35</x:v>
      </x:c>
      <x:c r="G178" s="11" t="n">
        <x:f>IF($A178="","",MAX(INDEX(Assumptions!$H$5:$H$12,MATCH($B178,Assumptions!$D$5:$D$12,0)),MIN(INDEX(Assumptions!$I$5:$I$12,MATCH($B178,Assumptions!$D$5:$D$12,0)),($C178+$D178*SQRT(-2*LN(RAND()))*COS(2*PI()*RAND()))*$E178*$J178*$K178)))</x:f>
        <x:v>880.7741953142054</x:v>
      </x:c>
      <x:c r="H178" s="11" t="n">
        <x:f>IF($A178="","",$G178*$F178+$C178*(1-$F178))</x:f>
        <x:v>912.7709683599719</x:v>
      </x:c>
      <x:c r="I178" s="11" t="n">
        <x:f>IF($A178="","",AVERAGE($H178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918.6107500186141</x:v>
      </x:c>
      <x:c r="J178" s="12" t="n">
        <x:f>IF($A178="","",1+SUMIFS(Assumptions!$S$5:$S$10,Assumptions!$P$5:$P$10,$B178,Assumptions!$Q$5:$Q$10,"&lt;="&amp;$A178,Assumptions!$R$5:$R$10,"&gt;="&amp;$A178))</x:f>
        <x:v>1</x:v>
      </x:c>
      <x:c r="K178" s="12" t="n">
        <x:f>IF($A178="","",1+((($A178-Assumptions!$B$5)/30)*INDEX(Assumptions!$J$5:$J$12,MATCH($B178,Assumptions!$D$5:$D$12,0))))</x:f>
        <x:v>0.9988333333333334</x:v>
      </x:c>
      <x:c r="L178" t="str">
        <x:f>IF($A178="","",IFERROR(INDEX(Assumptions!$O$5:$O$10,MATCH(1,(Assumptions!$P$5:$P$10=$B178)*(Assumptions!$Q$5:$Q$10&lt;=$A178)*(Assumptions!$R$5:$R$10&gt;=$A178),0)),""))</x:f>
      </x:c>
      <x:c r="M178" t="n">
        <x:f>--($A178&lt;&gt;"")</x:f>
        <x:v>1</x:v>
      </x:c>
    </x:row>
    <x:row r="179">
      <x:c r="A179" s="10" t="n">
        <x:f>IF(Assumptions!$B$5+INT((ROW()-2)/Assumptions!$B$7)&gt;Assumptions!$B$6,"",Assumptions!$B$5+INT((ROW()-2)/Assumptions!$B$7))</x:f>
        <x:v>46058</x:v>
      </x:c>
      <x:c r="B179" t="str">
        <x:f>IF($A179="","",INDEX(Assumptions!$D$5:$D$12,MOD(ROW()-2,Assumptions!$B$7)+1))</x:f>
        <x:v>Nostromo Deep</x:v>
      </x:c>
      <x:c r="C179" s="11" t="n">
        <x:f>IF($A179="","",INDEX(Assumptions!$F$5:$F$12,MATCH($B179,Assumptions!$D$5:$D$12,0)))</x:f>
        <x:v>1260</x:v>
      </x:c>
      <x:c r="D179" s="11" t="n">
        <x:f>IF($A179="","",INDEX(Assumptions!$G$5:$G$12,MATCH($B179,Assumptions!$D$5:$D$12,0)))</x:f>
        <x:v>145</x:v>
      </x:c>
      <x:c r="E179" s="11" t="n">
        <x:f>IF($A179="","",INDEX(Assumptions!$M$5:$M$11,WEEKDAY($A179,2)))</x:f>
        <x:v>1</x:v>
      </x:c>
      <x:c r="F179" s="11" t="n">
        <x:f>IF($A179="","",Assumptions!$B$15)</x:f>
        <x:v>0.35</x:v>
      </x:c>
      <x:c r="G179" s="11" t="n">
        <x:f>IF($A179="","",MAX(INDEX(Assumptions!$H$5:$H$12,MATCH($B179,Assumptions!$D$5:$D$12,0)),MIN(INDEX(Assumptions!$I$5:$I$12,MATCH($B179,Assumptions!$D$5:$D$12,0)),($C179+$D179*SQRT(-2*LN(RAND()))*COS(2*PI()*RAND()))*$E179*$J179*$K179)))</x:f>
        <x:v>1514.6875112417547</x:v>
      </x:c>
      <x:c r="H179" s="11" t="n">
        <x:f>IF($A179="","",$G179*$F179+$C179*(1-$F179))</x:f>
        <x:v>1349.1406289346141</x:v>
      </x:c>
      <x:c r="I179" s="11" t="n">
        <x:f>IF($A179="","",AVERAGE($H179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1288.467033542554</x:v>
      </x:c>
      <x:c r="J179" s="12" t="n">
        <x:f>IF($A179="","",1+SUMIFS(Assumptions!$S$5:$S$10,Assumptions!$P$5:$P$10,$B179,Assumptions!$Q$5:$Q$10,"&lt;="&amp;$A179,Assumptions!$R$5:$R$10,"&gt;="&amp;$A179))</x:f>
        <x:v>1</x:v>
      </x:c>
      <x:c r="K179" s="12" t="n">
        <x:f>IF($A179="","",1+((($A179-Assumptions!$B$5)/30)*INDEX(Assumptions!$J$5:$J$12,MATCH($B179,Assumptions!$D$5:$D$12,0))))</x:f>
        <x:v>1.0035</x:v>
      </x:c>
      <x:c r="L179" t="str">
        <x:f>IF($A179="","",IFERROR(INDEX(Assumptions!$O$5:$O$10,MATCH(1,(Assumptions!$P$5:$P$10=$B179)*(Assumptions!$Q$5:$Q$10&lt;=$A179)*(Assumptions!$R$5:$R$10&gt;=$A179),0)),""))</x:f>
      </x:c>
      <x:c r="M179" t="n">
        <x:f>--($A179&lt;&gt;"")</x:f>
        <x:v>1</x:v>
      </x:c>
    </x:row>
    <x:row r="180">
      <x:c r="A180" s="10" t="n">
        <x:f>IF(Assumptions!$B$5+INT((ROW()-2)/Assumptions!$B$7)&gt;Assumptions!$B$6,"",Assumptions!$B$5+INT((ROW()-2)/Assumptions!$B$7))</x:f>
        <x:v>46058</x:v>
      </x:c>
      <x:c r="B180" t="str">
        <x:f>IF($A180="","",INDEX(Assumptions!$D$5:$D$12,MOD(ROW()-2,Assumptions!$B$7)+1))</x:f>
        <x:v>Hadley's Hope</x:v>
      </x:c>
      <x:c r="C180" s="11" t="n">
        <x:f>IF($A180="","",INDEX(Assumptions!$F$5:$F$12,MATCH($B180,Assumptions!$D$5:$D$12,0)))</x:f>
        <x:v>845</x:v>
      </x:c>
      <x:c r="D180" s="11" t="n">
        <x:f>IF($A180="","",INDEX(Assumptions!$G$5:$G$12,MATCH($B180,Assumptions!$D$5:$D$12,0)))</x:f>
        <x:v>80</x:v>
      </x:c>
      <x:c r="E180" s="11" t="n">
        <x:f>IF($A180="","",INDEX(Assumptions!$M$5:$M$11,WEEKDAY($A180,2)))</x:f>
        <x:v>1</x:v>
      </x:c>
      <x:c r="F180" s="11" t="n">
        <x:f>IF($A180="","",Assumptions!$B$15)</x:f>
        <x:v>0.35</x:v>
      </x:c>
      <x:c r="G180" s="11" t="n">
        <x:f>IF($A180="","",MAX(INDEX(Assumptions!$H$5:$H$12,MATCH($B180,Assumptions!$D$5:$D$12,0)),MIN(INDEX(Assumptions!$I$5:$I$12,MATCH($B180,Assumptions!$D$5:$D$12,0)),($C180+$D180*SQRT(-2*LN(RAND()))*COS(2*PI()*RAND()))*$E180*$J180*$K180)))</x:f>
        <x:v>777.5622960407057</x:v>
      </x:c>
      <x:c r="H180" s="11" t="n">
        <x:f>IF($A180="","",$G180*$F180+$C180*(1-$F180))</x:f>
        <x:v>821.396803614247</x:v>
      </x:c>
      <x:c r="I180" s="11" t="n">
        <x:f>IF($A180="","",AVERAGE($H180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827.7002208069854</x:v>
      </x:c>
      <x:c r="J180" s="12" t="n">
        <x:f>IF($A180="","",1+SUMIFS(Assumptions!$S$5:$S$10,Assumptions!$P$5:$P$10,$B180,Assumptions!$Q$5:$Q$10,"&lt;="&amp;$A180,Assumptions!$R$5:$R$10,"&gt;="&amp;$A180))</x:f>
        <x:v>1</x:v>
      </x:c>
      <x:c r="K180" s="12" t="n">
        <x:f>IF($A180="","",1+((($A180-Assumptions!$B$5)/30)*INDEX(Assumptions!$J$5:$J$12,MATCH($B180,Assumptions!$D$5:$D$12,0))))</x:f>
        <x:v>1.0011666666666668</x:v>
      </x:c>
      <x:c r="L180" t="str">
        <x:f>IF($A180="","",IFERROR(INDEX(Assumptions!$O$5:$O$10,MATCH(1,(Assumptions!$P$5:$P$10=$B180)*(Assumptions!$Q$5:$Q$10&lt;=$A180)*(Assumptions!$R$5:$R$10&gt;=$A180),0)),""))</x:f>
      </x:c>
      <x:c r="M180" t="n">
        <x:f>--($A180&lt;&gt;"")</x:f>
        <x:v>1</x:v>
      </x:c>
    </x:row>
    <x:row r="181">
      <x:c r="A181" s="10" t="n">
        <x:f>IF(Assumptions!$B$5+INT((ROW()-2)/Assumptions!$B$7)&gt;Assumptions!$B$6,"",Assumptions!$B$5+INT((ROW()-2)/Assumptions!$B$7))</x:f>
        <x:v>46058</x:v>
      </x:c>
      <x:c r="B181" t="str">
        <x:f>IF($A181="","",INDEX(Assumptions!$D$5:$D$12,MOD(ROW()-2,Assumptions!$B$7)+1))</x:f>
        <x:v>Yutani Ridge</x:v>
      </x:c>
      <x:c r="C181" s="11" t="n">
        <x:f>IF($A181="","",INDEX(Assumptions!$F$5:$F$12,MATCH($B181,Assumptions!$D$5:$D$12,0)))</x:f>
        <x:v>1050</x:v>
      </x:c>
      <x:c r="D181" s="11" t="n">
        <x:f>IF($A181="","",INDEX(Assumptions!$G$5:$G$12,MATCH($B181,Assumptions!$D$5:$D$12,0)))</x:f>
        <x:v>125</x:v>
      </x:c>
      <x:c r="E181" s="11" t="n">
        <x:f>IF($A181="","",INDEX(Assumptions!$M$5:$M$11,WEEKDAY($A181,2)))</x:f>
        <x:v>1</x:v>
      </x:c>
      <x:c r="F181" s="11" t="n">
        <x:f>IF($A181="","",Assumptions!$B$15)</x:f>
        <x:v>0.35</x:v>
      </x:c>
      <x:c r="G181" s="11" t="n">
        <x:f>IF($A181="","",MAX(INDEX(Assumptions!$H$5:$H$12,MATCH($B181,Assumptions!$D$5:$D$12,0)),MIN(INDEX(Assumptions!$I$5:$I$12,MATCH($B181,Assumptions!$D$5:$D$12,0)),($C181+$D181*SQRT(-2*LN(RAND()))*COS(2*PI()*RAND()))*$E181*$J181*$K181)))</x:f>
        <x:v>1191.5056721959952</x:v>
      </x:c>
      <x:c r="H181" s="11" t="n">
        <x:f>IF($A181="","",$G181*$F181+$C181*(1-$F181))</x:f>
        <x:v>1099.5269852685983</x:v>
      </x:c>
      <x:c r="I181" s="11" t="n">
        <x:f>IF($A181="","",AVERAGE($H181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1044.7954671371024</x:v>
      </x:c>
      <x:c r="J181" s="12" t="n">
        <x:f>IF($A181="","",1+SUMIFS(Assumptions!$S$5:$S$10,Assumptions!$P$5:$P$10,$B181,Assumptions!$Q$5:$Q$10,"&lt;="&amp;$A181,Assumptions!$R$5:$R$10,"&gt;="&amp;$A181))</x:f>
        <x:v>1</x:v>
      </x:c>
      <x:c r="K181" s="12" t="n">
        <x:f>IF($A181="","",1+((($A181-Assumptions!$B$5)/30)*INDEX(Assumptions!$J$5:$J$12,MATCH($B181,Assumptions!$D$5:$D$12,0))))</x:f>
        <x:v>1.0029166666666667</x:v>
      </x:c>
      <x:c r="L181" t="str">
        <x:f>IF($A181="","",IFERROR(INDEX(Assumptions!$O$5:$O$10,MATCH(1,(Assumptions!$P$5:$P$10=$B181)*(Assumptions!$Q$5:$Q$10&lt;=$A181)*(Assumptions!$R$5:$R$10&gt;=$A181),0)),""))</x:f>
      </x:c>
      <x:c r="M181" t="n">
        <x:f>--($A181&lt;&gt;"")</x:f>
        <x:v>1</x:v>
      </x:c>
    </x:row>
    <x:row r="182">
      <x:c r="A182" s="10" t="n">
        <x:f>IF(Assumptions!$B$5+INT((ROW()-2)/Assumptions!$B$7)&gt;Assumptions!$B$6,"",Assumptions!$B$5+INT((ROW()-2)/Assumptions!$B$7))</x:f>
        <x:v>46059</x:v>
      </x:c>
      <x:c r="B182" t="str">
        <x:f>IF($A182="","",INDEX(Assumptions!$D$5:$D$12,MOD(ROW()-2,Assumptions!$B$7)+1))</x:f>
        <x:v>Acheron Prime</x:v>
      </x:c>
      <x:c r="C182" s="11" t="n">
        <x:f>IF($A182="","",INDEX(Assumptions!$F$5:$F$12,MATCH($B182,Assumptions!$D$5:$D$12,0)))</x:f>
        <x:v>1120</x:v>
      </x:c>
      <x:c r="D182" s="11" t="n">
        <x:f>IF($A182="","",INDEX(Assumptions!$G$5:$G$12,MATCH($B182,Assumptions!$D$5:$D$12,0)))</x:f>
        <x:v>115</x:v>
      </x:c>
      <x:c r="E182" s="11" t="n">
        <x:f>IF($A182="","",INDEX(Assumptions!$M$5:$M$11,WEEKDAY($A182,2)))</x:f>
        <x:v>0.98</x:v>
      </x:c>
      <x:c r="F182" s="11" t="n">
        <x:f>IF($A182="","",Assumptions!$B$15)</x:f>
        <x:v>0.35</x:v>
      </x:c>
      <x:c r="G182" s="11" t="n">
        <x:f>IF($A182="","",MAX(INDEX(Assumptions!$H$5:$H$12,MATCH($B182,Assumptions!$D$5:$D$12,0)),MIN(INDEX(Assumptions!$I$5:$I$12,MATCH($B182,Assumptions!$D$5:$D$12,0)),($C182+$D182*SQRT(-2*LN(RAND()))*COS(2*PI()*RAND()))*$E182*$J182*$K182)))</x:f>
        <x:v>1332.2550614352301</x:v>
      </x:c>
      <x:c r="H182" s="11" t="n">
        <x:f>IF($A182="","",$G182*$F182+$C182*(1-$F182))</x:f>
        <x:v>1194.2892715023304</x:v>
      </x:c>
      <x:c r="I182" s="11" t="n">
        <x:f>IF($A182="","",AVERAGE($H182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1124.2904290554056</x:v>
      </x:c>
      <x:c r="J182" s="12" t="n">
        <x:f>IF($A182="","",1+SUMIFS(Assumptions!$S$5:$S$10,Assumptions!$P$5:$P$10,$B182,Assumptions!$Q$5:$Q$10,"&lt;="&amp;$A182,Assumptions!$R$5:$R$10,"&gt;="&amp;$A182))</x:f>
        <x:v>1</x:v>
      </x:c>
      <x:c r="K182" s="12" t="n">
        <x:f>IF($A182="","",1+((($A182-Assumptions!$B$5)/30)*INDEX(Assumptions!$J$5:$J$12,MATCH($B182,Assumptions!$D$5:$D$12,0))))</x:f>
        <x:v>1.0024</x:v>
      </x:c>
      <x:c r="L182" t="str">
        <x:f>IF($A182="","",IFERROR(INDEX(Assumptions!$O$5:$O$10,MATCH(1,(Assumptions!$P$5:$P$10=$B182)*(Assumptions!$Q$5:$Q$10&lt;=$A182)*(Assumptions!$R$5:$R$10&gt;=$A182),0)),""))</x:f>
      </x:c>
      <x:c r="M182" t="n">
        <x:f>--($A182&lt;&gt;"")</x:f>
        <x:v>1</x:v>
      </x:c>
    </x:row>
    <x:row r="183">
      <x:c r="A183" s="10" t="n">
        <x:f>IF(Assumptions!$B$5+INT((ROW()-2)/Assumptions!$B$7)&gt;Assumptions!$B$6,"",Assumptions!$B$5+INT((ROW()-2)/Assumptions!$B$7))</x:f>
        <x:v>46059</x:v>
      </x:c>
      <x:c r="B183" t="str">
        <x:f>IF($A183="","",INDEX(Assumptions!$D$5:$D$12,MOD(ROW()-2,Assumptions!$B$7)+1))</x:f>
        <x:v>LV-426 North</x:v>
      </x:c>
      <x:c r="C183" s="11" t="n">
        <x:f>IF($A183="","",INDEX(Assumptions!$F$5:$F$12,MATCH($B183,Assumptions!$D$5:$D$12,0)))</x:f>
        <x:v>930</x:v>
      </x:c>
      <x:c r="D183" s="11" t="n">
        <x:f>IF($A183="","",INDEX(Assumptions!$G$5:$G$12,MATCH($B183,Assumptions!$D$5:$D$12,0)))</x:f>
        <x:v>95</x:v>
      </x:c>
      <x:c r="E183" s="11" t="n">
        <x:f>IF($A183="","",INDEX(Assumptions!$M$5:$M$11,WEEKDAY($A183,2)))</x:f>
        <x:v>0.98</x:v>
      </x:c>
      <x:c r="F183" s="11" t="n">
        <x:f>IF($A183="","",Assumptions!$B$15)</x:f>
        <x:v>0.35</x:v>
      </x:c>
      <x:c r="G183" s="11" t="n">
        <x:f>IF($A183="","",MAX(INDEX(Assumptions!$H$5:$H$12,MATCH($B183,Assumptions!$D$5:$D$12,0)),MIN(INDEX(Assumptions!$I$5:$I$12,MATCH($B183,Assumptions!$D$5:$D$12,0)),($C183+$D183*SQRT(-2*LN(RAND()))*COS(2*PI()*RAND()))*$E183*$J183*$K183)))</x:f>
        <x:v>793.6940394044123</x:v>
      </x:c>
      <x:c r="H183" s="11" t="n">
        <x:f>IF($A183="","",$G183*$F183+$C183*(1-$F183))</x:f>
        <x:v>882.2929137915443</x:v>
      </x:c>
      <x:c r="I183" s="11" t="n">
        <x:f>IF($A183="","",AVERAGE($H183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910.2953511946861</x:v>
      </x:c>
      <x:c r="J183" s="12" t="n">
        <x:f>IF($A183="","",1+SUMIFS(Assumptions!$S$5:$S$10,Assumptions!$P$5:$P$10,$B183,Assumptions!$Q$5:$Q$10,"&lt;="&amp;$A183,Assumptions!$R$5:$R$10,"&gt;="&amp;$A183))</x:f>
        <x:v>1</x:v>
      </x:c>
      <x:c r="K183" s="12" t="n">
        <x:f>IF($A183="","",1+((($A183-Assumptions!$B$5)/30)*INDEX(Assumptions!$J$5:$J$12,MATCH($B183,Assumptions!$D$5:$D$12,0))))</x:f>
        <x:v>0.9988</x:v>
      </x:c>
      <x:c r="L183" t="str">
        <x:f>IF($A183="","",IFERROR(INDEX(Assumptions!$O$5:$O$10,MATCH(1,(Assumptions!$P$5:$P$10=$B183)*(Assumptions!$Q$5:$Q$10&lt;=$A183)*(Assumptions!$R$5:$R$10&gt;=$A183),0)),""))</x:f>
      </x:c>
      <x:c r="M183" t="n">
        <x:f>--($A183&lt;&gt;"")</x:f>
        <x:v>1</x:v>
      </x:c>
    </x:row>
    <x:row r="184">
      <x:c r="A184" s="10" t="n">
        <x:f>IF(Assumptions!$B$5+INT((ROW()-2)/Assumptions!$B$7)&gt;Assumptions!$B$6,"",Assumptions!$B$5+INT((ROW()-2)/Assumptions!$B$7))</x:f>
        <x:v>46059</x:v>
      </x:c>
      <x:c r="B184" t="str">
        <x:f>IF($A184="","",INDEX(Assumptions!$D$5:$D$12,MOD(ROW()-2,Assumptions!$B$7)+1))</x:f>
        <x:v>Nostromo Deep</x:v>
      </x:c>
      <x:c r="C184" s="11" t="n">
        <x:f>IF($A184="","",INDEX(Assumptions!$F$5:$F$12,MATCH($B184,Assumptions!$D$5:$D$12,0)))</x:f>
        <x:v>1260</x:v>
      </x:c>
      <x:c r="D184" s="11" t="n">
        <x:f>IF($A184="","",INDEX(Assumptions!$G$5:$G$12,MATCH($B184,Assumptions!$D$5:$D$12,0)))</x:f>
        <x:v>145</x:v>
      </x:c>
      <x:c r="E184" s="11" t="n">
        <x:f>IF($A184="","",INDEX(Assumptions!$M$5:$M$11,WEEKDAY($A184,2)))</x:f>
        <x:v>0.98</x:v>
      </x:c>
      <x:c r="F184" s="11" t="n">
        <x:f>IF($A184="","",Assumptions!$B$15)</x:f>
        <x:v>0.35</x:v>
      </x:c>
      <x:c r="G184" s="11" t="n">
        <x:f>IF($A184="","",MAX(INDEX(Assumptions!$H$5:$H$12,MATCH($B184,Assumptions!$D$5:$D$12,0)),MIN(INDEX(Assumptions!$I$5:$I$12,MATCH($B184,Assumptions!$D$5:$D$12,0)),($C184+$D184*SQRT(-2*LN(RAND()))*COS(2*PI()*RAND()))*$E184*$J184*$K184)))</x:f>
        <x:v>1333.6169919360716</x:v>
      </x:c>
      <x:c r="H184" s="11" t="n">
        <x:f>IF($A184="","",$G184*$F184+$C184*(1-$F184))</x:f>
        <x:v>1285.765947177625</x:v>
      </x:c>
      <x:c r="I184" s="11" t="n">
        <x:f>IF($A184="","",AVERAGE($H184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1295.2261821713578</x:v>
      </x:c>
      <x:c r="J184" s="12" t="n">
        <x:f>IF($A184="","",1+SUMIFS(Assumptions!$S$5:$S$10,Assumptions!$P$5:$P$10,$B184,Assumptions!$Q$5:$Q$10,"&lt;="&amp;$A184,Assumptions!$R$5:$R$10,"&gt;="&amp;$A184))</x:f>
        <x:v>1</x:v>
      </x:c>
      <x:c r="K184" s="12" t="n">
        <x:f>IF($A184="","",1+((($A184-Assumptions!$B$5)/30)*INDEX(Assumptions!$J$5:$J$12,MATCH($B184,Assumptions!$D$5:$D$12,0))))</x:f>
        <x:v>1.0036</x:v>
      </x:c>
      <x:c r="L184" t="str">
        <x:f>IF($A184="","",IFERROR(INDEX(Assumptions!$O$5:$O$10,MATCH(1,(Assumptions!$P$5:$P$10=$B184)*(Assumptions!$Q$5:$Q$10&lt;=$A184)*(Assumptions!$R$5:$R$10&gt;=$A184),0)),""))</x:f>
      </x:c>
      <x:c r="M184" t="n">
        <x:f>--($A184&lt;&gt;"")</x:f>
        <x:v>1</x:v>
      </x:c>
    </x:row>
    <x:row r="185">
      <x:c r="A185" s="10" t="n">
        <x:f>IF(Assumptions!$B$5+INT((ROW()-2)/Assumptions!$B$7)&gt;Assumptions!$B$6,"",Assumptions!$B$5+INT((ROW()-2)/Assumptions!$B$7))</x:f>
        <x:v>46059</x:v>
      </x:c>
      <x:c r="B185" t="str">
        <x:f>IF($A185="","",INDEX(Assumptions!$D$5:$D$12,MOD(ROW()-2,Assumptions!$B$7)+1))</x:f>
        <x:v>Hadley's Hope</x:v>
      </x:c>
      <x:c r="C185" s="11" t="n">
        <x:f>IF($A185="","",INDEX(Assumptions!$F$5:$F$12,MATCH($B185,Assumptions!$D$5:$D$12,0)))</x:f>
        <x:v>845</x:v>
      </x:c>
      <x:c r="D185" s="11" t="n">
        <x:f>IF($A185="","",INDEX(Assumptions!$G$5:$G$12,MATCH($B185,Assumptions!$D$5:$D$12,0)))</x:f>
        <x:v>80</x:v>
      </x:c>
      <x:c r="E185" s="11" t="n">
        <x:f>IF($A185="","",INDEX(Assumptions!$M$5:$M$11,WEEKDAY($A185,2)))</x:f>
        <x:v>0.98</x:v>
      </x:c>
      <x:c r="F185" s="11" t="n">
        <x:f>IF($A185="","",Assumptions!$B$15)</x:f>
        <x:v>0.35</x:v>
      </x:c>
      <x:c r="G185" s="11" t="n">
        <x:f>IF($A185="","",MAX(INDEX(Assumptions!$H$5:$H$12,MATCH($B185,Assumptions!$D$5:$D$12,0)),MIN(INDEX(Assumptions!$I$5:$I$12,MATCH($B185,Assumptions!$D$5:$D$12,0)),($C185+$D185*SQRT(-2*LN(RAND()))*COS(2*PI()*RAND()))*$E185*$J185*$K185)))</x:f>
        <x:v>820.0443529776128</x:v>
      </x:c>
      <x:c r="H185" s="11" t="n">
        <x:f>IF($A185="","",$G185*$F185+$C185*(1-$F185))</x:f>
        <x:v>836.2655235421644</x:v>
      </x:c>
      <x:c r="I185" s="11" t="n">
        <x:f>IF($A185="","",AVERAGE($H185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822.020278660351</x:v>
      </x:c>
      <x:c r="J185" s="12" t="n">
        <x:f>IF($A185="","",1+SUMIFS(Assumptions!$S$5:$S$10,Assumptions!$P$5:$P$10,$B185,Assumptions!$Q$5:$Q$10,"&lt;="&amp;$A185,Assumptions!$R$5:$R$10,"&gt;="&amp;$A185))</x:f>
        <x:v>1</x:v>
      </x:c>
      <x:c r="K185" s="12" t="n">
        <x:f>IF($A185="","",1+((($A185-Assumptions!$B$5)/30)*INDEX(Assumptions!$J$5:$J$12,MATCH($B185,Assumptions!$D$5:$D$12,0))))</x:f>
        <x:v>1.0012</x:v>
      </x:c>
      <x:c r="L185" t="str">
        <x:f>IF($A185="","",IFERROR(INDEX(Assumptions!$O$5:$O$10,MATCH(1,(Assumptions!$P$5:$P$10=$B185)*(Assumptions!$Q$5:$Q$10&lt;=$A185)*(Assumptions!$R$5:$R$10&gt;=$A185),0)),""))</x:f>
      </x:c>
      <x:c r="M185" t="n">
        <x:f>--($A185&lt;&gt;"")</x:f>
        <x:v>1</x:v>
      </x:c>
    </x:row>
    <x:row r="186">
      <x:c r="A186" s="10" t="n">
        <x:f>IF(Assumptions!$B$5+INT((ROW()-2)/Assumptions!$B$7)&gt;Assumptions!$B$6,"",Assumptions!$B$5+INT((ROW()-2)/Assumptions!$B$7))</x:f>
        <x:v>46059</x:v>
      </x:c>
      <x:c r="B186" t="str">
        <x:f>IF($A186="","",INDEX(Assumptions!$D$5:$D$12,MOD(ROW()-2,Assumptions!$B$7)+1))</x:f>
        <x:v>Yutani Ridge</x:v>
      </x:c>
      <x:c r="C186" s="11" t="n">
        <x:f>IF($A186="","",INDEX(Assumptions!$F$5:$F$12,MATCH($B186,Assumptions!$D$5:$D$12,0)))</x:f>
        <x:v>1050</x:v>
      </x:c>
      <x:c r="D186" s="11" t="n">
        <x:f>IF($A186="","",INDEX(Assumptions!$G$5:$G$12,MATCH($B186,Assumptions!$D$5:$D$12,0)))</x:f>
        <x:v>125</x:v>
      </x:c>
      <x:c r="E186" s="11" t="n">
        <x:f>IF($A186="","",INDEX(Assumptions!$M$5:$M$11,WEEKDAY($A186,2)))</x:f>
        <x:v>0.98</x:v>
      </x:c>
      <x:c r="F186" s="11" t="n">
        <x:f>IF($A186="","",Assumptions!$B$15)</x:f>
        <x:v>0.35</x:v>
      </x:c>
      <x:c r="G186" s="11" t="n">
        <x:f>IF($A186="","",MAX(INDEX(Assumptions!$H$5:$H$12,MATCH($B186,Assumptions!$D$5:$D$12,0)),MIN(INDEX(Assumptions!$I$5:$I$12,MATCH($B186,Assumptions!$D$5:$D$12,0)),($C186+$D186*SQRT(-2*LN(RAND()))*COS(2*PI()*RAND()))*$E186*$J186*$K186)))</x:f>
        <x:v>1118.378797971382</x:v>
      </x:c>
      <x:c r="H186" s="11" t="n">
        <x:f>IF($A186="","",$G186*$F186+$C186*(1-$F186))</x:f>
        <x:v>1073.9325792899836</x:v>
      </x:c>
      <x:c r="I186" s="11" t="n">
        <x:f>IF($A186="","",AVERAGE($H186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1052.1001555863381</x:v>
      </x:c>
      <x:c r="J186" s="12" t="n">
        <x:f>IF($A186="","",1+SUMIFS(Assumptions!$S$5:$S$10,Assumptions!$P$5:$P$10,$B186,Assumptions!$Q$5:$Q$10,"&lt;="&amp;$A186,Assumptions!$R$5:$R$10,"&gt;="&amp;$A186))</x:f>
        <x:v>1</x:v>
      </x:c>
      <x:c r="K186" s="12" t="n">
        <x:f>IF($A186="","",1+((($A186-Assumptions!$B$5)/30)*INDEX(Assumptions!$J$5:$J$12,MATCH($B186,Assumptions!$D$5:$D$12,0))))</x:f>
        <x:v>1.003</x:v>
      </x:c>
      <x:c r="L186" t="str">
        <x:f>IF($A186="","",IFERROR(INDEX(Assumptions!$O$5:$O$10,MATCH(1,(Assumptions!$P$5:$P$10=$B186)*(Assumptions!$Q$5:$Q$10&lt;=$A186)*(Assumptions!$R$5:$R$10&gt;=$A186),0)),""))</x:f>
      </x:c>
      <x:c r="M186" t="n">
        <x:f>--($A186&lt;&gt;"")</x:f>
        <x:v>1</x:v>
      </x:c>
    </x:row>
    <x:row r="187">
      <x:c r="A187" s="10" t="n">
        <x:f>IF(Assumptions!$B$5+INT((ROW()-2)/Assumptions!$B$7)&gt;Assumptions!$B$6,"",Assumptions!$B$5+INT((ROW()-2)/Assumptions!$B$7))</x:f>
        <x:v>46060</x:v>
      </x:c>
      <x:c r="B187" t="str">
        <x:f>IF($A187="","",INDEX(Assumptions!$D$5:$D$12,MOD(ROW()-2,Assumptions!$B$7)+1))</x:f>
        <x:v>Acheron Prime</x:v>
      </x:c>
      <x:c r="C187" s="11" t="n">
        <x:f>IF($A187="","",INDEX(Assumptions!$F$5:$F$12,MATCH($B187,Assumptions!$D$5:$D$12,0)))</x:f>
        <x:v>1120</x:v>
      </x:c>
      <x:c r="D187" s="11" t="n">
        <x:f>IF($A187="","",INDEX(Assumptions!$G$5:$G$12,MATCH($B187,Assumptions!$D$5:$D$12,0)))</x:f>
        <x:v>115</x:v>
      </x:c>
      <x:c r="E187" s="11" t="n">
        <x:f>IF($A187="","",INDEX(Assumptions!$M$5:$M$11,WEEKDAY($A187,2)))</x:f>
        <x:v>0.91</x:v>
      </x:c>
      <x:c r="F187" s="11" t="n">
        <x:f>IF($A187="","",Assumptions!$B$15)</x:f>
        <x:v>0.35</x:v>
      </x:c>
      <x:c r="G187" s="11" t="n">
        <x:f>IF($A187="","",MAX(INDEX(Assumptions!$H$5:$H$12,MATCH($B187,Assumptions!$D$5:$D$12,0)),MIN(INDEX(Assumptions!$I$5:$I$12,MATCH($B187,Assumptions!$D$5:$D$12,0)),($C187+$D187*SQRT(-2*LN(RAND()))*COS(2*PI()*RAND()))*$E187*$J187*$K187)))</x:f>
        <x:v>1060.1997101252884</x:v>
      </x:c>
      <x:c r="H187" s="11" t="n">
        <x:f>IF($A187="","",$G187*$F187+$C187*(1-$F187))</x:f>
        <x:v>1099.069898543851</x:v>
      </x:c>
      <x:c r="I187" s="11" t="n">
        <x:f>IF($A187="","",AVERAGE($H187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1125.6831433310947</x:v>
      </x:c>
      <x:c r="J187" s="12" t="n">
        <x:f>IF($A187="","",1+SUMIFS(Assumptions!$S$5:$S$10,Assumptions!$P$5:$P$10,$B187,Assumptions!$Q$5:$Q$10,"&lt;="&amp;$A187,Assumptions!$R$5:$R$10,"&gt;="&amp;$A187))</x:f>
        <x:v>1</x:v>
      </x:c>
      <x:c r="K187" s="12" t="n">
        <x:f>IF($A187="","",1+((($A187-Assumptions!$B$5)/30)*INDEX(Assumptions!$J$5:$J$12,MATCH($B187,Assumptions!$D$5:$D$12,0))))</x:f>
        <x:v>1.0024666666666666</x:v>
      </x:c>
      <x:c r="L187" t="str">
        <x:f>IF($A187="","",IFERROR(INDEX(Assumptions!$O$5:$O$10,MATCH(1,(Assumptions!$P$5:$P$10=$B187)*(Assumptions!$Q$5:$Q$10&lt;=$A187)*(Assumptions!$R$5:$R$10&gt;=$A187),0)),""))</x:f>
      </x:c>
      <x:c r="M187" t="n">
        <x:f>--($A187&lt;&gt;"")</x:f>
        <x:v>1</x:v>
      </x:c>
    </x:row>
    <x:row r="188">
      <x:c r="A188" s="10" t="n">
        <x:f>IF(Assumptions!$B$5+INT((ROW()-2)/Assumptions!$B$7)&gt;Assumptions!$B$6,"",Assumptions!$B$5+INT((ROW()-2)/Assumptions!$B$7))</x:f>
        <x:v>46060</x:v>
      </x:c>
      <x:c r="B188" t="str">
        <x:f>IF($A188="","",INDEX(Assumptions!$D$5:$D$12,MOD(ROW()-2,Assumptions!$B$7)+1))</x:f>
        <x:v>LV-426 North</x:v>
      </x:c>
      <x:c r="C188" s="11" t="n">
        <x:f>IF($A188="","",INDEX(Assumptions!$F$5:$F$12,MATCH($B188,Assumptions!$D$5:$D$12,0)))</x:f>
        <x:v>930</x:v>
      </x:c>
      <x:c r="D188" s="11" t="n">
        <x:f>IF($A188="","",INDEX(Assumptions!$G$5:$G$12,MATCH($B188,Assumptions!$D$5:$D$12,0)))</x:f>
        <x:v>95</x:v>
      </x:c>
      <x:c r="E188" s="11" t="n">
        <x:f>IF($A188="","",INDEX(Assumptions!$M$5:$M$11,WEEKDAY($A188,2)))</x:f>
        <x:v>0.91</x:v>
      </x:c>
      <x:c r="F188" s="11" t="n">
        <x:f>IF($A188="","",Assumptions!$B$15)</x:f>
        <x:v>0.35</x:v>
      </x:c>
      <x:c r="G188" s="11" t="n">
        <x:f>IF($A188="","",MAX(INDEX(Assumptions!$H$5:$H$12,MATCH($B188,Assumptions!$D$5:$D$12,0)),MIN(INDEX(Assumptions!$I$5:$I$12,MATCH($B188,Assumptions!$D$5:$D$12,0)),($C188+$D188*SQRT(-2*LN(RAND()))*COS(2*PI()*RAND()))*$E188*$J188*$K188)))</x:f>
        <x:v>952.1229890643629</x:v>
      </x:c>
      <x:c r="H188" s="11" t="n">
        <x:f>IF($A188="","",$G188*$F188+$C188*(1-$F188))</x:f>
        <x:v>937.743046172527</x:v>
      </x:c>
      <x:c r="I188" s="11" t="n">
        <x:f>IF($A188="","",AVERAGE($H188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919.7624049115711</x:v>
      </x:c>
      <x:c r="J188" s="12" t="n">
        <x:f>IF($A188="","",1+SUMIFS(Assumptions!$S$5:$S$10,Assumptions!$P$5:$P$10,$B188,Assumptions!$Q$5:$Q$10,"&lt;="&amp;$A188,Assumptions!$R$5:$R$10,"&gt;="&amp;$A188))</x:f>
        <x:v>1</x:v>
      </x:c>
      <x:c r="K188" s="12" t="n">
        <x:f>IF($A188="","",1+((($A188-Assumptions!$B$5)/30)*INDEX(Assumptions!$J$5:$J$12,MATCH($B188,Assumptions!$D$5:$D$12,0))))</x:f>
        <x:v>0.9987666666666667</x:v>
      </x:c>
      <x:c r="L188" t="str">
        <x:f>IF($A188="","",IFERROR(INDEX(Assumptions!$O$5:$O$10,MATCH(1,(Assumptions!$P$5:$P$10=$B188)*(Assumptions!$Q$5:$Q$10&lt;=$A188)*(Assumptions!$R$5:$R$10&gt;=$A188),0)),""))</x:f>
      </x:c>
      <x:c r="M188" t="n">
        <x:f>--($A188&lt;&gt;"")</x:f>
        <x:v>1</x:v>
      </x:c>
    </x:row>
    <x:row r="189">
      <x:c r="A189" s="10" t="n">
        <x:f>IF(Assumptions!$B$5+INT((ROW()-2)/Assumptions!$B$7)&gt;Assumptions!$B$6,"",Assumptions!$B$5+INT((ROW()-2)/Assumptions!$B$7))</x:f>
        <x:v>46060</x:v>
      </x:c>
      <x:c r="B189" t="str">
        <x:f>IF($A189="","",INDEX(Assumptions!$D$5:$D$12,MOD(ROW()-2,Assumptions!$B$7)+1))</x:f>
        <x:v>Nostromo Deep</x:v>
      </x:c>
      <x:c r="C189" s="11" t="n">
        <x:f>IF($A189="","",INDEX(Assumptions!$F$5:$F$12,MATCH($B189,Assumptions!$D$5:$D$12,0)))</x:f>
        <x:v>1260</x:v>
      </x:c>
      <x:c r="D189" s="11" t="n">
        <x:f>IF($A189="","",INDEX(Assumptions!$G$5:$G$12,MATCH($B189,Assumptions!$D$5:$D$12,0)))</x:f>
        <x:v>145</x:v>
      </x:c>
      <x:c r="E189" s="11" t="n">
        <x:f>IF($A189="","",INDEX(Assumptions!$M$5:$M$11,WEEKDAY($A189,2)))</x:f>
        <x:v>0.91</x:v>
      </x:c>
      <x:c r="F189" s="11" t="n">
        <x:f>IF($A189="","",Assumptions!$B$15)</x:f>
        <x:v>0.35</x:v>
      </x:c>
      <x:c r="G189" s="11" t="n">
        <x:f>IF($A189="","",MAX(INDEX(Assumptions!$H$5:$H$12,MATCH($B189,Assumptions!$D$5:$D$12,0)),MIN(INDEX(Assumptions!$I$5:$I$12,MATCH($B189,Assumptions!$D$5:$D$12,0)),($C189+$D189*SQRT(-2*LN(RAND()))*COS(2*PI()*RAND()))*$E189*$J189*$K189)))</x:f>
        <x:v>979.5323949576409</x:v>
      </x:c>
      <x:c r="H189" s="11" t="n">
        <x:f>IF($A189="","",$G189*$F189+$C189*(1-$F189))</x:f>
        <x:v>1161.8363382351743</x:v>
      </x:c>
      <x:c r="I189" s="11" t="n">
        <x:f>IF($A189="","",AVERAGE($H189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1292.7654177959755</x:v>
      </x:c>
      <x:c r="J189" s="12" t="n">
        <x:f>IF($A189="","",1+SUMIFS(Assumptions!$S$5:$S$10,Assumptions!$P$5:$P$10,$B189,Assumptions!$Q$5:$Q$10,"&lt;="&amp;$A189,Assumptions!$R$5:$R$10,"&gt;="&amp;$A189))</x:f>
        <x:v>1</x:v>
      </x:c>
      <x:c r="K189" s="12" t="n">
        <x:f>IF($A189="","",1+((($A189-Assumptions!$B$5)/30)*INDEX(Assumptions!$J$5:$J$12,MATCH($B189,Assumptions!$D$5:$D$12,0))))</x:f>
        <x:v>1.0037</x:v>
      </x:c>
      <x:c r="L189" t="str">
        <x:f>IF($A189="","",IFERROR(INDEX(Assumptions!$O$5:$O$10,MATCH(1,(Assumptions!$P$5:$P$10=$B189)*(Assumptions!$Q$5:$Q$10&lt;=$A189)*(Assumptions!$R$5:$R$10&gt;=$A189),0)),""))</x:f>
      </x:c>
      <x:c r="M189" t="n">
        <x:f>--($A189&lt;&gt;"")</x:f>
        <x:v>1</x:v>
      </x:c>
    </x:row>
    <x:row r="190">
      <x:c r="A190" s="10" t="n">
        <x:f>IF(Assumptions!$B$5+INT((ROW()-2)/Assumptions!$B$7)&gt;Assumptions!$B$6,"",Assumptions!$B$5+INT((ROW()-2)/Assumptions!$B$7))</x:f>
        <x:v>46060</x:v>
      </x:c>
      <x:c r="B190" t="str">
        <x:f>IF($A190="","",INDEX(Assumptions!$D$5:$D$12,MOD(ROW()-2,Assumptions!$B$7)+1))</x:f>
        <x:v>Hadley's Hope</x:v>
      </x:c>
      <x:c r="C190" s="11" t="n">
        <x:f>IF($A190="","",INDEX(Assumptions!$F$5:$F$12,MATCH($B190,Assumptions!$D$5:$D$12,0)))</x:f>
        <x:v>845</x:v>
      </x:c>
      <x:c r="D190" s="11" t="n">
        <x:f>IF($A190="","",INDEX(Assumptions!$G$5:$G$12,MATCH($B190,Assumptions!$D$5:$D$12,0)))</x:f>
        <x:v>80</x:v>
      </x:c>
      <x:c r="E190" s="11" t="n">
        <x:f>IF($A190="","",INDEX(Assumptions!$M$5:$M$11,WEEKDAY($A190,2)))</x:f>
        <x:v>0.91</x:v>
      </x:c>
      <x:c r="F190" s="11" t="n">
        <x:f>IF($A190="","",Assumptions!$B$15)</x:f>
        <x:v>0.35</x:v>
      </x:c>
      <x:c r="G190" s="11" t="n">
        <x:f>IF($A190="","",MAX(INDEX(Assumptions!$H$5:$H$12,MATCH($B190,Assumptions!$D$5:$D$12,0)),MIN(INDEX(Assumptions!$I$5:$I$12,MATCH($B190,Assumptions!$D$5:$D$12,0)),($C190+$D190*SQRT(-2*LN(RAND()))*COS(2*PI()*RAND()))*$E190*$J190*$K190)))</x:f>
        <x:v>657.878721333384</x:v>
      </x:c>
      <x:c r="H190" s="11" t="n">
        <x:f>IF($A190="","",$G190*$F190+$C190*(1-$F190))</x:f>
        <x:v>779.5075524666844</x:v>
      </x:c>
      <x:c r="I190" s="11" t="n">
        <x:f>IF($A190="","",AVERAGE($H190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823.567784075105</x:v>
      </x:c>
      <x:c r="J190" s="12" t="n">
        <x:f>IF($A190="","",1+SUMIFS(Assumptions!$S$5:$S$10,Assumptions!$P$5:$P$10,$B190,Assumptions!$Q$5:$Q$10,"&lt;="&amp;$A190,Assumptions!$R$5:$R$10,"&gt;="&amp;$A190))</x:f>
        <x:v>1</x:v>
      </x:c>
      <x:c r="K190" s="12" t="n">
        <x:f>IF($A190="","",1+((($A190-Assumptions!$B$5)/30)*INDEX(Assumptions!$J$5:$J$12,MATCH($B190,Assumptions!$D$5:$D$12,0))))</x:f>
        <x:v>1.0012333333333334</x:v>
      </x:c>
      <x:c r="L190" t="str">
        <x:f>IF($A190="","",IFERROR(INDEX(Assumptions!$O$5:$O$10,MATCH(1,(Assumptions!$P$5:$P$10=$B190)*(Assumptions!$Q$5:$Q$10&lt;=$A190)*(Assumptions!$R$5:$R$10&gt;=$A190),0)),""))</x:f>
      </x:c>
      <x:c r="M190" t="n">
        <x:f>--($A190&lt;&gt;"")</x:f>
        <x:v>1</x:v>
      </x:c>
    </x:row>
    <x:row r="191">
      <x:c r="A191" s="10" t="n">
        <x:f>IF(Assumptions!$B$5+INT((ROW()-2)/Assumptions!$B$7)&gt;Assumptions!$B$6,"",Assumptions!$B$5+INT((ROW()-2)/Assumptions!$B$7))</x:f>
        <x:v>46060</x:v>
      </x:c>
      <x:c r="B191" t="str">
        <x:f>IF($A191="","",INDEX(Assumptions!$D$5:$D$12,MOD(ROW()-2,Assumptions!$B$7)+1))</x:f>
        <x:v>Yutani Ridge</x:v>
      </x:c>
      <x:c r="C191" s="11" t="n">
        <x:f>IF($A191="","",INDEX(Assumptions!$F$5:$F$12,MATCH($B191,Assumptions!$D$5:$D$12,0)))</x:f>
        <x:v>1050</x:v>
      </x:c>
      <x:c r="D191" s="11" t="n">
        <x:f>IF($A191="","",INDEX(Assumptions!$G$5:$G$12,MATCH($B191,Assumptions!$D$5:$D$12,0)))</x:f>
        <x:v>125</x:v>
      </x:c>
      <x:c r="E191" s="11" t="n">
        <x:f>IF($A191="","",INDEX(Assumptions!$M$5:$M$11,WEEKDAY($A191,2)))</x:f>
        <x:v>0.91</x:v>
      </x:c>
      <x:c r="F191" s="11" t="n">
        <x:f>IF($A191="","",Assumptions!$B$15)</x:f>
        <x:v>0.35</x:v>
      </x:c>
      <x:c r="G191" s="11" t="n">
        <x:f>IF($A191="","",MAX(INDEX(Assumptions!$H$5:$H$12,MATCH($B191,Assumptions!$D$5:$D$12,0)),MIN(INDEX(Assumptions!$I$5:$I$12,MATCH($B191,Assumptions!$D$5:$D$12,0)),($C191+$D191*SQRT(-2*LN(RAND()))*COS(2*PI()*RAND()))*$E191*$J191*$K191)))</x:f>
        <x:v>839.6542719875754</x:v>
      </x:c>
      <x:c r="H191" s="11" t="n">
        <x:f>IF($A191="","",$G191*$F191+$C191*(1-$F191))</x:f>
        <x:v>976.3789951956514</x:v>
      </x:c>
      <x:c r="I191" s="11" t="n">
        <x:f>IF($A191="","",AVERAGE($H191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1058.8567622893672</x:v>
      </x:c>
      <x:c r="J191" s="12" t="n">
        <x:f>IF($A191="","",1+SUMIFS(Assumptions!$S$5:$S$10,Assumptions!$P$5:$P$10,$B191,Assumptions!$Q$5:$Q$10,"&lt;="&amp;$A191,Assumptions!$R$5:$R$10,"&gt;="&amp;$A191))</x:f>
        <x:v>1</x:v>
      </x:c>
      <x:c r="K191" s="12" t="n">
        <x:f>IF($A191="","",1+((($A191-Assumptions!$B$5)/30)*INDEX(Assumptions!$J$5:$J$12,MATCH($B191,Assumptions!$D$5:$D$12,0))))</x:f>
        <x:v>1.0030833333333333</x:v>
      </x:c>
      <x:c r="L191" t="str">
        <x:f>IF($A191="","",IFERROR(INDEX(Assumptions!$O$5:$O$10,MATCH(1,(Assumptions!$P$5:$P$10=$B191)*(Assumptions!$Q$5:$Q$10&lt;=$A191)*(Assumptions!$R$5:$R$10&gt;=$A191),0)),""))</x:f>
      </x:c>
      <x:c r="M191" t="n">
        <x:f>--($A191&lt;&gt;"")</x:f>
        <x:v>1</x:v>
      </x:c>
    </x:row>
    <x:row r="192">
      <x:c r="A192" s="10" t="n">
        <x:f>IF(Assumptions!$B$5+INT((ROW()-2)/Assumptions!$B$7)&gt;Assumptions!$B$6,"",Assumptions!$B$5+INT((ROW()-2)/Assumptions!$B$7))</x:f>
        <x:v>46061</x:v>
      </x:c>
      <x:c r="B192" t="str">
        <x:f>IF($A192="","",INDEX(Assumptions!$D$5:$D$12,MOD(ROW()-2,Assumptions!$B$7)+1))</x:f>
        <x:v>Acheron Prime</x:v>
      </x:c>
      <x:c r="C192" s="11" t="n">
        <x:f>IF($A192="","",INDEX(Assumptions!$F$5:$F$12,MATCH($B192,Assumptions!$D$5:$D$12,0)))</x:f>
        <x:v>1120</x:v>
      </x:c>
      <x:c r="D192" s="11" t="n">
        <x:f>IF($A192="","",INDEX(Assumptions!$G$5:$G$12,MATCH($B192,Assumptions!$D$5:$D$12,0)))</x:f>
        <x:v>115</x:v>
      </x:c>
      <x:c r="E192" s="11" t="n">
        <x:f>IF($A192="","",INDEX(Assumptions!$M$5:$M$11,WEEKDAY($A192,2)))</x:f>
        <x:v>0.87</x:v>
      </x:c>
      <x:c r="F192" s="11" t="n">
        <x:f>IF($A192="","",Assumptions!$B$15)</x:f>
        <x:v>0.35</x:v>
      </x:c>
      <x:c r="G192" s="11" t="n">
        <x:f>IF($A192="","",MAX(INDEX(Assumptions!$H$5:$H$12,MATCH($B192,Assumptions!$D$5:$D$12,0)),MIN(INDEX(Assumptions!$I$5:$I$12,MATCH($B192,Assumptions!$D$5:$D$12,0)),($C192+$D192*SQRT(-2*LN(RAND()))*COS(2*PI()*RAND()))*$E192*$J192*$K192)))</x:f>
        <x:v>1070.1931970574271</x:v>
      </x:c>
      <x:c r="H192" s="11" t="n">
        <x:f>IF($A192="","",$G192*$F192+$C192*(1-$F192))</x:f>
        <x:v>1102.5676189700994</x:v>
      </x:c>
      <x:c r="I192" s="11" t="n">
        <x:f>IF($A192="","",AVERAGE($H192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1127.0761088980926</x:v>
      </x:c>
      <x:c r="J192" s="12" t="n">
        <x:f>IF($A192="","",1+SUMIFS(Assumptions!$S$5:$S$10,Assumptions!$P$5:$P$10,$B192,Assumptions!$Q$5:$Q$10,"&lt;="&amp;$A192,Assumptions!$R$5:$R$10,"&gt;="&amp;$A192))</x:f>
        <x:v>1</x:v>
      </x:c>
      <x:c r="K192" s="12" t="n">
        <x:f>IF($A192="","",1+((($A192-Assumptions!$B$5)/30)*INDEX(Assumptions!$J$5:$J$12,MATCH($B192,Assumptions!$D$5:$D$12,0))))</x:f>
        <x:v>1.0025333333333333</x:v>
      </x:c>
      <x:c r="L192" t="str">
        <x:f>IF($A192="","",IFERROR(INDEX(Assumptions!$O$5:$O$10,MATCH(1,(Assumptions!$P$5:$P$10=$B192)*(Assumptions!$Q$5:$Q$10&lt;=$A192)*(Assumptions!$R$5:$R$10&gt;=$A192),0)),""))</x:f>
      </x:c>
      <x:c r="M192" t="n">
        <x:f>--($A192&lt;&gt;"")</x:f>
        <x:v>1</x:v>
      </x:c>
    </x:row>
    <x:row r="193">
      <x:c r="A193" s="10" t="n">
        <x:f>IF(Assumptions!$B$5+INT((ROW()-2)/Assumptions!$B$7)&gt;Assumptions!$B$6,"",Assumptions!$B$5+INT((ROW()-2)/Assumptions!$B$7))</x:f>
        <x:v>46061</x:v>
      </x:c>
      <x:c r="B193" t="str">
        <x:f>IF($A193="","",INDEX(Assumptions!$D$5:$D$12,MOD(ROW()-2,Assumptions!$B$7)+1))</x:f>
        <x:v>LV-426 North</x:v>
      </x:c>
      <x:c r="C193" s="11" t="n">
        <x:f>IF($A193="","",INDEX(Assumptions!$F$5:$F$12,MATCH($B193,Assumptions!$D$5:$D$12,0)))</x:f>
        <x:v>930</x:v>
      </x:c>
      <x:c r="D193" s="11" t="n">
        <x:f>IF($A193="","",INDEX(Assumptions!$G$5:$G$12,MATCH($B193,Assumptions!$D$5:$D$12,0)))</x:f>
        <x:v>95</x:v>
      </x:c>
      <x:c r="E193" s="11" t="n">
        <x:f>IF($A193="","",INDEX(Assumptions!$M$5:$M$11,WEEKDAY($A193,2)))</x:f>
        <x:v>0.87</x:v>
      </x:c>
      <x:c r="F193" s="11" t="n">
        <x:f>IF($A193="","",Assumptions!$B$15)</x:f>
        <x:v>0.35</x:v>
      </x:c>
      <x:c r="G193" s="11" t="n">
        <x:f>IF($A193="","",MAX(INDEX(Assumptions!$H$5:$H$12,MATCH($B193,Assumptions!$D$5:$D$12,0)),MIN(INDEX(Assumptions!$I$5:$I$12,MATCH($B193,Assumptions!$D$5:$D$12,0)),($C193+$D193*SQRT(-2*LN(RAND()))*COS(2*PI()*RAND()))*$E193*$J193*$K193)))</x:f>
        <x:v>795.8936149438399</x:v>
      </x:c>
      <x:c r="H193" s="11" t="n">
        <x:f>IF($A193="","",$G193*$F193+$C193*(1-$F193))</x:f>
        <x:v>883.062765230344</x:v>
      </x:c>
      <x:c r="I193" s="11" t="n">
        <x:f>IF($A193="","",AVERAGE($H193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919.7721522545406</x:v>
      </x:c>
      <x:c r="J193" s="12" t="n">
        <x:f>IF($A193="","",1+SUMIFS(Assumptions!$S$5:$S$10,Assumptions!$P$5:$P$10,$B193,Assumptions!$Q$5:$Q$10,"&lt;="&amp;$A193,Assumptions!$R$5:$R$10,"&gt;="&amp;$A193))</x:f>
        <x:v>1</x:v>
      </x:c>
      <x:c r="K193" s="12" t="n">
        <x:f>IF($A193="","",1+((($A193-Assumptions!$B$5)/30)*INDEX(Assumptions!$J$5:$J$12,MATCH($B193,Assumptions!$D$5:$D$12,0))))</x:f>
        <x:v>0.9987333333333334</x:v>
      </x:c>
      <x:c r="L193" t="str">
        <x:f>IF($A193="","",IFERROR(INDEX(Assumptions!$O$5:$O$10,MATCH(1,(Assumptions!$P$5:$P$10=$B193)*(Assumptions!$Q$5:$Q$10&lt;=$A193)*(Assumptions!$R$5:$R$10&gt;=$A193),0)),""))</x:f>
      </x:c>
      <x:c r="M193" t="n">
        <x:f>--($A193&lt;&gt;"")</x:f>
        <x:v>1</x:v>
      </x:c>
    </x:row>
    <x:row r="194">
      <x:c r="A194" s="10" t="n">
        <x:f>IF(Assumptions!$B$5+INT((ROW()-2)/Assumptions!$B$7)&gt;Assumptions!$B$6,"",Assumptions!$B$5+INT((ROW()-2)/Assumptions!$B$7))</x:f>
        <x:v>46061</x:v>
      </x:c>
      <x:c r="B194" t="str">
        <x:f>IF($A194="","",INDEX(Assumptions!$D$5:$D$12,MOD(ROW()-2,Assumptions!$B$7)+1))</x:f>
        <x:v>Nostromo Deep</x:v>
      </x:c>
      <x:c r="C194" s="11" t="n">
        <x:f>IF($A194="","",INDEX(Assumptions!$F$5:$F$12,MATCH($B194,Assumptions!$D$5:$D$12,0)))</x:f>
        <x:v>1260</x:v>
      </x:c>
      <x:c r="D194" s="11" t="n">
        <x:f>IF($A194="","",INDEX(Assumptions!$G$5:$G$12,MATCH($B194,Assumptions!$D$5:$D$12,0)))</x:f>
        <x:v>145</x:v>
      </x:c>
      <x:c r="E194" s="11" t="n">
        <x:f>IF($A194="","",INDEX(Assumptions!$M$5:$M$11,WEEKDAY($A194,2)))</x:f>
        <x:v>0.87</x:v>
      </x:c>
      <x:c r="F194" s="11" t="n">
        <x:f>IF($A194="","",Assumptions!$B$15)</x:f>
        <x:v>0.35</x:v>
      </x:c>
      <x:c r="G194" s="11" t="n">
        <x:f>IF($A194="","",MAX(INDEX(Assumptions!$H$5:$H$12,MATCH($B194,Assumptions!$D$5:$D$12,0)),MIN(INDEX(Assumptions!$I$5:$I$12,MATCH($B194,Assumptions!$D$5:$D$12,0)),($C194+$D194*SQRT(-2*LN(RAND()))*COS(2*PI()*RAND()))*$E194*$J194*$K194)))</x:f>
        <x:v>986.8984455303757</x:v>
      </x:c>
      <x:c r="H194" s="11" t="n">
        <x:f>IF($A194="","",$G194*$F194+$C194*(1-$F194))</x:f>
        <x:v>1164.4144559356314</x:v>
      </x:c>
      <x:c r="I194" s="11" t="n">
        <x:f>IF($A194="","",AVERAGE($H194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1280.7806383367156</x:v>
      </x:c>
      <x:c r="J194" s="12" t="n">
        <x:f>IF($A194="","",1+SUMIFS(Assumptions!$S$5:$S$10,Assumptions!$P$5:$P$10,$B194,Assumptions!$Q$5:$Q$10,"&lt;="&amp;$A194,Assumptions!$R$5:$R$10,"&gt;="&amp;$A194))</x:f>
        <x:v>1</x:v>
      </x:c>
      <x:c r="K194" s="12" t="n">
        <x:f>IF($A194="","",1+((($A194-Assumptions!$B$5)/30)*INDEX(Assumptions!$J$5:$J$12,MATCH($B194,Assumptions!$D$5:$D$12,0))))</x:f>
        <x:v>1.0038</x:v>
      </x:c>
      <x:c r="L194" t="str">
        <x:f>IF($A194="","",IFERROR(INDEX(Assumptions!$O$5:$O$10,MATCH(1,(Assumptions!$P$5:$P$10=$B194)*(Assumptions!$Q$5:$Q$10&lt;=$A194)*(Assumptions!$R$5:$R$10&gt;=$A194),0)),""))</x:f>
      </x:c>
      <x:c r="M194" t="n">
        <x:f>--($A194&lt;&gt;"")</x:f>
        <x:v>1</x:v>
      </x:c>
    </x:row>
    <x:row r="195">
      <x:c r="A195" s="10" t="n">
        <x:f>IF(Assumptions!$B$5+INT((ROW()-2)/Assumptions!$B$7)&gt;Assumptions!$B$6,"",Assumptions!$B$5+INT((ROW()-2)/Assumptions!$B$7))</x:f>
        <x:v>46061</x:v>
      </x:c>
      <x:c r="B195" t="str">
        <x:f>IF($A195="","",INDEX(Assumptions!$D$5:$D$12,MOD(ROW()-2,Assumptions!$B$7)+1))</x:f>
        <x:v>Hadley's Hope</x:v>
      </x:c>
      <x:c r="C195" s="11" t="n">
        <x:f>IF($A195="","",INDEX(Assumptions!$F$5:$F$12,MATCH($B195,Assumptions!$D$5:$D$12,0)))</x:f>
        <x:v>845</x:v>
      </x:c>
      <x:c r="D195" s="11" t="n">
        <x:f>IF($A195="","",INDEX(Assumptions!$G$5:$G$12,MATCH($B195,Assumptions!$D$5:$D$12,0)))</x:f>
        <x:v>80</x:v>
      </x:c>
      <x:c r="E195" s="11" t="n">
        <x:f>IF($A195="","",INDEX(Assumptions!$M$5:$M$11,WEEKDAY($A195,2)))</x:f>
        <x:v>0.87</x:v>
      </x:c>
      <x:c r="F195" s="11" t="n">
        <x:f>IF($A195="","",Assumptions!$B$15)</x:f>
        <x:v>0.35</x:v>
      </x:c>
      <x:c r="G195" s="11" t="n">
        <x:f>IF($A195="","",MAX(INDEX(Assumptions!$H$5:$H$12,MATCH($B195,Assumptions!$D$5:$D$12,0)),MIN(INDEX(Assumptions!$I$5:$I$12,MATCH($B195,Assumptions!$D$5:$D$12,0)),($C195+$D195*SQRT(-2*LN(RAND()))*COS(2*PI()*RAND()))*$E195*$J195*$K195)))</x:f>
        <x:v>822.0130617546854</x:v>
      </x:c>
      <x:c r="H195" s="11" t="n">
        <x:f>IF($A195="","",$G195*$F195+$C195*(1-$F195))</x:f>
        <x:v>836.9545716141399</x:v>
      </x:c>
      <x:c r="I195" s="11" t="n">
        <x:f>IF($A195="","",AVERAGE($H195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834.3309869641771</x:v>
      </x:c>
      <x:c r="J195" s="12" t="n">
        <x:f>IF($A195="","",1+SUMIFS(Assumptions!$S$5:$S$10,Assumptions!$P$5:$P$10,$B195,Assumptions!$Q$5:$Q$10,"&lt;="&amp;$A195,Assumptions!$R$5:$R$10,"&gt;="&amp;$A195))</x:f>
        <x:v>1</x:v>
      </x:c>
      <x:c r="K195" s="12" t="n">
        <x:f>IF($A195="","",1+((($A195-Assumptions!$B$5)/30)*INDEX(Assumptions!$J$5:$J$12,MATCH($B195,Assumptions!$D$5:$D$12,0))))</x:f>
        <x:v>1.0012666666666667</x:v>
      </x:c>
      <x:c r="L195" t="str">
        <x:f>IF($A195="","",IFERROR(INDEX(Assumptions!$O$5:$O$10,MATCH(1,(Assumptions!$P$5:$P$10=$B195)*(Assumptions!$Q$5:$Q$10&lt;=$A195)*(Assumptions!$R$5:$R$10&gt;=$A195),0)),""))</x:f>
      </x:c>
      <x:c r="M195" t="n">
        <x:f>--($A195&lt;&gt;"")</x:f>
        <x:v>1</x:v>
      </x:c>
    </x:row>
    <x:row r="196">
      <x:c r="A196" s="10" t="n">
        <x:f>IF(Assumptions!$B$5+INT((ROW()-2)/Assumptions!$B$7)&gt;Assumptions!$B$6,"",Assumptions!$B$5+INT((ROW()-2)/Assumptions!$B$7))</x:f>
        <x:v>46061</x:v>
      </x:c>
      <x:c r="B196" t="str">
        <x:f>IF($A196="","",INDEX(Assumptions!$D$5:$D$12,MOD(ROW()-2,Assumptions!$B$7)+1))</x:f>
        <x:v>Yutani Ridge</x:v>
      </x:c>
      <x:c r="C196" s="11" t="n">
        <x:f>IF($A196="","",INDEX(Assumptions!$F$5:$F$12,MATCH($B196,Assumptions!$D$5:$D$12,0)))</x:f>
        <x:v>1050</x:v>
      </x:c>
      <x:c r="D196" s="11" t="n">
        <x:f>IF($A196="","",INDEX(Assumptions!$G$5:$G$12,MATCH($B196,Assumptions!$D$5:$D$12,0)))</x:f>
        <x:v>125</x:v>
      </x:c>
      <x:c r="E196" s="11" t="n">
        <x:f>IF($A196="","",INDEX(Assumptions!$M$5:$M$11,WEEKDAY($A196,2)))</x:f>
        <x:v>0.87</x:v>
      </x:c>
      <x:c r="F196" s="11" t="n">
        <x:f>IF($A196="","",Assumptions!$B$15)</x:f>
        <x:v>0.35</x:v>
      </x:c>
      <x:c r="G196" s="11" t="n">
        <x:f>IF($A196="","",MAX(INDEX(Assumptions!$H$5:$H$12,MATCH($B196,Assumptions!$D$5:$D$12,0)),MIN(INDEX(Assumptions!$I$5:$I$12,MATCH($B196,Assumptions!$D$5:$D$12,0)),($C196+$D196*SQRT(-2*LN(RAND()))*COS(2*PI()*RAND()))*$E196*$J196*$K196)))</x:f>
        <x:v>1073.0898305311057</x:v>
      </x:c>
      <x:c r="H196" s="11" t="n">
        <x:f>IF($A196="","",$G196*$F196+$C196*(1-$F196))</x:f>
        <x:v>1058.081440685887</x:v>
      </x:c>
      <x:c r="I196" s="11" t="n">
        <x:f>IF($A196="","",AVERAGE($H196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1064.1451446800909</x:v>
      </x:c>
      <x:c r="J196" s="12" t="n">
        <x:f>IF($A196="","",1+SUMIFS(Assumptions!$S$5:$S$10,Assumptions!$P$5:$P$10,$B196,Assumptions!$Q$5:$Q$10,"&lt;="&amp;$A196,Assumptions!$R$5:$R$10,"&gt;="&amp;$A196))</x:f>
        <x:v>1</x:v>
      </x:c>
      <x:c r="K196" s="12" t="n">
        <x:f>IF($A196="","",1+((($A196-Assumptions!$B$5)/30)*INDEX(Assumptions!$J$5:$J$12,MATCH($B196,Assumptions!$D$5:$D$12,0))))</x:f>
        <x:v>1.0031666666666668</x:v>
      </x:c>
      <x:c r="L196" t="str">
        <x:f>IF($A196="","",IFERROR(INDEX(Assumptions!$O$5:$O$10,MATCH(1,(Assumptions!$P$5:$P$10=$B196)*(Assumptions!$Q$5:$Q$10&lt;=$A196)*(Assumptions!$R$5:$R$10&gt;=$A196),0)),""))</x:f>
      </x:c>
      <x:c r="M196" t="n">
        <x:f>--($A196&lt;&gt;"")</x:f>
        <x:v>1</x:v>
      </x:c>
    </x:row>
    <x:row r="197">
      <x:c r="A197" s="10" t="n">
        <x:f>IF(Assumptions!$B$5+INT((ROW()-2)/Assumptions!$B$7)&gt;Assumptions!$B$6,"",Assumptions!$B$5+INT((ROW()-2)/Assumptions!$B$7))</x:f>
        <x:v>46062</x:v>
      </x:c>
      <x:c r="B197" t="str">
        <x:f>IF($A197="","",INDEX(Assumptions!$D$5:$D$12,MOD(ROW()-2,Assumptions!$B$7)+1))</x:f>
        <x:v>Acheron Prime</x:v>
      </x:c>
      <x:c r="C197" s="11" t="n">
        <x:f>IF($A197="","",INDEX(Assumptions!$F$5:$F$12,MATCH($B197,Assumptions!$D$5:$D$12,0)))</x:f>
        <x:v>1120</x:v>
      </x:c>
      <x:c r="D197" s="11" t="n">
        <x:f>IF($A197="","",INDEX(Assumptions!$G$5:$G$12,MATCH($B197,Assumptions!$D$5:$D$12,0)))</x:f>
        <x:v>115</x:v>
      </x:c>
      <x:c r="E197" s="11" t="n">
        <x:f>IF($A197="","",INDEX(Assumptions!$M$5:$M$11,WEEKDAY($A197,2)))</x:f>
        <x:v>1.03</x:v>
      </x:c>
      <x:c r="F197" s="11" t="n">
        <x:f>IF($A197="","",Assumptions!$B$15)</x:f>
        <x:v>0.35</x:v>
      </x:c>
      <x:c r="G197" s="11" t="n">
        <x:f>IF($A197="","",MAX(INDEX(Assumptions!$H$5:$H$12,MATCH($B197,Assumptions!$D$5:$D$12,0)),MIN(INDEX(Assumptions!$I$5:$I$12,MATCH($B197,Assumptions!$D$5:$D$12,0)),($C197+$D197*SQRT(-2*LN(RAND()))*COS(2*PI()*RAND()))*$E197*$J197*$K197)))</x:f>
        <x:v>1171.9315512048297</x:v>
      </x:c>
      <x:c r="H197" s="11" t="n">
        <x:f>IF($A197="","",$G197*$F197+$C197*(1-$F197))</x:f>
        <x:v>1138.1760429216904</x:v>
      </x:c>
      <x:c r="I197" s="11" t="n">
        <x:f>IF($A197="","",AVERAGE($H197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1135.8017592099857</x:v>
      </x:c>
      <x:c r="J197" s="12" t="n">
        <x:f>IF($A197="","",1+SUMIFS(Assumptions!$S$5:$S$10,Assumptions!$P$5:$P$10,$B197,Assumptions!$Q$5:$Q$10,"&lt;="&amp;$A197,Assumptions!$R$5:$R$10,"&gt;="&amp;$A197))</x:f>
        <x:v>1</x:v>
      </x:c>
      <x:c r="K197" s="12" t="n">
        <x:f>IF($A197="","",1+((($A197-Assumptions!$B$5)/30)*INDEX(Assumptions!$J$5:$J$12,MATCH($B197,Assumptions!$D$5:$D$12,0))))</x:f>
        <x:v>1.0026</x:v>
      </x:c>
      <x:c r="L197" t="str">
        <x:f>IF($A197="","",IFERROR(INDEX(Assumptions!$O$5:$O$10,MATCH(1,(Assumptions!$P$5:$P$10=$B197)*(Assumptions!$Q$5:$Q$10&lt;=$A197)*(Assumptions!$R$5:$R$10&gt;=$A197),0)),""))</x:f>
      </x:c>
      <x:c r="M197" t="n">
        <x:f>--($A197&lt;&gt;"")</x:f>
        <x:v>1</x:v>
      </x:c>
    </x:row>
    <x:row r="198">
      <x:c r="A198" s="10" t="n">
        <x:f>IF(Assumptions!$B$5+INT((ROW()-2)/Assumptions!$B$7)&gt;Assumptions!$B$6,"",Assumptions!$B$5+INT((ROW()-2)/Assumptions!$B$7))</x:f>
        <x:v>46062</x:v>
      </x:c>
      <x:c r="B198" t="str">
        <x:f>IF($A198="","",INDEX(Assumptions!$D$5:$D$12,MOD(ROW()-2,Assumptions!$B$7)+1))</x:f>
        <x:v>LV-426 North</x:v>
      </x:c>
      <x:c r="C198" s="11" t="n">
        <x:f>IF($A198="","",INDEX(Assumptions!$F$5:$F$12,MATCH($B198,Assumptions!$D$5:$D$12,0)))</x:f>
        <x:v>930</x:v>
      </x:c>
      <x:c r="D198" s="11" t="n">
        <x:f>IF($A198="","",INDEX(Assumptions!$G$5:$G$12,MATCH($B198,Assumptions!$D$5:$D$12,0)))</x:f>
        <x:v>95</x:v>
      </x:c>
      <x:c r="E198" s="11" t="n">
        <x:f>IF($A198="","",INDEX(Assumptions!$M$5:$M$11,WEEKDAY($A198,2)))</x:f>
        <x:v>1.03</x:v>
      </x:c>
      <x:c r="F198" s="11" t="n">
        <x:f>IF($A198="","",Assumptions!$B$15)</x:f>
        <x:v>0.35</x:v>
      </x:c>
      <x:c r="G198" s="11" t="n">
        <x:f>IF($A198="","",MAX(INDEX(Assumptions!$H$5:$H$12,MATCH($B198,Assumptions!$D$5:$D$12,0)),MIN(INDEX(Assumptions!$I$5:$I$12,MATCH($B198,Assumptions!$D$5:$D$12,0)),($C198+$D198*SQRT(-2*LN(RAND()))*COS(2*PI()*RAND()))*$E198*$J198*$K198)))</x:f>
        <x:v>814.1513500446468</x:v>
      </x:c>
      <x:c r="H198" s="11" t="n">
        <x:f>IF($A198="","",$G198*$F198+$C198*(1-$F198))</x:f>
        <x:v>889.4529725156264</x:v>
      </x:c>
      <x:c r="I198" s="11" t="n">
        <x:f>IF($A198="","",AVERAGE($H198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905.4052976975876</x:v>
      </x:c>
      <x:c r="J198" s="12" t="n">
        <x:f>IF($A198="","",1+SUMIFS(Assumptions!$S$5:$S$10,Assumptions!$P$5:$P$10,$B198,Assumptions!$Q$5:$Q$10,"&lt;="&amp;$A198,Assumptions!$R$5:$R$10,"&gt;="&amp;$A198))</x:f>
        <x:v>1</x:v>
      </x:c>
      <x:c r="K198" s="12" t="n">
        <x:f>IF($A198="","",1+((($A198-Assumptions!$B$5)/30)*INDEX(Assumptions!$J$5:$J$12,MATCH($B198,Assumptions!$D$5:$D$12,0))))</x:f>
        <x:v>0.9987</x:v>
      </x:c>
      <x:c r="L198" t="str">
        <x:f>IF($A198="","",IFERROR(INDEX(Assumptions!$O$5:$O$10,MATCH(1,(Assumptions!$P$5:$P$10=$B198)*(Assumptions!$Q$5:$Q$10&lt;=$A198)*(Assumptions!$R$5:$R$10&gt;=$A198),0)),""))</x:f>
      </x:c>
      <x:c r="M198" t="n">
        <x:f>--($A198&lt;&gt;"")</x:f>
        <x:v>1</x:v>
      </x:c>
    </x:row>
    <x:row r="199">
      <x:c r="A199" s="10" t="n">
        <x:f>IF(Assumptions!$B$5+INT((ROW()-2)/Assumptions!$B$7)&gt;Assumptions!$B$6,"",Assumptions!$B$5+INT((ROW()-2)/Assumptions!$B$7))</x:f>
        <x:v>46062</x:v>
      </x:c>
      <x:c r="B199" t="str">
        <x:f>IF($A199="","",INDEX(Assumptions!$D$5:$D$12,MOD(ROW()-2,Assumptions!$B$7)+1))</x:f>
        <x:v>Nostromo Deep</x:v>
      </x:c>
      <x:c r="C199" s="11" t="n">
        <x:f>IF($A199="","",INDEX(Assumptions!$F$5:$F$12,MATCH($B199,Assumptions!$D$5:$D$12,0)))</x:f>
        <x:v>1260</x:v>
      </x:c>
      <x:c r="D199" s="11" t="n">
        <x:f>IF($A199="","",INDEX(Assumptions!$G$5:$G$12,MATCH($B199,Assumptions!$D$5:$D$12,0)))</x:f>
        <x:v>145</x:v>
      </x:c>
      <x:c r="E199" s="11" t="n">
        <x:f>IF($A199="","",INDEX(Assumptions!$M$5:$M$11,WEEKDAY($A199,2)))</x:f>
        <x:v>1.03</x:v>
      </x:c>
      <x:c r="F199" s="11" t="n">
        <x:f>IF($A199="","",Assumptions!$B$15)</x:f>
        <x:v>0.35</x:v>
      </x:c>
      <x:c r="G199" s="11" t="n">
        <x:f>IF($A199="","",MAX(INDEX(Assumptions!$H$5:$H$12,MATCH($B199,Assumptions!$D$5:$D$12,0)),MIN(INDEX(Assumptions!$I$5:$I$12,MATCH($B199,Assumptions!$D$5:$D$12,0)),($C199+$D199*SQRT(-2*LN(RAND()))*COS(2*PI()*RAND()))*$E199*$J199*$K199)))</x:f>
        <x:v>1325.2643800964127</x:v>
      </x:c>
      <x:c r="H199" s="11" t="n">
        <x:f>IF($A199="","",$G199*$F199+$C199*(1-$F199))</x:f>
        <x:v>1282.8425330337445</x:v>
      </x:c>
      <x:c r="I199" s="11" t="n">
        <x:f>IF($A199="","",AVERAGE($H199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1272.3089677496262</x:v>
      </x:c>
      <x:c r="J199" s="12" t="n">
        <x:f>IF($A199="","",1+SUMIFS(Assumptions!$S$5:$S$10,Assumptions!$P$5:$P$10,$B199,Assumptions!$Q$5:$Q$10,"&lt;="&amp;$A199,Assumptions!$R$5:$R$10,"&gt;="&amp;$A199))</x:f>
        <x:v>1</x:v>
      </x:c>
      <x:c r="K199" s="12" t="n">
        <x:f>IF($A199="","",1+((($A199-Assumptions!$B$5)/30)*INDEX(Assumptions!$J$5:$J$12,MATCH($B199,Assumptions!$D$5:$D$12,0))))</x:f>
        <x:v>1.0039</x:v>
      </x:c>
      <x:c r="L199" t="str">
        <x:f>IF($A199="","",IFERROR(INDEX(Assumptions!$O$5:$O$10,MATCH(1,(Assumptions!$P$5:$P$10=$B199)*(Assumptions!$Q$5:$Q$10&lt;=$A199)*(Assumptions!$R$5:$R$10&gt;=$A199),0)),""))</x:f>
      </x:c>
      <x:c r="M199" t="n">
        <x:f>--($A199&lt;&gt;"")</x:f>
        <x:v>1</x:v>
      </x:c>
    </x:row>
    <x:row r="200">
      <x:c r="A200" s="10" t="n">
        <x:f>IF(Assumptions!$B$5+INT((ROW()-2)/Assumptions!$B$7)&gt;Assumptions!$B$6,"",Assumptions!$B$5+INT((ROW()-2)/Assumptions!$B$7))</x:f>
        <x:v>46062</x:v>
      </x:c>
      <x:c r="B200" t="str">
        <x:f>IF($A200="","",INDEX(Assumptions!$D$5:$D$12,MOD(ROW()-2,Assumptions!$B$7)+1))</x:f>
        <x:v>Hadley's Hope</x:v>
      </x:c>
      <x:c r="C200" s="11" t="n">
        <x:f>IF($A200="","",INDEX(Assumptions!$F$5:$F$12,MATCH($B200,Assumptions!$D$5:$D$12,0)))</x:f>
        <x:v>845</x:v>
      </x:c>
      <x:c r="D200" s="11" t="n">
        <x:f>IF($A200="","",INDEX(Assumptions!$G$5:$G$12,MATCH($B200,Assumptions!$D$5:$D$12,0)))</x:f>
        <x:v>80</x:v>
      </x:c>
      <x:c r="E200" s="11" t="n">
        <x:f>IF($A200="","",INDEX(Assumptions!$M$5:$M$11,WEEKDAY($A200,2)))</x:f>
        <x:v>1.03</x:v>
      </x:c>
      <x:c r="F200" s="11" t="n">
        <x:f>IF($A200="","",Assumptions!$B$15)</x:f>
        <x:v>0.35</x:v>
      </x:c>
      <x:c r="G200" s="11" t="n">
        <x:f>IF($A200="","",MAX(INDEX(Assumptions!$H$5:$H$12,MATCH($B200,Assumptions!$D$5:$D$12,0)),MIN(INDEX(Assumptions!$I$5:$I$12,MATCH($B200,Assumptions!$D$5:$D$12,0)),($C200+$D200*SQRT(-2*LN(RAND()))*COS(2*PI()*RAND()))*$E200*$J200*$K200)))</x:f>
        <x:v>895.1946717950716</x:v>
      </x:c>
      <x:c r="H200" s="11" t="n">
        <x:f>IF($A200="","",$G200*$F200+$C200*(1-$F200))</x:f>
        <x:v>862.5681351282751</x:v>
      </x:c>
      <x:c r="I200" s="11" t="n">
        <x:f>IF($A200="","",AVERAGE($H200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834.6264130924603</x:v>
      </x:c>
      <x:c r="J200" s="12" t="n">
        <x:f>IF($A200="","",1+SUMIFS(Assumptions!$S$5:$S$10,Assumptions!$P$5:$P$10,$B200,Assumptions!$Q$5:$Q$10,"&lt;="&amp;$A200,Assumptions!$R$5:$R$10,"&gt;="&amp;$A200))</x:f>
        <x:v>1</x:v>
      </x:c>
      <x:c r="K200" s="12" t="n">
        <x:f>IF($A200="","",1+((($A200-Assumptions!$B$5)/30)*INDEX(Assumptions!$J$5:$J$12,MATCH($B200,Assumptions!$D$5:$D$12,0))))</x:f>
        <x:v>1.0013</x:v>
      </x:c>
      <x:c r="L200" t="str">
        <x:f>IF($A200="","",IFERROR(INDEX(Assumptions!$O$5:$O$10,MATCH(1,(Assumptions!$P$5:$P$10=$B200)*(Assumptions!$Q$5:$Q$10&lt;=$A200)*(Assumptions!$R$5:$R$10&gt;=$A200),0)),""))</x:f>
      </x:c>
      <x:c r="M200" t="n">
        <x:f>--($A200&lt;&gt;"")</x:f>
        <x:v>1</x:v>
      </x:c>
    </x:row>
    <x:row r="201">
      <x:c r="A201" s="10" t="n">
        <x:f>IF(Assumptions!$B$5+INT((ROW()-2)/Assumptions!$B$7)&gt;Assumptions!$B$6,"",Assumptions!$B$5+INT((ROW()-2)/Assumptions!$B$7))</x:f>
        <x:v>46062</x:v>
      </x:c>
      <x:c r="B201" t="str">
        <x:f>IF($A201="","",INDEX(Assumptions!$D$5:$D$12,MOD(ROW()-2,Assumptions!$B$7)+1))</x:f>
        <x:v>Yutani Ridge</x:v>
      </x:c>
      <x:c r="C201" s="11" t="n">
        <x:f>IF($A201="","",INDEX(Assumptions!$F$5:$F$12,MATCH($B201,Assumptions!$D$5:$D$12,0)))</x:f>
        <x:v>1050</x:v>
      </x:c>
      <x:c r="D201" s="11" t="n">
        <x:f>IF($A201="","",INDEX(Assumptions!$G$5:$G$12,MATCH($B201,Assumptions!$D$5:$D$12,0)))</x:f>
        <x:v>125</x:v>
      </x:c>
      <x:c r="E201" s="11" t="n">
        <x:f>IF($A201="","",INDEX(Assumptions!$M$5:$M$11,WEEKDAY($A201,2)))</x:f>
        <x:v>1.03</x:v>
      </x:c>
      <x:c r="F201" s="11" t="n">
        <x:f>IF($A201="","",Assumptions!$B$15)</x:f>
        <x:v>0.35</x:v>
      </x:c>
      <x:c r="G201" s="11" t="n">
        <x:f>IF($A201="","",MAX(INDEX(Assumptions!$H$5:$H$12,MATCH($B201,Assumptions!$D$5:$D$12,0)),MIN(INDEX(Assumptions!$I$5:$I$12,MATCH($B201,Assumptions!$D$5:$D$12,0)),($C201+$D201*SQRT(-2*LN(RAND()))*COS(2*PI()*RAND()))*$E201*$J201*$K201)))</x:f>
        <x:v>988.6946640180711</x:v>
      </x:c>
      <x:c r="H201" s="11" t="n">
        <x:f>IF($A201="","",$G201*$F201+$C201*(1-$F201))</x:f>
        <x:v>1028.5431324063247</x:v>
      </x:c>
      <x:c r="I201" s="11" t="n">
        <x:f>IF($A201="","",AVERAGE($H201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1055.807265065707</x:v>
      </x:c>
      <x:c r="J201" s="12" t="n">
        <x:f>IF($A201="","",1+SUMIFS(Assumptions!$S$5:$S$10,Assumptions!$P$5:$P$10,$B201,Assumptions!$Q$5:$Q$10,"&lt;="&amp;$A201,Assumptions!$R$5:$R$10,"&gt;="&amp;$A201))</x:f>
        <x:v>1</x:v>
      </x:c>
      <x:c r="K201" s="12" t="n">
        <x:f>IF($A201="","",1+((($A201-Assumptions!$B$5)/30)*INDEX(Assumptions!$J$5:$J$12,MATCH($B201,Assumptions!$D$5:$D$12,0))))</x:f>
        <x:v>1.00325</x:v>
      </x:c>
      <x:c r="L201" t="str">
        <x:f>IF($A201="","",IFERROR(INDEX(Assumptions!$O$5:$O$10,MATCH(1,(Assumptions!$P$5:$P$10=$B201)*(Assumptions!$Q$5:$Q$10&lt;=$A201)*(Assumptions!$R$5:$R$10&gt;=$A201),0)),""))</x:f>
      </x:c>
      <x:c r="M201" t="n">
        <x:f>--($A201&lt;&gt;"")</x:f>
        <x:v>1</x:v>
      </x:c>
    </x:row>
    <x:row r="202">
      <x:c r="A202" s="10" t="n">
        <x:f>IF(Assumptions!$B$5+INT((ROW()-2)/Assumptions!$B$7)&gt;Assumptions!$B$6,"",Assumptions!$B$5+INT((ROW()-2)/Assumptions!$B$7))</x:f>
        <x:v>46063</x:v>
      </x:c>
      <x:c r="B202" t="str">
        <x:f>IF($A202="","",INDEX(Assumptions!$D$5:$D$12,MOD(ROW()-2,Assumptions!$B$7)+1))</x:f>
        <x:v>Acheron Prime</x:v>
      </x:c>
      <x:c r="C202" s="11" t="n">
        <x:f>IF($A202="","",INDEX(Assumptions!$F$5:$F$12,MATCH($B202,Assumptions!$D$5:$D$12,0)))</x:f>
        <x:v>1120</x:v>
      </x:c>
      <x:c r="D202" s="11" t="n">
        <x:f>IF($A202="","",INDEX(Assumptions!$G$5:$G$12,MATCH($B202,Assumptions!$D$5:$D$12,0)))</x:f>
        <x:v>115</x:v>
      </x:c>
      <x:c r="E202" s="11" t="n">
        <x:f>IF($A202="","",INDEX(Assumptions!$M$5:$M$11,WEEKDAY($A202,2)))</x:f>
        <x:v>1.02</x:v>
      </x:c>
      <x:c r="F202" s="11" t="n">
        <x:f>IF($A202="","",Assumptions!$B$15)</x:f>
        <x:v>0.35</x:v>
      </x:c>
      <x:c r="G202" s="11" t="n">
        <x:f>IF($A202="","",MAX(INDEX(Assumptions!$H$5:$H$12,MATCH($B202,Assumptions!$D$5:$D$12,0)),MIN(INDEX(Assumptions!$I$5:$I$12,MATCH($B202,Assumptions!$D$5:$D$12,0)),($C202+$D202*SQRT(-2*LN(RAND()))*COS(2*PI()*RAND()))*$E202*$J202*$K202)))</x:f>
        <x:v>1189.890363958238</x:v>
      </x:c>
      <x:c r="H202" s="11" t="n">
        <x:f>IF($A202="","",$G202*$F202+$C202*(1-$F202))</x:f>
        <x:v>1144.4616273853833</x:v>
      </x:c>
      <x:c r="I202" s="11" t="n">
        <x:f>IF($A202="","",AVERAGE($H202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1137.0159800547797</x:v>
      </x:c>
      <x:c r="J202" s="12" t="n">
        <x:f>IF($A202="","",1+SUMIFS(Assumptions!$S$5:$S$10,Assumptions!$P$5:$P$10,$B202,Assumptions!$Q$5:$Q$10,"&lt;="&amp;$A202,Assumptions!$R$5:$R$10,"&gt;="&amp;$A202))</x:f>
        <x:v>1</x:v>
      </x:c>
      <x:c r="K202" s="12" t="n">
        <x:f>IF($A202="","",1+((($A202-Assumptions!$B$5)/30)*INDEX(Assumptions!$J$5:$J$12,MATCH($B202,Assumptions!$D$5:$D$12,0))))</x:f>
        <x:v>1.0026666666666666</x:v>
      </x:c>
      <x:c r="L202" t="str">
        <x:f>IF($A202="","",IFERROR(INDEX(Assumptions!$O$5:$O$10,MATCH(1,(Assumptions!$P$5:$P$10=$B202)*(Assumptions!$Q$5:$Q$10&lt;=$A202)*(Assumptions!$R$5:$R$10&gt;=$A202),0)),""))</x:f>
      </x:c>
      <x:c r="M202" t="n">
        <x:f>--($A202&lt;&gt;"")</x:f>
        <x:v>1</x:v>
      </x:c>
    </x:row>
    <x:row r="203">
      <x:c r="A203" s="10" t="n">
        <x:f>IF(Assumptions!$B$5+INT((ROW()-2)/Assumptions!$B$7)&gt;Assumptions!$B$6,"",Assumptions!$B$5+INT((ROW()-2)/Assumptions!$B$7))</x:f>
        <x:v>46063</x:v>
      </x:c>
      <x:c r="B203" t="str">
        <x:f>IF($A203="","",INDEX(Assumptions!$D$5:$D$12,MOD(ROW()-2,Assumptions!$B$7)+1))</x:f>
        <x:v>LV-426 North</x:v>
      </x:c>
      <x:c r="C203" s="11" t="n">
        <x:f>IF($A203="","",INDEX(Assumptions!$F$5:$F$12,MATCH($B203,Assumptions!$D$5:$D$12,0)))</x:f>
        <x:v>930</x:v>
      </x:c>
      <x:c r="D203" s="11" t="n">
        <x:f>IF($A203="","",INDEX(Assumptions!$G$5:$G$12,MATCH($B203,Assumptions!$D$5:$D$12,0)))</x:f>
        <x:v>95</x:v>
      </x:c>
      <x:c r="E203" s="11" t="n">
        <x:f>IF($A203="","",INDEX(Assumptions!$M$5:$M$11,WEEKDAY($A203,2)))</x:f>
        <x:v>1.02</x:v>
      </x:c>
      <x:c r="F203" s="11" t="n">
        <x:f>IF($A203="","",Assumptions!$B$15)</x:f>
        <x:v>0.35</x:v>
      </x:c>
      <x:c r="G203" s="11" t="n">
        <x:f>IF($A203="","",MAX(INDEX(Assumptions!$H$5:$H$12,MATCH($B203,Assumptions!$D$5:$D$12,0)),MIN(INDEX(Assumptions!$I$5:$I$12,MATCH($B203,Assumptions!$D$5:$D$12,0)),($C203+$D203*SQRT(-2*LN(RAND()))*COS(2*PI()*RAND()))*$E203*$J203*$K203)))</x:f>
        <x:v>859.888858975286</x:v>
      </x:c>
      <x:c r="H203" s="11" t="n">
        <x:f>IF($A203="","",$G203*$F203+$C203*(1-$F203))</x:f>
        <x:v>905.4611006413501</x:v>
      </x:c>
      <x:c r="I203" s="11" t="n">
        <x:f>IF($A203="","",AVERAGE($H203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907.5624995347263</x:v>
      </x:c>
      <x:c r="J203" s="12" t="n">
        <x:f>IF($A203="","",1+SUMIFS(Assumptions!$S$5:$S$10,Assumptions!$P$5:$P$10,$B203,Assumptions!$Q$5:$Q$10,"&lt;="&amp;$A203,Assumptions!$R$5:$R$10,"&gt;="&amp;$A203))</x:f>
        <x:v>1</x:v>
      </x:c>
      <x:c r="K203" s="12" t="n">
        <x:f>IF($A203="","",1+((($A203-Assumptions!$B$5)/30)*INDEX(Assumptions!$J$5:$J$12,MATCH($B203,Assumptions!$D$5:$D$12,0))))</x:f>
        <x:v>0.9986666666666667</x:v>
      </x:c>
      <x:c r="L203" t="str">
        <x:f>IF($A203="","",IFERROR(INDEX(Assumptions!$O$5:$O$10,MATCH(1,(Assumptions!$P$5:$P$10=$B203)*(Assumptions!$Q$5:$Q$10&lt;=$A203)*(Assumptions!$R$5:$R$10&gt;=$A203),0)),""))</x:f>
      </x:c>
      <x:c r="M203" t="n">
        <x:f>--($A203&lt;&gt;"")</x:f>
        <x:v>1</x:v>
      </x:c>
    </x:row>
    <x:row r="204">
      <x:c r="A204" s="10" t="n">
        <x:f>IF(Assumptions!$B$5+INT((ROW()-2)/Assumptions!$B$7)&gt;Assumptions!$B$6,"",Assumptions!$B$5+INT((ROW()-2)/Assumptions!$B$7))</x:f>
        <x:v>46063</x:v>
      </x:c>
      <x:c r="B204" t="str">
        <x:f>IF($A204="","",INDEX(Assumptions!$D$5:$D$12,MOD(ROW()-2,Assumptions!$B$7)+1))</x:f>
        <x:v>Nostromo Deep</x:v>
      </x:c>
      <x:c r="C204" s="11" t="n">
        <x:f>IF($A204="","",INDEX(Assumptions!$F$5:$F$12,MATCH($B204,Assumptions!$D$5:$D$12,0)))</x:f>
        <x:v>1260</x:v>
      </x:c>
      <x:c r="D204" s="11" t="n">
        <x:f>IF($A204="","",INDEX(Assumptions!$G$5:$G$12,MATCH($B204,Assumptions!$D$5:$D$12,0)))</x:f>
        <x:v>145</x:v>
      </x:c>
      <x:c r="E204" s="11" t="n">
        <x:f>IF($A204="","",INDEX(Assumptions!$M$5:$M$11,WEEKDAY($A204,2)))</x:f>
        <x:v>1.02</x:v>
      </x:c>
      <x:c r="F204" s="11" t="n">
        <x:f>IF($A204="","",Assumptions!$B$15)</x:f>
        <x:v>0.35</x:v>
      </x:c>
      <x:c r="G204" s="11" t="n">
        <x:f>IF($A204="","",MAX(INDEX(Assumptions!$H$5:$H$12,MATCH($B204,Assumptions!$D$5:$D$12,0)),MIN(INDEX(Assumptions!$I$5:$I$12,MATCH($B204,Assumptions!$D$5:$D$12,0)),($C204+$D204*SQRT(-2*LN(RAND()))*COS(2*PI()*RAND()))*$E204*$J204*$K204)))</x:f>
        <x:v>1368.4165192270057</x:v>
      </x:c>
      <x:c r="H204" s="11" t="n">
        <x:f>IF($A204="","",$G204*$F204+$C204*(1-$F204))</x:f>
        <x:v>1297.945781729452</x:v>
      </x:c>
      <x:c r="I204" s="11" t="n">
        <x:f>IF($A204="","",AVERAGE($H204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1281.2905334378231</x:v>
      </x:c>
      <x:c r="J204" s="12" t="n">
        <x:f>IF($A204="","",1+SUMIFS(Assumptions!$S$5:$S$10,Assumptions!$P$5:$P$10,$B204,Assumptions!$Q$5:$Q$10,"&lt;="&amp;$A204,Assumptions!$R$5:$R$10,"&gt;="&amp;$A204))</x:f>
        <x:v>1</x:v>
      </x:c>
      <x:c r="K204" s="12" t="n">
        <x:f>IF($A204="","",1+((($A204-Assumptions!$B$5)/30)*INDEX(Assumptions!$J$5:$J$12,MATCH($B204,Assumptions!$D$5:$D$12,0))))</x:f>
        <x:v>1.004</x:v>
      </x:c>
      <x:c r="L204" t="str">
        <x:f>IF($A204="","",IFERROR(INDEX(Assumptions!$O$5:$O$10,MATCH(1,(Assumptions!$P$5:$P$10=$B204)*(Assumptions!$Q$5:$Q$10&lt;=$A204)*(Assumptions!$R$5:$R$10&gt;=$A204),0)),""))</x:f>
      </x:c>
      <x:c r="M204" t="n">
        <x:f>--($A204&lt;&gt;"")</x:f>
        <x:v>1</x:v>
      </x:c>
    </x:row>
    <x:row r="205">
      <x:c r="A205" s="10" t="n">
        <x:f>IF(Assumptions!$B$5+INT((ROW()-2)/Assumptions!$B$7)&gt;Assumptions!$B$6,"",Assumptions!$B$5+INT((ROW()-2)/Assumptions!$B$7))</x:f>
        <x:v>46063</x:v>
      </x:c>
      <x:c r="B205" t="str">
        <x:f>IF($A205="","",INDEX(Assumptions!$D$5:$D$12,MOD(ROW()-2,Assumptions!$B$7)+1))</x:f>
        <x:v>Hadley's Hope</x:v>
      </x:c>
      <x:c r="C205" s="11" t="n">
        <x:f>IF($A205="","",INDEX(Assumptions!$F$5:$F$12,MATCH($B205,Assumptions!$D$5:$D$12,0)))</x:f>
        <x:v>845</x:v>
      </x:c>
      <x:c r="D205" s="11" t="n">
        <x:f>IF($A205="","",INDEX(Assumptions!$G$5:$G$12,MATCH($B205,Assumptions!$D$5:$D$12,0)))</x:f>
        <x:v>80</x:v>
      </x:c>
      <x:c r="E205" s="11" t="n">
        <x:f>IF($A205="","",INDEX(Assumptions!$M$5:$M$11,WEEKDAY($A205,2)))</x:f>
        <x:v>1.02</x:v>
      </x:c>
      <x:c r="F205" s="11" t="n">
        <x:f>IF($A205="","",Assumptions!$B$15)</x:f>
        <x:v>0.35</x:v>
      </x:c>
      <x:c r="G205" s="11" t="n">
        <x:f>IF($A205="","",MAX(INDEX(Assumptions!$H$5:$H$12,MATCH($B205,Assumptions!$D$5:$D$12,0)),MIN(INDEX(Assumptions!$I$5:$I$12,MATCH($B205,Assumptions!$D$5:$D$12,0)),($C205+$D205*SQRT(-2*LN(RAND()))*COS(2*PI()*RAND()))*$E205*$J205*$K205)))</x:f>
        <x:v>893.989754782128</x:v>
      </x:c>
      <x:c r="H205" s="11" t="n">
        <x:f>IF($A205="","",$G205*$F205+$C205*(1-$F205))</x:f>
        <x:v>862.1464141737448</x:v>
      </x:c>
      <x:c r="I205" s="11" t="n">
        <x:f>IF($A205="","",AVERAGE($H205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840.2112333041217</x:v>
      </x:c>
      <x:c r="J205" s="12" t="n">
        <x:f>IF($A205="","",1+SUMIFS(Assumptions!$S$5:$S$10,Assumptions!$P$5:$P$10,$B205,Assumptions!$Q$5:$Q$10,"&lt;="&amp;$A205,Assumptions!$R$5:$R$10,"&gt;="&amp;$A205))</x:f>
        <x:v>1</x:v>
      </x:c>
      <x:c r="K205" s="12" t="n">
        <x:f>IF($A205="","",1+((($A205-Assumptions!$B$5)/30)*INDEX(Assumptions!$J$5:$J$12,MATCH($B205,Assumptions!$D$5:$D$12,0))))</x:f>
        <x:v>1.0013333333333334</x:v>
      </x:c>
      <x:c r="L205" t="str">
        <x:f>IF($A205="","",IFERROR(INDEX(Assumptions!$O$5:$O$10,MATCH(1,(Assumptions!$P$5:$P$10=$B205)*(Assumptions!$Q$5:$Q$10&lt;=$A205)*(Assumptions!$R$5:$R$10&gt;=$A205),0)),""))</x:f>
      </x:c>
      <x:c r="M205" t="n">
        <x:f>--($A205&lt;&gt;"")</x:f>
        <x:v>1</x:v>
      </x:c>
    </x:row>
    <x:row r="206">
      <x:c r="A206" s="10" t="n">
        <x:f>IF(Assumptions!$B$5+INT((ROW()-2)/Assumptions!$B$7)&gt;Assumptions!$B$6,"",Assumptions!$B$5+INT((ROW()-2)/Assumptions!$B$7))</x:f>
        <x:v>46063</x:v>
      </x:c>
      <x:c r="B206" t="str">
        <x:f>IF($A206="","",INDEX(Assumptions!$D$5:$D$12,MOD(ROW()-2,Assumptions!$B$7)+1))</x:f>
        <x:v>Yutani Ridge</x:v>
      </x:c>
      <x:c r="C206" s="11" t="n">
        <x:f>IF($A206="","",INDEX(Assumptions!$F$5:$F$12,MATCH($B206,Assumptions!$D$5:$D$12,0)))</x:f>
        <x:v>1050</x:v>
      </x:c>
      <x:c r="D206" s="11" t="n">
        <x:f>IF($A206="","",INDEX(Assumptions!$G$5:$G$12,MATCH($B206,Assumptions!$D$5:$D$12,0)))</x:f>
        <x:v>125</x:v>
      </x:c>
      <x:c r="E206" s="11" t="n">
        <x:f>IF($A206="","",INDEX(Assumptions!$M$5:$M$11,WEEKDAY($A206,2)))</x:f>
        <x:v>1.02</x:v>
      </x:c>
      <x:c r="F206" s="11" t="n">
        <x:f>IF($A206="","",Assumptions!$B$15)</x:f>
        <x:v>0.35</x:v>
      </x:c>
      <x:c r="G206" s="11" t="n">
        <x:f>IF($A206="","",MAX(INDEX(Assumptions!$H$5:$H$12,MATCH($B206,Assumptions!$D$5:$D$12,0)),MIN(INDEX(Assumptions!$I$5:$I$12,MATCH($B206,Assumptions!$D$5:$D$12,0)),($C206+$D206*SQRT(-2*LN(RAND()))*COS(2*PI()*RAND()))*$E206*$J206*$K206)))</x:f>
        <x:v>1243.507465520106</x:v>
      </x:c>
      <x:c r="H206" s="11" t="n">
        <x:f>IF($A206="","",$G206*$F206+$C206*(1-$F206))</x:f>
        <x:v>1117.7276129320371</x:v>
      </x:c>
      <x:c r="I206" s="11" t="n">
        <x:f>IF($A206="","",AVERAGE($H206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1057.797527985874</x:v>
      </x:c>
      <x:c r="J206" s="12" t="n">
        <x:f>IF($A206="","",1+SUMIFS(Assumptions!$S$5:$S$10,Assumptions!$P$5:$P$10,$B206,Assumptions!$Q$5:$Q$10,"&lt;="&amp;$A206,Assumptions!$R$5:$R$10,"&gt;="&amp;$A206))</x:f>
        <x:v>1</x:v>
      </x:c>
      <x:c r="K206" s="12" t="n">
        <x:f>IF($A206="","",1+((($A206-Assumptions!$B$5)/30)*INDEX(Assumptions!$J$5:$J$12,MATCH($B206,Assumptions!$D$5:$D$12,0))))</x:f>
        <x:v>1.0033333333333334</x:v>
      </x:c>
      <x:c r="L206" t="str">
        <x:f>IF($A206="","",IFERROR(INDEX(Assumptions!$O$5:$O$10,MATCH(1,(Assumptions!$P$5:$P$10=$B206)*(Assumptions!$Q$5:$Q$10&lt;=$A206)*(Assumptions!$R$5:$R$10&gt;=$A206),0)),""))</x:f>
      </x:c>
      <x:c r="M206" t="n">
        <x:f>--($A206&lt;&gt;"")</x:f>
        <x:v>1</x:v>
      </x:c>
    </x:row>
    <x:row r="207">
      <x:c r="A207" s="10" t="n">
        <x:f>IF(Assumptions!$B$5+INT((ROW()-2)/Assumptions!$B$7)&gt;Assumptions!$B$6,"",Assumptions!$B$5+INT((ROW()-2)/Assumptions!$B$7))</x:f>
        <x:v>46064</x:v>
      </x:c>
      <x:c r="B207" t="str">
        <x:f>IF($A207="","",INDEX(Assumptions!$D$5:$D$12,MOD(ROW()-2,Assumptions!$B$7)+1))</x:f>
        <x:v>Acheron Prime</x:v>
      </x:c>
      <x:c r="C207" s="11" t="n">
        <x:f>IF($A207="","",INDEX(Assumptions!$F$5:$F$12,MATCH($B207,Assumptions!$D$5:$D$12,0)))</x:f>
        <x:v>1120</x:v>
      </x:c>
      <x:c r="D207" s="11" t="n">
        <x:f>IF($A207="","",INDEX(Assumptions!$G$5:$G$12,MATCH($B207,Assumptions!$D$5:$D$12,0)))</x:f>
        <x:v>115</x:v>
      </x:c>
      <x:c r="E207" s="11" t="n">
        <x:f>IF($A207="","",INDEX(Assumptions!$M$5:$M$11,WEEKDAY($A207,2)))</x:f>
        <x:v>1.01</x:v>
      </x:c>
      <x:c r="F207" s="11" t="n">
        <x:f>IF($A207="","",Assumptions!$B$15)</x:f>
        <x:v>0.35</x:v>
      </x:c>
      <x:c r="G207" s="11" t="n">
        <x:f>IF($A207="","",MAX(INDEX(Assumptions!$H$5:$H$12,MATCH($B207,Assumptions!$D$5:$D$12,0)),MIN(INDEX(Assumptions!$I$5:$I$12,MATCH($B207,Assumptions!$D$5:$D$12,0)),($C207+$D207*SQRT(-2*LN(RAND()))*COS(2*PI()*RAND()))*$E207*$J207*$K207)))</x:f>
        <x:v>1125.4787030056666</x:v>
      </x:c>
      <x:c r="H207" s="11" t="n">
        <x:f>IF($A207="","",$G207*$F207+$C207*(1-$F207))</x:f>
        <x:v>1121.9175460519832</x:v>
      </x:c>
      <x:c r="I207" s="11" t="n">
        <x:f>IF($A207="","",AVERAGE($H207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1141.2268713588103</x:v>
      </x:c>
      <x:c r="J207" s="12" t="n">
        <x:f>IF($A207="","",1+SUMIFS(Assumptions!$S$5:$S$10,Assumptions!$P$5:$P$10,$B207,Assumptions!$Q$5:$Q$10,"&lt;="&amp;$A207,Assumptions!$R$5:$R$10,"&gt;="&amp;$A207))</x:f>
        <x:v>1</x:v>
      </x:c>
      <x:c r="K207" s="12" t="n">
        <x:f>IF($A207="","",1+((($A207-Assumptions!$B$5)/30)*INDEX(Assumptions!$J$5:$J$12,MATCH($B207,Assumptions!$D$5:$D$12,0))))</x:f>
        <x:v>1.0027333333333333</x:v>
      </x:c>
      <x:c r="L207" t="str">
        <x:f>IF($A207="","",IFERROR(INDEX(Assumptions!$O$5:$O$10,MATCH(1,(Assumptions!$P$5:$P$10=$B207)*(Assumptions!$Q$5:$Q$10&lt;=$A207)*(Assumptions!$R$5:$R$10&gt;=$A207),0)),""))</x:f>
      </x:c>
      <x:c r="M207" t="n">
        <x:f>--($A207&lt;&gt;"")</x:f>
        <x:v>1</x:v>
      </x:c>
    </x:row>
    <x:row r="208">
      <x:c r="A208" s="10" t="n">
        <x:f>IF(Assumptions!$B$5+INT((ROW()-2)/Assumptions!$B$7)&gt;Assumptions!$B$6,"",Assumptions!$B$5+INT((ROW()-2)/Assumptions!$B$7))</x:f>
        <x:v>46064</x:v>
      </x:c>
      <x:c r="B208" t="str">
        <x:f>IF($A208="","",INDEX(Assumptions!$D$5:$D$12,MOD(ROW()-2,Assumptions!$B$7)+1))</x:f>
        <x:v>LV-426 North</x:v>
      </x:c>
      <x:c r="C208" s="11" t="n">
        <x:f>IF($A208="","",INDEX(Assumptions!$F$5:$F$12,MATCH($B208,Assumptions!$D$5:$D$12,0)))</x:f>
        <x:v>930</x:v>
      </x:c>
      <x:c r="D208" s="11" t="n">
        <x:f>IF($A208="","",INDEX(Assumptions!$G$5:$G$12,MATCH($B208,Assumptions!$D$5:$D$12,0)))</x:f>
        <x:v>95</x:v>
      </x:c>
      <x:c r="E208" s="11" t="n">
        <x:f>IF($A208="","",INDEX(Assumptions!$M$5:$M$11,WEEKDAY($A208,2)))</x:f>
        <x:v>1.01</x:v>
      </x:c>
      <x:c r="F208" s="11" t="n">
        <x:f>IF($A208="","",Assumptions!$B$15)</x:f>
        <x:v>0.35</x:v>
      </x:c>
      <x:c r="G208" s="11" t="n">
        <x:f>IF($A208="","",MAX(INDEX(Assumptions!$H$5:$H$12,MATCH($B208,Assumptions!$D$5:$D$12,0)),MIN(INDEX(Assumptions!$I$5:$I$12,MATCH($B208,Assumptions!$D$5:$D$12,0)),($C208+$D208*SQRT(-2*LN(RAND()))*COS(2*PI()*RAND()))*$E208*$J208*$K208)))</x:f>
        <x:v>1072.0558701108837</x:v>
      </x:c>
      <x:c r="H208" s="11" t="n">
        <x:f>IF($A208="","",$G208*$F208+$C208*(1-$F208))</x:f>
        <x:v>979.7195545388092</x:v>
      </x:c>
      <x:c r="I208" s="11" t="n">
        <x:f>IF($A208="","",AVERAGE($H208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912.9290458928818</x:v>
      </x:c>
      <x:c r="J208" s="12" t="n">
        <x:f>IF($A208="","",1+SUMIFS(Assumptions!$S$5:$S$10,Assumptions!$P$5:$P$10,$B208,Assumptions!$Q$5:$Q$10,"&lt;="&amp;$A208,Assumptions!$R$5:$R$10,"&gt;="&amp;$A208))</x:f>
        <x:v>1</x:v>
      </x:c>
      <x:c r="K208" s="12" t="n">
        <x:f>IF($A208="","",1+((($A208-Assumptions!$B$5)/30)*INDEX(Assumptions!$J$5:$J$12,MATCH($B208,Assumptions!$D$5:$D$12,0))))</x:f>
        <x:v>0.9986333333333334</x:v>
      </x:c>
      <x:c r="L208" t="str">
        <x:f>IF($A208="","",IFERROR(INDEX(Assumptions!$O$5:$O$10,MATCH(1,(Assumptions!$P$5:$P$10=$B208)*(Assumptions!$Q$5:$Q$10&lt;=$A208)*(Assumptions!$R$5:$R$10&gt;=$A208),0)),""))</x:f>
      </x:c>
      <x:c r="M208" t="n">
        <x:f>--($A208&lt;&gt;"")</x:f>
        <x:v>1</x:v>
      </x:c>
    </x:row>
    <x:row r="209">
      <x:c r="A209" s="10" t="n">
        <x:f>IF(Assumptions!$B$5+INT((ROW()-2)/Assumptions!$B$7)&gt;Assumptions!$B$6,"",Assumptions!$B$5+INT((ROW()-2)/Assumptions!$B$7))</x:f>
        <x:v>46064</x:v>
      </x:c>
      <x:c r="B209" t="str">
        <x:f>IF($A209="","",INDEX(Assumptions!$D$5:$D$12,MOD(ROW()-2,Assumptions!$B$7)+1))</x:f>
        <x:v>Nostromo Deep</x:v>
      </x:c>
      <x:c r="C209" s="11" t="n">
        <x:f>IF($A209="","",INDEX(Assumptions!$F$5:$F$12,MATCH($B209,Assumptions!$D$5:$D$12,0)))</x:f>
        <x:v>1260</x:v>
      </x:c>
      <x:c r="D209" s="11" t="n">
        <x:f>IF($A209="","",INDEX(Assumptions!$G$5:$G$12,MATCH($B209,Assumptions!$D$5:$D$12,0)))</x:f>
        <x:v>145</x:v>
      </x:c>
      <x:c r="E209" s="11" t="n">
        <x:f>IF($A209="","",INDEX(Assumptions!$M$5:$M$11,WEEKDAY($A209,2)))</x:f>
        <x:v>1.01</x:v>
      </x:c>
      <x:c r="F209" s="11" t="n">
        <x:f>IF($A209="","",Assumptions!$B$15)</x:f>
        <x:v>0.35</x:v>
      </x:c>
      <x:c r="G209" s="11" t="n">
        <x:f>IF($A209="","",MAX(INDEX(Assumptions!$H$5:$H$12,MATCH($B209,Assumptions!$D$5:$D$12,0)),MIN(INDEX(Assumptions!$I$5:$I$12,MATCH($B209,Assumptions!$D$5:$D$12,0)),($C209+$D209*SQRT(-2*LN(RAND()))*COS(2*PI()*RAND()))*$E209*$J209*$K209)))</x:f>
        <x:v>1176.7379286573241</x:v>
      </x:c>
      <x:c r="H209" s="11" t="n">
        <x:f>IF($A209="","",$G209*$F209+$C209*(1-$F209))</x:f>
        <x:v>1230.8582750300634</x:v>
      </x:c>
      <x:c r="I209" s="11" t="n">
        <x:f>IF($A209="","",AVERAGE($H209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1253.257708582329</x:v>
      </x:c>
      <x:c r="J209" s="12" t="n">
        <x:f>IF($A209="","",1+SUMIFS(Assumptions!$S$5:$S$10,Assumptions!$P$5:$P$10,$B209,Assumptions!$Q$5:$Q$10,"&lt;="&amp;$A209,Assumptions!$R$5:$R$10,"&gt;="&amp;$A209))</x:f>
        <x:v>1</x:v>
      </x:c>
      <x:c r="K209" s="12" t="n">
        <x:f>IF($A209="","",1+((($A209-Assumptions!$B$5)/30)*INDEX(Assumptions!$J$5:$J$12,MATCH($B209,Assumptions!$D$5:$D$12,0))))</x:f>
        <x:v>1.0041</x:v>
      </x:c>
      <x:c r="L209" t="str">
        <x:f>IF($A209="","",IFERROR(INDEX(Assumptions!$O$5:$O$10,MATCH(1,(Assumptions!$P$5:$P$10=$B209)*(Assumptions!$Q$5:$Q$10&lt;=$A209)*(Assumptions!$R$5:$R$10&gt;=$A209),0)),""))</x:f>
      </x:c>
      <x:c r="M209" t="n">
        <x:f>--($A209&lt;&gt;"")</x:f>
        <x:v>1</x:v>
      </x:c>
    </x:row>
    <x:row r="210">
      <x:c r="A210" s="10" t="n">
        <x:f>IF(Assumptions!$B$5+INT((ROW()-2)/Assumptions!$B$7)&gt;Assumptions!$B$6,"",Assumptions!$B$5+INT((ROW()-2)/Assumptions!$B$7))</x:f>
        <x:v>46064</x:v>
      </x:c>
      <x:c r="B210" t="str">
        <x:f>IF($A210="","",INDEX(Assumptions!$D$5:$D$12,MOD(ROW()-2,Assumptions!$B$7)+1))</x:f>
        <x:v>Hadley's Hope</x:v>
      </x:c>
      <x:c r="C210" s="11" t="n">
        <x:f>IF($A210="","",INDEX(Assumptions!$F$5:$F$12,MATCH($B210,Assumptions!$D$5:$D$12,0)))</x:f>
        <x:v>845</x:v>
      </x:c>
      <x:c r="D210" s="11" t="n">
        <x:f>IF($A210="","",INDEX(Assumptions!$G$5:$G$12,MATCH($B210,Assumptions!$D$5:$D$12,0)))</x:f>
        <x:v>80</x:v>
      </x:c>
      <x:c r="E210" s="11" t="n">
        <x:f>IF($A210="","",INDEX(Assumptions!$M$5:$M$11,WEEKDAY($A210,2)))</x:f>
        <x:v>1.01</x:v>
      </x:c>
      <x:c r="F210" s="11" t="n">
        <x:f>IF($A210="","",Assumptions!$B$15)</x:f>
        <x:v>0.35</x:v>
      </x:c>
      <x:c r="G210" s="11" t="n">
        <x:f>IF($A210="","",MAX(INDEX(Assumptions!$H$5:$H$12,MATCH($B210,Assumptions!$D$5:$D$12,0)),MIN(INDEX(Assumptions!$I$5:$I$12,MATCH($B210,Assumptions!$D$5:$D$12,0)),($C210+$D210*SQRT(-2*LN(RAND()))*COS(2*PI()*RAND()))*$E210*$J210*$K210)))</x:f>
        <x:v>744.3143798345765</x:v>
      </x:c>
      <x:c r="H210" s="11" t="n">
        <x:f>IF($A210="","",$G210*$F210+$C210*(1-$F210))</x:f>
        <x:v>809.7600329421018</x:v>
      </x:c>
      <x:c r="I210" s="11" t="n">
        <x:f>IF($A210="","",AVERAGE($H210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829.7998619259082</x:v>
      </x:c>
      <x:c r="J210" s="12" t="n">
        <x:f>IF($A210="","",1+SUMIFS(Assumptions!$S$5:$S$10,Assumptions!$P$5:$P$10,$B210,Assumptions!$Q$5:$Q$10,"&lt;="&amp;$A210,Assumptions!$R$5:$R$10,"&gt;="&amp;$A210))</x:f>
        <x:v>1</x:v>
      </x:c>
      <x:c r="K210" s="12" t="n">
        <x:f>IF($A210="","",1+((($A210-Assumptions!$B$5)/30)*INDEX(Assumptions!$J$5:$J$12,MATCH($B210,Assumptions!$D$5:$D$12,0))))</x:f>
        <x:v>1.0013666666666667</x:v>
      </x:c>
      <x:c r="L210" t="str">
        <x:f>IF($A210="","",IFERROR(INDEX(Assumptions!$O$5:$O$10,MATCH(1,(Assumptions!$P$5:$P$10=$B210)*(Assumptions!$Q$5:$Q$10&lt;=$A210)*(Assumptions!$R$5:$R$10&gt;=$A210),0)),""))</x:f>
      </x:c>
      <x:c r="M210" t="n">
        <x:f>--($A210&lt;&gt;"")</x:f>
        <x:v>1</x:v>
      </x:c>
    </x:row>
    <x:row r="211">
      <x:c r="A211" s="10" t="n">
        <x:f>IF(Assumptions!$B$5+INT((ROW()-2)/Assumptions!$B$7)&gt;Assumptions!$B$6,"",Assumptions!$B$5+INT((ROW()-2)/Assumptions!$B$7))</x:f>
        <x:v>46064</x:v>
      </x:c>
      <x:c r="B211" t="str">
        <x:f>IF($A211="","",INDEX(Assumptions!$D$5:$D$12,MOD(ROW()-2,Assumptions!$B$7)+1))</x:f>
        <x:v>Yutani Ridge</x:v>
      </x:c>
      <x:c r="C211" s="11" t="n">
        <x:f>IF($A211="","",INDEX(Assumptions!$F$5:$F$12,MATCH($B211,Assumptions!$D$5:$D$12,0)))</x:f>
        <x:v>1050</x:v>
      </x:c>
      <x:c r="D211" s="11" t="n">
        <x:f>IF($A211="","",INDEX(Assumptions!$G$5:$G$12,MATCH($B211,Assumptions!$D$5:$D$12,0)))</x:f>
        <x:v>125</x:v>
      </x:c>
      <x:c r="E211" s="11" t="n">
        <x:f>IF($A211="","",INDEX(Assumptions!$M$5:$M$11,WEEKDAY($A211,2)))</x:f>
        <x:v>1.01</x:v>
      </x:c>
      <x:c r="F211" s="11" t="n">
        <x:f>IF($A211="","",Assumptions!$B$15)</x:f>
        <x:v>0.35</x:v>
      </x:c>
      <x:c r="G211" s="11" t="n">
        <x:f>IF($A211="","",MAX(INDEX(Assumptions!$H$5:$H$12,MATCH($B211,Assumptions!$D$5:$D$12,0)),MIN(INDEX(Assumptions!$I$5:$I$12,MATCH($B211,Assumptions!$D$5:$D$12,0)),($C211+$D211*SQRT(-2*LN(RAND()))*COS(2*PI()*RAND()))*$E211*$J211*$K211)))</x:f>
        <x:v>992.4665474638871</x:v>
      </x:c>
      <x:c r="H211" s="11" t="n">
        <x:f>IF($A211="","",$G211*$F211+$C211*(1-$F211))</x:f>
        <x:v>1029.8632916123604</x:v>
      </x:c>
      <x:c r="I211" s="11" t="n">
        <x:f>IF($A211="","",AVERAGE($H211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1054.864862484406</x:v>
      </x:c>
      <x:c r="J211" s="12" t="n">
        <x:f>IF($A211="","",1+SUMIFS(Assumptions!$S$5:$S$10,Assumptions!$P$5:$P$10,$B211,Assumptions!$Q$5:$Q$10,"&lt;="&amp;$A211,Assumptions!$R$5:$R$10,"&gt;="&amp;$A211))</x:f>
        <x:v>1</x:v>
      </x:c>
      <x:c r="K211" s="12" t="n">
        <x:f>IF($A211="","",1+((($A211-Assumptions!$B$5)/30)*INDEX(Assumptions!$J$5:$J$12,MATCH($B211,Assumptions!$D$5:$D$12,0))))</x:f>
        <x:v>1.0034166666666666</x:v>
      </x:c>
      <x:c r="L211" t="str">
        <x:f>IF($A211="","",IFERROR(INDEX(Assumptions!$O$5:$O$10,MATCH(1,(Assumptions!$P$5:$P$10=$B211)*(Assumptions!$Q$5:$Q$10&lt;=$A211)*(Assumptions!$R$5:$R$10&gt;=$A211),0)),""))</x:f>
      </x:c>
      <x:c r="M211" t="n">
        <x:f>--($A211&lt;&gt;"")</x:f>
        <x:v>1</x:v>
      </x:c>
    </x:row>
    <x:row r="212">
      <x:c r="A212" s="10" t="n">
        <x:f>IF(Assumptions!$B$5+INT((ROW()-2)/Assumptions!$B$7)&gt;Assumptions!$B$6,"",Assumptions!$B$5+INT((ROW()-2)/Assumptions!$B$7))</x:f>
        <x:v>46065</x:v>
      </x:c>
      <x:c r="B212" t="str">
        <x:f>IF($A212="","",INDEX(Assumptions!$D$5:$D$12,MOD(ROW()-2,Assumptions!$B$7)+1))</x:f>
        <x:v>Acheron Prime</x:v>
      </x:c>
      <x:c r="C212" s="11" t="n">
        <x:f>IF($A212="","",INDEX(Assumptions!$F$5:$F$12,MATCH($B212,Assumptions!$D$5:$D$12,0)))</x:f>
        <x:v>1120</x:v>
      </x:c>
      <x:c r="D212" s="11" t="n">
        <x:f>IF($A212="","",INDEX(Assumptions!$G$5:$G$12,MATCH($B212,Assumptions!$D$5:$D$12,0)))</x:f>
        <x:v>115</x:v>
      </x:c>
      <x:c r="E212" s="11" t="n">
        <x:f>IF($A212="","",INDEX(Assumptions!$M$5:$M$11,WEEKDAY($A212,2)))</x:f>
        <x:v>1</x:v>
      </x:c>
      <x:c r="F212" s="11" t="n">
        <x:f>IF($A212="","",Assumptions!$B$15)</x:f>
        <x:v>0.35</x:v>
      </x:c>
      <x:c r="G212" s="11" t="n">
        <x:f>IF($A212="","",MAX(INDEX(Assumptions!$H$5:$H$12,MATCH($B212,Assumptions!$D$5:$D$12,0)),MIN(INDEX(Assumptions!$I$5:$I$12,MATCH($B212,Assumptions!$D$5:$D$12,0)),($C212+$D212*SQRT(-2*LN(RAND()))*COS(2*PI()*RAND()))*$E212*$J212*$K212)))</x:f>
        <x:v>760</x:v>
      </x:c>
      <x:c r="H212" s="11" t="n">
        <x:f>IF($A212="","",$G212*$F212+$C212*(1-$F212))</x:f>
        <x:v>994</x:v>
      </x:c>
      <x:c r="I212" s="11" t="n">
        <x:f>IF($A212="","",AVERAGE($H212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1113.4974293393338</x:v>
      </x:c>
      <x:c r="J212" s="12" t="n">
        <x:f>IF($A212="","",1+SUMIFS(Assumptions!$S$5:$S$10,Assumptions!$P$5:$P$10,$B212,Assumptions!$Q$5:$Q$10,"&lt;="&amp;$A212,Assumptions!$R$5:$R$10,"&gt;="&amp;$A212))</x:f>
        <x:v>0.65</x:v>
      </x:c>
      <x:c r="K212" s="12" t="n">
        <x:f>IF($A212="","",1+((($A212-Assumptions!$B$5)/30)*INDEX(Assumptions!$J$5:$J$12,MATCH($B212,Assumptions!$D$5:$D$12,0))))</x:f>
        <x:v>1.0028</x:v>
      </x:c>
      <x:c r="L212" t="str">
        <x:f>IF($A212="","",IFERROR(INDEX(Assumptions!$O$5:$O$10,MATCH(1,(Assumptions!$P$5:$P$10=$B212)*(Assumptions!$Q$5:$Q$10&lt;=$A212)*(Assumptions!$R$5:$R$10&gt;=$A212),0)),""))</x:f>
        <x:v>Scheduled overhaul</x:v>
      </x:c>
      <x:c r="M212" t="n">
        <x:f>--($A212&lt;&gt;"")</x:f>
        <x:v>1</x:v>
      </x:c>
    </x:row>
    <x:row r="213">
      <x:c r="A213" s="10" t="n">
        <x:f>IF(Assumptions!$B$5+INT((ROW()-2)/Assumptions!$B$7)&gt;Assumptions!$B$6,"",Assumptions!$B$5+INT((ROW()-2)/Assumptions!$B$7))</x:f>
        <x:v>46065</x:v>
      </x:c>
      <x:c r="B213" t="str">
        <x:f>IF($A213="","",INDEX(Assumptions!$D$5:$D$12,MOD(ROW()-2,Assumptions!$B$7)+1))</x:f>
        <x:v>LV-426 North</x:v>
      </x:c>
      <x:c r="C213" s="11" t="n">
        <x:f>IF($A213="","",INDEX(Assumptions!$F$5:$F$12,MATCH($B213,Assumptions!$D$5:$D$12,0)))</x:f>
        <x:v>930</x:v>
      </x:c>
      <x:c r="D213" s="11" t="n">
        <x:f>IF($A213="","",INDEX(Assumptions!$G$5:$G$12,MATCH($B213,Assumptions!$D$5:$D$12,0)))</x:f>
        <x:v>95</x:v>
      </x:c>
      <x:c r="E213" s="11" t="n">
        <x:f>IF($A213="","",INDEX(Assumptions!$M$5:$M$11,WEEKDAY($A213,2)))</x:f>
        <x:v>1</x:v>
      </x:c>
      <x:c r="F213" s="11" t="n">
        <x:f>IF($A213="","",Assumptions!$B$15)</x:f>
        <x:v>0.35</x:v>
      </x:c>
      <x:c r="G213" s="11" t="n">
        <x:f>IF($A213="","",MAX(INDEX(Assumptions!$H$5:$H$12,MATCH($B213,Assumptions!$D$5:$D$12,0)),MIN(INDEX(Assumptions!$I$5:$I$12,MATCH($B213,Assumptions!$D$5:$D$12,0)),($C213+$D213*SQRT(-2*LN(RAND()))*COS(2*PI()*RAND()))*$E213*$J213*$K213)))</x:f>
        <x:v>923.7685581796696</x:v>
      </x:c>
      <x:c r="H213" s="11" t="n">
        <x:f>IF($A213="","",$G213*$F213+$C213*(1-$F213))</x:f>
        <x:v>927.8189953628844</x:v>
      </x:c>
      <x:c r="I213" s="11" t="n">
        <x:f>IF($A213="","",AVERAGE($H213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915.078764036155</x:v>
      </x:c>
      <x:c r="J213" s="12" t="n">
        <x:f>IF($A213="","",1+SUMIFS(Assumptions!$S$5:$S$10,Assumptions!$P$5:$P$10,$B213,Assumptions!$Q$5:$Q$10,"&lt;="&amp;$A213,Assumptions!$R$5:$R$10,"&gt;="&amp;$A213))</x:f>
        <x:v>1</x:v>
      </x:c>
      <x:c r="K213" s="12" t="n">
        <x:f>IF($A213="","",1+((($A213-Assumptions!$B$5)/30)*INDEX(Assumptions!$J$5:$J$12,MATCH($B213,Assumptions!$D$5:$D$12,0))))</x:f>
        <x:v>0.9986</x:v>
      </x:c>
      <x:c r="L213" t="str">
        <x:f>IF($A213="","",IFERROR(INDEX(Assumptions!$O$5:$O$10,MATCH(1,(Assumptions!$P$5:$P$10=$B213)*(Assumptions!$Q$5:$Q$10&lt;=$A213)*(Assumptions!$R$5:$R$10&gt;=$A213),0)),""))</x:f>
      </x:c>
      <x:c r="M213" t="n">
        <x:f>--($A213&lt;&gt;"")</x:f>
        <x:v>1</x:v>
      </x:c>
    </x:row>
    <x:row r="214">
      <x:c r="A214" s="10" t="n">
        <x:f>IF(Assumptions!$B$5+INT((ROW()-2)/Assumptions!$B$7)&gt;Assumptions!$B$6,"",Assumptions!$B$5+INT((ROW()-2)/Assumptions!$B$7))</x:f>
        <x:v>46065</x:v>
      </x:c>
      <x:c r="B214" t="str">
        <x:f>IF($A214="","",INDEX(Assumptions!$D$5:$D$12,MOD(ROW()-2,Assumptions!$B$7)+1))</x:f>
        <x:v>Nostromo Deep</x:v>
      </x:c>
      <x:c r="C214" s="11" t="n">
        <x:f>IF($A214="","",INDEX(Assumptions!$F$5:$F$12,MATCH($B214,Assumptions!$D$5:$D$12,0)))</x:f>
        <x:v>1260</x:v>
      </x:c>
      <x:c r="D214" s="11" t="n">
        <x:f>IF($A214="","",INDEX(Assumptions!$G$5:$G$12,MATCH($B214,Assumptions!$D$5:$D$12,0)))</x:f>
        <x:v>145</x:v>
      </x:c>
      <x:c r="E214" s="11" t="n">
        <x:f>IF($A214="","",INDEX(Assumptions!$M$5:$M$11,WEEKDAY($A214,2)))</x:f>
        <x:v>1</x:v>
      </x:c>
      <x:c r="F214" s="11" t="n">
        <x:f>IF($A214="","",Assumptions!$B$15)</x:f>
        <x:v>0.35</x:v>
      </x:c>
      <x:c r="G214" s="11" t="n">
        <x:f>IF($A214="","",MAX(INDEX(Assumptions!$H$5:$H$12,MATCH($B214,Assumptions!$D$5:$D$12,0)),MIN(INDEX(Assumptions!$I$5:$I$12,MATCH($B214,Assumptions!$D$5:$D$12,0)),($C214+$D214*SQRT(-2*LN(RAND()))*COS(2*PI()*RAND()))*$E214*$J214*$K214)))</x:f>
        <x:v>1740</x:v>
      </x:c>
      <x:c r="H214" s="11" t="n">
        <x:f>IF($A214="","",$G214*$F214+$C214*(1-$F214))</x:f>
        <x:v>1428</x:v>
      </x:c>
      <x:c r="I214" s="11" t="n">
        <x:f>IF($A214="","",AVERAGE($H214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1264.5233330202416</x:v>
      </x:c>
      <x:c r="J214" s="12" t="n">
        <x:f>IF($A214="","",1+SUMIFS(Assumptions!$S$5:$S$10,Assumptions!$P$5:$P$10,$B214,Assumptions!$Q$5:$Q$10,"&lt;="&amp;$A214,Assumptions!$R$5:$R$10,"&gt;="&amp;$A214))</x:f>
        <x:v>1</x:v>
      </x:c>
      <x:c r="K214" s="12" t="n">
        <x:f>IF($A214="","",1+((($A214-Assumptions!$B$5)/30)*INDEX(Assumptions!$J$5:$J$12,MATCH($B214,Assumptions!$D$5:$D$12,0))))</x:f>
        <x:v>1.0042</x:v>
      </x:c>
      <x:c r="L214" t="str">
        <x:f>IF($A214="","",IFERROR(INDEX(Assumptions!$O$5:$O$10,MATCH(1,(Assumptions!$P$5:$P$10=$B214)*(Assumptions!$Q$5:$Q$10&lt;=$A214)*(Assumptions!$R$5:$R$10&gt;=$A214),0)),""))</x:f>
      </x:c>
      <x:c r="M214" t="n">
        <x:f>--($A214&lt;&gt;"")</x:f>
        <x:v>1</x:v>
      </x:c>
    </x:row>
    <x:row r="215">
      <x:c r="A215" s="10" t="n">
        <x:f>IF(Assumptions!$B$5+INT((ROW()-2)/Assumptions!$B$7)&gt;Assumptions!$B$6,"",Assumptions!$B$5+INT((ROW()-2)/Assumptions!$B$7))</x:f>
        <x:v>46065</x:v>
      </x:c>
      <x:c r="B215" t="str">
        <x:f>IF($A215="","",INDEX(Assumptions!$D$5:$D$12,MOD(ROW()-2,Assumptions!$B$7)+1))</x:f>
        <x:v>Hadley's Hope</x:v>
      </x:c>
      <x:c r="C215" s="11" t="n">
        <x:f>IF($A215="","",INDEX(Assumptions!$F$5:$F$12,MATCH($B215,Assumptions!$D$5:$D$12,0)))</x:f>
        <x:v>845</x:v>
      </x:c>
      <x:c r="D215" s="11" t="n">
        <x:f>IF($A215="","",INDEX(Assumptions!$G$5:$G$12,MATCH($B215,Assumptions!$D$5:$D$12,0)))</x:f>
        <x:v>80</x:v>
      </x:c>
      <x:c r="E215" s="11" t="n">
        <x:f>IF($A215="","",INDEX(Assumptions!$M$5:$M$11,WEEKDAY($A215,2)))</x:f>
        <x:v>1</x:v>
      </x:c>
      <x:c r="F215" s="11" t="n">
        <x:f>IF($A215="","",Assumptions!$B$15)</x:f>
        <x:v>0.35</x:v>
      </x:c>
      <x:c r="G215" s="11" t="n">
        <x:f>IF($A215="","",MAX(INDEX(Assumptions!$H$5:$H$12,MATCH($B215,Assumptions!$D$5:$D$12,0)),MIN(INDEX(Assumptions!$I$5:$I$12,MATCH($B215,Assumptions!$D$5:$D$12,0)),($C215+$D215*SQRT(-2*LN(RAND()))*COS(2*PI()*RAND()))*$E215*$J215*$K215)))</x:f>
        <x:v>899.3048483259383</x:v>
      </x:c>
      <x:c r="H215" s="11" t="n">
        <x:f>IF($A215="","",$G215*$F215+$C215*(1-$F215))</x:f>
        <x:v>864.0066969140785</x:v>
      </x:c>
      <x:c r="I215" s="11" t="n">
        <x:f>IF($A215="","",AVERAGE($H215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835.8869895401698</x:v>
      </x:c>
      <x:c r="J215" s="12" t="n">
        <x:f>IF($A215="","",1+SUMIFS(Assumptions!$S$5:$S$10,Assumptions!$P$5:$P$10,$B215,Assumptions!$Q$5:$Q$10,"&lt;="&amp;$A215,Assumptions!$R$5:$R$10,"&gt;="&amp;$A215))</x:f>
        <x:v>1</x:v>
      </x:c>
      <x:c r="K215" s="12" t="n">
        <x:f>IF($A215="","",1+((($A215-Assumptions!$B$5)/30)*INDEX(Assumptions!$J$5:$J$12,MATCH($B215,Assumptions!$D$5:$D$12,0))))</x:f>
        <x:v>1.0014</x:v>
      </x:c>
      <x:c r="L215" t="str">
        <x:f>IF($A215="","",IFERROR(INDEX(Assumptions!$O$5:$O$10,MATCH(1,(Assumptions!$P$5:$P$10=$B215)*(Assumptions!$Q$5:$Q$10&lt;=$A215)*(Assumptions!$R$5:$R$10&gt;=$A215),0)),""))</x:f>
      </x:c>
      <x:c r="M215" t="n">
        <x:f>--($A215&lt;&gt;"")</x:f>
        <x:v>1</x:v>
      </x:c>
    </x:row>
    <x:row r="216">
      <x:c r="A216" s="10" t="n">
        <x:f>IF(Assumptions!$B$5+INT((ROW()-2)/Assumptions!$B$7)&gt;Assumptions!$B$6,"",Assumptions!$B$5+INT((ROW()-2)/Assumptions!$B$7))</x:f>
        <x:v>46065</x:v>
      </x:c>
      <x:c r="B216" t="str">
        <x:f>IF($A216="","",INDEX(Assumptions!$D$5:$D$12,MOD(ROW()-2,Assumptions!$B$7)+1))</x:f>
        <x:v>Yutani Ridge</x:v>
      </x:c>
      <x:c r="C216" s="11" t="n">
        <x:f>IF($A216="","",INDEX(Assumptions!$F$5:$F$12,MATCH($B216,Assumptions!$D$5:$D$12,0)))</x:f>
        <x:v>1050</x:v>
      </x:c>
      <x:c r="D216" s="11" t="n">
        <x:f>IF($A216="","",INDEX(Assumptions!$G$5:$G$12,MATCH($B216,Assumptions!$D$5:$D$12,0)))</x:f>
        <x:v>125</x:v>
      </x:c>
      <x:c r="E216" s="11" t="n">
        <x:f>IF($A216="","",INDEX(Assumptions!$M$5:$M$11,WEEKDAY($A216,2)))</x:f>
        <x:v>1</x:v>
      </x:c>
      <x:c r="F216" s="11" t="n">
        <x:f>IF($A216="","",Assumptions!$B$15)</x:f>
        <x:v>0.35</x:v>
      </x:c>
      <x:c r="G216" s="11" t="n">
        <x:f>IF($A216="","",MAX(INDEX(Assumptions!$H$5:$H$12,MATCH($B216,Assumptions!$D$5:$D$12,0)),MIN(INDEX(Assumptions!$I$5:$I$12,MATCH($B216,Assumptions!$D$5:$D$12,0)),($C216+$D216*SQRT(-2*LN(RAND()))*COS(2*PI()*RAND()))*$E216*$J216*$K216)))</x:f>
        <x:v>1064.8132771702915</x:v>
      </x:c>
      <x:c r="H216" s="11" t="n">
        <x:f>IF($A216="","",$G216*$F216+$C216*(1-$F216))</x:f>
        <x:v>1055.184647009602</x:v>
      </x:c>
      <x:c r="I216" s="11" t="n">
        <x:f>IF($A216="","",AVERAGE($H216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1048.530242733121</x:v>
      </x:c>
      <x:c r="J216" s="12" t="n">
        <x:f>IF($A216="","",1+SUMIFS(Assumptions!$S$5:$S$10,Assumptions!$P$5:$P$10,$B216,Assumptions!$Q$5:$Q$10,"&lt;="&amp;$A216,Assumptions!$R$5:$R$10,"&gt;="&amp;$A216))</x:f>
        <x:v>1</x:v>
      </x:c>
      <x:c r="K216" s="12" t="n">
        <x:f>IF($A216="","",1+((($A216-Assumptions!$B$5)/30)*INDEX(Assumptions!$J$5:$J$12,MATCH($B216,Assumptions!$D$5:$D$12,0))))</x:f>
        <x:v>1.0035</x:v>
      </x:c>
      <x:c r="L216" t="str">
        <x:f>IF($A216="","",IFERROR(INDEX(Assumptions!$O$5:$O$10,MATCH(1,(Assumptions!$P$5:$P$10=$B216)*(Assumptions!$Q$5:$Q$10&lt;=$A216)*(Assumptions!$R$5:$R$10&gt;=$A216),0)),""))</x:f>
      </x:c>
      <x:c r="M216" t="n">
        <x:f>--($A216&lt;&gt;"")</x:f>
        <x:v>1</x:v>
      </x:c>
    </x:row>
    <x:row r="217">
      <x:c r="A217" s="10" t="n">
        <x:f>IF(Assumptions!$B$5+INT((ROW()-2)/Assumptions!$B$7)&gt;Assumptions!$B$6,"",Assumptions!$B$5+INT((ROW()-2)/Assumptions!$B$7))</x:f>
        <x:v>46066</x:v>
      </x:c>
      <x:c r="B217" t="str">
        <x:f>IF($A217="","",INDEX(Assumptions!$D$5:$D$12,MOD(ROW()-2,Assumptions!$B$7)+1))</x:f>
        <x:v>Acheron Prime</x:v>
      </x:c>
      <x:c r="C217" s="11" t="n">
        <x:f>IF($A217="","",INDEX(Assumptions!$F$5:$F$12,MATCH($B217,Assumptions!$D$5:$D$12,0)))</x:f>
        <x:v>1120</x:v>
      </x:c>
      <x:c r="D217" s="11" t="n">
        <x:f>IF($A217="","",INDEX(Assumptions!$G$5:$G$12,MATCH($B217,Assumptions!$D$5:$D$12,0)))</x:f>
        <x:v>115</x:v>
      </x:c>
      <x:c r="E217" s="11" t="n">
        <x:f>IF($A217="","",INDEX(Assumptions!$M$5:$M$11,WEEKDAY($A217,2)))</x:f>
        <x:v>0.98</x:v>
      </x:c>
      <x:c r="F217" s="11" t="n">
        <x:f>IF($A217="","",Assumptions!$B$15)</x:f>
        <x:v>0.35</x:v>
      </x:c>
      <x:c r="G217" s="11" t="n">
        <x:f>IF($A217="","",MAX(INDEX(Assumptions!$H$5:$H$12,MATCH($B217,Assumptions!$D$5:$D$12,0)),MIN(INDEX(Assumptions!$I$5:$I$12,MATCH($B217,Assumptions!$D$5:$D$12,0)),($C217+$D217*SQRT(-2*LN(RAND()))*COS(2*PI()*RAND()))*$E217*$J217*$K217)))</x:f>
        <x:v>760</x:v>
      </x:c>
      <x:c r="H217" s="11" t="n">
        <x:f>IF($A217="","",$G217*$F217+$C217*(1-$F217))</x:f>
        <x:v>994</x:v>
      </x:c>
      <x:c r="I217" s="11" t="n">
        <x:f>IF($A217="","",AVERAGE($H217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1084.8846762675723</x:v>
      </x:c>
      <x:c r="J217" s="12" t="n">
        <x:f>IF($A217="","",1+SUMIFS(Assumptions!$S$5:$S$10,Assumptions!$P$5:$P$10,$B217,Assumptions!$Q$5:$Q$10,"&lt;="&amp;$A217,Assumptions!$R$5:$R$10,"&gt;="&amp;$A217))</x:f>
        <x:v>0.65</x:v>
      </x:c>
      <x:c r="K217" s="12" t="n">
        <x:f>IF($A217="","",1+((($A217-Assumptions!$B$5)/30)*INDEX(Assumptions!$J$5:$J$12,MATCH($B217,Assumptions!$D$5:$D$12,0))))</x:f>
        <x:v>1.0028666666666666</x:v>
      </x:c>
      <x:c r="L217" t="str">
        <x:f>IF($A217="","",IFERROR(INDEX(Assumptions!$O$5:$O$10,MATCH(1,(Assumptions!$P$5:$P$10=$B217)*(Assumptions!$Q$5:$Q$10&lt;=$A217)*(Assumptions!$R$5:$R$10&gt;=$A217),0)),""))</x:f>
        <x:v>Scheduled overhaul</x:v>
      </x:c>
      <x:c r="M217" t="n">
        <x:f>--($A217&lt;&gt;"")</x:f>
        <x:v>1</x:v>
      </x:c>
    </x:row>
    <x:row r="218">
      <x:c r="A218" s="10" t="n">
        <x:f>IF(Assumptions!$B$5+INT((ROW()-2)/Assumptions!$B$7)&gt;Assumptions!$B$6,"",Assumptions!$B$5+INT((ROW()-2)/Assumptions!$B$7))</x:f>
        <x:v>46066</x:v>
      </x:c>
      <x:c r="B218" t="str">
        <x:f>IF($A218="","",INDEX(Assumptions!$D$5:$D$12,MOD(ROW()-2,Assumptions!$B$7)+1))</x:f>
        <x:v>LV-426 North</x:v>
      </x:c>
      <x:c r="C218" s="11" t="n">
        <x:f>IF($A218="","",INDEX(Assumptions!$F$5:$F$12,MATCH($B218,Assumptions!$D$5:$D$12,0)))</x:f>
        <x:v>930</x:v>
      </x:c>
      <x:c r="D218" s="11" t="n">
        <x:f>IF($A218="","",INDEX(Assumptions!$G$5:$G$12,MATCH($B218,Assumptions!$D$5:$D$12,0)))</x:f>
        <x:v>95</x:v>
      </x:c>
      <x:c r="E218" s="11" t="n">
        <x:f>IF($A218="","",INDEX(Assumptions!$M$5:$M$11,WEEKDAY($A218,2)))</x:f>
        <x:v>0.98</x:v>
      </x:c>
      <x:c r="F218" s="11" t="n">
        <x:f>IF($A218="","",Assumptions!$B$15)</x:f>
        <x:v>0.35</x:v>
      </x:c>
      <x:c r="G218" s="11" t="n">
        <x:f>IF($A218="","",MAX(INDEX(Assumptions!$H$5:$H$12,MATCH($B218,Assumptions!$D$5:$D$12,0)),MIN(INDEX(Assumptions!$I$5:$I$12,MATCH($B218,Assumptions!$D$5:$D$12,0)),($C218+$D218*SQRT(-2*LN(RAND()))*COS(2*PI()*RAND()))*$E218*$J218*$K218)))</x:f>
        <x:v>911.9343638981775</x:v>
      </x:c>
      <x:c r="H218" s="11" t="n">
        <x:f>IF($A218="","",$G218*$F218+$C218*(1-$F218))</x:f>
        <x:v>923.6770273643622</x:v>
      </x:c>
      <x:c r="I218" s="11" t="n">
        <x:f>IF($A218="","",AVERAGE($H218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920.9907802608433</x:v>
      </x:c>
      <x:c r="J218" s="12" t="n">
        <x:f>IF($A218="","",1+SUMIFS(Assumptions!$S$5:$S$10,Assumptions!$P$5:$P$10,$B218,Assumptions!$Q$5:$Q$10,"&lt;="&amp;$A218,Assumptions!$R$5:$R$10,"&gt;="&amp;$A218))</x:f>
        <x:v>1</x:v>
      </x:c>
      <x:c r="K218" s="12" t="n">
        <x:f>IF($A218="","",1+((($A218-Assumptions!$B$5)/30)*INDEX(Assumptions!$J$5:$J$12,MATCH($B218,Assumptions!$D$5:$D$12,0))))</x:f>
        <x:v>0.9985666666666667</x:v>
      </x:c>
      <x:c r="L218" t="str">
        <x:f>IF($A218="","",IFERROR(INDEX(Assumptions!$O$5:$O$10,MATCH(1,(Assumptions!$P$5:$P$10=$B218)*(Assumptions!$Q$5:$Q$10&lt;=$A218)*(Assumptions!$R$5:$R$10&gt;=$A218),0)),""))</x:f>
      </x:c>
      <x:c r="M218" t="n">
        <x:f>--($A218&lt;&gt;"")</x:f>
        <x:v>1</x:v>
      </x:c>
    </x:row>
    <x:row r="219">
      <x:c r="A219" s="10" t="n">
        <x:f>IF(Assumptions!$B$5+INT((ROW()-2)/Assumptions!$B$7)&gt;Assumptions!$B$6,"",Assumptions!$B$5+INT((ROW()-2)/Assumptions!$B$7))</x:f>
        <x:v>46066</x:v>
      </x:c>
      <x:c r="B219" t="str">
        <x:f>IF($A219="","",INDEX(Assumptions!$D$5:$D$12,MOD(ROW()-2,Assumptions!$B$7)+1))</x:f>
        <x:v>Nostromo Deep</x:v>
      </x:c>
      <x:c r="C219" s="11" t="n">
        <x:f>IF($A219="","",INDEX(Assumptions!$F$5:$F$12,MATCH($B219,Assumptions!$D$5:$D$12,0)))</x:f>
        <x:v>1260</x:v>
      </x:c>
      <x:c r="D219" s="11" t="n">
        <x:f>IF($A219="","",INDEX(Assumptions!$G$5:$G$12,MATCH($B219,Assumptions!$D$5:$D$12,0)))</x:f>
        <x:v>145</x:v>
      </x:c>
      <x:c r="E219" s="11" t="n">
        <x:f>IF($A219="","",INDEX(Assumptions!$M$5:$M$11,WEEKDAY($A219,2)))</x:f>
        <x:v>0.98</x:v>
      </x:c>
      <x:c r="F219" s="11" t="n">
        <x:f>IF($A219="","",Assumptions!$B$15)</x:f>
        <x:v>0.35</x:v>
      </x:c>
      <x:c r="G219" s="11" t="n">
        <x:f>IF($A219="","",MAX(INDEX(Assumptions!$H$5:$H$12,MATCH($B219,Assumptions!$D$5:$D$12,0)),MIN(INDEX(Assumptions!$I$5:$I$12,MATCH($B219,Assumptions!$D$5:$D$12,0)),($C219+$D219*SQRT(-2*LN(RAND()))*COS(2*PI()*RAND()))*$E219*$J219*$K219)))</x:f>
        <x:v>926.7817605103203</x:v>
      </x:c>
      <x:c r="H219" s="11" t="n">
        <x:f>IF($A219="","",$G219*$F219+$C219*(1-$F219))</x:f>
        <x:v>1143.373616178612</x:v>
      </x:c>
      <x:c r="I219" s="11" t="n">
        <x:f>IF($A219="","",AVERAGE($H219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1244.1815714489542</x:v>
      </x:c>
      <x:c r="J219" s="12" t="n">
        <x:f>IF($A219="","",1+SUMIFS(Assumptions!$S$5:$S$10,Assumptions!$P$5:$P$10,$B219,Assumptions!$Q$5:$Q$10,"&lt;="&amp;$A219,Assumptions!$R$5:$R$10,"&gt;="&amp;$A219))</x:f>
        <x:v>1</x:v>
      </x:c>
      <x:c r="K219" s="12" t="n">
        <x:f>IF($A219="","",1+((($A219-Assumptions!$B$5)/30)*INDEX(Assumptions!$J$5:$J$12,MATCH($B219,Assumptions!$D$5:$D$12,0))))</x:f>
        <x:v>1.0043</x:v>
      </x:c>
      <x:c r="L219" t="str">
        <x:f>IF($A219="","",IFERROR(INDEX(Assumptions!$O$5:$O$10,MATCH(1,(Assumptions!$P$5:$P$10=$B219)*(Assumptions!$Q$5:$Q$10&lt;=$A219)*(Assumptions!$R$5:$R$10&gt;=$A219),0)),""))</x:f>
      </x:c>
      <x:c r="M219" t="n">
        <x:f>--($A219&lt;&gt;"")</x:f>
        <x:v>1</x:v>
      </x:c>
    </x:row>
    <x:row r="220">
      <x:c r="A220" s="10" t="n">
        <x:f>IF(Assumptions!$B$5+INT((ROW()-2)/Assumptions!$B$7)&gt;Assumptions!$B$6,"",Assumptions!$B$5+INT((ROW()-2)/Assumptions!$B$7))</x:f>
        <x:v>46066</x:v>
      </x:c>
      <x:c r="B220" t="str">
        <x:f>IF($A220="","",INDEX(Assumptions!$D$5:$D$12,MOD(ROW()-2,Assumptions!$B$7)+1))</x:f>
        <x:v>Hadley's Hope</x:v>
      </x:c>
      <x:c r="C220" s="11" t="n">
        <x:f>IF($A220="","",INDEX(Assumptions!$F$5:$F$12,MATCH($B220,Assumptions!$D$5:$D$12,0)))</x:f>
        <x:v>845</x:v>
      </x:c>
      <x:c r="D220" s="11" t="n">
        <x:f>IF($A220="","",INDEX(Assumptions!$G$5:$G$12,MATCH($B220,Assumptions!$D$5:$D$12,0)))</x:f>
        <x:v>80</x:v>
      </x:c>
      <x:c r="E220" s="11" t="n">
        <x:f>IF($A220="","",INDEX(Assumptions!$M$5:$M$11,WEEKDAY($A220,2)))</x:f>
        <x:v>0.98</x:v>
      </x:c>
      <x:c r="F220" s="11" t="n">
        <x:f>IF($A220="","",Assumptions!$B$15)</x:f>
        <x:v>0.35</x:v>
      </x:c>
      <x:c r="G220" s="11" t="n">
        <x:f>IF($A220="","",MAX(INDEX(Assumptions!$H$5:$H$12,MATCH($B220,Assumptions!$D$5:$D$12,0)),MIN(INDEX(Assumptions!$I$5:$I$12,MATCH($B220,Assumptions!$D$5:$D$12,0)),($C220+$D220*SQRT(-2*LN(RAND()))*COS(2*PI()*RAND()))*$E220*$J220*$K220)))</x:f>
        <x:v>793.7823974459191</x:v>
      </x:c>
      <x:c r="H220" s="11" t="n">
        <x:f>IF($A220="","",$G220*$F220+$C220*(1-$F220))</x:f>
        <x:v>827.0738391060717</x:v>
      </x:c>
      <x:c r="I220" s="11" t="n">
        <x:f>IF($A220="","",AVERAGE($H220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834.5738917635853</x:v>
      </x:c>
      <x:c r="J220" s="12" t="n">
        <x:f>IF($A220="","",1+SUMIFS(Assumptions!$S$5:$S$10,Assumptions!$P$5:$P$10,$B220,Assumptions!$Q$5:$Q$10,"&lt;="&amp;$A220,Assumptions!$R$5:$R$10,"&gt;="&amp;$A220))</x:f>
        <x:v>1</x:v>
      </x:c>
      <x:c r="K220" s="12" t="n">
        <x:f>IF($A220="","",1+((($A220-Assumptions!$B$5)/30)*INDEX(Assumptions!$J$5:$J$12,MATCH($B220,Assumptions!$D$5:$D$12,0))))</x:f>
        <x:v>1.0014333333333334</x:v>
      </x:c>
      <x:c r="L220" t="str">
        <x:f>IF($A220="","",IFERROR(INDEX(Assumptions!$O$5:$O$10,MATCH(1,(Assumptions!$P$5:$P$10=$B220)*(Assumptions!$Q$5:$Q$10&lt;=$A220)*(Assumptions!$R$5:$R$10&gt;=$A220),0)),""))</x:f>
      </x:c>
      <x:c r="M220" t="n">
        <x:f>--($A220&lt;&gt;"")</x:f>
        <x:v>1</x:v>
      </x:c>
    </x:row>
    <x:row r="221">
      <x:c r="A221" s="10" t="n">
        <x:f>IF(Assumptions!$B$5+INT((ROW()-2)/Assumptions!$B$7)&gt;Assumptions!$B$6,"",Assumptions!$B$5+INT((ROW()-2)/Assumptions!$B$7))</x:f>
        <x:v>46066</x:v>
      </x:c>
      <x:c r="B221" t="str">
        <x:f>IF($A221="","",INDEX(Assumptions!$D$5:$D$12,MOD(ROW()-2,Assumptions!$B$7)+1))</x:f>
        <x:v>Yutani Ridge</x:v>
      </x:c>
      <x:c r="C221" s="11" t="n">
        <x:f>IF($A221="","",INDEX(Assumptions!$F$5:$F$12,MATCH($B221,Assumptions!$D$5:$D$12,0)))</x:f>
        <x:v>1050</x:v>
      </x:c>
      <x:c r="D221" s="11" t="n">
        <x:f>IF($A221="","",INDEX(Assumptions!$G$5:$G$12,MATCH($B221,Assumptions!$D$5:$D$12,0)))</x:f>
        <x:v>125</x:v>
      </x:c>
      <x:c r="E221" s="11" t="n">
        <x:f>IF($A221="","",INDEX(Assumptions!$M$5:$M$11,WEEKDAY($A221,2)))</x:f>
        <x:v>0.98</x:v>
      </x:c>
      <x:c r="F221" s="11" t="n">
        <x:f>IF($A221="","",Assumptions!$B$15)</x:f>
        <x:v>0.35</x:v>
      </x:c>
      <x:c r="G221" s="11" t="n">
        <x:f>IF($A221="","",MAX(INDEX(Assumptions!$H$5:$H$12,MATCH($B221,Assumptions!$D$5:$D$12,0)),MIN(INDEX(Assumptions!$I$5:$I$12,MATCH($B221,Assumptions!$D$5:$D$12,0)),($C221+$D221*SQRT(-2*LN(RAND()))*COS(2*PI()*RAND()))*$E221*$J221*$K221)))</x:f>
        <x:v>1107.830669380338</x:v>
      </x:c>
      <x:c r="H221" s="11" t="n">
        <x:f>IF($A221="","",$G221*$F221+$C221*(1-$F221))</x:f>
        <x:v>1070.2407342831182</x:v>
      </x:c>
      <x:c r="I221" s="11" t="n">
        <x:f>IF($A221="","",AVERAGE($H221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1048.0028363035688</x:v>
      </x:c>
      <x:c r="J221" s="12" t="n">
        <x:f>IF($A221="","",1+SUMIFS(Assumptions!$S$5:$S$10,Assumptions!$P$5:$P$10,$B221,Assumptions!$Q$5:$Q$10,"&lt;="&amp;$A221,Assumptions!$R$5:$R$10,"&gt;="&amp;$A221))</x:f>
        <x:v>1</x:v>
      </x:c>
      <x:c r="K221" s="12" t="n">
        <x:f>IF($A221="","",1+((($A221-Assumptions!$B$5)/30)*INDEX(Assumptions!$J$5:$J$12,MATCH($B221,Assumptions!$D$5:$D$12,0))))</x:f>
        <x:v>1.0035833333333333</x:v>
      </x:c>
      <x:c r="L221" t="str">
        <x:f>IF($A221="","",IFERROR(INDEX(Assumptions!$O$5:$O$10,MATCH(1,(Assumptions!$P$5:$P$10=$B221)*(Assumptions!$Q$5:$Q$10&lt;=$A221)*(Assumptions!$R$5:$R$10&gt;=$A221),0)),""))</x:f>
      </x:c>
      <x:c r="M221" t="n">
        <x:f>--($A221&lt;&gt;"")</x:f>
        <x:v>1</x:v>
      </x:c>
    </x:row>
    <x:row r="222">
      <x:c r="A222" s="10" t="n">
        <x:f>IF(Assumptions!$B$5+INT((ROW()-2)/Assumptions!$B$7)&gt;Assumptions!$B$6,"",Assumptions!$B$5+INT((ROW()-2)/Assumptions!$B$7))</x:f>
        <x:v>46067</x:v>
      </x:c>
      <x:c r="B222" t="str">
        <x:f>IF($A222="","",INDEX(Assumptions!$D$5:$D$12,MOD(ROW()-2,Assumptions!$B$7)+1))</x:f>
        <x:v>Acheron Prime</x:v>
      </x:c>
      <x:c r="C222" s="11" t="n">
        <x:f>IF($A222="","",INDEX(Assumptions!$F$5:$F$12,MATCH($B222,Assumptions!$D$5:$D$12,0)))</x:f>
        <x:v>1120</x:v>
      </x:c>
      <x:c r="D222" s="11" t="n">
        <x:f>IF($A222="","",INDEX(Assumptions!$G$5:$G$12,MATCH($B222,Assumptions!$D$5:$D$12,0)))</x:f>
        <x:v>115</x:v>
      </x:c>
      <x:c r="E222" s="11" t="n">
        <x:f>IF($A222="","",INDEX(Assumptions!$M$5:$M$11,WEEKDAY($A222,2)))</x:f>
        <x:v>0.91</x:v>
      </x:c>
      <x:c r="F222" s="11" t="n">
        <x:f>IF($A222="","",Assumptions!$B$15)</x:f>
        <x:v>0.35</x:v>
      </x:c>
      <x:c r="G222" s="11" t="n">
        <x:f>IF($A222="","",MAX(INDEX(Assumptions!$H$5:$H$12,MATCH($B222,Assumptions!$D$5:$D$12,0)),MIN(INDEX(Assumptions!$I$5:$I$12,MATCH($B222,Assumptions!$D$5:$D$12,0)),($C222+$D222*SQRT(-2*LN(RAND()))*COS(2*PI()*RAND()))*$E222*$J222*$K222)))</x:f>
        <x:v>760</x:v>
      </x:c>
      <x:c r="H222" s="11" t="n">
        <x:f>IF($A222="","",$G222*$F222+$C222*(1-$F222))</x:f>
        <x:v>994</x:v>
      </x:c>
      <x:c r="I222" s="11" t="n">
        <x:f>IF($A222="","",AVERAGE($H222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1069.874690761308</x:v>
      </x:c>
      <x:c r="J222" s="12" t="n">
        <x:f>IF($A222="","",1+SUMIFS(Assumptions!$S$5:$S$10,Assumptions!$P$5:$P$10,$B222,Assumptions!$Q$5:$Q$10,"&lt;="&amp;$A222,Assumptions!$R$5:$R$10,"&gt;="&amp;$A222))</x:f>
        <x:v>0.65</x:v>
      </x:c>
      <x:c r="K222" s="12" t="n">
        <x:f>IF($A222="","",1+((($A222-Assumptions!$B$5)/30)*INDEX(Assumptions!$J$5:$J$12,MATCH($B222,Assumptions!$D$5:$D$12,0))))</x:f>
        <x:v>1.0029333333333332</x:v>
      </x:c>
      <x:c r="L222" t="str">
        <x:f>IF($A222="","",IFERROR(INDEX(Assumptions!$O$5:$O$10,MATCH(1,(Assumptions!$P$5:$P$10=$B222)*(Assumptions!$Q$5:$Q$10&lt;=$A222)*(Assumptions!$R$5:$R$10&gt;=$A222),0)),""))</x:f>
        <x:v>Scheduled overhaul</x:v>
      </x:c>
      <x:c r="M222" t="n">
        <x:f>--($A222&lt;&gt;"")</x:f>
        <x:v>1</x:v>
      </x:c>
    </x:row>
    <x:row r="223">
      <x:c r="A223" s="10" t="n">
        <x:f>IF(Assumptions!$B$5+INT((ROW()-2)/Assumptions!$B$7)&gt;Assumptions!$B$6,"",Assumptions!$B$5+INT((ROW()-2)/Assumptions!$B$7))</x:f>
        <x:v>46067</x:v>
      </x:c>
      <x:c r="B223" t="str">
        <x:f>IF($A223="","",INDEX(Assumptions!$D$5:$D$12,MOD(ROW()-2,Assumptions!$B$7)+1))</x:f>
        <x:v>LV-426 North</x:v>
      </x:c>
      <x:c r="C223" s="11" t="n">
        <x:f>IF($A223="","",INDEX(Assumptions!$F$5:$F$12,MATCH($B223,Assumptions!$D$5:$D$12,0)))</x:f>
        <x:v>930</x:v>
      </x:c>
      <x:c r="D223" s="11" t="n">
        <x:f>IF($A223="","",INDEX(Assumptions!$G$5:$G$12,MATCH($B223,Assumptions!$D$5:$D$12,0)))</x:f>
        <x:v>95</x:v>
      </x:c>
      <x:c r="E223" s="11" t="n">
        <x:f>IF($A223="","",INDEX(Assumptions!$M$5:$M$11,WEEKDAY($A223,2)))</x:f>
        <x:v>0.91</x:v>
      </x:c>
      <x:c r="F223" s="11" t="n">
        <x:f>IF($A223="","",Assumptions!$B$15)</x:f>
        <x:v>0.35</x:v>
      </x:c>
      <x:c r="G223" s="11" t="n">
        <x:f>IF($A223="","",MAX(INDEX(Assumptions!$H$5:$H$12,MATCH($B223,Assumptions!$D$5:$D$12,0)),MIN(INDEX(Assumptions!$I$5:$I$12,MATCH($B223,Assumptions!$D$5:$D$12,0)),($C223+$D223*SQRT(-2*LN(RAND()))*COS(2*PI()*RAND()))*$E223*$J223*$K223)))</x:f>
        <x:v>924.9766337279519</x:v>
      </x:c>
      <x:c r="H223" s="11" t="n">
        <x:f>IF($A223="","",$G223*$F223+$C223*(1-$F223))</x:f>
        <x:v>928.2418218047832</x:v>
      </x:c>
      <x:c r="I223" s="11" t="n">
        <x:f>IF($A223="","",AVERAGE($H223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919.6334624940226</x:v>
      </x:c>
      <x:c r="J223" s="12" t="n">
        <x:f>IF($A223="","",1+SUMIFS(Assumptions!$S$5:$S$10,Assumptions!$P$5:$P$10,$B223,Assumptions!$Q$5:$Q$10,"&lt;="&amp;$A223,Assumptions!$R$5:$R$10,"&gt;="&amp;$A223))</x:f>
        <x:v>1</x:v>
      </x:c>
      <x:c r="K223" s="12" t="n">
        <x:f>IF($A223="","",1+((($A223-Assumptions!$B$5)/30)*INDEX(Assumptions!$J$5:$J$12,MATCH($B223,Assumptions!$D$5:$D$12,0))))</x:f>
        <x:v>0.9985333333333334</x:v>
      </x:c>
      <x:c r="L223" t="str">
        <x:f>IF($A223="","",IFERROR(INDEX(Assumptions!$O$5:$O$10,MATCH(1,(Assumptions!$P$5:$P$10=$B223)*(Assumptions!$Q$5:$Q$10&lt;=$A223)*(Assumptions!$R$5:$R$10&gt;=$A223),0)),""))</x:f>
      </x:c>
      <x:c r="M223" t="n">
        <x:f>--($A223&lt;&gt;"")</x:f>
        <x:v>1</x:v>
      </x:c>
    </x:row>
    <x:row r="224">
      <x:c r="A224" s="10" t="n">
        <x:f>IF(Assumptions!$B$5+INT((ROW()-2)/Assumptions!$B$7)&gt;Assumptions!$B$6,"",Assumptions!$B$5+INT((ROW()-2)/Assumptions!$B$7))</x:f>
        <x:v>46067</x:v>
      </x:c>
      <x:c r="B224" t="str">
        <x:f>IF($A224="","",INDEX(Assumptions!$D$5:$D$12,MOD(ROW()-2,Assumptions!$B$7)+1))</x:f>
        <x:v>Nostromo Deep</x:v>
      </x:c>
      <x:c r="C224" s="11" t="n">
        <x:f>IF($A224="","",INDEX(Assumptions!$F$5:$F$12,MATCH($B224,Assumptions!$D$5:$D$12,0)))</x:f>
        <x:v>1260</x:v>
      </x:c>
      <x:c r="D224" s="11" t="n">
        <x:f>IF($A224="","",INDEX(Assumptions!$G$5:$G$12,MATCH($B224,Assumptions!$D$5:$D$12,0)))</x:f>
        <x:v>145</x:v>
      </x:c>
      <x:c r="E224" s="11" t="n">
        <x:f>IF($A224="","",INDEX(Assumptions!$M$5:$M$11,WEEKDAY($A224,2)))</x:f>
        <x:v>0.91</x:v>
      </x:c>
      <x:c r="F224" s="11" t="n">
        <x:f>IF($A224="","",Assumptions!$B$15)</x:f>
        <x:v>0.35</x:v>
      </x:c>
      <x:c r="G224" s="11" t="n">
        <x:f>IF($A224="","",MAX(INDEX(Assumptions!$H$5:$H$12,MATCH($B224,Assumptions!$D$5:$D$12,0)),MIN(INDEX(Assumptions!$I$5:$I$12,MATCH($B224,Assumptions!$D$5:$D$12,0)),($C224+$D224*SQRT(-2*LN(RAND()))*COS(2*PI()*RAND()))*$E224*$J224*$K224)))</x:f>
        <x:v>1045.6142216569447</x:v>
      </x:c>
      <x:c r="H224" s="11" t="n">
        <x:f>IF($A224="","",$G224*$F224+$C224*(1-$F224))</x:f>
        <x:v>1184.9649775799307</x:v>
      </x:c>
      <x:c r="I224" s="11" t="n">
        <x:f>IF($A224="","",AVERAGE($H224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1247.4856627839192</x:v>
      </x:c>
      <x:c r="J224" s="12" t="n">
        <x:f>IF($A224="","",1+SUMIFS(Assumptions!$S$5:$S$10,Assumptions!$P$5:$P$10,$B224,Assumptions!$Q$5:$Q$10,"&lt;="&amp;$A224,Assumptions!$R$5:$R$10,"&gt;="&amp;$A224))</x:f>
        <x:v>1</x:v>
      </x:c>
      <x:c r="K224" s="12" t="n">
        <x:f>IF($A224="","",1+((($A224-Assumptions!$B$5)/30)*INDEX(Assumptions!$J$5:$J$12,MATCH($B224,Assumptions!$D$5:$D$12,0))))</x:f>
        <x:v>1.0044</x:v>
      </x:c>
      <x:c r="L224" t="str">
        <x:f>IF($A224="","",IFERROR(INDEX(Assumptions!$O$5:$O$10,MATCH(1,(Assumptions!$P$5:$P$10=$B224)*(Assumptions!$Q$5:$Q$10&lt;=$A224)*(Assumptions!$R$5:$R$10&gt;=$A224),0)),""))</x:f>
      </x:c>
      <x:c r="M224" t="n">
        <x:f>--($A224&lt;&gt;"")</x:f>
        <x:v>1</x:v>
      </x:c>
    </x:row>
    <x:row r="225">
      <x:c r="A225" s="10" t="n">
        <x:f>IF(Assumptions!$B$5+INT((ROW()-2)/Assumptions!$B$7)&gt;Assumptions!$B$6,"",Assumptions!$B$5+INT((ROW()-2)/Assumptions!$B$7))</x:f>
        <x:v>46067</x:v>
      </x:c>
      <x:c r="B225" t="str">
        <x:f>IF($A225="","",INDEX(Assumptions!$D$5:$D$12,MOD(ROW()-2,Assumptions!$B$7)+1))</x:f>
        <x:v>Hadley's Hope</x:v>
      </x:c>
      <x:c r="C225" s="11" t="n">
        <x:f>IF($A225="","",INDEX(Assumptions!$F$5:$F$12,MATCH($B225,Assumptions!$D$5:$D$12,0)))</x:f>
        <x:v>845</x:v>
      </x:c>
      <x:c r="D225" s="11" t="n">
        <x:f>IF($A225="","",INDEX(Assumptions!$G$5:$G$12,MATCH($B225,Assumptions!$D$5:$D$12,0)))</x:f>
        <x:v>80</x:v>
      </x:c>
      <x:c r="E225" s="11" t="n">
        <x:f>IF($A225="","",INDEX(Assumptions!$M$5:$M$11,WEEKDAY($A225,2)))</x:f>
        <x:v>0.91</x:v>
      </x:c>
      <x:c r="F225" s="11" t="n">
        <x:f>IF($A225="","",Assumptions!$B$15)</x:f>
        <x:v>0.35</x:v>
      </x:c>
      <x:c r="G225" s="11" t="n">
        <x:f>IF($A225="","",MAX(INDEX(Assumptions!$H$5:$H$12,MATCH($B225,Assumptions!$D$5:$D$12,0)),MIN(INDEX(Assumptions!$I$5:$I$12,MATCH($B225,Assumptions!$D$5:$D$12,0)),($C225+$D225*SQRT(-2*LN(RAND()))*COS(2*PI()*RAND()))*$E225*$J225*$K225)))</x:f>
        <x:v>820.7232012445354</x:v>
      </x:c>
      <x:c r="H225" s="11" t="n">
        <x:f>IF($A225="","",$G225*$F225+$C225*(1-$F225))</x:f>
        <x:v>836.5031204355873</x:v>
      </x:c>
      <x:c r="I225" s="11" t="n">
        <x:f>IF($A225="","",AVERAGE($H225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842.7161157591428</x:v>
      </x:c>
      <x:c r="J225" s="12" t="n">
        <x:f>IF($A225="","",1+SUMIFS(Assumptions!$S$5:$S$10,Assumptions!$P$5:$P$10,$B225,Assumptions!$Q$5:$Q$10,"&lt;="&amp;$A225,Assumptions!$R$5:$R$10,"&gt;="&amp;$A225))</x:f>
        <x:v>1</x:v>
      </x:c>
      <x:c r="K225" s="12" t="n">
        <x:f>IF($A225="","",1+((($A225-Assumptions!$B$5)/30)*INDEX(Assumptions!$J$5:$J$12,MATCH($B225,Assumptions!$D$5:$D$12,0))))</x:f>
        <x:v>1.0014666666666667</x:v>
      </x:c>
      <x:c r="L225" t="str">
        <x:f>IF($A225="","",IFERROR(INDEX(Assumptions!$O$5:$O$10,MATCH(1,(Assumptions!$P$5:$P$10=$B225)*(Assumptions!$Q$5:$Q$10&lt;=$A225)*(Assumptions!$R$5:$R$10&gt;=$A225),0)),""))</x:f>
      </x:c>
      <x:c r="M225" t="n">
        <x:f>--($A225&lt;&gt;"")</x:f>
        <x:v>1</x:v>
      </x:c>
    </x:row>
    <x:row r="226">
      <x:c r="A226" s="10" t="n">
        <x:f>IF(Assumptions!$B$5+INT((ROW()-2)/Assumptions!$B$7)&gt;Assumptions!$B$6,"",Assumptions!$B$5+INT((ROW()-2)/Assumptions!$B$7))</x:f>
        <x:v>46067</x:v>
      </x:c>
      <x:c r="B226" t="str">
        <x:f>IF($A226="","",INDEX(Assumptions!$D$5:$D$12,MOD(ROW()-2,Assumptions!$B$7)+1))</x:f>
        <x:v>Yutani Ridge</x:v>
      </x:c>
      <x:c r="C226" s="11" t="n">
        <x:f>IF($A226="","",INDEX(Assumptions!$F$5:$F$12,MATCH($B226,Assumptions!$D$5:$D$12,0)))</x:f>
        <x:v>1050</x:v>
      </x:c>
      <x:c r="D226" s="11" t="n">
        <x:f>IF($A226="","",INDEX(Assumptions!$G$5:$G$12,MATCH($B226,Assumptions!$D$5:$D$12,0)))</x:f>
        <x:v>125</x:v>
      </x:c>
      <x:c r="E226" s="11" t="n">
        <x:f>IF($A226="","",INDEX(Assumptions!$M$5:$M$11,WEEKDAY($A226,2)))</x:f>
        <x:v>0.91</x:v>
      </x:c>
      <x:c r="F226" s="11" t="n">
        <x:f>IF($A226="","",Assumptions!$B$15)</x:f>
        <x:v>0.35</x:v>
      </x:c>
      <x:c r="G226" s="11" t="n">
        <x:f>IF($A226="","",MAX(INDEX(Assumptions!$H$5:$H$12,MATCH($B226,Assumptions!$D$5:$D$12,0)),MIN(INDEX(Assumptions!$I$5:$I$12,MATCH($B226,Assumptions!$D$5:$D$12,0)),($C226+$D226*SQRT(-2*LN(RAND()))*COS(2*PI()*RAND()))*$E226*$J226*$K226)))</x:f>
        <x:v>937.1020732399162</x:v>
      </x:c>
      <x:c r="H226" s="11" t="n">
        <x:f>IF($A226="","",$G226*$F226+$C226*(1-$F226))</x:f>
        <x:v>1010.4857256339707</x:v>
      </x:c>
      <x:c r="I226" s="11" t="n">
        <x:f>IF($A226="","",AVERAGE($H226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1052.8752263661859</x:v>
      </x:c>
      <x:c r="J226" s="12" t="n">
        <x:f>IF($A226="","",1+SUMIFS(Assumptions!$S$5:$S$10,Assumptions!$P$5:$P$10,$B226,Assumptions!$Q$5:$Q$10,"&lt;="&amp;$A226,Assumptions!$R$5:$R$10,"&gt;="&amp;$A226))</x:f>
        <x:v>1</x:v>
      </x:c>
      <x:c r="K226" s="12" t="n">
        <x:f>IF($A226="","",1+((($A226-Assumptions!$B$5)/30)*INDEX(Assumptions!$J$5:$J$12,MATCH($B226,Assumptions!$D$5:$D$12,0))))</x:f>
        <x:v>1.0036666666666667</x:v>
      </x:c>
      <x:c r="L226" t="str">
        <x:f>IF($A226="","",IFERROR(INDEX(Assumptions!$O$5:$O$10,MATCH(1,(Assumptions!$P$5:$P$10=$B226)*(Assumptions!$Q$5:$Q$10&lt;=$A226)*(Assumptions!$R$5:$R$10&gt;=$A226),0)),""))</x:f>
      </x:c>
      <x:c r="M226" t="n">
        <x:f>--($A226&lt;&gt;"")</x:f>
        <x:v>1</x:v>
      </x:c>
    </x:row>
    <x:row r="227">
      <x:c r="A227" s="10" t="n">
        <x:f>IF(Assumptions!$B$5+INT((ROW()-2)/Assumptions!$B$7)&gt;Assumptions!$B$6,"",Assumptions!$B$5+INT((ROW()-2)/Assumptions!$B$7))</x:f>
        <x:v>46068</x:v>
      </x:c>
      <x:c r="B227" t="str">
        <x:f>IF($A227="","",INDEX(Assumptions!$D$5:$D$12,MOD(ROW()-2,Assumptions!$B$7)+1))</x:f>
        <x:v>Acheron Prime</x:v>
      </x:c>
      <x:c r="C227" s="11" t="n">
        <x:f>IF($A227="","",INDEX(Assumptions!$F$5:$F$12,MATCH($B227,Assumptions!$D$5:$D$12,0)))</x:f>
        <x:v>1120</x:v>
      </x:c>
      <x:c r="D227" s="11" t="n">
        <x:f>IF($A227="","",INDEX(Assumptions!$G$5:$G$12,MATCH($B227,Assumptions!$D$5:$D$12,0)))</x:f>
        <x:v>115</x:v>
      </x:c>
      <x:c r="E227" s="11" t="n">
        <x:f>IF($A227="","",INDEX(Assumptions!$M$5:$M$11,WEEKDAY($A227,2)))</x:f>
        <x:v>0.87</x:v>
      </x:c>
      <x:c r="F227" s="11" t="n">
        <x:f>IF($A227="","",Assumptions!$B$15)</x:f>
        <x:v>0.35</x:v>
      </x:c>
      <x:c r="G227" s="11" t="n">
        <x:f>IF($A227="","",MAX(INDEX(Assumptions!$H$5:$H$12,MATCH($B227,Assumptions!$D$5:$D$12,0)),MIN(INDEX(Assumptions!$I$5:$I$12,MATCH($B227,Assumptions!$D$5:$D$12,0)),($C227+$D227*SQRT(-2*LN(RAND()))*COS(2*PI()*RAND()))*$E227*$J227*$K227)))</x:f>
        <x:v>760</x:v>
      </x:c>
      <x:c r="H227" s="11" t="n">
        <x:f>IF($A227="","",$G227*$F227+$C227*(1-$F227))</x:f>
        <x:v>994</x:v>
      </x:c>
      <x:c r="I227" s="11" t="n">
        <x:f>IF($A227="","",AVERAGE($H227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1054.3650309084367</x:v>
      </x:c>
      <x:c r="J227" s="12" t="n">
        <x:f>IF($A227="","",1+SUMIFS(Assumptions!$S$5:$S$10,Assumptions!$P$5:$P$10,$B227,Assumptions!$Q$5:$Q$10,"&lt;="&amp;$A227,Assumptions!$R$5:$R$10,"&gt;="&amp;$A227))</x:f>
        <x:v>0.65</x:v>
      </x:c>
      <x:c r="K227" s="12" t="n">
        <x:f>IF($A227="","",1+((($A227-Assumptions!$B$5)/30)*INDEX(Assumptions!$J$5:$J$12,MATCH($B227,Assumptions!$D$5:$D$12,0))))</x:f>
        <x:v>1.003</x:v>
      </x:c>
      <x:c r="L227" t="str">
        <x:f>IF($A227="","",IFERROR(INDEX(Assumptions!$O$5:$O$10,MATCH(1,(Assumptions!$P$5:$P$10=$B227)*(Assumptions!$Q$5:$Q$10&lt;=$A227)*(Assumptions!$R$5:$R$10&gt;=$A227),0)),""))</x:f>
        <x:v>Scheduled overhaul</x:v>
      </x:c>
      <x:c r="M227" t="n">
        <x:f>--($A227&lt;&gt;"")</x:f>
        <x:v>1</x:v>
      </x:c>
    </x:row>
    <x:row r="228">
      <x:c r="A228" s="10" t="n">
        <x:f>IF(Assumptions!$B$5+INT((ROW()-2)/Assumptions!$B$7)&gt;Assumptions!$B$6,"",Assumptions!$B$5+INT((ROW()-2)/Assumptions!$B$7))</x:f>
        <x:v>46068</x:v>
      </x:c>
      <x:c r="B228" t="str">
        <x:f>IF($A228="","",INDEX(Assumptions!$D$5:$D$12,MOD(ROW()-2,Assumptions!$B$7)+1))</x:f>
        <x:v>LV-426 North</x:v>
      </x:c>
      <x:c r="C228" s="11" t="n">
        <x:f>IF($A228="","",INDEX(Assumptions!$F$5:$F$12,MATCH($B228,Assumptions!$D$5:$D$12,0)))</x:f>
        <x:v>930</x:v>
      </x:c>
      <x:c r="D228" s="11" t="n">
        <x:f>IF($A228="","",INDEX(Assumptions!$G$5:$G$12,MATCH($B228,Assumptions!$D$5:$D$12,0)))</x:f>
        <x:v>95</x:v>
      </x:c>
      <x:c r="E228" s="11" t="n">
        <x:f>IF($A228="","",INDEX(Assumptions!$M$5:$M$11,WEEKDAY($A228,2)))</x:f>
        <x:v>0.87</x:v>
      </x:c>
      <x:c r="F228" s="11" t="n">
        <x:f>IF($A228="","",Assumptions!$B$15)</x:f>
        <x:v>0.35</x:v>
      </x:c>
      <x:c r="G228" s="11" t="n">
        <x:f>IF($A228="","",MAX(INDEX(Assumptions!$H$5:$H$12,MATCH($B228,Assumptions!$D$5:$D$12,0)),MIN(INDEX(Assumptions!$I$5:$I$12,MATCH($B228,Assumptions!$D$5:$D$12,0)),($C228+$D228*SQRT(-2*LN(RAND()))*COS(2*PI()*RAND()))*$E228*$J228*$K228)))</x:f>
        <x:v>828.9122754434335</x:v>
      </x:c>
      <x:c r="H228" s="11" t="n">
        <x:f>IF($A228="","",$G228*$F228+$C228*(1-$F228))</x:f>
        <x:v>894.6192964052017</x:v>
      </x:c>
      <x:c r="I228" s="11" t="n">
        <x:f>IF($A228="","",AVERAGE($H228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921.2843955190025</x:v>
      </x:c>
      <x:c r="J228" s="12" t="n">
        <x:f>IF($A228="","",1+SUMIFS(Assumptions!$S$5:$S$10,Assumptions!$P$5:$P$10,$B228,Assumptions!$Q$5:$Q$10,"&lt;="&amp;$A228,Assumptions!$R$5:$R$10,"&gt;="&amp;$A228))</x:f>
        <x:v>1</x:v>
      </x:c>
      <x:c r="K228" s="12" t="n">
        <x:f>IF($A228="","",1+((($A228-Assumptions!$B$5)/30)*INDEX(Assumptions!$J$5:$J$12,MATCH($B228,Assumptions!$D$5:$D$12,0))))</x:f>
        <x:v>0.9985</x:v>
      </x:c>
      <x:c r="L228" t="str">
        <x:f>IF($A228="","",IFERROR(INDEX(Assumptions!$O$5:$O$10,MATCH(1,(Assumptions!$P$5:$P$10=$B228)*(Assumptions!$Q$5:$Q$10&lt;=$A228)*(Assumptions!$R$5:$R$10&gt;=$A228),0)),""))</x:f>
      </x:c>
      <x:c r="M228" t="n">
        <x:f>--($A228&lt;&gt;"")</x:f>
        <x:v>1</x:v>
      </x:c>
    </x:row>
    <x:row r="229">
      <x:c r="A229" s="10" t="n">
        <x:f>IF(Assumptions!$B$5+INT((ROW()-2)/Assumptions!$B$7)&gt;Assumptions!$B$6,"",Assumptions!$B$5+INT((ROW()-2)/Assumptions!$B$7))</x:f>
        <x:v>46068</x:v>
      </x:c>
      <x:c r="B229" t="str">
        <x:f>IF($A229="","",INDEX(Assumptions!$D$5:$D$12,MOD(ROW()-2,Assumptions!$B$7)+1))</x:f>
        <x:v>Nostromo Deep</x:v>
      </x:c>
      <x:c r="C229" s="11" t="n">
        <x:f>IF($A229="","",INDEX(Assumptions!$F$5:$F$12,MATCH($B229,Assumptions!$D$5:$D$12,0)))</x:f>
        <x:v>1260</x:v>
      </x:c>
      <x:c r="D229" s="11" t="n">
        <x:f>IF($A229="","",INDEX(Assumptions!$G$5:$G$12,MATCH($B229,Assumptions!$D$5:$D$12,0)))</x:f>
        <x:v>145</x:v>
      </x:c>
      <x:c r="E229" s="11" t="n">
        <x:f>IF($A229="","",INDEX(Assumptions!$M$5:$M$11,WEEKDAY($A229,2)))</x:f>
        <x:v>0.87</x:v>
      </x:c>
      <x:c r="F229" s="11" t="n">
        <x:f>IF($A229="","",Assumptions!$B$15)</x:f>
        <x:v>0.35</x:v>
      </x:c>
      <x:c r="G229" s="11" t="n">
        <x:f>IF($A229="","",MAX(INDEX(Assumptions!$H$5:$H$12,MATCH($B229,Assumptions!$D$5:$D$12,0)),MIN(INDEX(Assumptions!$I$5:$I$12,MATCH($B229,Assumptions!$D$5:$D$12,0)),($C229+$D229*SQRT(-2*LN(RAND()))*COS(2*PI()*RAND()))*$E229*$J229*$K229)))</x:f>
        <x:v>1097.108190778875</x:v>
      </x:c>
      <x:c r="H229" s="11" t="n">
        <x:f>IF($A229="","",$G229*$F229+$C229*(1-$F229))</x:f>
        <x:v>1202.9878667726061</x:v>
      </x:c>
      <x:c r="I229" s="11" t="n">
        <x:f>IF($A229="","",AVERAGE($H229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1252.996150046344</x:v>
      </x:c>
      <x:c r="J229" s="12" t="n">
        <x:f>IF($A229="","",1+SUMIFS(Assumptions!$S$5:$S$10,Assumptions!$P$5:$P$10,$B229,Assumptions!$Q$5:$Q$10,"&lt;="&amp;$A229,Assumptions!$R$5:$R$10,"&gt;="&amp;$A229))</x:f>
        <x:v>1</x:v>
      </x:c>
      <x:c r="K229" s="12" t="n">
        <x:f>IF($A229="","",1+((($A229-Assumptions!$B$5)/30)*INDEX(Assumptions!$J$5:$J$12,MATCH($B229,Assumptions!$D$5:$D$12,0))))</x:f>
        <x:v>1.0045</x:v>
      </x:c>
      <x:c r="L229" t="str">
        <x:f>IF($A229="","",IFERROR(INDEX(Assumptions!$O$5:$O$10,MATCH(1,(Assumptions!$P$5:$P$10=$B229)*(Assumptions!$Q$5:$Q$10&lt;=$A229)*(Assumptions!$R$5:$R$10&gt;=$A229),0)),""))</x:f>
      </x:c>
      <x:c r="M229" t="n">
        <x:f>--($A229&lt;&gt;"")</x:f>
        <x:v>1</x:v>
      </x:c>
    </x:row>
    <x:row r="230">
      <x:c r="A230" s="10" t="n">
        <x:f>IF(Assumptions!$B$5+INT((ROW()-2)/Assumptions!$B$7)&gt;Assumptions!$B$6,"",Assumptions!$B$5+INT((ROW()-2)/Assumptions!$B$7))</x:f>
        <x:v>46068</x:v>
      </x:c>
      <x:c r="B230" t="str">
        <x:f>IF($A230="","",INDEX(Assumptions!$D$5:$D$12,MOD(ROW()-2,Assumptions!$B$7)+1))</x:f>
        <x:v>Hadley's Hope</x:v>
      </x:c>
      <x:c r="C230" s="11" t="n">
        <x:f>IF($A230="","",INDEX(Assumptions!$F$5:$F$12,MATCH($B230,Assumptions!$D$5:$D$12,0)))</x:f>
        <x:v>845</x:v>
      </x:c>
      <x:c r="D230" s="11" t="n">
        <x:f>IF($A230="","",INDEX(Assumptions!$G$5:$G$12,MATCH($B230,Assumptions!$D$5:$D$12,0)))</x:f>
        <x:v>80</x:v>
      </x:c>
      <x:c r="E230" s="11" t="n">
        <x:f>IF($A230="","",INDEX(Assumptions!$M$5:$M$11,WEEKDAY($A230,2)))</x:f>
        <x:v>0.87</x:v>
      </x:c>
      <x:c r="F230" s="11" t="n">
        <x:f>IF($A230="","",Assumptions!$B$15)</x:f>
        <x:v>0.35</x:v>
      </x:c>
      <x:c r="G230" s="11" t="n">
        <x:f>IF($A230="","",MAX(INDEX(Assumptions!$H$5:$H$12,MATCH($B230,Assumptions!$D$5:$D$12,0)),MIN(INDEX(Assumptions!$I$5:$I$12,MATCH($B230,Assumptions!$D$5:$D$12,0)),($C230+$D230*SQRT(-2*LN(RAND()))*COS(2*PI()*RAND()))*$E230*$J230*$K230)))</x:f>
        <x:v>691.6340891182666</x:v>
      </x:c>
      <x:c r="H230" s="11" t="n">
        <x:f>IF($A230="","",$G230*$F230+$C230*(1-$F230))</x:f>
        <x:v>791.3219311913933</x:v>
      </x:c>
      <x:c r="I230" s="11" t="n">
        <x:f>IF($A230="","",AVERAGE($H230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836.1971671273217</x:v>
      </x:c>
      <x:c r="J230" s="12" t="n">
        <x:f>IF($A230="","",1+SUMIFS(Assumptions!$S$5:$S$10,Assumptions!$P$5:$P$10,$B230,Assumptions!$Q$5:$Q$10,"&lt;="&amp;$A230,Assumptions!$R$5:$R$10,"&gt;="&amp;$A230))</x:f>
        <x:v>1</x:v>
      </x:c>
      <x:c r="K230" s="12" t="n">
        <x:f>IF($A230="","",1+((($A230-Assumptions!$B$5)/30)*INDEX(Assumptions!$J$5:$J$12,MATCH($B230,Assumptions!$D$5:$D$12,0))))</x:f>
        <x:v>1.0015</x:v>
      </x:c>
      <x:c r="L230" t="str">
        <x:f>IF($A230="","",IFERROR(INDEX(Assumptions!$O$5:$O$10,MATCH(1,(Assumptions!$P$5:$P$10=$B230)*(Assumptions!$Q$5:$Q$10&lt;=$A230)*(Assumptions!$R$5:$R$10&gt;=$A230),0)),""))</x:f>
      </x:c>
      <x:c r="M230" t="n">
        <x:f>--($A230&lt;&gt;"")</x:f>
        <x:v>1</x:v>
      </x:c>
    </x:row>
    <x:row r="231">
      <x:c r="A231" s="10" t="n">
        <x:f>IF(Assumptions!$B$5+INT((ROW()-2)/Assumptions!$B$7)&gt;Assumptions!$B$6,"",Assumptions!$B$5+INT((ROW()-2)/Assumptions!$B$7))</x:f>
        <x:v>46068</x:v>
      </x:c>
      <x:c r="B231" t="str">
        <x:f>IF($A231="","",INDEX(Assumptions!$D$5:$D$12,MOD(ROW()-2,Assumptions!$B$7)+1))</x:f>
        <x:v>Yutani Ridge</x:v>
      </x:c>
      <x:c r="C231" s="11" t="n">
        <x:f>IF($A231="","",INDEX(Assumptions!$F$5:$F$12,MATCH($B231,Assumptions!$D$5:$D$12,0)))</x:f>
        <x:v>1050</x:v>
      </x:c>
      <x:c r="D231" s="11" t="n">
        <x:f>IF($A231="","",INDEX(Assumptions!$G$5:$G$12,MATCH($B231,Assumptions!$D$5:$D$12,0)))</x:f>
        <x:v>125</x:v>
      </x:c>
      <x:c r="E231" s="11" t="n">
        <x:f>IF($A231="","",INDEX(Assumptions!$M$5:$M$11,WEEKDAY($A231,2)))</x:f>
        <x:v>0.87</x:v>
      </x:c>
      <x:c r="F231" s="11" t="n">
        <x:f>IF($A231="","",Assumptions!$B$15)</x:f>
        <x:v>0.35</x:v>
      </x:c>
      <x:c r="G231" s="11" t="n">
        <x:f>IF($A231="","",MAX(INDEX(Assumptions!$H$5:$H$12,MATCH($B231,Assumptions!$D$5:$D$12,0)),MIN(INDEX(Assumptions!$I$5:$I$12,MATCH($B231,Assumptions!$D$5:$D$12,0)),($C231+$D231*SQRT(-2*LN(RAND()))*COS(2*PI()*RAND()))*$E231*$J231*$K231)))</x:f>
        <x:v>700</x:v>
      </x:c>
      <x:c r="H231" s="11" t="n">
        <x:f>IF($A231="","",$G231*$F231+$C231*(1-$F231))</x:f>
        <x:v>927.5</x:v>
      </x:c>
      <x:c r="I231" s="11" t="n">
        <x:f>IF($A231="","",AVERAGE($H231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1034.2207348396303</x:v>
      </x:c>
      <x:c r="J231" s="12" t="n">
        <x:f>IF($A231="","",1+SUMIFS(Assumptions!$S$5:$S$10,Assumptions!$P$5:$P$10,$B231,Assumptions!$Q$5:$Q$10,"&lt;="&amp;$A231,Assumptions!$R$5:$R$10,"&gt;="&amp;$A231))</x:f>
        <x:v>1</x:v>
      </x:c>
      <x:c r="K231" s="12" t="n">
        <x:f>IF($A231="","",1+((($A231-Assumptions!$B$5)/30)*INDEX(Assumptions!$J$5:$J$12,MATCH($B231,Assumptions!$D$5:$D$12,0))))</x:f>
        <x:v>1.00375</x:v>
      </x:c>
      <x:c r="L231" t="str">
        <x:f>IF($A231="","",IFERROR(INDEX(Assumptions!$O$5:$O$10,MATCH(1,(Assumptions!$P$5:$P$10=$B231)*(Assumptions!$Q$5:$Q$10&lt;=$A231)*(Assumptions!$R$5:$R$10&gt;=$A231),0)),""))</x:f>
      </x:c>
      <x:c r="M231" t="n">
        <x:f>--($A231&lt;&gt;"")</x:f>
        <x:v>1</x:v>
      </x:c>
    </x:row>
    <x:row r="232">
      <x:c r="A232" s="10" t="n">
        <x:f>IF(Assumptions!$B$5+INT((ROW()-2)/Assumptions!$B$7)&gt;Assumptions!$B$6,"",Assumptions!$B$5+INT((ROW()-2)/Assumptions!$B$7))</x:f>
        <x:v>46069</x:v>
      </x:c>
      <x:c r="B232" t="str">
        <x:f>IF($A232="","",INDEX(Assumptions!$D$5:$D$12,MOD(ROW()-2,Assumptions!$B$7)+1))</x:f>
        <x:v>Acheron Prime</x:v>
      </x:c>
      <x:c r="C232" s="11" t="n">
        <x:f>IF($A232="","",INDEX(Assumptions!$F$5:$F$12,MATCH($B232,Assumptions!$D$5:$D$12,0)))</x:f>
        <x:v>1120</x:v>
      </x:c>
      <x:c r="D232" s="11" t="n">
        <x:f>IF($A232="","",INDEX(Assumptions!$G$5:$G$12,MATCH($B232,Assumptions!$D$5:$D$12,0)))</x:f>
        <x:v>115</x:v>
      </x:c>
      <x:c r="E232" s="11" t="n">
        <x:f>IF($A232="","",INDEX(Assumptions!$M$5:$M$11,WEEKDAY($A232,2)))</x:f>
        <x:v>1.03</x:v>
      </x:c>
      <x:c r="F232" s="11" t="n">
        <x:f>IF($A232="","",Assumptions!$B$15)</x:f>
        <x:v>0.35</x:v>
      </x:c>
      <x:c r="G232" s="11" t="n">
        <x:f>IF($A232="","",MAX(INDEX(Assumptions!$H$5:$H$12,MATCH($B232,Assumptions!$D$5:$D$12,0)),MIN(INDEX(Assumptions!$I$5:$I$12,MATCH($B232,Assumptions!$D$5:$D$12,0)),($C232+$D232*SQRT(-2*LN(RAND()))*COS(2*PI()*RAND()))*$E232*$J232*$K232)))</x:f>
        <x:v>760</x:v>
      </x:c>
      <x:c r="H232" s="11" t="n">
        <x:f>IF($A232="","",$G232*$F232+$C232*(1-$F232))</x:f>
        <x:v>994</x:v>
      </x:c>
      <x:c r="I232" s="11" t="n">
        <x:f>IF($A232="","",AVERAGE($H232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1033.7684533481954</x:v>
      </x:c>
      <x:c r="J232" s="12" t="n">
        <x:f>IF($A232="","",1+SUMIFS(Assumptions!$S$5:$S$10,Assumptions!$P$5:$P$10,$B232,Assumptions!$Q$5:$Q$10,"&lt;="&amp;$A232,Assumptions!$R$5:$R$10,"&gt;="&amp;$A232))</x:f>
        <x:v>0.65</x:v>
      </x:c>
      <x:c r="K232" s="12" t="n">
        <x:f>IF($A232="","",1+((($A232-Assumptions!$B$5)/30)*INDEX(Assumptions!$J$5:$J$12,MATCH($B232,Assumptions!$D$5:$D$12,0))))</x:f>
        <x:v>1.0030666666666668</x:v>
      </x:c>
      <x:c r="L232" t="str">
        <x:f>IF($A232="","",IFERROR(INDEX(Assumptions!$O$5:$O$10,MATCH(1,(Assumptions!$P$5:$P$10=$B232)*(Assumptions!$Q$5:$Q$10&lt;=$A232)*(Assumptions!$R$5:$R$10&gt;=$A232),0)),""))</x:f>
        <x:v>Scheduled overhaul</x:v>
      </x:c>
      <x:c r="M232" t="n">
        <x:f>--($A232&lt;&gt;"")</x:f>
        <x:v>1</x:v>
      </x:c>
    </x:row>
    <x:row r="233">
      <x:c r="A233" s="10" t="n">
        <x:f>IF(Assumptions!$B$5+INT((ROW()-2)/Assumptions!$B$7)&gt;Assumptions!$B$6,"",Assumptions!$B$5+INT((ROW()-2)/Assumptions!$B$7))</x:f>
        <x:v>46069</x:v>
      </x:c>
      <x:c r="B233" t="str">
        <x:f>IF($A233="","",INDEX(Assumptions!$D$5:$D$12,MOD(ROW()-2,Assumptions!$B$7)+1))</x:f>
        <x:v>LV-426 North</x:v>
      </x:c>
      <x:c r="C233" s="11" t="n">
        <x:f>IF($A233="","",INDEX(Assumptions!$F$5:$F$12,MATCH($B233,Assumptions!$D$5:$D$12,0)))</x:f>
        <x:v>930</x:v>
      </x:c>
      <x:c r="D233" s="11" t="n">
        <x:f>IF($A233="","",INDEX(Assumptions!$G$5:$G$12,MATCH($B233,Assumptions!$D$5:$D$12,0)))</x:f>
        <x:v>95</x:v>
      </x:c>
      <x:c r="E233" s="11" t="n">
        <x:f>IF($A233="","",INDEX(Assumptions!$M$5:$M$11,WEEKDAY($A233,2)))</x:f>
        <x:v>1.03</x:v>
      </x:c>
      <x:c r="F233" s="11" t="n">
        <x:f>IF($A233="","",Assumptions!$B$15)</x:f>
        <x:v>0.35</x:v>
      </x:c>
      <x:c r="G233" s="11" t="n">
        <x:f>IF($A233="","",MAX(INDEX(Assumptions!$H$5:$H$12,MATCH($B233,Assumptions!$D$5:$D$12,0)),MIN(INDEX(Assumptions!$I$5:$I$12,MATCH($B233,Assumptions!$D$5:$D$12,0)),($C233+$D233*SQRT(-2*LN(RAND()))*COS(2*PI()*RAND()))*$E233*$J233*$K233)))</x:f>
        <x:v>995.0881807413542</x:v>
      </x:c>
      <x:c r="H233" s="11" t="n">
        <x:f>IF($A233="","",$G233*$F233+$C233*(1-$F233))</x:f>
        <x:v>952.780863259474</x:v>
      </x:c>
      <x:c r="I233" s="11" t="n">
        <x:f>IF($A233="","",AVERAGE($H233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930.3312370538379</x:v>
      </x:c>
      <x:c r="J233" s="12" t="n">
        <x:f>IF($A233="","",1+SUMIFS(Assumptions!$S$5:$S$10,Assumptions!$P$5:$P$10,$B233,Assumptions!$Q$5:$Q$10,"&lt;="&amp;$A233,Assumptions!$R$5:$R$10,"&gt;="&amp;$A233))</x:f>
        <x:v>1</x:v>
      </x:c>
      <x:c r="K233" s="12" t="n">
        <x:f>IF($A233="","",1+((($A233-Assumptions!$B$5)/30)*INDEX(Assumptions!$J$5:$J$12,MATCH($B233,Assumptions!$D$5:$D$12,0))))</x:f>
        <x:v>0.9984666666666666</x:v>
      </x:c>
      <x:c r="L233" t="str">
        <x:f>IF($A233="","",IFERROR(INDEX(Assumptions!$O$5:$O$10,MATCH(1,(Assumptions!$P$5:$P$10=$B233)*(Assumptions!$Q$5:$Q$10&lt;=$A233)*(Assumptions!$R$5:$R$10&gt;=$A233),0)),""))</x:f>
      </x:c>
      <x:c r="M233" t="n">
        <x:f>--($A233&lt;&gt;"")</x:f>
        <x:v>1</x:v>
      </x:c>
    </x:row>
    <x:row r="234">
      <x:c r="A234" s="10" t="n">
        <x:f>IF(Assumptions!$B$5+INT((ROW()-2)/Assumptions!$B$7)&gt;Assumptions!$B$6,"",Assumptions!$B$5+INT((ROW()-2)/Assumptions!$B$7))</x:f>
        <x:v>46069</x:v>
      </x:c>
      <x:c r="B234" t="str">
        <x:f>IF($A234="","",INDEX(Assumptions!$D$5:$D$12,MOD(ROW()-2,Assumptions!$B$7)+1))</x:f>
        <x:v>Nostromo Deep</x:v>
      </x:c>
      <x:c r="C234" s="11" t="n">
        <x:f>IF($A234="","",INDEX(Assumptions!$F$5:$F$12,MATCH($B234,Assumptions!$D$5:$D$12,0)))</x:f>
        <x:v>1260</x:v>
      </x:c>
      <x:c r="D234" s="11" t="n">
        <x:f>IF($A234="","",INDEX(Assumptions!$G$5:$G$12,MATCH($B234,Assumptions!$D$5:$D$12,0)))</x:f>
        <x:v>145</x:v>
      </x:c>
      <x:c r="E234" s="11" t="n">
        <x:f>IF($A234="","",INDEX(Assumptions!$M$5:$M$11,WEEKDAY($A234,2)))</x:f>
        <x:v>1.03</x:v>
      </x:c>
      <x:c r="F234" s="11" t="n">
        <x:f>IF($A234="","",Assumptions!$B$15)</x:f>
        <x:v>0.35</x:v>
      </x:c>
      <x:c r="G234" s="11" t="n">
        <x:f>IF($A234="","",MAX(INDEX(Assumptions!$H$5:$H$12,MATCH($B234,Assumptions!$D$5:$D$12,0)),MIN(INDEX(Assumptions!$I$5:$I$12,MATCH($B234,Assumptions!$D$5:$D$12,0)),($C234+$D234*SQRT(-2*LN(RAND()))*COS(2*PI()*RAND()))*$E234*$J234*$K234)))</x:f>
        <x:v>1058.4830199175728</x:v>
      </x:c>
      <x:c r="H234" s="11" t="n">
        <x:f>IF($A234="","",$G234*$F234+$C234*(1-$F234))</x:f>
        <x:v>1189.4690569711504</x:v>
      </x:c>
      <x:c r="I234" s="11" t="n">
        <x:f>IF($A234="","",AVERAGE($H234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1239.657082037402</x:v>
      </x:c>
      <x:c r="J234" s="12" t="n">
        <x:f>IF($A234="","",1+SUMIFS(Assumptions!$S$5:$S$10,Assumptions!$P$5:$P$10,$B234,Assumptions!$Q$5:$Q$10,"&lt;="&amp;$A234,Assumptions!$R$5:$R$10,"&gt;="&amp;$A234))</x:f>
        <x:v>1</x:v>
      </x:c>
      <x:c r="K234" s="12" t="n">
        <x:f>IF($A234="","",1+((($A234-Assumptions!$B$5)/30)*INDEX(Assumptions!$J$5:$J$12,MATCH($B234,Assumptions!$D$5:$D$12,0))))</x:f>
        <x:v>1.0046</x:v>
      </x:c>
      <x:c r="L234" t="str">
        <x:f>IF($A234="","",IFERROR(INDEX(Assumptions!$O$5:$O$10,MATCH(1,(Assumptions!$P$5:$P$10=$B234)*(Assumptions!$Q$5:$Q$10&lt;=$A234)*(Assumptions!$R$5:$R$10&gt;=$A234),0)),""))</x:f>
      </x:c>
      <x:c r="M234" t="n">
        <x:f>--($A234&lt;&gt;"")</x:f>
        <x:v>1</x:v>
      </x:c>
    </x:row>
    <x:row r="235">
      <x:c r="A235" s="10" t="n">
        <x:f>IF(Assumptions!$B$5+INT((ROW()-2)/Assumptions!$B$7)&gt;Assumptions!$B$6,"",Assumptions!$B$5+INT((ROW()-2)/Assumptions!$B$7))</x:f>
        <x:v>46069</x:v>
      </x:c>
      <x:c r="B235" t="str">
        <x:f>IF($A235="","",INDEX(Assumptions!$D$5:$D$12,MOD(ROW()-2,Assumptions!$B$7)+1))</x:f>
        <x:v>Hadley's Hope</x:v>
      </x:c>
      <x:c r="C235" s="11" t="n">
        <x:f>IF($A235="","",INDEX(Assumptions!$F$5:$F$12,MATCH($B235,Assumptions!$D$5:$D$12,0)))</x:f>
        <x:v>845</x:v>
      </x:c>
      <x:c r="D235" s="11" t="n">
        <x:f>IF($A235="","",INDEX(Assumptions!$G$5:$G$12,MATCH($B235,Assumptions!$D$5:$D$12,0)))</x:f>
        <x:v>80</x:v>
      </x:c>
      <x:c r="E235" s="11" t="n">
        <x:f>IF($A235="","",INDEX(Assumptions!$M$5:$M$11,WEEKDAY($A235,2)))</x:f>
        <x:v>1.03</x:v>
      </x:c>
      <x:c r="F235" s="11" t="n">
        <x:f>IF($A235="","",Assumptions!$B$15)</x:f>
        <x:v>0.35</x:v>
      </x:c>
      <x:c r="G235" s="11" t="n">
        <x:f>IF($A235="","",MAX(INDEX(Assumptions!$H$5:$H$12,MATCH($B235,Assumptions!$D$5:$D$12,0)),MIN(INDEX(Assumptions!$I$5:$I$12,MATCH($B235,Assumptions!$D$5:$D$12,0)),($C235+$D235*SQRT(-2*LN(RAND()))*COS(2*PI()*RAND()))*$E235*$J235*$K235)))</x:f>
        <x:v>866.0258142853153</x:v>
      </x:c>
      <x:c r="H235" s="11" t="n">
        <x:f>IF($A235="","",$G235*$F235+$C235*(1-$F235))</x:f>
        <x:v>852.3590349998603</x:v>
      </x:c>
      <x:c r="I235" s="11" t="n">
        <x:f>IF($A235="","",AVERAGE($H235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834.7387242518341</x:v>
      </x:c>
      <x:c r="J235" s="12" t="n">
        <x:f>IF($A235="","",1+SUMIFS(Assumptions!$S$5:$S$10,Assumptions!$P$5:$P$10,$B235,Assumptions!$Q$5:$Q$10,"&lt;="&amp;$A235,Assumptions!$R$5:$R$10,"&gt;="&amp;$A235))</x:f>
        <x:v>1</x:v>
      </x:c>
      <x:c r="K235" s="12" t="n">
        <x:f>IF($A235="","",1+((($A235-Assumptions!$B$5)/30)*INDEX(Assumptions!$J$5:$J$12,MATCH($B235,Assumptions!$D$5:$D$12,0))))</x:f>
        <x:v>1.0015333333333334</x:v>
      </x:c>
      <x:c r="L235" t="str">
        <x:f>IF($A235="","",IFERROR(INDEX(Assumptions!$O$5:$O$10,MATCH(1,(Assumptions!$P$5:$P$10=$B235)*(Assumptions!$Q$5:$Q$10&lt;=$A235)*(Assumptions!$R$5:$R$10&gt;=$A235),0)),""))</x:f>
      </x:c>
      <x:c r="M235" t="n">
        <x:f>--($A235&lt;&gt;"")</x:f>
        <x:v>1</x:v>
      </x:c>
    </x:row>
    <x:row r="236">
      <x:c r="A236" s="10" t="n">
        <x:f>IF(Assumptions!$B$5+INT((ROW()-2)/Assumptions!$B$7)&gt;Assumptions!$B$6,"",Assumptions!$B$5+INT((ROW()-2)/Assumptions!$B$7))</x:f>
        <x:v>46069</x:v>
      </x:c>
      <x:c r="B236" t="str">
        <x:f>IF($A236="","",INDEX(Assumptions!$D$5:$D$12,MOD(ROW()-2,Assumptions!$B$7)+1))</x:f>
        <x:v>Yutani Ridge</x:v>
      </x:c>
      <x:c r="C236" s="11" t="n">
        <x:f>IF($A236="","",INDEX(Assumptions!$F$5:$F$12,MATCH($B236,Assumptions!$D$5:$D$12,0)))</x:f>
        <x:v>1050</x:v>
      </x:c>
      <x:c r="D236" s="11" t="n">
        <x:f>IF($A236="","",INDEX(Assumptions!$G$5:$G$12,MATCH($B236,Assumptions!$D$5:$D$12,0)))</x:f>
        <x:v>125</x:v>
      </x:c>
      <x:c r="E236" s="11" t="n">
        <x:f>IF($A236="","",INDEX(Assumptions!$M$5:$M$11,WEEKDAY($A236,2)))</x:f>
        <x:v>1.03</x:v>
      </x:c>
      <x:c r="F236" s="11" t="n">
        <x:f>IF($A236="","",Assumptions!$B$15)</x:f>
        <x:v>0.35</x:v>
      </x:c>
      <x:c r="G236" s="11" t="n">
        <x:f>IF($A236="","",MAX(INDEX(Assumptions!$H$5:$H$12,MATCH($B236,Assumptions!$D$5:$D$12,0)),MIN(INDEX(Assumptions!$I$5:$I$12,MATCH($B236,Assumptions!$D$5:$D$12,0)),($C236+$D236*SQRT(-2*LN(RAND()))*COS(2*PI()*RAND()))*$E236*$J236*$K236)))</x:f>
        <x:v>934.3525049065254</x:v>
      </x:c>
      <x:c r="H236" s="11" t="n">
        <x:f>IF($A236="","",$G236*$F236+$C236*(1-$F236))</x:f>
        <x:v>1009.5233767172838</x:v>
      </x:c>
      <x:c r="I236" s="11" t="n">
        <x:f>IF($A236="","",AVERAGE($H236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1031.5036268840531</x:v>
      </x:c>
      <x:c r="J236" s="12" t="n">
        <x:f>IF($A236="","",1+SUMIFS(Assumptions!$S$5:$S$10,Assumptions!$P$5:$P$10,$B236,Assumptions!$Q$5:$Q$10,"&lt;="&amp;$A236,Assumptions!$R$5:$R$10,"&gt;="&amp;$A236))</x:f>
        <x:v>1</x:v>
      </x:c>
      <x:c r="K236" s="12" t="n">
        <x:f>IF($A236="","",1+((($A236-Assumptions!$B$5)/30)*INDEX(Assumptions!$J$5:$J$12,MATCH($B236,Assumptions!$D$5:$D$12,0))))</x:f>
        <x:v>1.0038333333333334</x:v>
      </x:c>
      <x:c r="L236" t="str">
        <x:f>IF($A236="","",IFERROR(INDEX(Assumptions!$O$5:$O$10,MATCH(1,(Assumptions!$P$5:$P$10=$B236)*(Assumptions!$Q$5:$Q$10&lt;=$A236)*(Assumptions!$R$5:$R$10&gt;=$A236),0)),""))</x:f>
      </x:c>
      <x:c r="M236" t="n">
        <x:f>--($A236&lt;&gt;"")</x:f>
        <x:v>1</x:v>
      </x:c>
    </x:row>
    <x:row r="237">
      <x:c r="A237" s="10" t="n">
        <x:f>IF(Assumptions!$B$5+INT((ROW()-2)/Assumptions!$B$7)&gt;Assumptions!$B$6,"",Assumptions!$B$5+INT((ROW()-2)/Assumptions!$B$7))</x:f>
        <x:v>46070</x:v>
      </x:c>
      <x:c r="B237" t="str">
        <x:f>IF($A237="","",INDEX(Assumptions!$D$5:$D$12,MOD(ROW()-2,Assumptions!$B$7)+1))</x:f>
        <x:v>Acheron Prime</x:v>
      </x:c>
      <x:c r="C237" s="11" t="n">
        <x:f>IF($A237="","",INDEX(Assumptions!$F$5:$F$12,MATCH($B237,Assumptions!$D$5:$D$12,0)))</x:f>
        <x:v>1120</x:v>
      </x:c>
      <x:c r="D237" s="11" t="n">
        <x:f>IF($A237="","",INDEX(Assumptions!$G$5:$G$12,MATCH($B237,Assumptions!$D$5:$D$12,0)))</x:f>
        <x:v>115</x:v>
      </x:c>
      <x:c r="E237" s="11" t="n">
        <x:f>IF($A237="","",INDEX(Assumptions!$M$5:$M$11,WEEKDAY($A237,2)))</x:f>
        <x:v>1.02</x:v>
      </x:c>
      <x:c r="F237" s="11" t="n">
        <x:f>IF($A237="","",Assumptions!$B$15)</x:f>
        <x:v>0.35</x:v>
      </x:c>
      <x:c r="G237" s="11" t="n">
        <x:f>IF($A237="","",MAX(INDEX(Assumptions!$H$5:$H$12,MATCH($B237,Assumptions!$D$5:$D$12,0)),MIN(INDEX(Assumptions!$I$5:$I$12,MATCH($B237,Assumptions!$D$5:$D$12,0)),($C237+$D237*SQRT(-2*LN(RAND()))*COS(2*PI()*RAND()))*$E237*$J237*$K237)))</x:f>
        <x:v>760</x:v>
      </x:c>
      <x:c r="H237" s="11" t="n">
        <x:f>IF($A237="","",$G237*$F237+$C237*(1-$F237))</x:f>
        <x:v>994</x:v>
      </x:c>
      <x:c r="I237" s="11" t="n">
        <x:f>IF($A237="","",AVERAGE($H237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1012.2739351502834</x:v>
      </x:c>
      <x:c r="J237" s="12" t="n">
        <x:f>IF($A237="","",1+SUMIFS(Assumptions!$S$5:$S$10,Assumptions!$P$5:$P$10,$B237,Assumptions!$Q$5:$Q$10,"&lt;="&amp;$A237,Assumptions!$R$5:$R$10,"&gt;="&amp;$A237))</x:f>
        <x:v>0.65</x:v>
      </x:c>
      <x:c r="K237" s="12" t="n">
        <x:f>IF($A237="","",1+((($A237-Assumptions!$B$5)/30)*INDEX(Assumptions!$J$5:$J$12,MATCH($B237,Assumptions!$D$5:$D$12,0))))</x:f>
        <x:v>1.0031333333333334</x:v>
      </x:c>
      <x:c r="L237" t="str">
        <x:f>IF($A237="","",IFERROR(INDEX(Assumptions!$O$5:$O$10,MATCH(1,(Assumptions!$P$5:$P$10=$B237)*(Assumptions!$Q$5:$Q$10&lt;=$A237)*(Assumptions!$R$5:$R$10&gt;=$A237),0)),""))</x:f>
        <x:v>Scheduled overhaul</x:v>
      </x:c>
      <x:c r="M237" t="n">
        <x:f>--($A237&lt;&gt;"")</x:f>
        <x:v>1</x:v>
      </x:c>
    </x:row>
    <x:row r="238">
      <x:c r="A238" s="10" t="n">
        <x:f>IF(Assumptions!$B$5+INT((ROW()-2)/Assumptions!$B$7)&gt;Assumptions!$B$6,"",Assumptions!$B$5+INT((ROW()-2)/Assumptions!$B$7))</x:f>
        <x:v>46070</x:v>
      </x:c>
      <x:c r="B238" t="str">
        <x:f>IF($A238="","",INDEX(Assumptions!$D$5:$D$12,MOD(ROW()-2,Assumptions!$B$7)+1))</x:f>
        <x:v>LV-426 North</x:v>
      </x:c>
      <x:c r="C238" s="11" t="n">
        <x:f>IF($A238="","",INDEX(Assumptions!$F$5:$F$12,MATCH($B238,Assumptions!$D$5:$D$12,0)))</x:f>
        <x:v>930</x:v>
      </x:c>
      <x:c r="D238" s="11" t="n">
        <x:f>IF($A238="","",INDEX(Assumptions!$G$5:$G$12,MATCH($B238,Assumptions!$D$5:$D$12,0)))</x:f>
        <x:v>95</x:v>
      </x:c>
      <x:c r="E238" s="11" t="n">
        <x:f>IF($A238="","",INDEX(Assumptions!$M$5:$M$11,WEEKDAY($A238,2)))</x:f>
        <x:v>1.02</x:v>
      </x:c>
      <x:c r="F238" s="11" t="n">
        <x:f>IF($A238="","",Assumptions!$B$15)</x:f>
        <x:v>0.35</x:v>
      </x:c>
      <x:c r="G238" s="11" t="n">
        <x:f>IF($A238="","",MAX(INDEX(Assumptions!$H$5:$H$12,MATCH($B238,Assumptions!$D$5:$D$12,0)),MIN(INDEX(Assumptions!$I$5:$I$12,MATCH($B238,Assumptions!$D$5:$D$12,0)),($C238+$D238*SQRT(-2*LN(RAND()))*COS(2*PI()*RAND()))*$E238*$J238*$K238)))</x:f>
        <x:v>1048.7198678822238</x:v>
      </x:c>
      <x:c r="H238" s="11" t="n">
        <x:f>IF($A238="","",$G238*$F238+$C238*(1-$F238))</x:f>
        <x:v>971.5519537587783</x:v>
      </x:c>
      <x:c r="I238" s="11" t="n">
        <x:f>IF($A238="","",AVERAGE($H238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939.7727874991848</x:v>
      </x:c>
      <x:c r="J238" s="12" t="n">
        <x:f>IF($A238="","",1+SUMIFS(Assumptions!$S$5:$S$10,Assumptions!$P$5:$P$10,$B238,Assumptions!$Q$5:$Q$10,"&lt;="&amp;$A238,Assumptions!$R$5:$R$10,"&gt;="&amp;$A238))</x:f>
        <x:v>1</x:v>
      </x:c>
      <x:c r="K238" s="12" t="n">
        <x:f>IF($A238="","",1+((($A238-Assumptions!$B$5)/30)*INDEX(Assumptions!$J$5:$J$12,MATCH($B238,Assumptions!$D$5:$D$12,0))))</x:f>
        <x:v>0.9984333333333333</x:v>
      </x:c>
      <x:c r="L238" t="str">
        <x:f>IF($A238="","",IFERROR(INDEX(Assumptions!$O$5:$O$10,MATCH(1,(Assumptions!$P$5:$P$10=$B238)*(Assumptions!$Q$5:$Q$10&lt;=$A238)*(Assumptions!$R$5:$R$10&gt;=$A238),0)),""))</x:f>
      </x:c>
      <x:c r="M238" t="n">
        <x:f>--($A238&lt;&gt;"")</x:f>
        <x:v>1</x:v>
      </x:c>
    </x:row>
    <x:row r="239">
      <x:c r="A239" s="10" t="n">
        <x:f>IF(Assumptions!$B$5+INT((ROW()-2)/Assumptions!$B$7)&gt;Assumptions!$B$6,"",Assumptions!$B$5+INT((ROW()-2)/Assumptions!$B$7))</x:f>
        <x:v>46070</x:v>
      </x:c>
      <x:c r="B239" t="str">
        <x:f>IF($A239="","",INDEX(Assumptions!$D$5:$D$12,MOD(ROW()-2,Assumptions!$B$7)+1))</x:f>
        <x:v>Nostromo Deep</x:v>
      </x:c>
      <x:c r="C239" s="11" t="n">
        <x:f>IF($A239="","",INDEX(Assumptions!$F$5:$F$12,MATCH($B239,Assumptions!$D$5:$D$12,0)))</x:f>
        <x:v>1260</x:v>
      </x:c>
      <x:c r="D239" s="11" t="n">
        <x:f>IF($A239="","",INDEX(Assumptions!$G$5:$G$12,MATCH($B239,Assumptions!$D$5:$D$12,0)))</x:f>
        <x:v>145</x:v>
      </x:c>
      <x:c r="E239" s="11" t="n">
        <x:f>IF($A239="","",INDEX(Assumptions!$M$5:$M$11,WEEKDAY($A239,2)))</x:f>
        <x:v>1.02</x:v>
      </x:c>
      <x:c r="F239" s="11" t="n">
        <x:f>IF($A239="","",Assumptions!$B$15)</x:f>
        <x:v>0.35</x:v>
      </x:c>
      <x:c r="G239" s="11" t="n">
        <x:f>IF($A239="","",MAX(INDEX(Assumptions!$H$5:$H$12,MATCH($B239,Assumptions!$D$5:$D$12,0)),MIN(INDEX(Assumptions!$I$5:$I$12,MATCH($B239,Assumptions!$D$5:$D$12,0)),($C239+$D239*SQRT(-2*LN(RAND()))*COS(2*PI()*RAND()))*$E239*$J239*$K239)))</x:f>
        <x:v>1289.5082155681687</x:v>
      </x:c>
      <x:c r="H239" s="11" t="n">
        <x:f>IF($A239="","",$G239*$F239+$C239*(1-$F239))</x:f>
        <x:v>1270.327875448859</x:v>
      </x:c>
      <x:c r="I239" s="11" t="n">
        <x:f>IF($A239="","",AVERAGE($H239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1235.7116668544602</x:v>
      </x:c>
      <x:c r="J239" s="12" t="n">
        <x:f>IF($A239="","",1+SUMIFS(Assumptions!$S$5:$S$10,Assumptions!$P$5:$P$10,$B239,Assumptions!$Q$5:$Q$10,"&lt;="&amp;$A239,Assumptions!$R$5:$R$10,"&gt;="&amp;$A239))</x:f>
        <x:v>1</x:v>
      </x:c>
      <x:c r="K239" s="12" t="n">
        <x:f>IF($A239="","",1+((($A239-Assumptions!$B$5)/30)*INDEX(Assumptions!$J$5:$J$12,MATCH($B239,Assumptions!$D$5:$D$12,0))))</x:f>
        <x:v>1.0047</x:v>
      </x:c>
      <x:c r="L239" t="str">
        <x:f>IF($A239="","",IFERROR(INDEX(Assumptions!$O$5:$O$10,MATCH(1,(Assumptions!$P$5:$P$10=$B239)*(Assumptions!$Q$5:$Q$10&lt;=$A239)*(Assumptions!$R$5:$R$10&gt;=$A239),0)),""))</x:f>
      </x:c>
      <x:c r="M239" t="n">
        <x:f>--($A239&lt;&gt;"")</x:f>
        <x:v>1</x:v>
      </x:c>
    </x:row>
    <x:row r="240">
      <x:c r="A240" s="10" t="n">
        <x:f>IF(Assumptions!$B$5+INT((ROW()-2)/Assumptions!$B$7)&gt;Assumptions!$B$6,"",Assumptions!$B$5+INT((ROW()-2)/Assumptions!$B$7))</x:f>
        <x:v>46070</x:v>
      </x:c>
      <x:c r="B240" t="str">
        <x:f>IF($A240="","",INDEX(Assumptions!$D$5:$D$12,MOD(ROW()-2,Assumptions!$B$7)+1))</x:f>
        <x:v>Hadley's Hope</x:v>
      </x:c>
      <x:c r="C240" s="11" t="n">
        <x:f>IF($A240="","",INDEX(Assumptions!$F$5:$F$12,MATCH($B240,Assumptions!$D$5:$D$12,0)))</x:f>
        <x:v>845</x:v>
      </x:c>
      <x:c r="D240" s="11" t="n">
        <x:f>IF($A240="","",INDEX(Assumptions!$G$5:$G$12,MATCH($B240,Assumptions!$D$5:$D$12,0)))</x:f>
        <x:v>80</x:v>
      </x:c>
      <x:c r="E240" s="11" t="n">
        <x:f>IF($A240="","",INDEX(Assumptions!$M$5:$M$11,WEEKDAY($A240,2)))</x:f>
        <x:v>1.02</x:v>
      </x:c>
      <x:c r="F240" s="11" t="n">
        <x:f>IF($A240="","",Assumptions!$B$15)</x:f>
        <x:v>0.35</x:v>
      </x:c>
      <x:c r="G240" s="11" t="n">
        <x:f>IF($A240="","",MAX(INDEX(Assumptions!$H$5:$H$12,MATCH($B240,Assumptions!$D$5:$D$12,0)),MIN(INDEX(Assumptions!$I$5:$I$12,MATCH($B240,Assumptions!$D$5:$D$12,0)),($C240+$D240*SQRT(-2*LN(RAND()))*COS(2*PI()*RAND()))*$E240*$J240*$K240)))</x:f>
        <x:v>867.4818090273959</x:v>
      </x:c>
      <x:c r="H240" s="11" t="n">
        <x:f>IF($A240="","",$G240*$F240+$C240*(1-$F240))</x:f>
        <x:v>852.8686331595886</x:v>
      </x:c>
      <x:c r="I240" s="11" t="n">
        <x:f>IF($A240="","",AVERAGE($H240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833.4133269640972</x:v>
      </x:c>
      <x:c r="J240" s="12" t="n">
        <x:f>IF($A240="","",1+SUMIFS(Assumptions!$S$5:$S$10,Assumptions!$P$5:$P$10,$B240,Assumptions!$Q$5:$Q$10,"&lt;="&amp;$A240,Assumptions!$R$5:$R$10,"&gt;="&amp;$A240))</x:f>
        <x:v>1</x:v>
      </x:c>
      <x:c r="K240" s="12" t="n">
        <x:f>IF($A240="","",1+((($A240-Assumptions!$B$5)/30)*INDEX(Assumptions!$J$5:$J$12,MATCH($B240,Assumptions!$D$5:$D$12,0))))</x:f>
        <x:v>1.0015666666666667</x:v>
      </x:c>
      <x:c r="L240" t="str">
        <x:f>IF($A240="","",IFERROR(INDEX(Assumptions!$O$5:$O$10,MATCH(1,(Assumptions!$P$5:$P$10=$B240)*(Assumptions!$Q$5:$Q$10&lt;=$A240)*(Assumptions!$R$5:$R$10&gt;=$A240),0)),""))</x:f>
      </x:c>
      <x:c r="M240" t="n">
        <x:f>--($A240&lt;&gt;"")</x:f>
        <x:v>1</x:v>
      </x:c>
    </x:row>
    <x:row r="241">
      <x:c r="A241" s="10" t="n">
        <x:f>IF(Assumptions!$B$5+INT((ROW()-2)/Assumptions!$B$7)&gt;Assumptions!$B$6,"",Assumptions!$B$5+INT((ROW()-2)/Assumptions!$B$7))</x:f>
        <x:v>46070</x:v>
      </x:c>
      <x:c r="B241" t="str">
        <x:f>IF($A241="","",INDEX(Assumptions!$D$5:$D$12,MOD(ROW()-2,Assumptions!$B$7)+1))</x:f>
        <x:v>Yutani Ridge</x:v>
      </x:c>
      <x:c r="C241" s="11" t="n">
        <x:f>IF($A241="","",INDEX(Assumptions!$F$5:$F$12,MATCH($B241,Assumptions!$D$5:$D$12,0)))</x:f>
        <x:v>1050</x:v>
      </x:c>
      <x:c r="D241" s="11" t="n">
        <x:f>IF($A241="","",INDEX(Assumptions!$G$5:$G$12,MATCH($B241,Assumptions!$D$5:$D$12,0)))</x:f>
        <x:v>125</x:v>
      </x:c>
      <x:c r="E241" s="11" t="n">
        <x:f>IF($A241="","",INDEX(Assumptions!$M$5:$M$11,WEEKDAY($A241,2)))</x:f>
        <x:v>1.02</x:v>
      </x:c>
      <x:c r="F241" s="11" t="n">
        <x:f>IF($A241="","",Assumptions!$B$15)</x:f>
        <x:v>0.35</x:v>
      </x:c>
      <x:c r="G241" s="11" t="n">
        <x:f>IF($A241="","",MAX(INDEX(Assumptions!$H$5:$H$12,MATCH($B241,Assumptions!$D$5:$D$12,0)),MIN(INDEX(Assumptions!$I$5:$I$12,MATCH($B241,Assumptions!$D$5:$D$12,0)),($C241+$D241*SQRT(-2*LN(RAND()))*COS(2*PI()*RAND()))*$E241*$J241*$K241)))</x:f>
        <x:v>938.323077646912</x:v>
      </x:c>
      <x:c r="H241" s="11" t="n">
        <x:f>IF($A241="","",$G241*$F241+$C241*(1-$F241))</x:f>
        <x:v>1010.9130771764192</x:v>
      </x:c>
      <x:c r="I241" s="11" t="n">
        <x:f>IF($A241="","",AVERAGE($H241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1016.2444074903934</x:v>
      </x:c>
      <x:c r="J241" s="12" t="n">
        <x:f>IF($A241="","",1+SUMIFS(Assumptions!$S$5:$S$10,Assumptions!$P$5:$P$10,$B241,Assumptions!$Q$5:$Q$10,"&lt;="&amp;$A241,Assumptions!$R$5:$R$10,"&gt;="&amp;$A241))</x:f>
        <x:v>1</x:v>
      </x:c>
      <x:c r="K241" s="12" t="n">
        <x:f>IF($A241="","",1+((($A241-Assumptions!$B$5)/30)*INDEX(Assumptions!$J$5:$J$12,MATCH($B241,Assumptions!$D$5:$D$12,0))))</x:f>
        <x:v>1.0039166666666666</x:v>
      </x:c>
      <x:c r="L241" t="str">
        <x:f>IF($A241="","",IFERROR(INDEX(Assumptions!$O$5:$O$10,MATCH(1,(Assumptions!$P$5:$P$10=$B241)*(Assumptions!$Q$5:$Q$10&lt;=$A241)*(Assumptions!$R$5:$R$10&gt;=$A241),0)),""))</x:f>
      </x:c>
      <x:c r="M241" t="n">
        <x:f>--($A241&lt;&gt;"")</x:f>
        <x:v>1</x:v>
      </x:c>
    </x:row>
    <x:row r="242">
      <x:c r="A242" s="10" t="n">
        <x:f>IF(Assumptions!$B$5+INT((ROW()-2)/Assumptions!$B$7)&gt;Assumptions!$B$6,"",Assumptions!$B$5+INT((ROW()-2)/Assumptions!$B$7))</x:f>
        <x:v>46071</x:v>
      </x:c>
      <x:c r="B242" t="str">
        <x:f>IF($A242="","",INDEX(Assumptions!$D$5:$D$12,MOD(ROW()-2,Assumptions!$B$7)+1))</x:f>
        <x:v>Acheron Prime</x:v>
      </x:c>
      <x:c r="C242" s="11" t="n">
        <x:f>IF($A242="","",INDEX(Assumptions!$F$5:$F$12,MATCH($B242,Assumptions!$D$5:$D$12,0)))</x:f>
        <x:v>1120</x:v>
      </x:c>
      <x:c r="D242" s="11" t="n">
        <x:f>IF($A242="","",INDEX(Assumptions!$G$5:$G$12,MATCH($B242,Assumptions!$D$5:$D$12,0)))</x:f>
        <x:v>115</x:v>
      </x:c>
      <x:c r="E242" s="11" t="n">
        <x:f>IF($A242="","",INDEX(Assumptions!$M$5:$M$11,WEEKDAY($A242,2)))</x:f>
        <x:v>1.01</x:v>
      </x:c>
      <x:c r="F242" s="11" t="n">
        <x:f>IF($A242="","",Assumptions!$B$15)</x:f>
        <x:v>0.35</x:v>
      </x:c>
      <x:c r="G242" s="11" t="n">
        <x:f>IF($A242="","",MAX(INDEX(Assumptions!$H$5:$H$12,MATCH($B242,Assumptions!$D$5:$D$12,0)),MIN(INDEX(Assumptions!$I$5:$I$12,MATCH($B242,Assumptions!$D$5:$D$12,0)),($C242+$D242*SQRT(-2*LN(RAND()))*COS(2*PI()*RAND()))*$E242*$J242*$K242)))</x:f>
        <x:v>760</x:v>
      </x:c>
      <x:c r="H242" s="11" t="n">
        <x:f>IF($A242="","",$G242*$F242+$C242*(1-$F242))</x:f>
        <x:v>994</x:v>
      </x:c>
      <x:c r="I242" s="11" t="n">
        <x:f>IF($A242="","",AVERAGE($H242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994</x:v>
      </x:c>
      <x:c r="J242" s="12" t="n">
        <x:f>IF($A242="","",1+SUMIFS(Assumptions!$S$5:$S$10,Assumptions!$P$5:$P$10,$B242,Assumptions!$Q$5:$Q$10,"&lt;="&amp;$A242,Assumptions!$R$5:$R$10,"&gt;="&amp;$A242))</x:f>
        <x:v>0.65</x:v>
      </x:c>
      <x:c r="K242" s="12" t="n">
        <x:f>IF($A242="","",1+((($A242-Assumptions!$B$5)/30)*INDEX(Assumptions!$J$5:$J$12,MATCH($B242,Assumptions!$D$5:$D$12,0))))</x:f>
        <x:v>1.0032</x:v>
      </x:c>
      <x:c r="L242" t="str">
        <x:f>IF($A242="","",IFERROR(INDEX(Assumptions!$O$5:$O$10,MATCH(1,(Assumptions!$P$5:$P$10=$B242)*(Assumptions!$Q$5:$Q$10&lt;=$A242)*(Assumptions!$R$5:$R$10&gt;=$A242),0)),""))</x:f>
        <x:v>Scheduled overhaul</x:v>
      </x:c>
      <x:c r="M242" t="n">
        <x:f>--($A242&lt;&gt;"")</x:f>
        <x:v>1</x:v>
      </x:c>
    </x:row>
    <x:row r="243">
      <x:c r="A243" s="10" t="n">
        <x:f>IF(Assumptions!$B$5+INT((ROW()-2)/Assumptions!$B$7)&gt;Assumptions!$B$6,"",Assumptions!$B$5+INT((ROW()-2)/Assumptions!$B$7))</x:f>
        <x:v>46071</x:v>
      </x:c>
      <x:c r="B243" t="str">
        <x:f>IF($A243="","",INDEX(Assumptions!$D$5:$D$12,MOD(ROW()-2,Assumptions!$B$7)+1))</x:f>
        <x:v>LV-426 North</x:v>
      </x:c>
      <x:c r="C243" s="11" t="n">
        <x:f>IF($A243="","",INDEX(Assumptions!$F$5:$F$12,MATCH($B243,Assumptions!$D$5:$D$12,0)))</x:f>
        <x:v>930</x:v>
      </x:c>
      <x:c r="D243" s="11" t="n">
        <x:f>IF($A243="","",INDEX(Assumptions!$G$5:$G$12,MATCH($B243,Assumptions!$D$5:$D$12,0)))</x:f>
        <x:v>95</x:v>
      </x:c>
      <x:c r="E243" s="11" t="n">
        <x:f>IF($A243="","",INDEX(Assumptions!$M$5:$M$11,WEEKDAY($A243,2)))</x:f>
        <x:v>1.01</x:v>
      </x:c>
      <x:c r="F243" s="11" t="n">
        <x:f>IF($A243="","",Assumptions!$B$15)</x:f>
        <x:v>0.35</x:v>
      </x:c>
      <x:c r="G243" s="11" t="n">
        <x:f>IF($A243="","",MAX(INDEX(Assumptions!$H$5:$H$12,MATCH($B243,Assumptions!$D$5:$D$12,0)),MIN(INDEX(Assumptions!$I$5:$I$12,MATCH($B243,Assumptions!$D$5:$D$12,0)),($C243+$D243*SQRT(-2*LN(RAND()))*COS(2*PI()*RAND()))*$E243*$J243*$K243)))</x:f>
        <x:v>1089.4758393794932</x:v>
      </x:c>
      <x:c r="H243" s="11" t="n">
        <x:f>IF($A243="","",$G243*$F243+$C243*(1-$F243))</x:f>
        <x:v>985.8165437828226</x:v>
      </x:c>
      <x:c r="I243" s="11" t="n">
        <x:f>IF($A243="","",AVERAGE($H243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940.6437859626152</x:v>
      </x:c>
      <x:c r="J243" s="12" t="n">
        <x:f>IF($A243="","",1+SUMIFS(Assumptions!$S$5:$S$10,Assumptions!$P$5:$P$10,$B243,Assumptions!$Q$5:$Q$10,"&lt;="&amp;$A243,Assumptions!$R$5:$R$10,"&gt;="&amp;$A243))</x:f>
        <x:v>1</x:v>
      </x:c>
      <x:c r="K243" s="12" t="n">
        <x:f>IF($A243="","",1+((($A243-Assumptions!$B$5)/30)*INDEX(Assumptions!$J$5:$J$12,MATCH($B243,Assumptions!$D$5:$D$12,0))))</x:f>
        <x:v>0.9984</x:v>
      </x:c>
      <x:c r="L243" t="str">
        <x:f>IF($A243="","",IFERROR(INDEX(Assumptions!$O$5:$O$10,MATCH(1,(Assumptions!$P$5:$P$10=$B243)*(Assumptions!$Q$5:$Q$10&lt;=$A243)*(Assumptions!$R$5:$R$10&gt;=$A243),0)),""))</x:f>
      </x:c>
      <x:c r="M243" t="n">
        <x:f>--($A243&lt;&gt;"")</x:f>
        <x:v>1</x:v>
      </x:c>
    </x:row>
    <x:row r="244">
      <x:c r="A244" s="10" t="n">
        <x:f>IF(Assumptions!$B$5+INT((ROW()-2)/Assumptions!$B$7)&gt;Assumptions!$B$6,"",Assumptions!$B$5+INT((ROW()-2)/Assumptions!$B$7))</x:f>
        <x:v>46071</x:v>
      </x:c>
      <x:c r="B244" t="str">
        <x:f>IF($A244="","",INDEX(Assumptions!$D$5:$D$12,MOD(ROW()-2,Assumptions!$B$7)+1))</x:f>
        <x:v>Nostromo Deep</x:v>
      </x:c>
      <x:c r="C244" s="11" t="n">
        <x:f>IF($A244="","",INDEX(Assumptions!$F$5:$F$12,MATCH($B244,Assumptions!$D$5:$D$12,0)))</x:f>
        <x:v>1260</x:v>
      </x:c>
      <x:c r="D244" s="11" t="n">
        <x:f>IF($A244="","",INDEX(Assumptions!$G$5:$G$12,MATCH($B244,Assumptions!$D$5:$D$12,0)))</x:f>
        <x:v>145</x:v>
      </x:c>
      <x:c r="E244" s="11" t="n">
        <x:f>IF($A244="","",INDEX(Assumptions!$M$5:$M$11,WEEKDAY($A244,2)))</x:f>
        <x:v>1.01</x:v>
      </x:c>
      <x:c r="F244" s="11" t="n">
        <x:f>IF($A244="","",Assumptions!$B$15)</x:f>
        <x:v>0.35</x:v>
      </x:c>
      <x:c r="G244" s="11" t="n">
        <x:f>IF($A244="","",MAX(INDEX(Assumptions!$H$5:$H$12,MATCH($B244,Assumptions!$D$5:$D$12,0)),MIN(INDEX(Assumptions!$I$5:$I$12,MATCH($B244,Assumptions!$D$5:$D$12,0)),($C244+$D244*SQRT(-2*LN(RAND()))*COS(2*PI()*RAND()))*$E244*$J244*$K244)))</x:f>
        <x:v>1323.703033047251</x:v>
      </x:c>
      <x:c r="H244" s="11" t="n">
        <x:f>IF($A244="","",$G244*$F244+$C244*(1-$F244))</x:f>
        <x:v>1282.296061566538</x:v>
      </x:c>
      <x:c r="I244" s="11" t="n">
        <x:f>IF($A244="","",AVERAGE($H244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1243.0599220739566</x:v>
      </x:c>
      <x:c r="J244" s="12" t="n">
        <x:f>IF($A244="","",1+SUMIFS(Assumptions!$S$5:$S$10,Assumptions!$P$5:$P$10,$B244,Assumptions!$Q$5:$Q$10,"&lt;="&amp;$A244,Assumptions!$R$5:$R$10,"&gt;="&amp;$A244))</x:f>
        <x:v>1</x:v>
      </x:c>
      <x:c r="K244" s="12" t="n">
        <x:f>IF($A244="","",1+((($A244-Assumptions!$B$5)/30)*INDEX(Assumptions!$J$5:$J$12,MATCH($B244,Assumptions!$D$5:$D$12,0))))</x:f>
        <x:v>1.0048</x:v>
      </x:c>
      <x:c r="L244" t="str">
        <x:f>IF($A244="","",IFERROR(INDEX(Assumptions!$O$5:$O$10,MATCH(1,(Assumptions!$P$5:$P$10=$B244)*(Assumptions!$Q$5:$Q$10&lt;=$A244)*(Assumptions!$R$5:$R$10&gt;=$A244),0)),""))</x:f>
      </x:c>
      <x:c r="M244" t="n">
        <x:f>--($A244&lt;&gt;"")</x:f>
        <x:v>1</x:v>
      </x:c>
    </x:row>
    <x:row r="245">
      <x:c r="A245" s="10" t="n">
        <x:f>IF(Assumptions!$B$5+INT((ROW()-2)/Assumptions!$B$7)&gt;Assumptions!$B$6,"",Assumptions!$B$5+INT((ROW()-2)/Assumptions!$B$7))</x:f>
        <x:v>46071</x:v>
      </x:c>
      <x:c r="B245" t="str">
        <x:f>IF($A245="","",INDEX(Assumptions!$D$5:$D$12,MOD(ROW()-2,Assumptions!$B$7)+1))</x:f>
        <x:v>Hadley's Hope</x:v>
      </x:c>
      <x:c r="C245" s="11" t="n">
        <x:f>IF($A245="","",INDEX(Assumptions!$F$5:$F$12,MATCH($B245,Assumptions!$D$5:$D$12,0)))</x:f>
        <x:v>845</x:v>
      </x:c>
      <x:c r="D245" s="11" t="n">
        <x:f>IF($A245="","",INDEX(Assumptions!$G$5:$G$12,MATCH($B245,Assumptions!$D$5:$D$12,0)))</x:f>
        <x:v>80</x:v>
      </x:c>
      <x:c r="E245" s="11" t="n">
        <x:f>IF($A245="","",INDEX(Assumptions!$M$5:$M$11,WEEKDAY($A245,2)))</x:f>
        <x:v>1.01</x:v>
      </x:c>
      <x:c r="F245" s="11" t="n">
        <x:f>IF($A245="","",Assumptions!$B$15)</x:f>
        <x:v>0.35</x:v>
      </x:c>
      <x:c r="G245" s="11" t="n">
        <x:f>IF($A245="","",MAX(INDEX(Assumptions!$H$5:$H$12,MATCH($B245,Assumptions!$D$5:$D$12,0)),MIN(INDEX(Assumptions!$I$5:$I$12,MATCH($B245,Assumptions!$D$5:$D$12,0)),($C245+$D245*SQRT(-2*LN(RAND()))*COS(2*PI()*RAND()))*$E245*$J245*$K245)))</x:f>
        <x:v>797.95947996733</x:v>
      </x:c>
      <x:c r="H245" s="11" t="n">
        <x:f>IF($A245="","",$G245*$F245+$C245*(1-$F245))</x:f>
        <x:v>828.5358179885654</x:v>
      </x:c>
      <x:c r="I245" s="11" t="n">
        <x:f>IF($A245="","",AVERAGE($H245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836.095581970735</x:v>
      </x:c>
      <x:c r="J245" s="12" t="n">
        <x:f>IF($A245="","",1+SUMIFS(Assumptions!$S$5:$S$10,Assumptions!$P$5:$P$10,$B245,Assumptions!$Q$5:$Q$10,"&lt;="&amp;$A245,Assumptions!$R$5:$R$10,"&gt;="&amp;$A245))</x:f>
        <x:v>1</x:v>
      </x:c>
      <x:c r="K245" s="12" t="n">
        <x:f>IF($A245="","",1+((($A245-Assumptions!$B$5)/30)*INDEX(Assumptions!$J$5:$J$12,MATCH($B245,Assumptions!$D$5:$D$12,0))))</x:f>
        <x:v>1.0016</x:v>
      </x:c>
      <x:c r="L245" t="str">
        <x:f>IF($A245="","",IFERROR(INDEX(Assumptions!$O$5:$O$10,MATCH(1,(Assumptions!$P$5:$P$10=$B245)*(Assumptions!$Q$5:$Q$10&lt;=$A245)*(Assumptions!$R$5:$R$10&gt;=$A245),0)),""))</x:f>
      </x:c>
      <x:c r="M245" t="n">
        <x:f>--($A245&lt;&gt;"")</x:f>
        <x:v>1</x:v>
      </x:c>
    </x:row>
    <x:row r="246">
      <x:c r="A246" s="10" t="n">
        <x:f>IF(Assumptions!$B$5+INT((ROW()-2)/Assumptions!$B$7)&gt;Assumptions!$B$6,"",Assumptions!$B$5+INT((ROW()-2)/Assumptions!$B$7))</x:f>
        <x:v>46071</x:v>
      </x:c>
      <x:c r="B246" t="str">
        <x:f>IF($A246="","",INDEX(Assumptions!$D$5:$D$12,MOD(ROW()-2,Assumptions!$B$7)+1))</x:f>
        <x:v>Yutani Ridge</x:v>
      </x:c>
      <x:c r="C246" s="11" t="n">
        <x:f>IF($A246="","",INDEX(Assumptions!$F$5:$F$12,MATCH($B246,Assumptions!$D$5:$D$12,0)))</x:f>
        <x:v>1050</x:v>
      </x:c>
      <x:c r="D246" s="11" t="n">
        <x:f>IF($A246="","",INDEX(Assumptions!$G$5:$G$12,MATCH($B246,Assumptions!$D$5:$D$12,0)))</x:f>
        <x:v>125</x:v>
      </x:c>
      <x:c r="E246" s="11" t="n">
        <x:f>IF($A246="","",INDEX(Assumptions!$M$5:$M$11,WEEKDAY($A246,2)))</x:f>
        <x:v>1.01</x:v>
      </x:c>
      <x:c r="F246" s="11" t="n">
        <x:f>IF($A246="","",Assumptions!$B$15)</x:f>
        <x:v>0.35</x:v>
      </x:c>
      <x:c r="G246" s="11" t="n">
        <x:f>IF($A246="","",MAX(INDEX(Assumptions!$H$5:$H$12,MATCH($B246,Assumptions!$D$5:$D$12,0)),MIN(INDEX(Assumptions!$I$5:$I$12,MATCH($B246,Assumptions!$D$5:$D$12,0)),($C246+$D246*SQRT(-2*LN(RAND()))*COS(2*PI()*RAND()))*$E246*$J246*$K246)))</x:f>
        <x:v>1217.7278115304723</x:v>
      </x:c>
      <x:c r="H246" s="11" t="n">
        <x:f>IF($A246="","",$G246*$F246+$C246*(1-$F246))</x:f>
        <x:v>1108.7047340356653</x:v>
      </x:c>
      <x:c r="I246" s="11" t="n">
        <x:f>IF($A246="","",AVERAGE($H246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1027.5074706937228</x:v>
      </x:c>
      <x:c r="J246" s="12" t="n">
        <x:f>IF($A246="","",1+SUMIFS(Assumptions!$S$5:$S$10,Assumptions!$P$5:$P$10,$B246,Assumptions!$Q$5:$Q$10,"&lt;="&amp;$A246,Assumptions!$R$5:$R$10,"&gt;="&amp;$A246))</x:f>
        <x:v>1</x:v>
      </x:c>
      <x:c r="K246" s="12" t="n">
        <x:f>IF($A246="","",1+((($A246-Assumptions!$B$5)/30)*INDEX(Assumptions!$J$5:$J$12,MATCH($B246,Assumptions!$D$5:$D$12,0))))</x:f>
        <x:v>1.004</x:v>
      </x:c>
      <x:c r="L246" t="str">
        <x:f>IF($A246="","",IFERROR(INDEX(Assumptions!$O$5:$O$10,MATCH(1,(Assumptions!$P$5:$P$10=$B246)*(Assumptions!$Q$5:$Q$10&lt;=$A246)*(Assumptions!$R$5:$R$10&gt;=$A246),0)),""))</x:f>
      </x:c>
      <x:c r="M246" t="n">
        <x:f>--($A246&lt;&gt;"")</x:f>
        <x:v>1</x:v>
      </x:c>
    </x:row>
    <x:row r="247">
      <x:c r="A247" s="10" t="n">
        <x:f>IF(Assumptions!$B$5+INT((ROW()-2)/Assumptions!$B$7)&gt;Assumptions!$B$6,"",Assumptions!$B$5+INT((ROW()-2)/Assumptions!$B$7))</x:f>
        <x:v>46072</x:v>
      </x:c>
      <x:c r="B247" t="str">
        <x:f>IF($A247="","",INDEX(Assumptions!$D$5:$D$12,MOD(ROW()-2,Assumptions!$B$7)+1))</x:f>
        <x:v>Acheron Prime</x:v>
      </x:c>
      <x:c r="C247" s="11" t="n">
        <x:f>IF($A247="","",INDEX(Assumptions!$F$5:$F$12,MATCH($B247,Assumptions!$D$5:$D$12,0)))</x:f>
        <x:v>1120</x:v>
      </x:c>
      <x:c r="D247" s="11" t="n">
        <x:f>IF($A247="","",INDEX(Assumptions!$G$5:$G$12,MATCH($B247,Assumptions!$D$5:$D$12,0)))</x:f>
        <x:v>115</x:v>
      </x:c>
      <x:c r="E247" s="11" t="n">
        <x:f>IF($A247="","",INDEX(Assumptions!$M$5:$M$11,WEEKDAY($A247,2)))</x:f>
        <x:v>1</x:v>
      </x:c>
      <x:c r="F247" s="11" t="n">
        <x:f>IF($A247="","",Assumptions!$B$15)</x:f>
        <x:v>0.35</x:v>
      </x:c>
      <x:c r="G247" s="11" t="n">
        <x:f>IF($A247="","",MAX(INDEX(Assumptions!$H$5:$H$12,MATCH($B247,Assumptions!$D$5:$D$12,0)),MIN(INDEX(Assumptions!$I$5:$I$12,MATCH($B247,Assumptions!$D$5:$D$12,0)),($C247+$D247*SQRT(-2*LN(RAND()))*COS(2*PI()*RAND()))*$E247*$J247*$K247)))</x:f>
        <x:v>1201.2807681351903</x:v>
      </x:c>
      <x:c r="H247" s="11" t="n">
        <x:f>IF($A247="","",$G247*$F247+$C247*(1-$F247))</x:f>
        <x:v>1148.4482688473165</x:v>
      </x:c>
      <x:c r="I247" s="11" t="n">
        <x:f>IF($A247="","",AVERAGE($H247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1016.0640384067594</x:v>
      </x:c>
      <x:c r="J247" s="12" t="n">
        <x:f>IF($A247="","",1+SUMIFS(Assumptions!$S$5:$S$10,Assumptions!$P$5:$P$10,$B247,Assumptions!$Q$5:$Q$10,"&lt;="&amp;$A247,Assumptions!$R$5:$R$10,"&gt;="&amp;$A247))</x:f>
        <x:v>1</x:v>
      </x:c>
      <x:c r="K247" s="12" t="n">
        <x:f>IF($A247="","",1+((($A247-Assumptions!$B$5)/30)*INDEX(Assumptions!$J$5:$J$12,MATCH($B247,Assumptions!$D$5:$D$12,0))))</x:f>
        <x:v>1.0032666666666668</x:v>
      </x:c>
      <x:c r="L247" t="str">
        <x:f>IF($A247="","",IFERROR(INDEX(Assumptions!$O$5:$O$10,MATCH(1,(Assumptions!$P$5:$P$10=$B247)*(Assumptions!$Q$5:$Q$10&lt;=$A247)*(Assumptions!$R$5:$R$10&gt;=$A247),0)),""))</x:f>
      </x:c>
      <x:c r="M247" t="n">
        <x:f>--($A247&lt;&gt;"")</x:f>
        <x:v>1</x:v>
      </x:c>
    </x:row>
    <x:row r="248">
      <x:c r="A248" s="10" t="n">
        <x:f>IF(Assumptions!$B$5+INT((ROW()-2)/Assumptions!$B$7)&gt;Assumptions!$B$6,"",Assumptions!$B$5+INT((ROW()-2)/Assumptions!$B$7))</x:f>
        <x:v>46072</x:v>
      </x:c>
      <x:c r="B248" t="str">
        <x:f>IF($A248="","",INDEX(Assumptions!$D$5:$D$12,MOD(ROW()-2,Assumptions!$B$7)+1))</x:f>
        <x:v>LV-426 North</x:v>
      </x:c>
      <x:c r="C248" s="11" t="n">
        <x:f>IF($A248="","",INDEX(Assumptions!$F$5:$F$12,MATCH($B248,Assumptions!$D$5:$D$12,0)))</x:f>
        <x:v>930</x:v>
      </x:c>
      <x:c r="D248" s="11" t="n">
        <x:f>IF($A248="","",INDEX(Assumptions!$G$5:$G$12,MATCH($B248,Assumptions!$D$5:$D$12,0)))</x:f>
        <x:v>95</x:v>
      </x:c>
      <x:c r="E248" s="11" t="n">
        <x:f>IF($A248="","",INDEX(Assumptions!$M$5:$M$11,WEEKDAY($A248,2)))</x:f>
        <x:v>1</x:v>
      </x:c>
      <x:c r="F248" s="11" t="n">
        <x:f>IF($A248="","",Assumptions!$B$15)</x:f>
        <x:v>0.35</x:v>
      </x:c>
      <x:c r="G248" s="11" t="n">
        <x:f>IF($A248="","",MAX(INDEX(Assumptions!$H$5:$H$12,MATCH($B248,Assumptions!$D$5:$D$12,0)),MIN(INDEX(Assumptions!$I$5:$I$12,MATCH($B248,Assumptions!$D$5:$D$12,0)),($C248+$D248*SQRT(-2*LN(RAND()))*COS(2*PI()*RAND()))*$E248*$J248*$K248)))</x:f>
        <x:v>928.7847768881741</x:v>
      </x:c>
      <x:c r="H248" s="11" t="n">
        <x:f>IF($A248="","",$G248*$F248+$C248*(1-$F248))</x:f>
        <x:v>929.5746719108608</x:v>
      </x:c>
      <x:c r="I248" s="11" t="n">
        <x:f>IF($A248="","",AVERAGE($H248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940.8945968980405</x:v>
      </x:c>
      <x:c r="J248" s="12" t="n">
        <x:f>IF($A248="","",1+SUMIFS(Assumptions!$S$5:$S$10,Assumptions!$P$5:$P$10,$B248,Assumptions!$Q$5:$Q$10,"&lt;="&amp;$A248,Assumptions!$R$5:$R$10,"&gt;="&amp;$A248))</x:f>
        <x:v>1</x:v>
      </x:c>
      <x:c r="K248" s="12" t="n">
        <x:f>IF($A248="","",1+((($A248-Assumptions!$B$5)/30)*INDEX(Assumptions!$J$5:$J$12,MATCH($B248,Assumptions!$D$5:$D$12,0))))</x:f>
        <x:v>0.9983666666666666</x:v>
      </x:c>
      <x:c r="L248" t="str">
        <x:f>IF($A248="","",IFERROR(INDEX(Assumptions!$O$5:$O$10,MATCH(1,(Assumptions!$P$5:$P$10=$B248)*(Assumptions!$Q$5:$Q$10&lt;=$A248)*(Assumptions!$R$5:$R$10&gt;=$A248),0)),""))</x:f>
      </x:c>
      <x:c r="M248" t="n">
        <x:f>--($A248&lt;&gt;"")</x:f>
        <x:v>1</x:v>
      </x:c>
    </x:row>
    <x:row r="249">
      <x:c r="A249" s="10" t="n">
        <x:f>IF(Assumptions!$B$5+INT((ROW()-2)/Assumptions!$B$7)&gt;Assumptions!$B$6,"",Assumptions!$B$5+INT((ROW()-2)/Assumptions!$B$7))</x:f>
        <x:v>46072</x:v>
      </x:c>
      <x:c r="B249" t="str">
        <x:f>IF($A249="","",INDEX(Assumptions!$D$5:$D$12,MOD(ROW()-2,Assumptions!$B$7)+1))</x:f>
        <x:v>Nostromo Deep</x:v>
      </x:c>
      <x:c r="C249" s="11" t="n">
        <x:f>IF($A249="","",INDEX(Assumptions!$F$5:$F$12,MATCH($B249,Assumptions!$D$5:$D$12,0)))</x:f>
        <x:v>1260</x:v>
      </x:c>
      <x:c r="D249" s="11" t="n">
        <x:f>IF($A249="","",INDEX(Assumptions!$G$5:$G$12,MATCH($B249,Assumptions!$D$5:$D$12,0)))</x:f>
        <x:v>145</x:v>
      </x:c>
      <x:c r="E249" s="11" t="n">
        <x:f>IF($A249="","",INDEX(Assumptions!$M$5:$M$11,WEEKDAY($A249,2)))</x:f>
        <x:v>1</x:v>
      </x:c>
      <x:c r="F249" s="11" t="n">
        <x:f>IF($A249="","",Assumptions!$B$15)</x:f>
        <x:v>0.35</x:v>
      </x:c>
      <x:c r="G249" s="11" t="n">
        <x:f>IF($A249="","",MAX(INDEX(Assumptions!$H$5:$H$12,MATCH($B249,Assumptions!$D$5:$D$12,0)),MIN(INDEX(Assumptions!$I$5:$I$12,MATCH($B249,Assumptions!$D$5:$D$12,0)),($C249+$D249*SQRT(-2*LN(RAND()))*COS(2*PI()*RAND()))*$E249*$J249*$K249)))</x:f>
        <x:v>1386.4957530596314</x:v>
      </x:c>
      <x:c r="H249" s="11" t="n">
        <x:f>IF($A249="","",$G249*$F249+$C249*(1-$F249))</x:f>
        <x:v>1304.2735135708708</x:v>
      </x:c>
      <x:c r="I249" s="11" t="n">
        <x:f>IF($A249="","",AVERAGE($H249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1225.3847097269384</x:v>
      </x:c>
      <x:c r="J249" s="12" t="n">
        <x:f>IF($A249="","",1+SUMIFS(Assumptions!$S$5:$S$10,Assumptions!$P$5:$P$10,$B249,Assumptions!$Q$5:$Q$10,"&lt;="&amp;$A249,Assumptions!$R$5:$R$10,"&gt;="&amp;$A249))</x:f>
        <x:v>1</x:v>
      </x:c>
      <x:c r="K249" s="12" t="n">
        <x:f>IF($A249="","",1+((($A249-Assumptions!$B$5)/30)*INDEX(Assumptions!$J$5:$J$12,MATCH($B249,Assumptions!$D$5:$D$12,0))))</x:f>
        <x:v>1.0049</x:v>
      </x:c>
      <x:c r="L249" t="str">
        <x:f>IF($A249="","",IFERROR(INDEX(Assumptions!$O$5:$O$10,MATCH(1,(Assumptions!$P$5:$P$10=$B249)*(Assumptions!$Q$5:$Q$10&lt;=$A249)*(Assumptions!$R$5:$R$10&gt;=$A249),0)),""))</x:f>
      </x:c>
      <x:c r="M249" t="n">
        <x:f>--($A249&lt;&gt;"")</x:f>
        <x:v>1</x:v>
      </x:c>
    </x:row>
    <x:row r="250">
      <x:c r="A250" s="10" t="n">
        <x:f>IF(Assumptions!$B$5+INT((ROW()-2)/Assumptions!$B$7)&gt;Assumptions!$B$6,"",Assumptions!$B$5+INT((ROW()-2)/Assumptions!$B$7))</x:f>
        <x:v>46072</x:v>
      </x:c>
      <x:c r="B250" t="str">
        <x:f>IF($A250="","",INDEX(Assumptions!$D$5:$D$12,MOD(ROW()-2,Assumptions!$B$7)+1))</x:f>
        <x:v>Hadley's Hope</x:v>
      </x:c>
      <x:c r="C250" s="11" t="n">
        <x:f>IF($A250="","",INDEX(Assumptions!$F$5:$F$12,MATCH($B250,Assumptions!$D$5:$D$12,0)))</x:f>
        <x:v>845</x:v>
      </x:c>
      <x:c r="D250" s="11" t="n">
        <x:f>IF($A250="","",INDEX(Assumptions!$G$5:$G$12,MATCH($B250,Assumptions!$D$5:$D$12,0)))</x:f>
        <x:v>80</x:v>
      </x:c>
      <x:c r="E250" s="11" t="n">
        <x:f>IF($A250="","",INDEX(Assumptions!$M$5:$M$11,WEEKDAY($A250,2)))</x:f>
        <x:v>1</x:v>
      </x:c>
      <x:c r="F250" s="11" t="n">
        <x:f>IF($A250="","",Assumptions!$B$15)</x:f>
        <x:v>0.35</x:v>
      </x:c>
      <x:c r="G250" s="11" t="n">
        <x:f>IF($A250="","",MAX(INDEX(Assumptions!$H$5:$H$12,MATCH($B250,Assumptions!$D$5:$D$12,0)),MIN(INDEX(Assumptions!$I$5:$I$12,MATCH($B250,Assumptions!$D$5:$D$12,0)),($C250+$D250*SQRT(-2*LN(RAND()))*COS(2*PI()*RAND()))*$E250*$J250*$K250)))</x:f>
        <x:v>809.1033638029725</x:v>
      </x:c>
      <x:c r="H250" s="11" t="n">
        <x:f>IF($A250="","",$G250*$F250+$C250*(1-$F250))</x:f>
        <x:v>832.4361773310404</x:v>
      </x:c>
      <x:c r="I250" s="11" t="n">
        <x:f>IF($A250="","",AVERAGE($H250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831.5855077445867</x:v>
      </x:c>
      <x:c r="J250" s="12" t="n">
        <x:f>IF($A250="","",1+SUMIFS(Assumptions!$S$5:$S$10,Assumptions!$P$5:$P$10,$B250,Assumptions!$Q$5:$Q$10,"&lt;="&amp;$A250,Assumptions!$R$5:$R$10,"&gt;="&amp;$A250))</x:f>
        <x:v>1</x:v>
      </x:c>
      <x:c r="K250" s="12" t="n">
        <x:f>IF($A250="","",1+((($A250-Assumptions!$B$5)/30)*INDEX(Assumptions!$J$5:$J$12,MATCH($B250,Assumptions!$D$5:$D$12,0))))</x:f>
        <x:v>1.0016333333333334</x:v>
      </x:c>
      <x:c r="L250" t="str">
        <x:f>IF($A250="","",IFERROR(INDEX(Assumptions!$O$5:$O$10,MATCH(1,(Assumptions!$P$5:$P$10=$B250)*(Assumptions!$Q$5:$Q$10&lt;=$A250)*(Assumptions!$R$5:$R$10&gt;=$A250),0)),""))</x:f>
      </x:c>
      <x:c r="M250" t="n">
        <x:f>--($A250&lt;&gt;"")</x:f>
        <x:v>1</x:v>
      </x:c>
    </x:row>
    <x:row r="251">
      <x:c r="A251" s="10" t="n">
        <x:f>IF(Assumptions!$B$5+INT((ROW()-2)/Assumptions!$B$7)&gt;Assumptions!$B$6,"",Assumptions!$B$5+INT((ROW()-2)/Assumptions!$B$7))</x:f>
        <x:v>46072</x:v>
      </x:c>
      <x:c r="B251" t="str">
        <x:f>IF($A251="","",INDEX(Assumptions!$D$5:$D$12,MOD(ROW()-2,Assumptions!$B$7)+1))</x:f>
        <x:v>Yutani Ridge</x:v>
      </x:c>
      <x:c r="C251" s="11" t="n">
        <x:f>IF($A251="","",INDEX(Assumptions!$F$5:$F$12,MATCH($B251,Assumptions!$D$5:$D$12,0)))</x:f>
        <x:v>1050</x:v>
      </x:c>
      <x:c r="D251" s="11" t="n">
        <x:f>IF($A251="","",INDEX(Assumptions!$G$5:$G$12,MATCH($B251,Assumptions!$D$5:$D$12,0)))</x:f>
        <x:v>125</x:v>
      </x:c>
      <x:c r="E251" s="11" t="n">
        <x:f>IF($A251="","",INDEX(Assumptions!$M$5:$M$11,WEEKDAY($A251,2)))</x:f>
        <x:v>1</x:v>
      </x:c>
      <x:c r="F251" s="11" t="n">
        <x:f>IF($A251="","",Assumptions!$B$15)</x:f>
        <x:v>0.35</x:v>
      </x:c>
      <x:c r="G251" s="11" t="n">
        <x:f>IF($A251="","",MAX(INDEX(Assumptions!$H$5:$H$12,MATCH($B251,Assumptions!$D$5:$D$12,0)),MIN(INDEX(Assumptions!$I$5:$I$12,MATCH($B251,Assumptions!$D$5:$D$12,0)),($C251+$D251*SQRT(-2*LN(RAND()))*COS(2*PI()*RAND()))*$E251*$J251*$K251)))</x:f>
        <x:v>968.3055510552595</x:v>
      </x:c>
      <x:c r="H251" s="11" t="n">
        <x:f>IF($A251="","",$G251*$F251+$C251*(1-$F251))</x:f>
        <x:v>1021.4069428693408</x:v>
      </x:c>
      <x:c r="I251" s="11" t="n">
        <x:f>IF($A251="","",AVERAGE($H251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1022.6820843879713</x:v>
      </x:c>
      <x:c r="J251" s="12" t="n">
        <x:f>IF($A251="","",1+SUMIFS(Assumptions!$S$5:$S$10,Assumptions!$P$5:$P$10,$B251,Assumptions!$Q$5:$Q$10,"&lt;="&amp;$A251,Assumptions!$R$5:$R$10,"&gt;="&amp;$A251))</x:f>
        <x:v>1</x:v>
      </x:c>
      <x:c r="K251" s="12" t="n">
        <x:f>IF($A251="","",1+((($A251-Assumptions!$B$5)/30)*INDEX(Assumptions!$J$5:$J$12,MATCH($B251,Assumptions!$D$5:$D$12,0))))</x:f>
        <x:v>1.0040833333333334</x:v>
      </x:c>
      <x:c r="L251" t="str">
        <x:f>IF($A251="","",IFERROR(INDEX(Assumptions!$O$5:$O$10,MATCH(1,(Assumptions!$P$5:$P$10=$B251)*(Assumptions!$Q$5:$Q$10&lt;=$A251)*(Assumptions!$R$5:$R$10&gt;=$A251),0)),""))</x:f>
      </x:c>
      <x:c r="M251" t="n">
        <x:f>--($A251&lt;&gt;"")</x:f>
        <x:v>1</x:v>
      </x:c>
    </x:row>
    <x:row r="252">
      <x:c r="A252" s="10" t="n">
        <x:f>IF(Assumptions!$B$5+INT((ROW()-2)/Assumptions!$B$7)&gt;Assumptions!$B$6,"",Assumptions!$B$5+INT((ROW()-2)/Assumptions!$B$7))</x:f>
        <x:v>46073</x:v>
      </x:c>
      <x:c r="B252" t="str">
        <x:f>IF($A252="","",INDEX(Assumptions!$D$5:$D$12,MOD(ROW()-2,Assumptions!$B$7)+1))</x:f>
        <x:v>Acheron Prime</x:v>
      </x:c>
      <x:c r="C252" s="11" t="n">
        <x:f>IF($A252="","",INDEX(Assumptions!$F$5:$F$12,MATCH($B252,Assumptions!$D$5:$D$12,0)))</x:f>
        <x:v>1120</x:v>
      </x:c>
      <x:c r="D252" s="11" t="n">
        <x:f>IF($A252="","",INDEX(Assumptions!$G$5:$G$12,MATCH($B252,Assumptions!$D$5:$D$12,0)))</x:f>
        <x:v>115</x:v>
      </x:c>
      <x:c r="E252" s="11" t="n">
        <x:f>IF($A252="","",INDEX(Assumptions!$M$5:$M$11,WEEKDAY($A252,2)))</x:f>
        <x:v>0.98</x:v>
      </x:c>
      <x:c r="F252" s="11" t="n">
        <x:f>IF($A252="","",Assumptions!$B$15)</x:f>
        <x:v>0.35</x:v>
      </x:c>
      <x:c r="G252" s="11" t="n">
        <x:f>IF($A252="","",MAX(INDEX(Assumptions!$H$5:$H$12,MATCH($B252,Assumptions!$D$5:$D$12,0)),MIN(INDEX(Assumptions!$I$5:$I$12,MATCH($B252,Assumptions!$D$5:$D$12,0)),($C252+$D252*SQRT(-2*LN(RAND()))*COS(2*PI()*RAND()))*$E252*$J252*$K252)))</x:f>
        <x:v>978.3634955167383</x:v>
      </x:c>
      <x:c r="H252" s="11" t="n">
        <x:f>IF($A252="","",$G252*$F252+$C252*(1-$F252))</x:f>
        <x:v>1070.4272234308585</x:v>
      </x:c>
      <x:c r="I252" s="11" t="n">
        <x:f>IF($A252="","",AVERAGE($H252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1026.9822131825965</x:v>
      </x:c>
      <x:c r="J252" s="12" t="n">
        <x:f>IF($A252="","",1+SUMIFS(Assumptions!$S$5:$S$10,Assumptions!$P$5:$P$10,$B252,Assumptions!$Q$5:$Q$10,"&lt;="&amp;$A252,Assumptions!$R$5:$R$10,"&gt;="&amp;$A252))</x:f>
        <x:v>1</x:v>
      </x:c>
      <x:c r="K252" s="12" t="n">
        <x:f>IF($A252="","",1+((($A252-Assumptions!$B$5)/30)*INDEX(Assumptions!$J$5:$J$12,MATCH($B252,Assumptions!$D$5:$D$12,0))))</x:f>
        <x:v>1.0033333333333334</x:v>
      </x:c>
      <x:c r="L252" t="str">
        <x:f>IF($A252="","",IFERROR(INDEX(Assumptions!$O$5:$O$10,MATCH(1,(Assumptions!$P$5:$P$10=$B252)*(Assumptions!$Q$5:$Q$10&lt;=$A252)*(Assumptions!$R$5:$R$10&gt;=$A252),0)),""))</x:f>
      </x:c>
      <x:c r="M252" t="n">
        <x:f>--($A252&lt;&gt;"")</x:f>
        <x:v>1</x:v>
      </x:c>
    </x:row>
    <x:row r="253">
      <x:c r="A253" s="10" t="n">
        <x:f>IF(Assumptions!$B$5+INT((ROW()-2)/Assumptions!$B$7)&gt;Assumptions!$B$6,"",Assumptions!$B$5+INT((ROW()-2)/Assumptions!$B$7))</x:f>
        <x:v>46073</x:v>
      </x:c>
      <x:c r="B253" t="str">
        <x:f>IF($A253="","",INDEX(Assumptions!$D$5:$D$12,MOD(ROW()-2,Assumptions!$B$7)+1))</x:f>
        <x:v>LV-426 North</x:v>
      </x:c>
      <x:c r="C253" s="11" t="n">
        <x:f>IF($A253="","",INDEX(Assumptions!$F$5:$F$12,MATCH($B253,Assumptions!$D$5:$D$12,0)))</x:f>
        <x:v>930</x:v>
      </x:c>
      <x:c r="D253" s="11" t="n">
        <x:f>IF($A253="","",INDEX(Assumptions!$G$5:$G$12,MATCH($B253,Assumptions!$D$5:$D$12,0)))</x:f>
        <x:v>95</x:v>
      </x:c>
      <x:c r="E253" s="11" t="n">
        <x:f>IF($A253="","",INDEX(Assumptions!$M$5:$M$11,WEEKDAY($A253,2)))</x:f>
        <x:v>0.98</x:v>
      </x:c>
      <x:c r="F253" s="11" t="n">
        <x:f>IF($A253="","",Assumptions!$B$15)</x:f>
        <x:v>0.35</x:v>
      </x:c>
      <x:c r="G253" s="11" t="n">
        <x:f>IF($A253="","",MAX(INDEX(Assumptions!$H$5:$H$12,MATCH($B253,Assumptions!$D$5:$D$12,0)),MIN(INDEX(Assumptions!$I$5:$I$12,MATCH($B253,Assumptions!$D$5:$D$12,0)),($C253+$D253*SQRT(-2*LN(RAND()))*COS(2*PI()*RAND()))*$E253*$J253*$K253)))</x:f>
        <x:v>952.1097209273909</x:v>
      </x:c>
      <x:c r="H253" s="11" t="n">
        <x:f>IF($A253="","",$G253*$F253+$C253*(1-$F253))</x:f>
        <x:v>937.7384023245868</x:v>
      </x:c>
      <x:c r="I253" s="11" t="n">
        <x:f>IF($A253="","",AVERAGE($H253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942.9033647495011</x:v>
      </x:c>
      <x:c r="J253" s="12" t="n">
        <x:f>IF($A253="","",1+SUMIFS(Assumptions!$S$5:$S$10,Assumptions!$P$5:$P$10,$B253,Assumptions!$Q$5:$Q$10,"&lt;="&amp;$A253,Assumptions!$R$5:$R$10,"&gt;="&amp;$A253))</x:f>
        <x:v>1</x:v>
      </x:c>
      <x:c r="K253" s="12" t="n">
        <x:f>IF($A253="","",1+((($A253-Assumptions!$B$5)/30)*INDEX(Assumptions!$J$5:$J$12,MATCH($B253,Assumptions!$D$5:$D$12,0))))</x:f>
        <x:v>0.9983333333333333</x:v>
      </x:c>
      <x:c r="L253" t="str">
        <x:f>IF($A253="","",IFERROR(INDEX(Assumptions!$O$5:$O$10,MATCH(1,(Assumptions!$P$5:$P$10=$B253)*(Assumptions!$Q$5:$Q$10&lt;=$A253)*(Assumptions!$R$5:$R$10&gt;=$A253),0)),""))</x:f>
      </x:c>
      <x:c r="M253" t="n">
        <x:f>--($A253&lt;&gt;"")</x:f>
        <x:v>1</x:v>
      </x:c>
    </x:row>
    <x:row r="254">
      <x:c r="A254" s="10" t="n">
        <x:f>IF(Assumptions!$B$5+INT((ROW()-2)/Assumptions!$B$7)&gt;Assumptions!$B$6,"",Assumptions!$B$5+INT((ROW()-2)/Assumptions!$B$7))</x:f>
        <x:v>46073</x:v>
      </x:c>
      <x:c r="B254" t="str">
        <x:f>IF($A254="","",INDEX(Assumptions!$D$5:$D$12,MOD(ROW()-2,Assumptions!$B$7)+1))</x:f>
        <x:v>Nostromo Deep</x:v>
      </x:c>
      <x:c r="C254" s="11" t="n">
        <x:f>IF($A254="","",INDEX(Assumptions!$F$5:$F$12,MATCH($B254,Assumptions!$D$5:$D$12,0)))</x:f>
        <x:v>1260</x:v>
      </x:c>
      <x:c r="D254" s="11" t="n">
        <x:f>IF($A254="","",INDEX(Assumptions!$G$5:$G$12,MATCH($B254,Assumptions!$D$5:$D$12,0)))</x:f>
        <x:v>145</x:v>
      </x:c>
      <x:c r="E254" s="11" t="n">
        <x:f>IF($A254="","",INDEX(Assumptions!$M$5:$M$11,WEEKDAY($A254,2)))</x:f>
        <x:v>0.98</x:v>
      </x:c>
      <x:c r="F254" s="11" t="n">
        <x:f>IF($A254="","",Assumptions!$B$15)</x:f>
        <x:v>0.35</x:v>
      </x:c>
      <x:c r="G254" s="11" t="n">
        <x:f>IF($A254="","",MAX(INDEX(Assumptions!$H$5:$H$12,MATCH($B254,Assumptions!$D$5:$D$12,0)),MIN(INDEX(Assumptions!$I$5:$I$12,MATCH($B254,Assumptions!$D$5:$D$12,0)),($C254+$D254*SQRT(-2*LN(RAND()))*COS(2*PI()*RAND()))*$E254*$J254*$K254)))</x:f>
        <x:v>1519.96591394912</x:v>
      </x:c>
      <x:c r="H254" s="11" t="n">
        <x:f>IF($A254="","",$G254*$F254+$C254*(1-$F254))</x:f>
        <x:v>1350.9880698821921</x:v>
      </x:c>
      <x:c r="I254" s="11" t="n">
        <x:f>IF($A254="","",AVERAGE($H254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1255.043917398878</x:v>
      </x:c>
      <x:c r="J254" s="12" t="n">
        <x:f>IF($A254="","",1+SUMIFS(Assumptions!$S$5:$S$10,Assumptions!$P$5:$P$10,$B254,Assumptions!$Q$5:$Q$10,"&lt;="&amp;$A254,Assumptions!$R$5:$R$10,"&gt;="&amp;$A254))</x:f>
        <x:v>1</x:v>
      </x:c>
      <x:c r="K254" s="12" t="n">
        <x:f>IF($A254="","",1+((($A254-Assumptions!$B$5)/30)*INDEX(Assumptions!$J$5:$J$12,MATCH($B254,Assumptions!$D$5:$D$12,0))))</x:f>
        <x:v>1.005</x:v>
      </x:c>
      <x:c r="L254" t="str">
        <x:f>IF($A254="","",IFERROR(INDEX(Assumptions!$O$5:$O$10,MATCH(1,(Assumptions!$P$5:$P$10=$B254)*(Assumptions!$Q$5:$Q$10&lt;=$A254)*(Assumptions!$R$5:$R$10&gt;=$A254),0)),""))</x:f>
      </x:c>
      <x:c r="M254" t="n">
        <x:f>--($A254&lt;&gt;"")</x:f>
        <x:v>1</x:v>
      </x:c>
    </x:row>
    <x:row r="255">
      <x:c r="A255" s="10" t="n">
        <x:f>IF(Assumptions!$B$5+INT((ROW()-2)/Assumptions!$B$7)&gt;Assumptions!$B$6,"",Assumptions!$B$5+INT((ROW()-2)/Assumptions!$B$7))</x:f>
        <x:v>46073</x:v>
      </x:c>
      <x:c r="B255" t="str">
        <x:f>IF($A255="","",INDEX(Assumptions!$D$5:$D$12,MOD(ROW()-2,Assumptions!$B$7)+1))</x:f>
        <x:v>Hadley's Hope</x:v>
      </x:c>
      <x:c r="C255" s="11" t="n">
        <x:f>IF($A255="","",INDEX(Assumptions!$F$5:$F$12,MATCH($B255,Assumptions!$D$5:$D$12,0)))</x:f>
        <x:v>845</x:v>
      </x:c>
      <x:c r="D255" s="11" t="n">
        <x:f>IF($A255="","",INDEX(Assumptions!$G$5:$G$12,MATCH($B255,Assumptions!$D$5:$D$12,0)))</x:f>
        <x:v>80</x:v>
      </x:c>
      <x:c r="E255" s="11" t="n">
        <x:f>IF($A255="","",INDEX(Assumptions!$M$5:$M$11,WEEKDAY($A255,2)))</x:f>
        <x:v>0.98</x:v>
      </x:c>
      <x:c r="F255" s="11" t="n">
        <x:f>IF($A255="","",Assumptions!$B$15)</x:f>
        <x:v>0.35</x:v>
      </x:c>
      <x:c r="G255" s="11" t="n">
        <x:f>IF($A255="","",MAX(INDEX(Assumptions!$H$5:$H$12,MATCH($B255,Assumptions!$D$5:$D$12,0)),MIN(INDEX(Assumptions!$I$5:$I$12,MATCH($B255,Assumptions!$D$5:$D$12,0)),($C255+$D255*SQRT(-2*LN(RAND()))*COS(2*PI()*RAND()))*$E255*$J255*$K255)))</x:f>
        <x:v>764.0303025117058</x:v>
      </x:c>
      <x:c r="H255" s="11" t="n">
        <x:f>IF($A255="","",$G255*$F255+$C255*(1-$F255))</x:f>
        <x:v>816.660605879097</x:v>
      </x:c>
      <x:c r="I255" s="11" t="n">
        <x:f>IF($A255="","",AVERAGE($H255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830.0979029978762</x:v>
      </x:c>
      <x:c r="J255" s="12" t="n">
        <x:f>IF($A255="","",1+SUMIFS(Assumptions!$S$5:$S$10,Assumptions!$P$5:$P$10,$B255,Assumptions!$Q$5:$Q$10,"&lt;="&amp;$A255,Assumptions!$R$5:$R$10,"&gt;="&amp;$A255))</x:f>
        <x:v>1</x:v>
      </x:c>
      <x:c r="K255" s="12" t="n">
        <x:f>IF($A255="","",1+((($A255-Assumptions!$B$5)/30)*INDEX(Assumptions!$J$5:$J$12,MATCH($B255,Assumptions!$D$5:$D$12,0))))</x:f>
        <x:v>1.0016666666666667</x:v>
      </x:c>
      <x:c r="L255" t="str">
        <x:f>IF($A255="","",IFERROR(INDEX(Assumptions!$O$5:$O$10,MATCH(1,(Assumptions!$P$5:$P$10=$B255)*(Assumptions!$Q$5:$Q$10&lt;=$A255)*(Assumptions!$R$5:$R$10&gt;=$A255),0)),""))</x:f>
      </x:c>
      <x:c r="M255" t="n">
        <x:f>--($A255&lt;&gt;"")</x:f>
        <x:v>1</x:v>
      </x:c>
    </x:row>
    <x:row r="256">
      <x:c r="A256" s="10" t="n">
        <x:f>IF(Assumptions!$B$5+INT((ROW()-2)/Assumptions!$B$7)&gt;Assumptions!$B$6,"",Assumptions!$B$5+INT((ROW()-2)/Assumptions!$B$7))</x:f>
        <x:v>46073</x:v>
      </x:c>
      <x:c r="B256" t="str">
        <x:f>IF($A256="","",INDEX(Assumptions!$D$5:$D$12,MOD(ROW()-2,Assumptions!$B$7)+1))</x:f>
        <x:v>Yutani Ridge</x:v>
      </x:c>
      <x:c r="C256" s="11" t="n">
        <x:f>IF($A256="","",INDEX(Assumptions!$F$5:$F$12,MATCH($B256,Assumptions!$D$5:$D$12,0)))</x:f>
        <x:v>1050</x:v>
      </x:c>
      <x:c r="D256" s="11" t="n">
        <x:f>IF($A256="","",INDEX(Assumptions!$G$5:$G$12,MATCH($B256,Assumptions!$D$5:$D$12,0)))</x:f>
        <x:v>125</x:v>
      </x:c>
      <x:c r="E256" s="11" t="n">
        <x:f>IF($A256="","",INDEX(Assumptions!$M$5:$M$11,WEEKDAY($A256,2)))</x:f>
        <x:v>0.98</x:v>
      </x:c>
      <x:c r="F256" s="11" t="n">
        <x:f>IF($A256="","",Assumptions!$B$15)</x:f>
        <x:v>0.35</x:v>
      </x:c>
      <x:c r="G256" s="11" t="n">
        <x:f>IF($A256="","",MAX(INDEX(Assumptions!$H$5:$H$12,MATCH($B256,Assumptions!$D$5:$D$12,0)),MIN(INDEX(Assumptions!$I$5:$I$12,MATCH($B256,Assumptions!$D$5:$D$12,0)),($C256+$D256*SQRT(-2*LN(RAND()))*COS(2*PI()*RAND()))*$E256*$J256*$K256)))</x:f>
        <x:v>1137.6047374275936</x:v>
      </x:c>
      <x:c r="H256" s="11" t="n">
        <x:f>IF($A256="","",$G256*$F256+$C256*(1-$F256))</x:f>
        <x:v>1080.6616580996579</x:v>
      </x:c>
      <x:c r="I256" s="11" t="n">
        <x:f>IF($A256="","",AVERAGE($H256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1024.170787790334</x:v>
      </x:c>
      <x:c r="J256" s="12" t="n">
        <x:f>IF($A256="","",1+SUMIFS(Assumptions!$S$5:$S$10,Assumptions!$P$5:$P$10,$B256,Assumptions!$Q$5:$Q$10,"&lt;="&amp;$A256,Assumptions!$R$5:$R$10,"&gt;="&amp;$A256))</x:f>
        <x:v>1</x:v>
      </x:c>
      <x:c r="K256" s="12" t="n">
        <x:f>IF($A256="","",1+((($A256-Assumptions!$B$5)/30)*INDEX(Assumptions!$J$5:$J$12,MATCH($B256,Assumptions!$D$5:$D$12,0))))</x:f>
        <x:v>1.0041666666666667</x:v>
      </x:c>
      <x:c r="L256" t="str">
        <x:f>IF($A256="","",IFERROR(INDEX(Assumptions!$O$5:$O$10,MATCH(1,(Assumptions!$P$5:$P$10=$B256)*(Assumptions!$Q$5:$Q$10&lt;=$A256)*(Assumptions!$R$5:$R$10&gt;=$A256),0)),""))</x:f>
      </x:c>
      <x:c r="M256" t="n">
        <x:f>--($A256&lt;&gt;"")</x:f>
        <x:v>1</x:v>
      </x:c>
    </x:row>
    <x:row r="257">
      <x:c r="A257" s="10" t="n">
        <x:f>IF(Assumptions!$B$5+INT((ROW()-2)/Assumptions!$B$7)&gt;Assumptions!$B$6,"",Assumptions!$B$5+INT((ROW()-2)/Assumptions!$B$7))</x:f>
        <x:v>46074</x:v>
      </x:c>
      <x:c r="B257" t="str">
        <x:f>IF($A257="","",INDEX(Assumptions!$D$5:$D$12,MOD(ROW()-2,Assumptions!$B$7)+1))</x:f>
        <x:v>Acheron Prime</x:v>
      </x:c>
      <x:c r="C257" s="11" t="n">
        <x:f>IF($A257="","",INDEX(Assumptions!$F$5:$F$12,MATCH($B257,Assumptions!$D$5:$D$12,0)))</x:f>
        <x:v>1120</x:v>
      </x:c>
      <x:c r="D257" s="11" t="n">
        <x:f>IF($A257="","",INDEX(Assumptions!$G$5:$G$12,MATCH($B257,Assumptions!$D$5:$D$12,0)))</x:f>
        <x:v>115</x:v>
      </x:c>
      <x:c r="E257" s="11" t="n">
        <x:f>IF($A257="","",INDEX(Assumptions!$M$5:$M$11,WEEKDAY($A257,2)))</x:f>
        <x:v>0.91</x:v>
      </x:c>
      <x:c r="F257" s="11" t="n">
        <x:f>IF($A257="","",Assumptions!$B$15)</x:f>
        <x:v>0.35</x:v>
      </x:c>
      <x:c r="G257" s="11" t="n">
        <x:f>IF($A257="","",MAX(INDEX(Assumptions!$H$5:$H$12,MATCH($B257,Assumptions!$D$5:$D$12,0)),MIN(INDEX(Assumptions!$I$5:$I$12,MATCH($B257,Assumptions!$D$5:$D$12,0)),($C257+$D257*SQRT(-2*LN(RAND()))*COS(2*PI()*RAND()))*$E257*$J257*$K257)))</x:f>
        <x:v>976.4882232998559</x:v>
      </x:c>
      <x:c r="H257" s="11" t="n">
        <x:f>IF($A257="","",$G257*$F257+$C257*(1-$F257))</x:f>
        <x:v>1069.7708781549495</x:v>
      </x:c>
      <x:c r="I257" s="11" t="n">
        <x:f>IF($A257="","",AVERAGE($H257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1037.8066243475891</x:v>
      </x:c>
      <x:c r="J257" s="12" t="n">
        <x:f>IF($A257="","",1+SUMIFS(Assumptions!$S$5:$S$10,Assumptions!$P$5:$P$10,$B257,Assumptions!$Q$5:$Q$10,"&lt;="&amp;$A257,Assumptions!$R$5:$R$10,"&gt;="&amp;$A257))</x:f>
        <x:v>1</x:v>
      </x:c>
      <x:c r="K257" s="12" t="n">
        <x:f>IF($A257="","",1+((($A257-Assumptions!$B$5)/30)*INDEX(Assumptions!$J$5:$J$12,MATCH($B257,Assumptions!$D$5:$D$12,0))))</x:f>
        <x:v>1.0034</x:v>
      </x:c>
      <x:c r="L257" t="str">
        <x:f>IF($A257="","",IFERROR(INDEX(Assumptions!$O$5:$O$10,MATCH(1,(Assumptions!$P$5:$P$10=$B257)*(Assumptions!$Q$5:$Q$10&lt;=$A257)*(Assumptions!$R$5:$R$10&gt;=$A257),0)),""))</x:f>
      </x:c>
      <x:c r="M257" t="n">
        <x:f>--($A257&lt;&gt;"")</x:f>
        <x:v>1</x:v>
      </x:c>
    </x:row>
    <x:row r="258">
      <x:c r="A258" s="10" t="n">
        <x:f>IF(Assumptions!$B$5+INT((ROW()-2)/Assumptions!$B$7)&gt;Assumptions!$B$6,"",Assumptions!$B$5+INT((ROW()-2)/Assumptions!$B$7))</x:f>
        <x:v>46074</x:v>
      </x:c>
      <x:c r="B258" t="str">
        <x:f>IF($A258="","",INDEX(Assumptions!$D$5:$D$12,MOD(ROW()-2,Assumptions!$B$7)+1))</x:f>
        <x:v>LV-426 North</x:v>
      </x:c>
      <x:c r="C258" s="11" t="n">
        <x:f>IF($A258="","",INDEX(Assumptions!$F$5:$F$12,MATCH($B258,Assumptions!$D$5:$D$12,0)))</x:f>
        <x:v>930</x:v>
      </x:c>
      <x:c r="D258" s="11" t="n">
        <x:f>IF($A258="","",INDEX(Assumptions!$G$5:$G$12,MATCH($B258,Assumptions!$D$5:$D$12,0)))</x:f>
        <x:v>95</x:v>
      </x:c>
      <x:c r="E258" s="11" t="n">
        <x:f>IF($A258="","",INDEX(Assumptions!$M$5:$M$11,WEEKDAY($A258,2)))</x:f>
        <x:v>0.91</x:v>
      </x:c>
      <x:c r="F258" s="11" t="n">
        <x:f>IF($A258="","",Assumptions!$B$15)</x:f>
        <x:v>0.35</x:v>
      </x:c>
      <x:c r="G258" s="11" t="n">
        <x:f>IF($A258="","",MAX(INDEX(Assumptions!$H$5:$H$12,MATCH($B258,Assumptions!$D$5:$D$12,0)),MIN(INDEX(Assumptions!$I$5:$I$12,MATCH($B258,Assumptions!$D$5:$D$12,0)),($C258+$D258*SQRT(-2*LN(RAND()))*COS(2*PI()*RAND()))*$E258*$J258*$K258)))</x:f>
        <x:v>901.6568246959226</x:v>
      </x:c>
      <x:c r="H258" s="11" t="n">
        <x:f>IF($A258="","",$G258*$F258+$C258*(1-$F258))</x:f>
        <x:v>920.079888643573</x:v>
      </x:c>
      <x:c r="I258" s="11" t="n">
        <x:f>IF($A258="","",AVERAGE($H258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941.7373742978996</x:v>
      </x:c>
      <x:c r="J258" s="12" t="n">
        <x:f>IF($A258="","",1+SUMIFS(Assumptions!$S$5:$S$10,Assumptions!$P$5:$P$10,$B258,Assumptions!$Q$5:$Q$10,"&lt;="&amp;$A258,Assumptions!$R$5:$R$10,"&gt;="&amp;$A258))</x:f>
        <x:v>1</x:v>
      </x:c>
      <x:c r="K258" s="12" t="n">
        <x:f>IF($A258="","",1+((($A258-Assumptions!$B$5)/30)*INDEX(Assumptions!$J$5:$J$12,MATCH($B258,Assumptions!$D$5:$D$12,0))))</x:f>
        <x:v>0.9983</x:v>
      </x:c>
      <x:c r="L258" t="str">
        <x:f>IF($A258="","",IFERROR(INDEX(Assumptions!$O$5:$O$10,MATCH(1,(Assumptions!$P$5:$P$10=$B258)*(Assumptions!$Q$5:$Q$10&lt;=$A258)*(Assumptions!$R$5:$R$10&gt;=$A258),0)),""))</x:f>
      </x:c>
      <x:c r="M258" t="n">
        <x:f>--($A258&lt;&gt;"")</x:f>
        <x:v>1</x:v>
      </x:c>
    </x:row>
    <x:row r="259">
      <x:c r="A259" s="10" t="n">
        <x:f>IF(Assumptions!$B$5+INT((ROW()-2)/Assumptions!$B$7)&gt;Assumptions!$B$6,"",Assumptions!$B$5+INT((ROW()-2)/Assumptions!$B$7))</x:f>
        <x:v>46074</x:v>
      </x:c>
      <x:c r="B259" t="str">
        <x:f>IF($A259="","",INDEX(Assumptions!$D$5:$D$12,MOD(ROW()-2,Assumptions!$B$7)+1))</x:f>
        <x:v>Nostromo Deep</x:v>
      </x:c>
      <x:c r="C259" s="11" t="n">
        <x:f>IF($A259="","",INDEX(Assumptions!$F$5:$F$12,MATCH($B259,Assumptions!$D$5:$D$12,0)))</x:f>
        <x:v>1260</x:v>
      </x:c>
      <x:c r="D259" s="11" t="n">
        <x:f>IF($A259="","",INDEX(Assumptions!$G$5:$G$12,MATCH($B259,Assumptions!$D$5:$D$12,0)))</x:f>
        <x:v>145</x:v>
      </x:c>
      <x:c r="E259" s="11" t="n">
        <x:f>IF($A259="","",INDEX(Assumptions!$M$5:$M$11,WEEKDAY($A259,2)))</x:f>
        <x:v>0.91</x:v>
      </x:c>
      <x:c r="F259" s="11" t="n">
        <x:f>IF($A259="","",Assumptions!$B$15)</x:f>
        <x:v>0.35</x:v>
      </x:c>
      <x:c r="G259" s="11" t="n">
        <x:f>IF($A259="","",MAX(INDEX(Assumptions!$H$5:$H$12,MATCH($B259,Assumptions!$D$5:$D$12,0)),MIN(INDEX(Assumptions!$I$5:$I$12,MATCH($B259,Assumptions!$D$5:$D$12,0)),($C259+$D259*SQRT(-2*LN(RAND()))*COS(2*PI()*RAND()))*$E259*$J259*$K259)))</x:f>
        <x:v>1070.7959393143865</x:v>
      </x:c>
      <x:c r="H259" s="11" t="n">
        <x:f>IF($A259="","",$G259*$F259+$C259*(1-$F259))</x:f>
        <x:v>1193.7785787600353</x:v>
      </x:c>
      <x:c r="I259" s="11" t="n">
        <x:f>IF($A259="","",AVERAGE($H259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1256.3030032817503</x:v>
      </x:c>
      <x:c r="J259" s="12" t="n">
        <x:f>IF($A259="","",1+SUMIFS(Assumptions!$S$5:$S$10,Assumptions!$P$5:$P$10,$B259,Assumptions!$Q$5:$Q$10,"&lt;="&amp;$A259,Assumptions!$R$5:$R$10,"&gt;="&amp;$A259))</x:f>
        <x:v>1</x:v>
      </x:c>
      <x:c r="K259" s="12" t="n">
        <x:f>IF($A259="","",1+((($A259-Assumptions!$B$5)/30)*INDEX(Assumptions!$J$5:$J$12,MATCH($B259,Assumptions!$D$5:$D$12,0))))</x:f>
        <x:v>1.0051</x:v>
      </x:c>
      <x:c r="L259" t="str">
        <x:f>IF($A259="","",IFERROR(INDEX(Assumptions!$O$5:$O$10,MATCH(1,(Assumptions!$P$5:$P$10=$B259)*(Assumptions!$Q$5:$Q$10&lt;=$A259)*(Assumptions!$R$5:$R$10&gt;=$A259),0)),""))</x:f>
      </x:c>
      <x:c r="M259" t="n">
        <x:f>--($A259&lt;&gt;"")</x:f>
        <x:v>1</x:v>
      </x:c>
    </x:row>
    <x:row r="260">
      <x:c r="A260" s="10" t="n">
        <x:f>IF(Assumptions!$B$5+INT((ROW()-2)/Assumptions!$B$7)&gt;Assumptions!$B$6,"",Assumptions!$B$5+INT((ROW()-2)/Assumptions!$B$7))</x:f>
        <x:v>46074</x:v>
      </x:c>
      <x:c r="B260" t="str">
        <x:f>IF($A260="","",INDEX(Assumptions!$D$5:$D$12,MOD(ROW()-2,Assumptions!$B$7)+1))</x:f>
        <x:v>Hadley's Hope</x:v>
      </x:c>
      <x:c r="C260" s="11" t="n">
        <x:f>IF($A260="","",INDEX(Assumptions!$F$5:$F$12,MATCH($B260,Assumptions!$D$5:$D$12,0)))</x:f>
        <x:v>845</x:v>
      </x:c>
      <x:c r="D260" s="11" t="n">
        <x:f>IF($A260="","",INDEX(Assumptions!$G$5:$G$12,MATCH($B260,Assumptions!$D$5:$D$12,0)))</x:f>
        <x:v>80</x:v>
      </x:c>
      <x:c r="E260" s="11" t="n">
        <x:f>IF($A260="","",INDEX(Assumptions!$M$5:$M$11,WEEKDAY($A260,2)))</x:f>
        <x:v>0.91</x:v>
      </x:c>
      <x:c r="F260" s="11" t="n">
        <x:f>IF($A260="","",Assumptions!$B$15)</x:f>
        <x:v>0.35</x:v>
      </x:c>
      <x:c r="G260" s="11" t="n">
        <x:f>IF($A260="","",MAX(INDEX(Assumptions!$H$5:$H$12,MATCH($B260,Assumptions!$D$5:$D$12,0)),MIN(INDEX(Assumptions!$I$5:$I$12,MATCH($B260,Assumptions!$D$5:$D$12,0)),($C260+$D260*SQRT(-2*LN(RAND()))*COS(2*PI()*RAND()))*$E260*$J260*$K260)))</x:f>
        <x:v>750.7663517803621</x:v>
      </x:c>
      <x:c r="H260" s="11" t="n">
        <x:f>IF($A260="","",$G260*$F260+$C260*(1-$F260))</x:f>
        <x:v>812.0182231231267</x:v>
      </x:c>
      <x:c r="I260" s="11" t="n">
        <x:f>IF($A260="","",AVERAGE($H260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826.6000605246674</x:v>
      </x:c>
      <x:c r="J260" s="12" t="n">
        <x:f>IF($A260="","",1+SUMIFS(Assumptions!$S$5:$S$10,Assumptions!$P$5:$P$10,$B260,Assumptions!$Q$5:$Q$10,"&lt;="&amp;$A260,Assumptions!$R$5:$R$10,"&gt;="&amp;$A260))</x:f>
        <x:v>1</x:v>
      </x:c>
      <x:c r="K260" s="12" t="n">
        <x:f>IF($A260="","",1+((($A260-Assumptions!$B$5)/30)*INDEX(Assumptions!$J$5:$J$12,MATCH($B260,Assumptions!$D$5:$D$12,0))))</x:f>
        <x:v>1.0017</x:v>
      </x:c>
      <x:c r="L260" t="str">
        <x:f>IF($A260="","",IFERROR(INDEX(Assumptions!$O$5:$O$10,MATCH(1,(Assumptions!$P$5:$P$10=$B260)*(Assumptions!$Q$5:$Q$10&lt;=$A260)*(Assumptions!$R$5:$R$10&gt;=$A260),0)),""))</x:f>
      </x:c>
      <x:c r="M260" t="n">
        <x:f>--($A260&lt;&gt;"")</x:f>
        <x:v>1</x:v>
      </x:c>
    </x:row>
    <x:row r="261">
      <x:c r="A261" s="10" t="n">
        <x:f>IF(Assumptions!$B$5+INT((ROW()-2)/Assumptions!$B$7)&gt;Assumptions!$B$6,"",Assumptions!$B$5+INT((ROW()-2)/Assumptions!$B$7))</x:f>
        <x:v>46074</x:v>
      </x:c>
      <x:c r="B261" t="str">
        <x:f>IF($A261="","",INDEX(Assumptions!$D$5:$D$12,MOD(ROW()-2,Assumptions!$B$7)+1))</x:f>
        <x:v>Yutani Ridge</x:v>
      </x:c>
      <x:c r="C261" s="11" t="n">
        <x:f>IF($A261="","",INDEX(Assumptions!$F$5:$F$12,MATCH($B261,Assumptions!$D$5:$D$12,0)))</x:f>
        <x:v>1050</x:v>
      </x:c>
      <x:c r="D261" s="11" t="n">
        <x:f>IF($A261="","",INDEX(Assumptions!$G$5:$G$12,MATCH($B261,Assumptions!$D$5:$D$12,0)))</x:f>
        <x:v>125</x:v>
      </x:c>
      <x:c r="E261" s="11" t="n">
        <x:f>IF($A261="","",INDEX(Assumptions!$M$5:$M$11,WEEKDAY($A261,2)))</x:f>
        <x:v>0.91</x:v>
      </x:c>
      <x:c r="F261" s="11" t="n">
        <x:f>IF($A261="","",Assumptions!$B$15)</x:f>
        <x:v>0.35</x:v>
      </x:c>
      <x:c r="G261" s="11" t="n">
        <x:f>IF($A261="","",MAX(INDEX(Assumptions!$H$5:$H$12,MATCH($B261,Assumptions!$D$5:$D$12,0)),MIN(INDEX(Assumptions!$I$5:$I$12,MATCH($B261,Assumptions!$D$5:$D$12,0)),($C261+$D261*SQRT(-2*LN(RAND()))*COS(2*PI()*RAND()))*$E261*$J261*$K261)))</x:f>
        <x:v>865.8652936531558</x:v>
      </x:c>
      <x:c r="H261" s="11" t="n">
        <x:f>IF($A261="","",$G261*$F261+$C261*(1-$F261))</x:f>
        <x:v>985.5528527786046</x:v>
      </x:c>
      <x:c r="I261" s="11" t="n">
        <x:f>IF($A261="","",AVERAGE($H261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1020.6089488109959</x:v>
      </x:c>
      <x:c r="J261" s="12" t="n">
        <x:f>IF($A261="","",1+SUMIFS(Assumptions!$S$5:$S$10,Assumptions!$P$5:$P$10,$B261,Assumptions!$Q$5:$Q$10,"&lt;="&amp;$A261,Assumptions!$R$5:$R$10,"&gt;="&amp;$A261))</x:f>
        <x:v>1</x:v>
      </x:c>
      <x:c r="K261" s="12" t="n">
        <x:f>IF($A261="","",1+((($A261-Assumptions!$B$5)/30)*INDEX(Assumptions!$J$5:$J$12,MATCH($B261,Assumptions!$D$5:$D$12,0))))</x:f>
        <x:v>1.00425</x:v>
      </x:c>
      <x:c r="L261" t="str">
        <x:f>IF($A261="","",IFERROR(INDEX(Assumptions!$O$5:$O$10,MATCH(1,(Assumptions!$P$5:$P$10=$B261)*(Assumptions!$Q$5:$Q$10&lt;=$A261)*(Assumptions!$R$5:$R$10&gt;=$A261),0)),""))</x:f>
      </x:c>
      <x:c r="M261" t="n">
        <x:f>--($A261&lt;&gt;"")</x:f>
        <x:v>1</x:v>
      </x:c>
    </x:row>
    <x:row r="262">
      <x:c r="A262" s="10" t="n">
        <x:f>IF(Assumptions!$B$5+INT((ROW()-2)/Assumptions!$B$7)&gt;Assumptions!$B$6,"",Assumptions!$B$5+INT((ROW()-2)/Assumptions!$B$7))</x:f>
        <x:v>46075</x:v>
      </x:c>
      <x:c r="B262" t="str">
        <x:f>IF($A262="","",INDEX(Assumptions!$D$5:$D$12,MOD(ROW()-2,Assumptions!$B$7)+1))</x:f>
        <x:v>Acheron Prime</x:v>
      </x:c>
      <x:c r="C262" s="11" t="n">
        <x:f>IF($A262="","",INDEX(Assumptions!$F$5:$F$12,MATCH($B262,Assumptions!$D$5:$D$12,0)))</x:f>
        <x:v>1120</x:v>
      </x:c>
      <x:c r="D262" s="11" t="n">
        <x:f>IF($A262="","",INDEX(Assumptions!$G$5:$G$12,MATCH($B262,Assumptions!$D$5:$D$12,0)))</x:f>
        <x:v>115</x:v>
      </x:c>
      <x:c r="E262" s="11" t="n">
        <x:f>IF($A262="","",INDEX(Assumptions!$M$5:$M$11,WEEKDAY($A262,2)))</x:f>
        <x:v>0.87</x:v>
      </x:c>
      <x:c r="F262" s="11" t="n">
        <x:f>IF($A262="","",Assumptions!$B$15)</x:f>
        <x:v>0.35</x:v>
      </x:c>
      <x:c r="G262" s="11" t="n">
        <x:f>IF($A262="","",MAX(INDEX(Assumptions!$H$5:$H$12,MATCH($B262,Assumptions!$D$5:$D$12,0)),MIN(INDEX(Assumptions!$I$5:$I$12,MATCH($B262,Assumptions!$D$5:$D$12,0)),($C262+$D262*SQRT(-2*LN(RAND()))*COS(2*PI()*RAND()))*$E262*$J262*$K262)))</x:f>
        <x:v>1151.0950744743736</x:v>
      </x:c>
      <x:c r="H262" s="11" t="n">
        <x:f>IF($A262="","",$G262*$F262+$C262*(1-$F262))</x:f>
        <x:v>1130.8832760660307</x:v>
      </x:c>
      <x:c r="I262" s="11" t="n">
        <x:f>IF($A262="","",AVERAGE($H262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1057.3613780713079</x:v>
      </x:c>
      <x:c r="J262" s="12" t="n">
        <x:f>IF($A262="","",1+SUMIFS(Assumptions!$S$5:$S$10,Assumptions!$P$5:$P$10,$B262,Assumptions!$Q$5:$Q$10,"&lt;="&amp;$A262,Assumptions!$R$5:$R$10,"&gt;="&amp;$A262))</x:f>
        <x:v>1</x:v>
      </x:c>
      <x:c r="K262" s="12" t="n">
        <x:f>IF($A262="","",1+((($A262-Assumptions!$B$5)/30)*INDEX(Assumptions!$J$5:$J$12,MATCH($B262,Assumptions!$D$5:$D$12,0))))</x:f>
        <x:v>1.0034666666666667</x:v>
      </x:c>
      <x:c r="L262" t="str">
        <x:f>IF($A262="","",IFERROR(INDEX(Assumptions!$O$5:$O$10,MATCH(1,(Assumptions!$P$5:$P$10=$B262)*(Assumptions!$Q$5:$Q$10&lt;=$A262)*(Assumptions!$R$5:$R$10&gt;=$A262),0)),""))</x:f>
      </x:c>
      <x:c r="M262" t="n">
        <x:f>--($A262&lt;&gt;"")</x:f>
        <x:v>1</x:v>
      </x:c>
    </x:row>
    <x:row r="263">
      <x:c r="A263" s="10" t="n">
        <x:f>IF(Assumptions!$B$5+INT((ROW()-2)/Assumptions!$B$7)&gt;Assumptions!$B$6,"",Assumptions!$B$5+INT((ROW()-2)/Assumptions!$B$7))</x:f>
        <x:v>46075</x:v>
      </x:c>
      <x:c r="B263" t="str">
        <x:f>IF($A263="","",INDEX(Assumptions!$D$5:$D$12,MOD(ROW()-2,Assumptions!$B$7)+1))</x:f>
        <x:v>LV-426 North</x:v>
      </x:c>
      <x:c r="C263" s="11" t="n">
        <x:f>IF($A263="","",INDEX(Assumptions!$F$5:$F$12,MATCH($B263,Assumptions!$D$5:$D$12,0)))</x:f>
        <x:v>930</x:v>
      </x:c>
      <x:c r="D263" s="11" t="n">
        <x:f>IF($A263="","",INDEX(Assumptions!$G$5:$G$12,MATCH($B263,Assumptions!$D$5:$D$12,0)))</x:f>
        <x:v>95</x:v>
      </x:c>
      <x:c r="E263" s="11" t="n">
        <x:f>IF($A263="","",INDEX(Assumptions!$M$5:$M$11,WEEKDAY($A263,2)))</x:f>
        <x:v>0.87</x:v>
      </x:c>
      <x:c r="F263" s="11" t="n">
        <x:f>IF($A263="","",Assumptions!$B$15)</x:f>
        <x:v>0.35</x:v>
      </x:c>
      <x:c r="G263" s="11" t="n">
        <x:f>IF($A263="","",MAX(INDEX(Assumptions!$H$5:$H$12,MATCH($B263,Assumptions!$D$5:$D$12,0)),MIN(INDEX(Assumptions!$I$5:$I$12,MATCH($B263,Assumptions!$D$5:$D$12,0)),($C263+$D263*SQRT(-2*LN(RAND()))*COS(2*PI()*RAND()))*$E263*$J263*$K263)))</x:f>
        <x:v>698.7412593137612</x:v>
      </x:c>
      <x:c r="H263" s="11" t="n">
        <x:f>IF($A263="","",$G263*$F263+$C263*(1-$F263))</x:f>
        <x:v>849.0594407598164</x:v>
      </x:c>
      <x:c r="I263" s="11" t="n">
        <x:f>IF($A263="","",AVERAGE($H263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935.228823491416</x:v>
      </x:c>
      <x:c r="J263" s="12" t="n">
        <x:f>IF($A263="","",1+SUMIFS(Assumptions!$S$5:$S$10,Assumptions!$P$5:$P$10,$B263,Assumptions!$Q$5:$Q$10,"&lt;="&amp;$A263,Assumptions!$R$5:$R$10,"&gt;="&amp;$A263))</x:f>
        <x:v>1</x:v>
      </x:c>
      <x:c r="K263" s="12" t="n">
        <x:f>IF($A263="","",1+((($A263-Assumptions!$B$5)/30)*INDEX(Assumptions!$J$5:$J$12,MATCH($B263,Assumptions!$D$5:$D$12,0))))</x:f>
        <x:v>0.9982666666666666</x:v>
      </x:c>
      <x:c r="L263" t="str">
        <x:f>IF($A263="","",IFERROR(INDEX(Assumptions!$O$5:$O$10,MATCH(1,(Assumptions!$P$5:$P$10=$B263)*(Assumptions!$Q$5:$Q$10&lt;=$A263)*(Assumptions!$R$5:$R$10&gt;=$A263),0)),""))</x:f>
      </x:c>
      <x:c r="M263" t="n">
        <x:f>--($A263&lt;&gt;"")</x:f>
        <x:v>1</x:v>
      </x:c>
    </x:row>
    <x:row r="264">
      <x:c r="A264" s="10" t="n">
        <x:f>IF(Assumptions!$B$5+INT((ROW()-2)/Assumptions!$B$7)&gt;Assumptions!$B$6,"",Assumptions!$B$5+INT((ROW()-2)/Assumptions!$B$7))</x:f>
        <x:v>46075</x:v>
      </x:c>
      <x:c r="B264" t="str">
        <x:f>IF($A264="","",INDEX(Assumptions!$D$5:$D$12,MOD(ROW()-2,Assumptions!$B$7)+1))</x:f>
        <x:v>Nostromo Deep</x:v>
      </x:c>
      <x:c r="C264" s="11" t="n">
        <x:f>IF($A264="","",INDEX(Assumptions!$F$5:$F$12,MATCH($B264,Assumptions!$D$5:$D$12,0)))</x:f>
        <x:v>1260</x:v>
      </x:c>
      <x:c r="D264" s="11" t="n">
        <x:f>IF($A264="","",INDEX(Assumptions!$G$5:$G$12,MATCH($B264,Assumptions!$D$5:$D$12,0)))</x:f>
        <x:v>145</x:v>
      </x:c>
      <x:c r="E264" s="11" t="n">
        <x:f>IF($A264="","",INDEX(Assumptions!$M$5:$M$11,WEEKDAY($A264,2)))</x:f>
        <x:v>0.87</x:v>
      </x:c>
      <x:c r="F264" s="11" t="n">
        <x:f>IF($A264="","",Assumptions!$B$15)</x:f>
        <x:v>0.35</x:v>
      </x:c>
      <x:c r="G264" s="11" t="n">
        <x:f>IF($A264="","",MAX(INDEX(Assumptions!$H$5:$H$12,MATCH($B264,Assumptions!$D$5:$D$12,0)),MIN(INDEX(Assumptions!$I$5:$I$12,MATCH($B264,Assumptions!$D$5:$D$12,0)),($C264+$D264*SQRT(-2*LN(RAND()))*COS(2*PI()*RAND()))*$E264*$J264*$K264)))</x:f>
        <x:v>1046.450548785436</x:v>
      </x:c>
      <x:c r="H264" s="11" t="n">
        <x:f>IF($A264="","",$G264*$F264+$C264*(1-$F264))</x:f>
        <x:v>1185.2576920749025</x:v>
      </x:c>
      <x:c r="I264" s="11" t="n">
        <x:f>IF($A264="","",AVERAGE($H264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1253.7701211820784</x:v>
      </x:c>
      <x:c r="J264" s="12" t="n">
        <x:f>IF($A264="","",1+SUMIFS(Assumptions!$S$5:$S$10,Assumptions!$P$5:$P$10,$B264,Assumptions!$Q$5:$Q$10,"&lt;="&amp;$A264,Assumptions!$R$5:$R$10,"&gt;="&amp;$A264))</x:f>
        <x:v>1</x:v>
      </x:c>
      <x:c r="K264" s="12" t="n">
        <x:f>IF($A264="","",1+((($A264-Assumptions!$B$5)/30)*INDEX(Assumptions!$J$5:$J$12,MATCH($B264,Assumptions!$D$5:$D$12,0))))</x:f>
        <x:v>1.0052</x:v>
      </x:c>
      <x:c r="L264" t="str">
        <x:f>IF($A264="","",IFERROR(INDEX(Assumptions!$O$5:$O$10,MATCH(1,(Assumptions!$P$5:$P$10=$B264)*(Assumptions!$Q$5:$Q$10&lt;=$A264)*(Assumptions!$R$5:$R$10&gt;=$A264),0)),""))</x:f>
      </x:c>
      <x:c r="M264" t="n">
        <x:f>--($A264&lt;&gt;"")</x:f>
        <x:v>1</x:v>
      </x:c>
    </x:row>
    <x:row r="265">
      <x:c r="A265" s="10" t="n">
        <x:f>IF(Assumptions!$B$5+INT((ROW()-2)/Assumptions!$B$7)&gt;Assumptions!$B$6,"",Assumptions!$B$5+INT((ROW()-2)/Assumptions!$B$7))</x:f>
        <x:v>46075</x:v>
      </x:c>
      <x:c r="B265" t="str">
        <x:f>IF($A265="","",INDEX(Assumptions!$D$5:$D$12,MOD(ROW()-2,Assumptions!$B$7)+1))</x:f>
        <x:v>Hadley's Hope</x:v>
      </x:c>
      <x:c r="C265" s="11" t="n">
        <x:f>IF($A265="","",INDEX(Assumptions!$F$5:$F$12,MATCH($B265,Assumptions!$D$5:$D$12,0)))</x:f>
        <x:v>845</x:v>
      </x:c>
      <x:c r="D265" s="11" t="n">
        <x:f>IF($A265="","",INDEX(Assumptions!$G$5:$G$12,MATCH($B265,Assumptions!$D$5:$D$12,0)))</x:f>
        <x:v>80</x:v>
      </x:c>
      <x:c r="E265" s="11" t="n">
        <x:f>IF($A265="","",INDEX(Assumptions!$M$5:$M$11,WEEKDAY($A265,2)))</x:f>
        <x:v>0.87</x:v>
      </x:c>
      <x:c r="F265" s="11" t="n">
        <x:f>IF($A265="","",Assumptions!$B$15)</x:f>
        <x:v>0.35</x:v>
      </x:c>
      <x:c r="G265" s="11" t="n">
        <x:f>IF($A265="","",MAX(INDEX(Assumptions!$H$5:$H$12,MATCH($B265,Assumptions!$D$5:$D$12,0)),MIN(INDEX(Assumptions!$I$5:$I$12,MATCH($B265,Assumptions!$D$5:$D$12,0)),($C265+$D265*SQRT(-2*LN(RAND()))*COS(2*PI()*RAND()))*$E265*$J265*$K265)))</x:f>
        <x:v>687.0875477146654</x:v>
      </x:c>
      <x:c r="H265" s="11" t="n">
        <x:f>IF($A265="","",$G265*$F265+$C265*(1-$F265))</x:f>
        <x:v>789.7306417001329</x:v>
      </x:c>
      <x:c r="I265" s="11" t="n">
        <x:f>IF($A265="","",AVERAGE($H265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826.3727334544873</x:v>
      </x:c>
      <x:c r="J265" s="12" t="n">
        <x:f>IF($A265="","",1+SUMIFS(Assumptions!$S$5:$S$10,Assumptions!$P$5:$P$10,$B265,Assumptions!$Q$5:$Q$10,"&lt;="&amp;$A265,Assumptions!$R$5:$R$10,"&gt;="&amp;$A265))</x:f>
        <x:v>1</x:v>
      </x:c>
      <x:c r="K265" s="12" t="n">
        <x:f>IF($A265="","",1+((($A265-Assumptions!$B$5)/30)*INDEX(Assumptions!$J$5:$J$12,MATCH($B265,Assumptions!$D$5:$D$12,0))))</x:f>
        <x:v>1.0017333333333334</x:v>
      </x:c>
      <x:c r="L265" t="str">
        <x:f>IF($A265="","",IFERROR(INDEX(Assumptions!$O$5:$O$10,MATCH(1,(Assumptions!$P$5:$P$10=$B265)*(Assumptions!$Q$5:$Q$10&lt;=$A265)*(Assumptions!$R$5:$R$10&gt;=$A265),0)),""))</x:f>
      </x:c>
      <x:c r="M265" t="n">
        <x:f>--($A265&lt;&gt;"")</x:f>
        <x:v>1</x:v>
      </x:c>
    </x:row>
    <x:row r="266">
      <x:c r="A266" s="10" t="n">
        <x:f>IF(Assumptions!$B$5+INT((ROW()-2)/Assumptions!$B$7)&gt;Assumptions!$B$6,"",Assumptions!$B$5+INT((ROW()-2)/Assumptions!$B$7))</x:f>
        <x:v>46075</x:v>
      </x:c>
      <x:c r="B266" t="str">
        <x:f>IF($A266="","",INDEX(Assumptions!$D$5:$D$12,MOD(ROW()-2,Assumptions!$B$7)+1))</x:f>
        <x:v>Yutani Ridge</x:v>
      </x:c>
      <x:c r="C266" s="11" t="n">
        <x:f>IF($A266="","",INDEX(Assumptions!$F$5:$F$12,MATCH($B266,Assumptions!$D$5:$D$12,0)))</x:f>
        <x:v>1050</x:v>
      </x:c>
      <x:c r="D266" s="11" t="n">
        <x:f>IF($A266="","",INDEX(Assumptions!$G$5:$G$12,MATCH($B266,Assumptions!$D$5:$D$12,0)))</x:f>
        <x:v>125</x:v>
      </x:c>
      <x:c r="E266" s="11" t="n">
        <x:f>IF($A266="","",INDEX(Assumptions!$M$5:$M$11,WEEKDAY($A266,2)))</x:f>
        <x:v>0.87</x:v>
      </x:c>
      <x:c r="F266" s="11" t="n">
        <x:f>IF($A266="","",Assumptions!$B$15)</x:f>
        <x:v>0.35</x:v>
      </x:c>
      <x:c r="G266" s="11" t="n">
        <x:f>IF($A266="","",MAX(INDEX(Assumptions!$H$5:$H$12,MATCH($B266,Assumptions!$D$5:$D$12,0)),MIN(INDEX(Assumptions!$I$5:$I$12,MATCH($B266,Assumptions!$D$5:$D$12,0)),($C266+$D266*SQRT(-2*LN(RAND()))*COS(2*PI()*RAND()))*$E266*$J266*$K266)))</x:f>
        <x:v>926.6353676425822</x:v>
      </x:c>
      <x:c r="H266" s="11" t="n">
        <x:f>IF($A266="","",$G266*$F266+$C266*(1-$F266))</x:f>
        <x:v>1006.8223786749038</x:v>
      </x:c>
      <x:c r="I266" s="11" t="n">
        <x:f>IF($A266="","",AVERAGE($H266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1031.940717193125</x:v>
      </x:c>
      <x:c r="J266" s="12" t="n">
        <x:f>IF($A266="","",1+SUMIFS(Assumptions!$S$5:$S$10,Assumptions!$P$5:$P$10,$B266,Assumptions!$Q$5:$Q$10,"&lt;="&amp;$A266,Assumptions!$R$5:$R$10,"&gt;="&amp;$A266))</x:f>
        <x:v>1</x:v>
      </x:c>
      <x:c r="K266" s="12" t="n">
        <x:f>IF($A266="","",1+((($A266-Assumptions!$B$5)/30)*INDEX(Assumptions!$J$5:$J$12,MATCH($B266,Assumptions!$D$5:$D$12,0))))</x:f>
        <x:v>1.0043333333333333</x:v>
      </x:c>
      <x:c r="L266" t="str">
        <x:f>IF($A266="","",IFERROR(INDEX(Assumptions!$O$5:$O$10,MATCH(1,(Assumptions!$P$5:$P$10=$B266)*(Assumptions!$Q$5:$Q$10&lt;=$A266)*(Assumptions!$R$5:$R$10&gt;=$A266),0)),""))</x:f>
      </x:c>
      <x:c r="M266" t="n">
        <x:f>--($A266&lt;&gt;"")</x:f>
        <x:v>1</x:v>
      </x:c>
    </x:row>
    <x:row r="267">
      <x:c r="A267" s="10" t="n">
        <x:f>IF(Assumptions!$B$5+INT((ROW()-2)/Assumptions!$B$7)&gt;Assumptions!$B$6,"",Assumptions!$B$5+INT((ROW()-2)/Assumptions!$B$7))</x:f>
        <x:v>46076</x:v>
      </x:c>
      <x:c r="B267" t="str">
        <x:f>IF($A267="","",INDEX(Assumptions!$D$5:$D$12,MOD(ROW()-2,Assumptions!$B$7)+1))</x:f>
        <x:v>Acheron Prime</x:v>
      </x:c>
      <x:c r="C267" s="11" t="n">
        <x:f>IF($A267="","",INDEX(Assumptions!$F$5:$F$12,MATCH($B267,Assumptions!$D$5:$D$12,0)))</x:f>
        <x:v>1120</x:v>
      </x:c>
      <x:c r="D267" s="11" t="n">
        <x:f>IF($A267="","",INDEX(Assumptions!$G$5:$G$12,MATCH($B267,Assumptions!$D$5:$D$12,0)))</x:f>
        <x:v>115</x:v>
      </x:c>
      <x:c r="E267" s="11" t="n">
        <x:f>IF($A267="","",INDEX(Assumptions!$M$5:$M$11,WEEKDAY($A267,2)))</x:f>
        <x:v>1.03</x:v>
      </x:c>
      <x:c r="F267" s="11" t="n">
        <x:f>IF($A267="","",Assumptions!$B$15)</x:f>
        <x:v>0.35</x:v>
      </x:c>
      <x:c r="G267" s="11" t="n">
        <x:f>IF($A267="","",MAX(INDEX(Assumptions!$H$5:$H$12,MATCH($B267,Assumptions!$D$5:$D$12,0)),MIN(INDEX(Assumptions!$I$5:$I$12,MATCH($B267,Assumptions!$D$5:$D$12,0)),($C267+$D267*SQRT(-2*LN(RAND()))*COS(2*PI()*RAND()))*$E267*$J267*$K267)))</x:f>
        <x:v>1187.5662270422083</x:v>
      </x:c>
      <x:c r="H267" s="11" t="n">
        <x:f>IF($A267="","",$G267*$F267+$C267*(1-$F267))</x:f>
        <x:v>1143.648179464773</x:v>
      </x:c>
      <x:c r="I267" s="11" t="n">
        <x:f>IF($A267="","",AVERAGE($H267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1078.7396894234182</x:v>
      </x:c>
      <x:c r="J267" s="12" t="n">
        <x:f>IF($A267="","",1+SUMIFS(Assumptions!$S$5:$S$10,Assumptions!$P$5:$P$10,$B267,Assumptions!$Q$5:$Q$10,"&lt;="&amp;$A267,Assumptions!$R$5:$R$10,"&gt;="&amp;$A267))</x:f>
        <x:v>1</x:v>
      </x:c>
      <x:c r="K267" s="12" t="n">
        <x:f>IF($A267="","",1+((($A267-Assumptions!$B$5)/30)*INDEX(Assumptions!$J$5:$J$12,MATCH($B267,Assumptions!$D$5:$D$12,0))))</x:f>
        <x:v>1.0035333333333334</x:v>
      </x:c>
      <x:c r="L267" t="str">
        <x:f>IF($A267="","",IFERROR(INDEX(Assumptions!$O$5:$O$10,MATCH(1,(Assumptions!$P$5:$P$10=$B267)*(Assumptions!$Q$5:$Q$10&lt;=$A267)*(Assumptions!$R$5:$R$10&gt;=$A267),0)),""))</x:f>
      </x:c>
      <x:c r="M267" t="n">
        <x:f>--($A267&lt;&gt;"")</x:f>
        <x:v>1</x:v>
      </x:c>
    </x:row>
    <x:row r="268">
      <x:c r="A268" s="10" t="n">
        <x:f>IF(Assumptions!$B$5+INT((ROW()-2)/Assumptions!$B$7)&gt;Assumptions!$B$6,"",Assumptions!$B$5+INT((ROW()-2)/Assumptions!$B$7))</x:f>
        <x:v>46076</x:v>
      </x:c>
      <x:c r="B268" t="str">
        <x:f>IF($A268="","",INDEX(Assumptions!$D$5:$D$12,MOD(ROW()-2,Assumptions!$B$7)+1))</x:f>
        <x:v>LV-426 North</x:v>
      </x:c>
      <x:c r="C268" s="11" t="n">
        <x:f>IF($A268="","",INDEX(Assumptions!$F$5:$F$12,MATCH($B268,Assumptions!$D$5:$D$12,0)))</x:f>
        <x:v>930</x:v>
      </x:c>
      <x:c r="D268" s="11" t="n">
        <x:f>IF($A268="","",INDEX(Assumptions!$G$5:$G$12,MATCH($B268,Assumptions!$D$5:$D$12,0)))</x:f>
        <x:v>95</x:v>
      </x:c>
      <x:c r="E268" s="11" t="n">
        <x:f>IF($A268="","",INDEX(Assumptions!$M$5:$M$11,WEEKDAY($A268,2)))</x:f>
        <x:v>1.03</x:v>
      </x:c>
      <x:c r="F268" s="11" t="n">
        <x:f>IF($A268="","",Assumptions!$B$15)</x:f>
        <x:v>0.35</x:v>
      </x:c>
      <x:c r="G268" s="11" t="n">
        <x:f>IF($A268="","",MAX(INDEX(Assumptions!$H$5:$H$12,MATCH($B268,Assumptions!$D$5:$D$12,0)),MIN(INDEX(Assumptions!$I$5:$I$12,MATCH($B268,Assumptions!$D$5:$D$12,0)),($C268+$D268*SQRT(-2*LN(RAND()))*COS(2*PI()*RAND()))*$E268*$J268*$K268)))</x:f>
        <x:v>886.4653969365739</x:v>
      </x:c>
      <x:c r="H268" s="11" t="n">
        <x:f>IF($A268="","",$G268*$F268+$C268*(1-$F268))</x:f>
        <x:v>914.7628889278009</x:v>
      </x:c>
      <x:c r="I268" s="11" t="n">
        <x:f>IF($A268="","",AVERAGE($H268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929.7976843011769</x:v>
      </x:c>
      <x:c r="J268" s="12" t="n">
        <x:f>IF($A268="","",1+SUMIFS(Assumptions!$S$5:$S$10,Assumptions!$P$5:$P$10,$B268,Assumptions!$Q$5:$Q$10,"&lt;="&amp;$A268,Assumptions!$R$5:$R$10,"&gt;="&amp;$A268))</x:f>
        <x:v>1</x:v>
      </x:c>
      <x:c r="K268" s="12" t="n">
        <x:f>IF($A268="","",1+((($A268-Assumptions!$B$5)/30)*INDEX(Assumptions!$J$5:$J$12,MATCH($B268,Assumptions!$D$5:$D$12,0))))</x:f>
        <x:v>0.9982333333333333</x:v>
      </x:c>
      <x:c r="L268" t="str">
        <x:f>IF($A268="","",IFERROR(INDEX(Assumptions!$O$5:$O$10,MATCH(1,(Assumptions!$P$5:$P$10=$B268)*(Assumptions!$Q$5:$Q$10&lt;=$A268)*(Assumptions!$R$5:$R$10&gt;=$A268),0)),""))</x:f>
      </x:c>
      <x:c r="M268" t="n">
        <x:f>--($A268&lt;&gt;"")</x:f>
        <x:v>1</x:v>
      </x:c>
    </x:row>
    <x:row r="269">
      <x:c r="A269" s="10" t="n">
        <x:f>IF(Assumptions!$B$5+INT((ROW()-2)/Assumptions!$B$7)&gt;Assumptions!$B$6,"",Assumptions!$B$5+INT((ROW()-2)/Assumptions!$B$7))</x:f>
        <x:v>46076</x:v>
      </x:c>
      <x:c r="B269" t="str">
        <x:f>IF($A269="","",INDEX(Assumptions!$D$5:$D$12,MOD(ROW()-2,Assumptions!$B$7)+1))</x:f>
        <x:v>Nostromo Deep</x:v>
      </x:c>
      <x:c r="C269" s="11" t="n">
        <x:f>IF($A269="","",INDEX(Assumptions!$F$5:$F$12,MATCH($B269,Assumptions!$D$5:$D$12,0)))</x:f>
        <x:v>1260</x:v>
      </x:c>
      <x:c r="D269" s="11" t="n">
        <x:f>IF($A269="","",INDEX(Assumptions!$G$5:$G$12,MATCH($B269,Assumptions!$D$5:$D$12,0)))</x:f>
        <x:v>145</x:v>
      </x:c>
      <x:c r="E269" s="11" t="n">
        <x:f>IF($A269="","",INDEX(Assumptions!$M$5:$M$11,WEEKDAY($A269,2)))</x:f>
        <x:v>1.03</x:v>
      </x:c>
      <x:c r="F269" s="11" t="n">
        <x:f>IF($A269="","",Assumptions!$B$15)</x:f>
        <x:v>0.35</x:v>
      </x:c>
      <x:c r="G269" s="11" t="n">
        <x:f>IF($A269="","",MAX(INDEX(Assumptions!$H$5:$H$12,MATCH($B269,Assumptions!$D$5:$D$12,0)),MIN(INDEX(Assumptions!$I$5:$I$12,MATCH($B269,Assumptions!$D$5:$D$12,0)),($C269+$D269*SQRT(-2*LN(RAND()))*COS(2*PI()*RAND()))*$E269*$J269*$K269)))</x:f>
        <x:v>1282.6511757369435</x:v>
      </x:c>
      <x:c r="H269" s="11" t="n">
        <x:f>IF($A269="","",$G269*$F269+$C269*(1-$F269))</x:f>
        <x:v>1267.9279115079303</x:v>
      </x:c>
      <x:c r="I269" s="11" t="n">
        <x:f>IF($A269="","",AVERAGE($H269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1264.9785289730469</x:v>
      </x:c>
      <x:c r="J269" s="12" t="n">
        <x:f>IF($A269="","",1+SUMIFS(Assumptions!$S$5:$S$10,Assumptions!$P$5:$P$10,$B269,Assumptions!$Q$5:$Q$10,"&lt;="&amp;$A269,Assumptions!$R$5:$R$10,"&gt;="&amp;$A269))</x:f>
        <x:v>1</x:v>
      </x:c>
      <x:c r="K269" s="12" t="n">
        <x:f>IF($A269="","",1+((($A269-Assumptions!$B$5)/30)*INDEX(Assumptions!$J$5:$J$12,MATCH($B269,Assumptions!$D$5:$D$12,0))))</x:f>
        <x:v>1.0053</x:v>
      </x:c>
      <x:c r="L269" t="str">
        <x:f>IF($A269="","",IFERROR(INDEX(Assumptions!$O$5:$O$10,MATCH(1,(Assumptions!$P$5:$P$10=$B269)*(Assumptions!$Q$5:$Q$10&lt;=$A269)*(Assumptions!$R$5:$R$10&gt;=$A269),0)),""))</x:f>
      </x:c>
      <x:c r="M269" t="n">
        <x:f>--($A269&lt;&gt;"")</x:f>
        <x:v>1</x:v>
      </x:c>
    </x:row>
    <x:row r="270">
      <x:c r="A270" s="10" t="n">
        <x:f>IF(Assumptions!$B$5+INT((ROW()-2)/Assumptions!$B$7)&gt;Assumptions!$B$6,"",Assumptions!$B$5+INT((ROW()-2)/Assumptions!$B$7))</x:f>
        <x:v>46076</x:v>
      </x:c>
      <x:c r="B270" t="str">
        <x:f>IF($A270="","",INDEX(Assumptions!$D$5:$D$12,MOD(ROW()-2,Assumptions!$B$7)+1))</x:f>
        <x:v>Hadley's Hope</x:v>
      </x:c>
      <x:c r="C270" s="11" t="n">
        <x:f>IF($A270="","",INDEX(Assumptions!$F$5:$F$12,MATCH($B270,Assumptions!$D$5:$D$12,0)))</x:f>
        <x:v>845</x:v>
      </x:c>
      <x:c r="D270" s="11" t="n">
        <x:f>IF($A270="","",INDEX(Assumptions!$G$5:$G$12,MATCH($B270,Assumptions!$D$5:$D$12,0)))</x:f>
        <x:v>80</x:v>
      </x:c>
      <x:c r="E270" s="11" t="n">
        <x:f>IF($A270="","",INDEX(Assumptions!$M$5:$M$11,WEEKDAY($A270,2)))</x:f>
        <x:v>1.03</x:v>
      </x:c>
      <x:c r="F270" s="11" t="n">
        <x:f>IF($A270="","",Assumptions!$B$15)</x:f>
        <x:v>0.35</x:v>
      </x:c>
      <x:c r="G270" s="11" t="n">
        <x:f>IF($A270="","",MAX(INDEX(Assumptions!$H$5:$H$12,MATCH($B270,Assumptions!$D$5:$D$12,0)),MIN(INDEX(Assumptions!$I$5:$I$12,MATCH($B270,Assumptions!$D$5:$D$12,0)),($C270+$D270*SQRT(-2*LN(RAND()))*COS(2*PI()*RAND()))*$E270*$J270*$K270)))</x:f>
        <x:v>821.6183351696042</x:v>
      </x:c>
      <x:c r="H270" s="11" t="n">
        <x:f>IF($A270="","",$G270*$F270+$C270*(1-$F270))</x:f>
        <x:v>836.8164173093614</x:v>
      </x:c>
      <x:c r="I270" s="11" t="n">
        <x:f>IF($A270="","",AVERAGE($H270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824.1523594987019</x:v>
      </x:c>
      <x:c r="J270" s="12" t="n">
        <x:f>IF($A270="","",1+SUMIFS(Assumptions!$S$5:$S$10,Assumptions!$P$5:$P$10,$B270,Assumptions!$Q$5:$Q$10,"&lt;="&amp;$A270,Assumptions!$R$5:$R$10,"&gt;="&amp;$A270))</x:f>
        <x:v>1</x:v>
      </x:c>
      <x:c r="K270" s="12" t="n">
        <x:f>IF($A270="","",1+((($A270-Assumptions!$B$5)/30)*INDEX(Assumptions!$J$5:$J$12,MATCH($B270,Assumptions!$D$5:$D$12,0))))</x:f>
        <x:v>1.0017666666666667</x:v>
      </x:c>
      <x:c r="L270" t="str">
        <x:f>IF($A270="","",IFERROR(INDEX(Assumptions!$O$5:$O$10,MATCH(1,(Assumptions!$P$5:$P$10=$B270)*(Assumptions!$Q$5:$Q$10&lt;=$A270)*(Assumptions!$R$5:$R$10&gt;=$A270),0)),""))</x:f>
      </x:c>
      <x:c r="M270" t="n">
        <x:f>--($A270&lt;&gt;"")</x:f>
        <x:v>1</x:v>
      </x:c>
    </x:row>
    <x:row r="271">
      <x:c r="A271" s="10" t="n">
        <x:f>IF(Assumptions!$B$5+INT((ROW()-2)/Assumptions!$B$7)&gt;Assumptions!$B$6,"",Assumptions!$B$5+INT((ROW()-2)/Assumptions!$B$7))</x:f>
        <x:v>46076</x:v>
      </x:c>
      <x:c r="B271" t="str">
        <x:f>IF($A271="","",INDEX(Assumptions!$D$5:$D$12,MOD(ROW()-2,Assumptions!$B$7)+1))</x:f>
        <x:v>Yutani Ridge</x:v>
      </x:c>
      <x:c r="C271" s="11" t="n">
        <x:f>IF($A271="","",INDEX(Assumptions!$F$5:$F$12,MATCH($B271,Assumptions!$D$5:$D$12,0)))</x:f>
        <x:v>1050</x:v>
      </x:c>
      <x:c r="D271" s="11" t="n">
        <x:f>IF($A271="","",INDEX(Assumptions!$G$5:$G$12,MATCH($B271,Assumptions!$D$5:$D$12,0)))</x:f>
        <x:v>125</x:v>
      </x:c>
      <x:c r="E271" s="11" t="n">
        <x:f>IF($A271="","",INDEX(Assumptions!$M$5:$M$11,WEEKDAY($A271,2)))</x:f>
        <x:v>1.03</x:v>
      </x:c>
      <x:c r="F271" s="11" t="n">
        <x:f>IF($A271="","",Assumptions!$B$15)</x:f>
        <x:v>0.35</x:v>
      </x:c>
      <x:c r="G271" s="11" t="n">
        <x:f>IF($A271="","",MAX(INDEX(Assumptions!$H$5:$H$12,MATCH($B271,Assumptions!$D$5:$D$12,0)),MIN(INDEX(Assumptions!$I$5:$I$12,MATCH($B271,Assumptions!$D$5:$D$12,0)),($C271+$D271*SQRT(-2*LN(RAND()))*COS(2*PI()*RAND()))*$E271*$J271*$K271)))</x:f>
        <x:v>1231.8636304357876</x:v>
      </x:c>
      <x:c r="H271" s="11" t="n">
        <x:f>IF($A271="","",$G271*$F271+$C271*(1-$F271))</x:f>
        <x:v>1113.6522706525257</x:v>
      </x:c>
      <x:c r="I271" s="11" t="n">
        <x:f>IF($A271="","",AVERAGE($H271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1046.8162734695884</x:v>
      </x:c>
      <x:c r="J271" s="12" t="n">
        <x:f>IF($A271="","",1+SUMIFS(Assumptions!$S$5:$S$10,Assumptions!$P$5:$P$10,$B271,Assumptions!$Q$5:$Q$10,"&lt;="&amp;$A271,Assumptions!$R$5:$R$10,"&gt;="&amp;$A271))</x:f>
        <x:v>1</x:v>
      </x:c>
      <x:c r="K271" s="12" t="n">
        <x:f>IF($A271="","",1+((($A271-Assumptions!$B$5)/30)*INDEX(Assumptions!$J$5:$J$12,MATCH($B271,Assumptions!$D$5:$D$12,0))))</x:f>
        <x:v>1.0044166666666667</x:v>
      </x:c>
      <x:c r="L271" t="str">
        <x:f>IF($A271="","",IFERROR(INDEX(Assumptions!$O$5:$O$10,MATCH(1,(Assumptions!$P$5:$P$10=$B271)*(Assumptions!$Q$5:$Q$10&lt;=$A271)*(Assumptions!$R$5:$R$10&gt;=$A271),0)),""))</x:f>
      </x:c>
      <x:c r="M271" t="n">
        <x:f>--($A271&lt;&gt;"")</x:f>
        <x:v>1</x:v>
      </x:c>
    </x:row>
    <x:row r="272">
      <x:c r="A272" s="10" t="n">
        <x:f>IF(Assumptions!$B$5+INT((ROW()-2)/Assumptions!$B$7)&gt;Assumptions!$B$6,"",Assumptions!$B$5+INT((ROW()-2)/Assumptions!$B$7))</x:f>
        <x:v>46077</x:v>
      </x:c>
      <x:c r="B272" t="str">
        <x:f>IF($A272="","",INDEX(Assumptions!$D$5:$D$12,MOD(ROW()-2,Assumptions!$B$7)+1))</x:f>
        <x:v>Acheron Prime</x:v>
      </x:c>
      <x:c r="C272" s="11" t="n">
        <x:f>IF($A272="","",INDEX(Assumptions!$F$5:$F$12,MATCH($B272,Assumptions!$D$5:$D$12,0)))</x:f>
        <x:v>1120</x:v>
      </x:c>
      <x:c r="D272" s="11" t="n">
        <x:f>IF($A272="","",INDEX(Assumptions!$G$5:$G$12,MATCH($B272,Assumptions!$D$5:$D$12,0)))</x:f>
        <x:v>115</x:v>
      </x:c>
      <x:c r="E272" s="11" t="n">
        <x:f>IF($A272="","",INDEX(Assumptions!$M$5:$M$11,WEEKDAY($A272,2)))</x:f>
        <x:v>1.02</x:v>
      </x:c>
      <x:c r="F272" s="11" t="n">
        <x:f>IF($A272="","",Assumptions!$B$15)</x:f>
        <x:v>0.35</x:v>
      </x:c>
      <x:c r="G272" s="11" t="n">
        <x:f>IF($A272="","",MAX(INDEX(Assumptions!$H$5:$H$12,MATCH($B272,Assumptions!$D$5:$D$12,0)),MIN(INDEX(Assumptions!$I$5:$I$12,MATCH($B272,Assumptions!$D$5:$D$12,0)),($C272+$D272*SQRT(-2*LN(RAND()))*COS(2*PI()*RAND()))*$E272*$J272*$K272)))</x:f>
        <x:v>1348.6108710946091</x:v>
      </x:c>
      <x:c r="H272" s="11" t="n">
        <x:f>IF($A272="","",$G272*$F272+$C272*(1-$F272))</x:f>
        <x:v>1200.0138048831132</x:v>
      </x:c>
      <x:c r="I272" s="11" t="n">
        <x:f>IF($A272="","",AVERAGE($H272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1108.1702329781488</x:v>
      </x:c>
      <x:c r="J272" s="12" t="n">
        <x:f>IF($A272="","",1+SUMIFS(Assumptions!$S$5:$S$10,Assumptions!$P$5:$P$10,$B272,Assumptions!$Q$5:$Q$10,"&lt;="&amp;$A272,Assumptions!$R$5:$R$10,"&gt;="&amp;$A272))</x:f>
        <x:v>1</x:v>
      </x:c>
      <x:c r="K272" s="12" t="n">
        <x:f>IF($A272="","",1+((($A272-Assumptions!$B$5)/30)*INDEX(Assumptions!$J$5:$J$12,MATCH($B272,Assumptions!$D$5:$D$12,0))))</x:f>
        <x:v>1.0036</x:v>
      </x:c>
      <x:c r="L272" t="str">
        <x:f>IF($A272="","",IFERROR(INDEX(Assumptions!$O$5:$O$10,MATCH(1,(Assumptions!$P$5:$P$10=$B272)*(Assumptions!$Q$5:$Q$10&lt;=$A272)*(Assumptions!$R$5:$R$10&gt;=$A272),0)),""))</x:f>
      </x:c>
      <x:c r="M272" t="n">
        <x:f>--($A272&lt;&gt;"")</x:f>
        <x:v>1</x:v>
      </x:c>
    </x:row>
    <x:row r="273">
      <x:c r="A273" s="10" t="n">
        <x:f>IF(Assumptions!$B$5+INT((ROW()-2)/Assumptions!$B$7)&gt;Assumptions!$B$6,"",Assumptions!$B$5+INT((ROW()-2)/Assumptions!$B$7))</x:f>
        <x:v>46077</x:v>
      </x:c>
      <x:c r="B273" t="str">
        <x:f>IF($A273="","",INDEX(Assumptions!$D$5:$D$12,MOD(ROW()-2,Assumptions!$B$7)+1))</x:f>
        <x:v>LV-426 North</x:v>
      </x:c>
      <x:c r="C273" s="11" t="n">
        <x:f>IF($A273="","",INDEX(Assumptions!$F$5:$F$12,MATCH($B273,Assumptions!$D$5:$D$12,0)))</x:f>
        <x:v>930</x:v>
      </x:c>
      <x:c r="D273" s="11" t="n">
        <x:f>IF($A273="","",INDEX(Assumptions!$G$5:$G$12,MATCH($B273,Assumptions!$D$5:$D$12,0)))</x:f>
        <x:v>95</x:v>
      </x:c>
      <x:c r="E273" s="11" t="n">
        <x:f>IF($A273="","",INDEX(Assumptions!$M$5:$M$11,WEEKDAY($A273,2)))</x:f>
        <x:v>1.02</x:v>
      </x:c>
      <x:c r="F273" s="11" t="n">
        <x:f>IF($A273="","",Assumptions!$B$15)</x:f>
        <x:v>0.35</x:v>
      </x:c>
      <x:c r="G273" s="11" t="n">
        <x:f>IF($A273="","",MAX(INDEX(Assumptions!$H$5:$H$12,MATCH($B273,Assumptions!$D$5:$D$12,0)),MIN(INDEX(Assumptions!$I$5:$I$12,MATCH($B273,Assumptions!$D$5:$D$12,0)),($C273+$D273*SQRT(-2*LN(RAND()))*COS(2*PI()*RAND()))*$E273*$J273*$K273)))</x:f>
        <x:v>1070.8015570898147</x:v>
      </x:c>
      <x:c r="H273" s="11" t="n">
        <x:f>IF($A273="","",$G273*$F273+$C273*(1-$F273))</x:f>
        <x:v>979.2805449814351</x:v>
      </x:c>
      <x:c r="I273" s="11" t="n">
        <x:f>IF($A273="","",AVERAGE($H273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930.9017687615567</x:v>
      </x:c>
      <x:c r="J273" s="12" t="n">
        <x:f>IF($A273="","",1+SUMIFS(Assumptions!$S$5:$S$10,Assumptions!$P$5:$P$10,$B273,Assumptions!$Q$5:$Q$10,"&lt;="&amp;$A273,Assumptions!$R$5:$R$10,"&gt;="&amp;$A273))</x:f>
        <x:v>1</x:v>
      </x:c>
      <x:c r="K273" s="12" t="n">
        <x:f>IF($A273="","",1+((($A273-Assumptions!$B$5)/30)*INDEX(Assumptions!$J$5:$J$12,MATCH($B273,Assumptions!$D$5:$D$12,0))))</x:f>
        <x:v>0.9982</x:v>
      </x:c>
      <x:c r="L273" t="str">
        <x:f>IF($A273="","",IFERROR(INDEX(Assumptions!$O$5:$O$10,MATCH(1,(Assumptions!$P$5:$P$10=$B273)*(Assumptions!$Q$5:$Q$10&lt;=$A273)*(Assumptions!$R$5:$R$10&gt;=$A273),0)),""))</x:f>
      </x:c>
      <x:c r="M273" t="n">
        <x:f>--($A273&lt;&gt;"")</x:f>
        <x:v>1</x:v>
      </x:c>
    </x:row>
    <x:row r="274">
      <x:c r="A274" s="10" t="n">
        <x:f>IF(Assumptions!$B$5+INT((ROW()-2)/Assumptions!$B$7)&gt;Assumptions!$B$6,"",Assumptions!$B$5+INT((ROW()-2)/Assumptions!$B$7))</x:f>
        <x:v>46077</x:v>
      </x:c>
      <x:c r="B274" t="str">
        <x:f>IF($A274="","",INDEX(Assumptions!$D$5:$D$12,MOD(ROW()-2,Assumptions!$B$7)+1))</x:f>
        <x:v>Nostromo Deep</x:v>
      </x:c>
      <x:c r="C274" s="11" t="n">
        <x:f>IF($A274="","",INDEX(Assumptions!$F$5:$F$12,MATCH($B274,Assumptions!$D$5:$D$12,0)))</x:f>
        <x:v>1260</x:v>
      </x:c>
      <x:c r="D274" s="11" t="n">
        <x:f>IF($A274="","",INDEX(Assumptions!$G$5:$G$12,MATCH($B274,Assumptions!$D$5:$D$12,0)))</x:f>
        <x:v>145</x:v>
      </x:c>
      <x:c r="E274" s="11" t="n">
        <x:f>IF($A274="","",INDEX(Assumptions!$M$5:$M$11,WEEKDAY($A274,2)))</x:f>
        <x:v>1.02</x:v>
      </x:c>
      <x:c r="F274" s="11" t="n">
        <x:f>IF($A274="","",Assumptions!$B$15)</x:f>
        <x:v>0.35</x:v>
      </x:c>
      <x:c r="G274" s="11" t="n">
        <x:f>IF($A274="","",MAX(INDEX(Assumptions!$H$5:$H$12,MATCH($B274,Assumptions!$D$5:$D$12,0)),MIN(INDEX(Assumptions!$I$5:$I$12,MATCH($B274,Assumptions!$D$5:$D$12,0)),($C274+$D274*SQRT(-2*LN(RAND()))*COS(2*PI()*RAND()))*$E274*$J274*$K274)))</x:f>
        <x:v>1051.7977591659148</x:v>
      </x:c>
      <x:c r="H274" s="11" t="n">
        <x:f>IF($A274="","",$G274*$F274+$C274*(1-$F274))</x:f>
        <x:v>1187.1292157080702</x:v>
      </x:c>
      <x:c r="I274" s="11" t="n">
        <x:f>IF($A274="","",AVERAGE($H274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1253.093006152934</x:v>
      </x:c>
      <x:c r="J274" s="12" t="n">
        <x:f>IF($A274="","",1+SUMIFS(Assumptions!$S$5:$S$10,Assumptions!$P$5:$P$10,$B274,Assumptions!$Q$5:$Q$10,"&lt;="&amp;$A274,Assumptions!$R$5:$R$10,"&gt;="&amp;$A274))</x:f>
        <x:v>1</x:v>
      </x:c>
      <x:c r="K274" s="12" t="n">
        <x:f>IF($A274="","",1+((($A274-Assumptions!$B$5)/30)*INDEX(Assumptions!$J$5:$J$12,MATCH($B274,Assumptions!$D$5:$D$12,0))))</x:f>
        <x:v>1.0054</x:v>
      </x:c>
      <x:c r="L274" t="str">
        <x:f>IF($A274="","",IFERROR(INDEX(Assumptions!$O$5:$O$10,MATCH(1,(Assumptions!$P$5:$P$10=$B274)*(Assumptions!$Q$5:$Q$10&lt;=$A274)*(Assumptions!$R$5:$R$10&gt;=$A274),0)),""))</x:f>
      </x:c>
      <x:c r="M274" t="n">
        <x:f>--($A274&lt;&gt;"")</x:f>
        <x:v>1</x:v>
      </x:c>
    </x:row>
    <x:row r="275">
      <x:c r="A275" s="10" t="n">
        <x:f>IF(Assumptions!$B$5+INT((ROW()-2)/Assumptions!$B$7)&gt;Assumptions!$B$6,"",Assumptions!$B$5+INT((ROW()-2)/Assumptions!$B$7))</x:f>
        <x:v>46077</x:v>
      </x:c>
      <x:c r="B275" t="str">
        <x:f>IF($A275="","",INDEX(Assumptions!$D$5:$D$12,MOD(ROW()-2,Assumptions!$B$7)+1))</x:f>
        <x:v>Hadley's Hope</x:v>
      </x:c>
      <x:c r="C275" s="11" t="n">
        <x:f>IF($A275="","",INDEX(Assumptions!$F$5:$F$12,MATCH($B275,Assumptions!$D$5:$D$12,0)))</x:f>
        <x:v>845</x:v>
      </x:c>
      <x:c r="D275" s="11" t="n">
        <x:f>IF($A275="","",INDEX(Assumptions!$G$5:$G$12,MATCH($B275,Assumptions!$D$5:$D$12,0)))</x:f>
        <x:v>80</x:v>
      </x:c>
      <x:c r="E275" s="11" t="n">
        <x:f>IF($A275="","",INDEX(Assumptions!$M$5:$M$11,WEEKDAY($A275,2)))</x:f>
        <x:v>1.02</x:v>
      </x:c>
      <x:c r="F275" s="11" t="n">
        <x:f>IF($A275="","",Assumptions!$B$15)</x:f>
        <x:v>0.35</x:v>
      </x:c>
      <x:c r="G275" s="11" t="n">
        <x:f>IF($A275="","",MAX(INDEX(Assumptions!$H$5:$H$12,MATCH($B275,Assumptions!$D$5:$D$12,0)),MIN(INDEX(Assumptions!$I$5:$I$12,MATCH($B275,Assumptions!$D$5:$D$12,0)),($C275+$D275*SQRT(-2*LN(RAND()))*COS(2*PI()*RAND()))*$E275*$J275*$K275)))</x:f>
        <x:v>909.4896939229449</x:v>
      </x:c>
      <x:c r="H275" s="11" t="n">
        <x:f>IF($A275="","",$G275*$F275+$C275*(1-$F275))</x:f>
        <x:v>867.5713928730306</x:v>
      </x:c>
      <x:c r="I275" s="11" t="n">
        <x:f>IF($A275="","",AVERAGE($H275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826.252753743479</x:v>
      </x:c>
      <x:c r="J275" s="12" t="n">
        <x:f>IF($A275="","",1+SUMIFS(Assumptions!$S$5:$S$10,Assumptions!$P$5:$P$10,$B275,Assumptions!$Q$5:$Q$10,"&lt;="&amp;$A275,Assumptions!$R$5:$R$10,"&gt;="&amp;$A275))</x:f>
        <x:v>1</x:v>
      </x:c>
      <x:c r="K275" s="12" t="n">
        <x:f>IF($A275="","",1+((($A275-Assumptions!$B$5)/30)*INDEX(Assumptions!$J$5:$J$12,MATCH($B275,Assumptions!$D$5:$D$12,0))))</x:f>
        <x:v>1.0018</x:v>
      </x:c>
      <x:c r="L275" t="str">
        <x:f>IF($A275="","",IFERROR(INDEX(Assumptions!$O$5:$O$10,MATCH(1,(Assumptions!$P$5:$P$10=$B275)*(Assumptions!$Q$5:$Q$10&lt;=$A275)*(Assumptions!$R$5:$R$10&gt;=$A275),0)),""))</x:f>
      </x:c>
      <x:c r="M275" t="n">
        <x:f>--($A275&lt;&gt;"")</x:f>
        <x:v>1</x:v>
      </x:c>
    </x:row>
    <x:row r="276">
      <x:c r="A276" s="10" t="n">
        <x:f>IF(Assumptions!$B$5+INT((ROW()-2)/Assumptions!$B$7)&gt;Assumptions!$B$6,"",Assumptions!$B$5+INT((ROW()-2)/Assumptions!$B$7))</x:f>
        <x:v>46077</x:v>
      </x:c>
      <x:c r="B276" t="str">
        <x:f>IF($A276="","",INDEX(Assumptions!$D$5:$D$12,MOD(ROW()-2,Assumptions!$B$7)+1))</x:f>
        <x:v>Yutani Ridge</x:v>
      </x:c>
      <x:c r="C276" s="11" t="n">
        <x:f>IF($A276="","",INDEX(Assumptions!$F$5:$F$12,MATCH($B276,Assumptions!$D$5:$D$12,0)))</x:f>
        <x:v>1050</x:v>
      </x:c>
      <x:c r="D276" s="11" t="n">
        <x:f>IF($A276="","",INDEX(Assumptions!$G$5:$G$12,MATCH($B276,Assumptions!$D$5:$D$12,0)))</x:f>
        <x:v>125</x:v>
      </x:c>
      <x:c r="E276" s="11" t="n">
        <x:f>IF($A276="","",INDEX(Assumptions!$M$5:$M$11,WEEKDAY($A276,2)))</x:f>
        <x:v>1.02</x:v>
      </x:c>
      <x:c r="F276" s="11" t="n">
        <x:f>IF($A276="","",Assumptions!$B$15)</x:f>
        <x:v>0.35</x:v>
      </x:c>
      <x:c r="G276" s="11" t="n">
        <x:f>IF($A276="","",MAX(INDEX(Assumptions!$H$5:$H$12,MATCH($B276,Assumptions!$D$5:$D$12,0)),MIN(INDEX(Assumptions!$I$5:$I$12,MATCH($B276,Assumptions!$D$5:$D$12,0)),($C276+$D276*SQRT(-2*LN(RAND()))*COS(2*PI()*RAND()))*$E276*$J276*$K276)))</x:f>
        <x:v>1171.5414551558872</x:v>
      </x:c>
      <x:c r="H276" s="11" t="n">
        <x:f>IF($A276="","",$G276*$F276+$C276*(1-$F276))</x:f>
        <x:v>1092.5395093045604</x:v>
      </x:c>
      <x:c r="I276" s="11" t="n">
        <x:f>IF($A276="","",AVERAGE($H276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1058.4771923450369</x:v>
      </x:c>
      <x:c r="J276" s="12" t="n">
        <x:f>IF($A276="","",1+SUMIFS(Assumptions!$S$5:$S$10,Assumptions!$P$5:$P$10,$B276,Assumptions!$Q$5:$Q$10,"&lt;="&amp;$A276,Assumptions!$R$5:$R$10,"&gt;="&amp;$A276))</x:f>
        <x:v>1</x:v>
      </x:c>
      <x:c r="K276" s="12" t="n">
        <x:f>IF($A276="","",1+((($A276-Assumptions!$B$5)/30)*INDEX(Assumptions!$J$5:$J$12,MATCH($B276,Assumptions!$D$5:$D$12,0))))</x:f>
        <x:v>1.0045</x:v>
      </x:c>
      <x:c r="L276" t="str">
        <x:f>IF($A276="","",IFERROR(INDEX(Assumptions!$O$5:$O$10,MATCH(1,(Assumptions!$P$5:$P$10=$B276)*(Assumptions!$Q$5:$Q$10&lt;=$A276)*(Assumptions!$R$5:$R$10&gt;=$A276),0)),""))</x:f>
      </x:c>
      <x:c r="M276" t="n">
        <x:f>--($A276&lt;&gt;"")</x:f>
        <x:v>1</x:v>
      </x:c>
    </x:row>
    <x:row r="277">
      <x:c r="A277" s="10" t="n">
        <x:f>IF(Assumptions!$B$5+INT((ROW()-2)/Assumptions!$B$7)&gt;Assumptions!$B$6,"",Assumptions!$B$5+INT((ROW()-2)/Assumptions!$B$7))</x:f>
        <x:v>46078</x:v>
      </x:c>
      <x:c r="B277" t="str">
        <x:f>IF($A277="","",INDEX(Assumptions!$D$5:$D$12,MOD(ROW()-2,Assumptions!$B$7)+1))</x:f>
        <x:v>Acheron Prime</x:v>
      </x:c>
      <x:c r="C277" s="11" t="n">
        <x:f>IF($A277="","",INDEX(Assumptions!$F$5:$F$12,MATCH($B277,Assumptions!$D$5:$D$12,0)))</x:f>
        <x:v>1120</x:v>
      </x:c>
      <x:c r="D277" s="11" t="n">
        <x:f>IF($A277="","",INDEX(Assumptions!$G$5:$G$12,MATCH($B277,Assumptions!$D$5:$D$12,0)))</x:f>
        <x:v>115</x:v>
      </x:c>
      <x:c r="E277" s="11" t="n">
        <x:f>IF($A277="","",INDEX(Assumptions!$M$5:$M$11,WEEKDAY($A277,2)))</x:f>
        <x:v>1.01</x:v>
      </x:c>
      <x:c r="F277" s="11" t="n">
        <x:f>IF($A277="","",Assumptions!$B$15)</x:f>
        <x:v>0.35</x:v>
      </x:c>
      <x:c r="G277" s="11" t="n">
        <x:f>IF($A277="","",MAX(INDEX(Assumptions!$H$5:$H$12,MATCH($B277,Assumptions!$D$5:$D$12,0)),MIN(INDEX(Assumptions!$I$5:$I$12,MATCH($B277,Assumptions!$D$5:$D$12,0)),($C277+$D277*SQRT(-2*LN(RAND()))*COS(2*PI()*RAND()))*$E277*$J277*$K277)))</x:f>
        <x:v>1127.908122836481</x:v>
      </x:c>
      <x:c r="H277" s="11" t="n">
        <x:f>IF($A277="","",$G277*$F277+$C277*(1-$F277))</x:f>
        <x:v>1122.7678429927682</x:v>
      </x:c>
      <x:c r="I277" s="11" t="n">
        <x:f>IF($A277="","",AVERAGE($H277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1126.5656391199727</x:v>
      </x:c>
      <x:c r="J277" s="12" t="n">
        <x:f>IF($A277="","",1+SUMIFS(Assumptions!$S$5:$S$10,Assumptions!$P$5:$P$10,$B277,Assumptions!$Q$5:$Q$10,"&lt;="&amp;$A277,Assumptions!$R$5:$R$10,"&gt;="&amp;$A277))</x:f>
        <x:v>1</x:v>
      </x:c>
      <x:c r="K277" s="12" t="n">
        <x:f>IF($A277="","",1+((($A277-Assumptions!$B$5)/30)*INDEX(Assumptions!$J$5:$J$12,MATCH($B277,Assumptions!$D$5:$D$12,0))))</x:f>
        <x:v>1.0036666666666667</x:v>
      </x:c>
      <x:c r="L277" t="str">
        <x:f>IF($A277="","",IFERROR(INDEX(Assumptions!$O$5:$O$10,MATCH(1,(Assumptions!$P$5:$P$10=$B277)*(Assumptions!$Q$5:$Q$10&lt;=$A277)*(Assumptions!$R$5:$R$10&gt;=$A277),0)),""))</x:f>
      </x:c>
      <x:c r="M277" t="n">
        <x:f>--($A277&lt;&gt;"")</x:f>
        <x:v>1</x:v>
      </x:c>
    </x:row>
    <x:row r="278">
      <x:c r="A278" s="10" t="n">
        <x:f>IF(Assumptions!$B$5+INT((ROW()-2)/Assumptions!$B$7)&gt;Assumptions!$B$6,"",Assumptions!$B$5+INT((ROW()-2)/Assumptions!$B$7))</x:f>
        <x:v>46078</x:v>
      </x:c>
      <x:c r="B278" t="str">
        <x:f>IF($A278="","",INDEX(Assumptions!$D$5:$D$12,MOD(ROW()-2,Assumptions!$B$7)+1))</x:f>
        <x:v>LV-426 North</x:v>
      </x:c>
      <x:c r="C278" s="11" t="n">
        <x:f>IF($A278="","",INDEX(Assumptions!$F$5:$F$12,MATCH($B278,Assumptions!$D$5:$D$12,0)))</x:f>
        <x:v>930</x:v>
      </x:c>
      <x:c r="D278" s="11" t="n">
        <x:f>IF($A278="","",INDEX(Assumptions!$G$5:$G$12,MATCH($B278,Assumptions!$D$5:$D$12,0)))</x:f>
        <x:v>95</x:v>
      </x:c>
      <x:c r="E278" s="11" t="n">
        <x:f>IF($A278="","",INDEX(Assumptions!$M$5:$M$11,WEEKDAY($A278,2)))</x:f>
        <x:v>1.01</x:v>
      </x:c>
      <x:c r="F278" s="11" t="n">
        <x:f>IF($A278="","",Assumptions!$B$15)</x:f>
        <x:v>0.35</x:v>
      </x:c>
      <x:c r="G278" s="11" t="n">
        <x:f>IF($A278="","",MAX(INDEX(Assumptions!$H$5:$H$12,MATCH($B278,Assumptions!$D$5:$D$12,0)),MIN(INDEX(Assumptions!$I$5:$I$12,MATCH($B278,Assumptions!$D$5:$D$12,0)),($C278+$D278*SQRT(-2*LN(RAND()))*COS(2*PI()*RAND()))*$E278*$J278*$K278)))</x:f>
        <x:v>936.5954711031559</x:v>
      </x:c>
      <x:c r="H278" s="11" t="n">
        <x:f>IF($A278="","",$G278*$F278+$C278*(1-$F278))</x:f>
        <x:v>932.3084148861045</x:v>
      </x:c>
      <x:c r="I278" s="11" t="n">
        <x:f>IF($A278="","",AVERAGE($H278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923.2577503477397</x:v>
      </x:c>
      <x:c r="J278" s="12" t="n">
        <x:f>IF($A278="","",1+SUMIFS(Assumptions!$S$5:$S$10,Assumptions!$P$5:$P$10,$B278,Assumptions!$Q$5:$Q$10,"&lt;="&amp;$A278,Assumptions!$R$5:$R$10,"&gt;="&amp;$A278))</x:f>
        <x:v>1</x:v>
      </x:c>
      <x:c r="K278" s="12" t="n">
        <x:f>IF($A278="","",1+((($A278-Assumptions!$B$5)/30)*INDEX(Assumptions!$J$5:$J$12,MATCH($B278,Assumptions!$D$5:$D$12,0))))</x:f>
        <x:v>0.9981666666666666</x:v>
      </x:c>
      <x:c r="L278" t="str">
        <x:f>IF($A278="","",IFERROR(INDEX(Assumptions!$O$5:$O$10,MATCH(1,(Assumptions!$P$5:$P$10=$B278)*(Assumptions!$Q$5:$Q$10&lt;=$A278)*(Assumptions!$R$5:$R$10&gt;=$A278),0)),""))</x:f>
      </x:c>
      <x:c r="M278" t="n">
        <x:f>--($A278&lt;&gt;"")</x:f>
        <x:v>1</x:v>
      </x:c>
    </x:row>
    <x:row r="279">
      <x:c r="A279" s="10" t="n">
        <x:f>IF(Assumptions!$B$5+INT((ROW()-2)/Assumptions!$B$7)&gt;Assumptions!$B$6,"",Assumptions!$B$5+INT((ROW()-2)/Assumptions!$B$7))</x:f>
        <x:v>46078</x:v>
      </x:c>
      <x:c r="B279" t="str">
        <x:f>IF($A279="","",INDEX(Assumptions!$D$5:$D$12,MOD(ROW()-2,Assumptions!$B$7)+1))</x:f>
        <x:v>Nostromo Deep</x:v>
      </x:c>
      <x:c r="C279" s="11" t="n">
        <x:f>IF($A279="","",INDEX(Assumptions!$F$5:$F$12,MATCH($B279,Assumptions!$D$5:$D$12,0)))</x:f>
        <x:v>1260</x:v>
      </x:c>
      <x:c r="D279" s="11" t="n">
        <x:f>IF($A279="","",INDEX(Assumptions!$G$5:$G$12,MATCH($B279,Assumptions!$D$5:$D$12,0)))</x:f>
        <x:v>145</x:v>
      </x:c>
      <x:c r="E279" s="11" t="n">
        <x:f>IF($A279="","",INDEX(Assumptions!$M$5:$M$11,WEEKDAY($A279,2)))</x:f>
        <x:v>1.01</x:v>
      </x:c>
      <x:c r="F279" s="11" t="n">
        <x:f>IF($A279="","",Assumptions!$B$15)</x:f>
        <x:v>0.35</x:v>
      </x:c>
      <x:c r="G279" s="11" t="n">
        <x:f>IF($A279="","",MAX(INDEX(Assumptions!$H$5:$H$12,MATCH($B279,Assumptions!$D$5:$D$12,0)),MIN(INDEX(Assumptions!$I$5:$I$12,MATCH($B279,Assumptions!$D$5:$D$12,0)),($C279+$D279*SQRT(-2*LN(RAND()))*COS(2*PI()*RAND()))*$E279*$J279*$K279)))</x:f>
        <x:v>1550.0835394811677</x:v>
      </x:c>
      <x:c r="H279" s="11" t="n">
        <x:f>IF($A279="","",$G279*$F279+$C279*(1-$F279))</x:f>
        <x:v>1361.5292388184087</x:v>
      </x:c>
      <x:c r="I279" s="11" t="n">
        <x:f>IF($A279="","",AVERAGE($H279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1264.4120314746299</x:v>
      </x:c>
      <x:c r="J279" s="12" t="n">
        <x:f>IF($A279="","",1+SUMIFS(Assumptions!$S$5:$S$10,Assumptions!$P$5:$P$10,$B279,Assumptions!$Q$5:$Q$10,"&lt;="&amp;$A279,Assumptions!$R$5:$R$10,"&gt;="&amp;$A279))</x:f>
        <x:v>1</x:v>
      </x:c>
      <x:c r="K279" s="12" t="n">
        <x:f>IF($A279="","",1+((($A279-Assumptions!$B$5)/30)*INDEX(Assumptions!$J$5:$J$12,MATCH($B279,Assumptions!$D$5:$D$12,0))))</x:f>
        <x:v>1.0055</x:v>
      </x:c>
      <x:c r="L279" t="str">
        <x:f>IF($A279="","",IFERROR(INDEX(Assumptions!$O$5:$O$10,MATCH(1,(Assumptions!$P$5:$P$10=$B279)*(Assumptions!$Q$5:$Q$10&lt;=$A279)*(Assumptions!$R$5:$R$10&gt;=$A279),0)),""))</x:f>
      </x:c>
      <x:c r="M279" t="n">
        <x:f>--($A279&lt;&gt;"")</x:f>
        <x:v>1</x:v>
      </x:c>
    </x:row>
    <x:row r="280">
      <x:c r="A280" s="10" t="n">
        <x:f>IF(Assumptions!$B$5+INT((ROW()-2)/Assumptions!$B$7)&gt;Assumptions!$B$6,"",Assumptions!$B$5+INT((ROW()-2)/Assumptions!$B$7))</x:f>
        <x:v>46078</x:v>
      </x:c>
      <x:c r="B280" t="str">
        <x:f>IF($A280="","",INDEX(Assumptions!$D$5:$D$12,MOD(ROW()-2,Assumptions!$B$7)+1))</x:f>
        <x:v>Hadley's Hope</x:v>
      </x:c>
      <x:c r="C280" s="11" t="n">
        <x:f>IF($A280="","",INDEX(Assumptions!$F$5:$F$12,MATCH($B280,Assumptions!$D$5:$D$12,0)))</x:f>
        <x:v>845</x:v>
      </x:c>
      <x:c r="D280" s="11" t="n">
        <x:f>IF($A280="","",INDEX(Assumptions!$G$5:$G$12,MATCH($B280,Assumptions!$D$5:$D$12,0)))</x:f>
        <x:v>80</x:v>
      </x:c>
      <x:c r="E280" s="11" t="n">
        <x:f>IF($A280="","",INDEX(Assumptions!$M$5:$M$11,WEEKDAY($A280,2)))</x:f>
        <x:v>1.01</x:v>
      </x:c>
      <x:c r="F280" s="11" t="n">
        <x:f>IF($A280="","",Assumptions!$B$15)</x:f>
        <x:v>0.35</x:v>
      </x:c>
      <x:c r="G280" s="11" t="n">
        <x:f>IF($A280="","",MAX(INDEX(Assumptions!$H$5:$H$12,MATCH($B280,Assumptions!$D$5:$D$12,0)),MIN(INDEX(Assumptions!$I$5:$I$12,MATCH($B280,Assumptions!$D$5:$D$12,0)),($C280+$D280*SQRT(-2*LN(RAND()))*COS(2*PI()*RAND()))*$E280*$J280*$K280)))</x:f>
        <x:v>1064.7751492508166</x:v>
      </x:c>
      <x:c r="H280" s="11" t="n">
        <x:f>IF($A280="","",$G280*$F280+$C280*(1-$F280))</x:f>
        <x:v>921.9213022377858</x:v>
      </x:c>
      <x:c r="I280" s="11" t="n">
        <x:f>IF($A280="","",AVERAGE($H280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839.5935372076535</x:v>
      </x:c>
      <x:c r="J280" s="12" t="n">
        <x:f>IF($A280="","",1+SUMIFS(Assumptions!$S$5:$S$10,Assumptions!$P$5:$P$10,$B280,Assumptions!$Q$5:$Q$10,"&lt;="&amp;$A280,Assumptions!$R$5:$R$10,"&gt;="&amp;$A280))</x:f>
        <x:v>1</x:v>
      </x:c>
      <x:c r="K280" s="12" t="n">
        <x:f>IF($A280="","",1+((($A280-Assumptions!$B$5)/30)*INDEX(Assumptions!$J$5:$J$12,MATCH($B280,Assumptions!$D$5:$D$12,0))))</x:f>
        <x:v>1.0018333333333334</x:v>
      </x:c>
      <x:c r="L280" t="str">
        <x:f>IF($A280="","",IFERROR(INDEX(Assumptions!$O$5:$O$10,MATCH(1,(Assumptions!$P$5:$P$10=$B280)*(Assumptions!$Q$5:$Q$10&lt;=$A280)*(Assumptions!$R$5:$R$10&gt;=$A280),0)),""))</x:f>
      </x:c>
      <x:c r="M280" t="n">
        <x:f>--($A280&lt;&gt;"")</x:f>
        <x:v>1</x:v>
      </x:c>
    </x:row>
    <x:row r="281">
      <x:c r="A281" s="10" t="n">
        <x:f>IF(Assumptions!$B$5+INT((ROW()-2)/Assumptions!$B$7)&gt;Assumptions!$B$6,"",Assumptions!$B$5+INT((ROW()-2)/Assumptions!$B$7))</x:f>
        <x:v>46078</x:v>
      </x:c>
      <x:c r="B281" t="str">
        <x:f>IF($A281="","",INDEX(Assumptions!$D$5:$D$12,MOD(ROW()-2,Assumptions!$B$7)+1))</x:f>
        <x:v>Yutani Ridge</x:v>
      </x:c>
      <x:c r="C281" s="11" t="n">
        <x:f>IF($A281="","",INDEX(Assumptions!$F$5:$F$12,MATCH($B281,Assumptions!$D$5:$D$12,0)))</x:f>
        <x:v>1050</x:v>
      </x:c>
      <x:c r="D281" s="11" t="n">
        <x:f>IF($A281="","",INDEX(Assumptions!$G$5:$G$12,MATCH($B281,Assumptions!$D$5:$D$12,0)))</x:f>
        <x:v>125</x:v>
      </x:c>
      <x:c r="E281" s="11" t="n">
        <x:f>IF($A281="","",INDEX(Assumptions!$M$5:$M$11,WEEKDAY($A281,2)))</x:f>
        <x:v>1.01</x:v>
      </x:c>
      <x:c r="F281" s="11" t="n">
        <x:f>IF($A281="","",Assumptions!$B$15)</x:f>
        <x:v>0.35</x:v>
      </x:c>
      <x:c r="G281" s="11" t="n">
        <x:f>IF($A281="","",MAX(INDEX(Assumptions!$H$5:$H$12,MATCH($B281,Assumptions!$D$5:$D$12,0)),MIN(INDEX(Assumptions!$I$5:$I$12,MATCH($B281,Assumptions!$D$5:$D$12,0)),($C281+$D281*SQRT(-2*LN(RAND()))*COS(2*PI()*RAND()))*$E281*$J281*$K281)))</x:f>
        <x:v>1073.1631144652638</x:v>
      </x:c>
      <x:c r="H281" s="11" t="n">
        <x:f>IF($A281="","",$G281*$F281+$C281*(1-$F281))</x:f>
        <x:v>1058.1070900628424</x:v>
      </x:c>
      <x:c r="I281" s="11" t="n">
        <x:f>IF($A281="","",AVERAGE($H281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1051.2489574917765</x:v>
      </x:c>
      <x:c r="J281" s="12" t="n">
        <x:f>IF($A281="","",1+SUMIFS(Assumptions!$S$5:$S$10,Assumptions!$P$5:$P$10,$B281,Assumptions!$Q$5:$Q$10,"&lt;="&amp;$A281,Assumptions!$R$5:$R$10,"&gt;="&amp;$A281))</x:f>
        <x:v>1</x:v>
      </x:c>
      <x:c r="K281" s="12" t="n">
        <x:f>IF($A281="","",1+((($A281-Assumptions!$B$5)/30)*INDEX(Assumptions!$J$5:$J$12,MATCH($B281,Assumptions!$D$5:$D$12,0))))</x:f>
        <x:v>1.0045833333333334</x:v>
      </x:c>
      <x:c r="L281" t="str">
        <x:f>IF($A281="","",IFERROR(INDEX(Assumptions!$O$5:$O$10,MATCH(1,(Assumptions!$P$5:$P$10=$B281)*(Assumptions!$Q$5:$Q$10&lt;=$A281)*(Assumptions!$R$5:$R$10&gt;=$A281),0)),""))</x:f>
      </x:c>
      <x:c r="M281" t="n">
        <x:f>--($A281&lt;&gt;"")</x:f>
        <x:v>1</x:v>
      </x:c>
    </x:row>
    <x:row r="282">
      <x:c r="A282" s="10" t="n">
        <x:f>IF(Assumptions!$B$5+INT((ROW()-2)/Assumptions!$B$7)&gt;Assumptions!$B$6,"",Assumptions!$B$5+INT((ROW()-2)/Assumptions!$B$7))</x:f>
        <x:v>46079</x:v>
      </x:c>
      <x:c r="B282" t="str">
        <x:f>IF($A282="","",INDEX(Assumptions!$D$5:$D$12,MOD(ROW()-2,Assumptions!$B$7)+1))</x:f>
        <x:v>Acheron Prime</x:v>
      </x:c>
      <x:c r="C282" s="11" t="n">
        <x:f>IF($A282="","",INDEX(Assumptions!$F$5:$F$12,MATCH($B282,Assumptions!$D$5:$D$12,0)))</x:f>
        <x:v>1120</x:v>
      </x:c>
      <x:c r="D282" s="11" t="n">
        <x:f>IF($A282="","",INDEX(Assumptions!$G$5:$G$12,MATCH($B282,Assumptions!$D$5:$D$12,0)))</x:f>
        <x:v>115</x:v>
      </x:c>
      <x:c r="E282" s="11" t="n">
        <x:f>IF($A282="","",INDEX(Assumptions!$M$5:$M$11,WEEKDAY($A282,2)))</x:f>
        <x:v>1</x:v>
      </x:c>
      <x:c r="F282" s="11" t="n">
        <x:f>IF($A282="","",Assumptions!$B$15)</x:f>
        <x:v>0.35</x:v>
      </x:c>
      <x:c r="G282" s="11" t="n">
        <x:f>IF($A282="","",MAX(INDEX(Assumptions!$H$5:$H$12,MATCH($B282,Assumptions!$D$5:$D$12,0)),MIN(INDEX(Assumptions!$I$5:$I$12,MATCH($B282,Assumptions!$D$5:$D$12,0)),($C282+$D282*SQRT(-2*LN(RAND()))*COS(2*PI()*RAND()))*$E282*$J282*$K282)))</x:f>
        <x:v>994.7674779969133</x:v>
      </x:c>
      <x:c r="H282" s="11" t="n">
        <x:f>IF($A282="","",$G282*$F282+$C282*(1-$F282))</x:f>
        <x:v>1076.1686172989196</x:v>
      </x:c>
      <x:c r="I282" s="11" t="n">
        <x:f>IF($A282="","",AVERAGE($H282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1116.2399746130588</x:v>
      </x:c>
      <x:c r="J282" s="12" t="n">
        <x:f>IF($A282="","",1+SUMIFS(Assumptions!$S$5:$S$10,Assumptions!$P$5:$P$10,$B282,Assumptions!$Q$5:$Q$10,"&lt;="&amp;$A282,Assumptions!$R$5:$R$10,"&gt;="&amp;$A282))</x:f>
        <x:v>1</x:v>
      </x:c>
      <x:c r="K282" s="12" t="n">
        <x:f>IF($A282="","",1+((($A282-Assumptions!$B$5)/30)*INDEX(Assumptions!$J$5:$J$12,MATCH($B282,Assumptions!$D$5:$D$12,0))))</x:f>
        <x:v>1.0037333333333334</x:v>
      </x:c>
      <x:c r="L282" t="str">
        <x:f>IF($A282="","",IFERROR(INDEX(Assumptions!$O$5:$O$10,MATCH(1,(Assumptions!$P$5:$P$10=$B282)*(Assumptions!$Q$5:$Q$10&lt;=$A282)*(Assumptions!$R$5:$R$10&gt;=$A282),0)),""))</x:f>
      </x:c>
      <x:c r="M282" t="n">
        <x:f>--($A282&lt;&gt;"")</x:f>
        <x:v>1</x:v>
      </x:c>
    </x:row>
    <x:row r="283">
      <x:c r="A283" s="10" t="n">
        <x:f>IF(Assumptions!$B$5+INT((ROW()-2)/Assumptions!$B$7)&gt;Assumptions!$B$6,"",Assumptions!$B$5+INT((ROW()-2)/Assumptions!$B$7))</x:f>
        <x:v>46079</x:v>
      </x:c>
      <x:c r="B283" t="str">
        <x:f>IF($A283="","",INDEX(Assumptions!$D$5:$D$12,MOD(ROW()-2,Assumptions!$B$7)+1))</x:f>
        <x:v>LV-426 North</x:v>
      </x:c>
      <x:c r="C283" s="11" t="n">
        <x:f>IF($A283="","",INDEX(Assumptions!$F$5:$F$12,MATCH($B283,Assumptions!$D$5:$D$12,0)))</x:f>
        <x:v>930</x:v>
      </x:c>
      <x:c r="D283" s="11" t="n">
        <x:f>IF($A283="","",INDEX(Assumptions!$G$5:$G$12,MATCH($B283,Assumptions!$D$5:$D$12,0)))</x:f>
        <x:v>95</x:v>
      </x:c>
      <x:c r="E283" s="11" t="n">
        <x:f>IF($A283="","",INDEX(Assumptions!$M$5:$M$11,WEEKDAY($A283,2)))</x:f>
        <x:v>1</x:v>
      </x:c>
      <x:c r="F283" s="11" t="n">
        <x:f>IF($A283="","",Assumptions!$B$15)</x:f>
        <x:v>0.35</x:v>
      </x:c>
      <x:c r="G283" s="11" t="n">
        <x:f>IF($A283="","",MAX(INDEX(Assumptions!$H$5:$H$12,MATCH($B283,Assumptions!$D$5:$D$12,0)),MIN(INDEX(Assumptions!$I$5:$I$12,MATCH($B283,Assumptions!$D$5:$D$12,0)),($C283+$D283*SQRT(-2*LN(RAND()))*COS(2*PI()*RAND()))*$E283*$J283*$K283)))</x:f>
        <x:v>1118.591709666393</x:v>
      </x:c>
      <x:c r="H283" s="11" t="n">
        <x:f>IF($A283="","",$G283*$F283+$C283*(1-$F283))</x:f>
        <x:v>996.0070983832375</x:v>
      </x:c>
      <x:c r="I283" s="11" t="n">
        <x:f>IF($A283="","",AVERAGE($H283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932.7480969866507</x:v>
      </x:c>
      <x:c r="J283" s="12" t="n">
        <x:f>IF($A283="","",1+SUMIFS(Assumptions!$S$5:$S$10,Assumptions!$P$5:$P$10,$B283,Assumptions!$Q$5:$Q$10,"&lt;="&amp;$A283,Assumptions!$R$5:$R$10,"&gt;="&amp;$A283))</x:f>
        <x:v>1</x:v>
      </x:c>
      <x:c r="K283" s="12" t="n">
        <x:f>IF($A283="","",1+((($A283-Assumptions!$B$5)/30)*INDEX(Assumptions!$J$5:$J$12,MATCH($B283,Assumptions!$D$5:$D$12,0))))</x:f>
        <x:v>0.9981333333333333</x:v>
      </x:c>
      <x:c r="L283" t="str">
        <x:f>IF($A283="","",IFERROR(INDEX(Assumptions!$O$5:$O$10,MATCH(1,(Assumptions!$P$5:$P$10=$B283)*(Assumptions!$Q$5:$Q$10&lt;=$A283)*(Assumptions!$R$5:$R$10&gt;=$A283),0)),""))</x:f>
      </x:c>
      <x:c r="M283" t="n">
        <x:f>--($A283&lt;&gt;"")</x:f>
        <x:v>1</x:v>
      </x:c>
    </x:row>
    <x:row r="284">
      <x:c r="A284" s="10" t="n">
        <x:f>IF(Assumptions!$B$5+INT((ROW()-2)/Assumptions!$B$7)&gt;Assumptions!$B$6,"",Assumptions!$B$5+INT((ROW()-2)/Assumptions!$B$7))</x:f>
        <x:v>46079</x:v>
      </x:c>
      <x:c r="B284" t="str">
        <x:f>IF($A284="","",INDEX(Assumptions!$D$5:$D$12,MOD(ROW()-2,Assumptions!$B$7)+1))</x:f>
        <x:v>Nostromo Deep</x:v>
      </x:c>
      <x:c r="C284" s="11" t="n">
        <x:f>IF($A284="","",INDEX(Assumptions!$F$5:$F$12,MATCH($B284,Assumptions!$D$5:$D$12,0)))</x:f>
        <x:v>1260</x:v>
      </x:c>
      <x:c r="D284" s="11" t="n">
        <x:f>IF($A284="","",INDEX(Assumptions!$G$5:$G$12,MATCH($B284,Assumptions!$D$5:$D$12,0)))</x:f>
        <x:v>145</x:v>
      </x:c>
      <x:c r="E284" s="11" t="n">
        <x:f>IF($A284="","",INDEX(Assumptions!$M$5:$M$11,WEEKDAY($A284,2)))</x:f>
        <x:v>1</x:v>
      </x:c>
      <x:c r="F284" s="11" t="n">
        <x:f>IF($A284="","",Assumptions!$B$15)</x:f>
        <x:v>0.35</x:v>
      </x:c>
      <x:c r="G284" s="11" t="n">
        <x:f>IF($A284="","",MAX(INDEX(Assumptions!$H$5:$H$12,MATCH($B284,Assumptions!$D$5:$D$12,0)),MIN(INDEX(Assumptions!$I$5:$I$12,MATCH($B284,Assumptions!$D$5:$D$12,0)),($C284+$D284*SQRT(-2*LN(RAND()))*COS(2*PI()*RAND()))*$E284*$J284*$K284)))</x:f>
        <x:v>976.2869285530215</x:v>
      </x:c>
      <x:c r="H284" s="11" t="n">
        <x:f>IF($A284="","",$G284*$F284+$C284*(1-$F284))</x:f>
        <x:v>1160.7004249935576</x:v>
      </x:c>
      <x:c r="I284" s="11" t="n">
        <x:f>IF($A284="","",AVERAGE($H284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1243.9015902492995</x:v>
      </x:c>
      <x:c r="J284" s="12" t="n">
        <x:f>IF($A284="","",1+SUMIFS(Assumptions!$S$5:$S$10,Assumptions!$P$5:$P$10,$B284,Assumptions!$Q$5:$Q$10,"&lt;="&amp;$A284,Assumptions!$R$5:$R$10,"&gt;="&amp;$A284))</x:f>
        <x:v>1</x:v>
      </x:c>
      <x:c r="K284" s="12" t="n">
        <x:f>IF($A284="","",1+((($A284-Assumptions!$B$5)/30)*INDEX(Assumptions!$J$5:$J$12,MATCH($B284,Assumptions!$D$5:$D$12,0))))</x:f>
        <x:v>1.0056</x:v>
      </x:c>
      <x:c r="L284" t="str">
        <x:f>IF($A284="","",IFERROR(INDEX(Assumptions!$O$5:$O$10,MATCH(1,(Assumptions!$P$5:$P$10=$B284)*(Assumptions!$Q$5:$Q$10&lt;=$A284)*(Assumptions!$R$5:$R$10&gt;=$A284),0)),""))</x:f>
      </x:c>
      <x:c r="M284" t="n">
        <x:f>--($A284&lt;&gt;"")</x:f>
        <x:v>1</x:v>
      </x:c>
    </x:row>
    <x:row r="285">
      <x:c r="A285" s="10" t="n">
        <x:f>IF(Assumptions!$B$5+INT((ROW()-2)/Assumptions!$B$7)&gt;Assumptions!$B$6,"",Assumptions!$B$5+INT((ROW()-2)/Assumptions!$B$7))</x:f>
        <x:v>46079</x:v>
      </x:c>
      <x:c r="B285" t="str">
        <x:f>IF($A285="","",INDEX(Assumptions!$D$5:$D$12,MOD(ROW()-2,Assumptions!$B$7)+1))</x:f>
        <x:v>Hadley's Hope</x:v>
      </x:c>
      <x:c r="C285" s="11" t="n">
        <x:f>IF($A285="","",INDEX(Assumptions!$F$5:$F$12,MATCH($B285,Assumptions!$D$5:$D$12,0)))</x:f>
        <x:v>845</x:v>
      </x:c>
      <x:c r="D285" s="11" t="n">
        <x:f>IF($A285="","",INDEX(Assumptions!$G$5:$G$12,MATCH($B285,Assumptions!$D$5:$D$12,0)))</x:f>
        <x:v>80</x:v>
      </x:c>
      <x:c r="E285" s="11" t="n">
        <x:f>IF($A285="","",INDEX(Assumptions!$M$5:$M$11,WEEKDAY($A285,2)))</x:f>
        <x:v>1</x:v>
      </x:c>
      <x:c r="F285" s="11" t="n">
        <x:f>IF($A285="","",Assumptions!$B$15)</x:f>
        <x:v>0.35</x:v>
      </x:c>
      <x:c r="G285" s="11" t="n">
        <x:f>IF($A285="","",MAX(INDEX(Assumptions!$H$5:$H$12,MATCH($B285,Assumptions!$D$5:$D$12,0)),MIN(INDEX(Assumptions!$I$5:$I$12,MATCH($B285,Assumptions!$D$5:$D$12,0)),($C285+$D285*SQRT(-2*LN(RAND()))*COS(2*PI()*RAND()))*$E285*$J285*$K285)))</x:f>
        <x:v>826.4952493708454</x:v>
      </x:c>
      <x:c r="H285" s="11" t="n">
        <x:f>IF($A285="","",$G285*$F285+$C285*(1-$F285))</x:f>
        <x:v>838.5233372797959</x:v>
      </x:c>
      <x:c r="I285" s="11" t="n">
        <x:f>IF($A285="","",AVERAGE($H285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840.4631314860471</x:v>
      </x:c>
      <x:c r="J285" s="12" t="n">
        <x:f>IF($A285="","",1+SUMIFS(Assumptions!$S$5:$S$10,Assumptions!$P$5:$P$10,$B285,Assumptions!$Q$5:$Q$10,"&lt;="&amp;$A285,Assumptions!$R$5:$R$10,"&gt;="&amp;$A285))</x:f>
        <x:v>1</x:v>
      </x:c>
      <x:c r="K285" s="12" t="n">
        <x:f>IF($A285="","",1+((($A285-Assumptions!$B$5)/30)*INDEX(Assumptions!$J$5:$J$12,MATCH($B285,Assumptions!$D$5:$D$12,0))))</x:f>
        <x:v>1.0018666666666667</x:v>
      </x:c>
      <x:c r="L285" t="str">
        <x:f>IF($A285="","",IFERROR(INDEX(Assumptions!$O$5:$O$10,MATCH(1,(Assumptions!$P$5:$P$10=$B285)*(Assumptions!$Q$5:$Q$10&lt;=$A285)*(Assumptions!$R$5:$R$10&gt;=$A285),0)),""))</x:f>
      </x:c>
      <x:c r="M285" t="n">
        <x:f>--($A285&lt;&gt;"")</x:f>
        <x:v>1</x:v>
      </x:c>
    </x:row>
    <x:row r="286">
      <x:c r="A286" s="10" t="n">
        <x:f>IF(Assumptions!$B$5+INT((ROW()-2)/Assumptions!$B$7)&gt;Assumptions!$B$6,"",Assumptions!$B$5+INT((ROW()-2)/Assumptions!$B$7))</x:f>
        <x:v>46079</x:v>
      </x:c>
      <x:c r="B286" t="str">
        <x:f>IF($A286="","",INDEX(Assumptions!$D$5:$D$12,MOD(ROW()-2,Assumptions!$B$7)+1))</x:f>
        <x:v>Yutani Ridge</x:v>
      </x:c>
      <x:c r="C286" s="11" t="n">
        <x:f>IF($A286="","",INDEX(Assumptions!$F$5:$F$12,MATCH($B286,Assumptions!$D$5:$D$12,0)))</x:f>
        <x:v>1050</x:v>
      </x:c>
      <x:c r="D286" s="11" t="n">
        <x:f>IF($A286="","",INDEX(Assumptions!$G$5:$G$12,MATCH($B286,Assumptions!$D$5:$D$12,0)))</x:f>
        <x:v>125</x:v>
      </x:c>
      <x:c r="E286" s="11" t="n">
        <x:f>IF($A286="","",INDEX(Assumptions!$M$5:$M$11,WEEKDAY($A286,2)))</x:f>
        <x:v>1</x:v>
      </x:c>
      <x:c r="F286" s="11" t="n">
        <x:f>IF($A286="","",Assumptions!$B$15)</x:f>
        <x:v>0.35</x:v>
      </x:c>
      <x:c r="G286" s="11" t="n">
        <x:f>IF($A286="","",MAX(INDEX(Assumptions!$H$5:$H$12,MATCH($B286,Assumptions!$D$5:$D$12,0)),MIN(INDEX(Assumptions!$I$5:$I$12,MATCH($B286,Assumptions!$D$5:$D$12,0)),($C286+$D286*SQRT(-2*LN(RAND()))*COS(2*PI()*RAND()))*$E286*$J286*$K286)))</x:f>
        <x:v>1149.1832975546272</x:v>
      </x:c>
      <x:c r="H286" s="11" t="n">
        <x:f>IF($A286="","",$G286*$F286+$C286*(1-$F286))</x:f>
        <x:v>1084.7141541441194</x:v>
      </x:c>
      <x:c r="I286" s="11" t="n">
        <x:f>IF($A286="","",AVERAGE($H286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1060.2928448167447</x:v>
      </x:c>
      <x:c r="J286" s="12" t="n">
        <x:f>IF($A286="","",1+SUMIFS(Assumptions!$S$5:$S$10,Assumptions!$P$5:$P$10,$B286,Assumptions!$Q$5:$Q$10,"&lt;="&amp;$A286,Assumptions!$R$5:$R$10,"&gt;="&amp;$A286))</x:f>
        <x:v>1</x:v>
      </x:c>
      <x:c r="K286" s="12" t="n">
        <x:f>IF($A286="","",1+((($A286-Assumptions!$B$5)/30)*INDEX(Assumptions!$J$5:$J$12,MATCH($B286,Assumptions!$D$5:$D$12,0))))</x:f>
        <x:v>1.0046666666666666</x:v>
      </x:c>
      <x:c r="L286" t="str">
        <x:f>IF($A286="","",IFERROR(INDEX(Assumptions!$O$5:$O$10,MATCH(1,(Assumptions!$P$5:$P$10=$B286)*(Assumptions!$Q$5:$Q$10&lt;=$A286)*(Assumptions!$R$5:$R$10&gt;=$A286),0)),""))</x:f>
      </x:c>
      <x:c r="M286" t="n">
        <x:f>--($A286&lt;&gt;"")</x:f>
        <x:v>1</x:v>
      </x:c>
    </x:row>
    <x:row r="287">
      <x:c r="A287" s="10" t="n">
        <x:f>IF(Assumptions!$B$5+INT((ROW()-2)/Assumptions!$B$7)&gt;Assumptions!$B$6,"",Assumptions!$B$5+INT((ROW()-2)/Assumptions!$B$7))</x:f>
        <x:v>46080</x:v>
      </x:c>
      <x:c r="B287" t="str">
        <x:f>IF($A287="","",INDEX(Assumptions!$D$5:$D$12,MOD(ROW()-2,Assumptions!$B$7)+1))</x:f>
        <x:v>Acheron Prime</x:v>
      </x:c>
      <x:c r="C287" s="11" t="n">
        <x:f>IF($A287="","",INDEX(Assumptions!$F$5:$F$12,MATCH($B287,Assumptions!$D$5:$D$12,0)))</x:f>
        <x:v>1120</x:v>
      </x:c>
      <x:c r="D287" s="11" t="n">
        <x:f>IF($A287="","",INDEX(Assumptions!$G$5:$G$12,MATCH($B287,Assumptions!$D$5:$D$12,0)))</x:f>
        <x:v>115</x:v>
      </x:c>
      <x:c r="E287" s="11" t="n">
        <x:f>IF($A287="","",INDEX(Assumptions!$M$5:$M$11,WEEKDAY($A287,2)))</x:f>
        <x:v>0.98</x:v>
      </x:c>
      <x:c r="F287" s="11" t="n">
        <x:f>IF($A287="","",Assumptions!$B$15)</x:f>
        <x:v>0.35</x:v>
      </x:c>
      <x:c r="G287" s="11" t="n">
        <x:f>IF($A287="","",MAX(INDEX(Assumptions!$H$5:$H$12,MATCH($B287,Assumptions!$D$5:$D$12,0)),MIN(INDEX(Assumptions!$I$5:$I$12,MATCH($B287,Assumptions!$D$5:$D$12,0)),($C287+$D287*SQRT(-2*LN(RAND()))*COS(2*PI()*RAND()))*$E287*$J287*$K287)))</x:f>
        <x:v>1040.723902425651</x:v>
      </x:c>
      <x:c r="H287" s="11" t="n">
        <x:f>IF($A287="","",$G287*$F287+$C287*(1-$F287))</x:f>
        <x:v>1092.2533658489779</x:v>
      </x:c>
      <x:c r="I287" s="11" t="n">
        <x:f>IF($A287="","",AVERAGE($H287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1119.3579949585044</x:v>
      </x:c>
      <x:c r="J287" s="12" t="n">
        <x:f>IF($A287="","",1+SUMIFS(Assumptions!$S$5:$S$10,Assumptions!$P$5:$P$10,$B287,Assumptions!$Q$5:$Q$10,"&lt;="&amp;$A287,Assumptions!$R$5:$R$10,"&gt;="&amp;$A287))</x:f>
        <x:v>1</x:v>
      </x:c>
      <x:c r="K287" s="12" t="n">
        <x:f>IF($A287="","",1+((($A287-Assumptions!$B$5)/30)*INDEX(Assumptions!$J$5:$J$12,MATCH($B287,Assumptions!$D$5:$D$12,0))))</x:f>
        <x:v>1.0038</x:v>
      </x:c>
      <x:c r="L287" t="str">
        <x:f>IF($A287="","",IFERROR(INDEX(Assumptions!$O$5:$O$10,MATCH(1,(Assumptions!$P$5:$P$10=$B287)*(Assumptions!$Q$5:$Q$10&lt;=$A287)*(Assumptions!$R$5:$R$10&gt;=$A287),0)),""))</x:f>
      </x:c>
      <x:c r="M287" t="n">
        <x:f>--($A287&lt;&gt;"")</x:f>
        <x:v>1</x:v>
      </x:c>
    </x:row>
    <x:row r="288">
      <x:c r="A288" s="10" t="n">
        <x:f>IF(Assumptions!$B$5+INT((ROW()-2)/Assumptions!$B$7)&gt;Assumptions!$B$6,"",Assumptions!$B$5+INT((ROW()-2)/Assumptions!$B$7))</x:f>
        <x:v>46080</x:v>
      </x:c>
      <x:c r="B288" t="str">
        <x:f>IF($A288="","",INDEX(Assumptions!$D$5:$D$12,MOD(ROW()-2,Assumptions!$B$7)+1))</x:f>
        <x:v>LV-426 North</x:v>
      </x:c>
      <x:c r="C288" s="11" t="n">
        <x:f>IF($A288="","",INDEX(Assumptions!$F$5:$F$12,MATCH($B288,Assumptions!$D$5:$D$12,0)))</x:f>
        <x:v>930</x:v>
      </x:c>
      <x:c r="D288" s="11" t="n">
        <x:f>IF($A288="","",INDEX(Assumptions!$G$5:$G$12,MATCH($B288,Assumptions!$D$5:$D$12,0)))</x:f>
        <x:v>95</x:v>
      </x:c>
      <x:c r="E288" s="11" t="n">
        <x:f>IF($A288="","",INDEX(Assumptions!$M$5:$M$11,WEEKDAY($A288,2)))</x:f>
        <x:v>0.98</x:v>
      </x:c>
      <x:c r="F288" s="11" t="n">
        <x:f>IF($A288="","",Assumptions!$B$15)</x:f>
        <x:v>0.35</x:v>
      </x:c>
      <x:c r="G288" s="11" t="n">
        <x:f>IF($A288="","",MAX(INDEX(Assumptions!$H$5:$H$12,MATCH($B288,Assumptions!$D$5:$D$12,0)),MIN(INDEX(Assumptions!$I$5:$I$12,MATCH($B288,Assumptions!$D$5:$D$12,0)),($C288+$D288*SQRT(-2*LN(RAND()))*COS(2*PI()*RAND()))*$E288*$J288*$K288)))</x:f>
        <x:v>869.7247744061417</x:v>
      </x:c>
      <x:c r="H288" s="11" t="n">
        <x:f>IF($A288="","",$G288*$F288+$C288*(1-$F288))</x:f>
        <x:v>908.9036710421497</x:v>
      </x:c>
      <x:c r="I288" s="11" t="n">
        <x:f>IF($A288="","",AVERAGE($H288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928.6288496605882</x:v>
      </x:c>
      <x:c r="J288" s="12" t="n">
        <x:f>IF($A288="","",1+SUMIFS(Assumptions!$S$5:$S$10,Assumptions!$P$5:$P$10,$B288,Assumptions!$Q$5:$Q$10,"&lt;="&amp;$A288,Assumptions!$R$5:$R$10,"&gt;="&amp;$A288))</x:f>
        <x:v>1</x:v>
      </x:c>
      <x:c r="K288" s="12" t="n">
        <x:f>IF($A288="","",1+((($A288-Assumptions!$B$5)/30)*INDEX(Assumptions!$J$5:$J$12,MATCH($B288,Assumptions!$D$5:$D$12,0))))</x:f>
        <x:v>0.9981</x:v>
      </x:c>
      <x:c r="L288" t="str">
        <x:f>IF($A288="","",IFERROR(INDEX(Assumptions!$O$5:$O$10,MATCH(1,(Assumptions!$P$5:$P$10=$B288)*(Assumptions!$Q$5:$Q$10&lt;=$A288)*(Assumptions!$R$5:$R$10&gt;=$A288),0)),""))</x:f>
      </x:c>
      <x:c r="M288" t="n">
        <x:f>--($A288&lt;&gt;"")</x:f>
        <x:v>1</x:v>
      </x:c>
    </x:row>
    <x:row r="289">
      <x:c r="A289" s="10" t="n">
        <x:f>IF(Assumptions!$B$5+INT((ROW()-2)/Assumptions!$B$7)&gt;Assumptions!$B$6,"",Assumptions!$B$5+INT((ROW()-2)/Assumptions!$B$7))</x:f>
        <x:v>46080</x:v>
      </x:c>
      <x:c r="B289" t="str">
        <x:f>IF($A289="","",INDEX(Assumptions!$D$5:$D$12,MOD(ROW()-2,Assumptions!$B$7)+1))</x:f>
        <x:v>Nostromo Deep</x:v>
      </x:c>
      <x:c r="C289" s="11" t="n">
        <x:f>IF($A289="","",INDEX(Assumptions!$F$5:$F$12,MATCH($B289,Assumptions!$D$5:$D$12,0)))</x:f>
        <x:v>1260</x:v>
      </x:c>
      <x:c r="D289" s="11" t="n">
        <x:f>IF($A289="","",INDEX(Assumptions!$G$5:$G$12,MATCH($B289,Assumptions!$D$5:$D$12,0)))</x:f>
        <x:v>145</x:v>
      </x:c>
      <x:c r="E289" s="11" t="n">
        <x:f>IF($A289="","",INDEX(Assumptions!$M$5:$M$11,WEEKDAY($A289,2)))</x:f>
        <x:v>0.98</x:v>
      </x:c>
      <x:c r="F289" s="11" t="n">
        <x:f>IF($A289="","",Assumptions!$B$15)</x:f>
        <x:v>0.35</x:v>
      </x:c>
      <x:c r="G289" s="11" t="n">
        <x:f>IF($A289="","",MAX(INDEX(Assumptions!$H$5:$H$12,MATCH($B289,Assumptions!$D$5:$D$12,0)),MIN(INDEX(Assumptions!$I$5:$I$12,MATCH($B289,Assumptions!$D$5:$D$12,0)),($C289+$D289*SQRT(-2*LN(RAND()))*COS(2*PI()*RAND()))*$E289*$J289*$K289)))</x:f>
        <x:v>1286.1115666821343</x:v>
      </x:c>
      <x:c r="H289" s="11" t="n">
        <x:f>IF($A289="","",$G289*$F289+$C289*(1-$F289))</x:f>
        <x:v>1269.139048338747</x:v>
      </x:c>
      <x:c r="I289" s="11" t="n">
        <x:f>IF($A289="","",AVERAGE($H289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1232.2088728859503</x:v>
      </x:c>
      <x:c r="J289" s="12" t="n">
        <x:f>IF($A289="","",1+SUMIFS(Assumptions!$S$5:$S$10,Assumptions!$P$5:$P$10,$B289,Assumptions!$Q$5:$Q$10,"&lt;="&amp;$A289,Assumptions!$R$5:$R$10,"&gt;="&amp;$A289))</x:f>
        <x:v>1</x:v>
      </x:c>
      <x:c r="K289" s="12" t="n">
        <x:f>IF($A289="","",1+((($A289-Assumptions!$B$5)/30)*INDEX(Assumptions!$J$5:$J$12,MATCH($B289,Assumptions!$D$5:$D$12,0))))</x:f>
        <x:v>1.0057</x:v>
      </x:c>
      <x:c r="L289" t="str">
        <x:f>IF($A289="","",IFERROR(INDEX(Assumptions!$O$5:$O$10,MATCH(1,(Assumptions!$P$5:$P$10=$B289)*(Assumptions!$Q$5:$Q$10&lt;=$A289)*(Assumptions!$R$5:$R$10&gt;=$A289),0)),""))</x:f>
      </x:c>
      <x:c r="M289" t="n">
        <x:f>--($A289&lt;&gt;"")</x:f>
        <x:v>1</x:v>
      </x:c>
    </x:row>
    <x:row r="290">
      <x:c r="A290" s="10" t="n">
        <x:f>IF(Assumptions!$B$5+INT((ROW()-2)/Assumptions!$B$7)&gt;Assumptions!$B$6,"",Assumptions!$B$5+INT((ROW()-2)/Assumptions!$B$7))</x:f>
        <x:v>46080</x:v>
      </x:c>
      <x:c r="B290" t="str">
        <x:f>IF($A290="","",INDEX(Assumptions!$D$5:$D$12,MOD(ROW()-2,Assumptions!$B$7)+1))</x:f>
        <x:v>Hadley's Hope</x:v>
      </x:c>
      <x:c r="C290" s="11" t="n">
        <x:f>IF($A290="","",INDEX(Assumptions!$F$5:$F$12,MATCH($B290,Assumptions!$D$5:$D$12,0)))</x:f>
        <x:v>845</x:v>
      </x:c>
      <x:c r="D290" s="11" t="n">
        <x:f>IF($A290="","",INDEX(Assumptions!$G$5:$G$12,MATCH($B290,Assumptions!$D$5:$D$12,0)))</x:f>
        <x:v>80</x:v>
      </x:c>
      <x:c r="E290" s="11" t="n">
        <x:f>IF($A290="","",INDEX(Assumptions!$M$5:$M$11,WEEKDAY($A290,2)))</x:f>
        <x:v>0.98</x:v>
      </x:c>
      <x:c r="F290" s="11" t="n">
        <x:f>IF($A290="","",Assumptions!$B$15)</x:f>
        <x:v>0.35</x:v>
      </x:c>
      <x:c r="G290" s="11" t="n">
        <x:f>IF($A290="","",MAX(INDEX(Assumptions!$H$5:$H$12,MATCH($B290,Assumptions!$D$5:$D$12,0)),MIN(INDEX(Assumptions!$I$5:$I$12,MATCH($B290,Assumptions!$D$5:$D$12,0)),($C290+$D290*SQRT(-2*LN(RAND()))*COS(2*PI()*RAND()))*$E290*$J290*$K290)))</x:f>
        <x:v>833.0677271348036</x:v>
      </x:c>
      <x:c r="H290" s="11" t="n">
        <x:f>IF($A290="","",$G290*$F290+$C290*(1-$F290))</x:f>
        <x:v>840.8237044971812</x:v>
      </x:c>
      <x:c r="I290" s="11" t="n">
        <x:f>IF($A290="","",AVERAGE($H290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843.915002717202</x:v>
      </x:c>
      <x:c r="J290" s="12" t="n">
        <x:f>IF($A290="","",1+SUMIFS(Assumptions!$S$5:$S$10,Assumptions!$P$5:$P$10,$B290,Assumptions!$Q$5:$Q$10,"&lt;="&amp;$A290,Assumptions!$R$5:$R$10,"&gt;="&amp;$A290))</x:f>
        <x:v>1</x:v>
      </x:c>
      <x:c r="K290" s="12" t="n">
        <x:f>IF($A290="","",1+((($A290-Assumptions!$B$5)/30)*INDEX(Assumptions!$J$5:$J$12,MATCH($B290,Assumptions!$D$5:$D$12,0))))</x:f>
        <x:v>1.0019</x:v>
      </x:c>
      <x:c r="L290" t="str">
        <x:f>IF($A290="","",IFERROR(INDEX(Assumptions!$O$5:$O$10,MATCH(1,(Assumptions!$P$5:$P$10=$B290)*(Assumptions!$Q$5:$Q$10&lt;=$A290)*(Assumptions!$R$5:$R$10&gt;=$A290),0)),""))</x:f>
      </x:c>
      <x:c r="M290" t="n">
        <x:f>--($A290&lt;&gt;"")</x:f>
        <x:v>1</x:v>
      </x:c>
    </x:row>
    <x:row r="291">
      <x:c r="A291" s="10" t="n">
        <x:f>IF(Assumptions!$B$5+INT((ROW()-2)/Assumptions!$B$7)&gt;Assumptions!$B$6,"",Assumptions!$B$5+INT((ROW()-2)/Assumptions!$B$7))</x:f>
        <x:v>46080</x:v>
      </x:c>
      <x:c r="B291" t="str">
        <x:f>IF($A291="","",INDEX(Assumptions!$D$5:$D$12,MOD(ROW()-2,Assumptions!$B$7)+1))</x:f>
        <x:v>Yutani Ridge</x:v>
      </x:c>
      <x:c r="C291" s="11" t="n">
        <x:f>IF($A291="","",INDEX(Assumptions!$F$5:$F$12,MATCH($B291,Assumptions!$D$5:$D$12,0)))</x:f>
        <x:v>1050</x:v>
      </x:c>
      <x:c r="D291" s="11" t="n">
        <x:f>IF($A291="","",INDEX(Assumptions!$G$5:$G$12,MATCH($B291,Assumptions!$D$5:$D$12,0)))</x:f>
        <x:v>125</x:v>
      </x:c>
      <x:c r="E291" s="11" t="n">
        <x:f>IF($A291="","",INDEX(Assumptions!$M$5:$M$11,WEEKDAY($A291,2)))</x:f>
        <x:v>0.98</x:v>
      </x:c>
      <x:c r="F291" s="11" t="n">
        <x:f>IF($A291="","",Assumptions!$B$15)</x:f>
        <x:v>0.35</x:v>
      </x:c>
      <x:c r="G291" s="11" t="n">
        <x:f>IF($A291="","",MAX(INDEX(Assumptions!$H$5:$H$12,MATCH($B291,Assumptions!$D$5:$D$12,0)),MIN(INDEX(Assumptions!$I$5:$I$12,MATCH($B291,Assumptions!$D$5:$D$12,0)),($C291+$D291*SQRT(-2*LN(RAND()))*COS(2*PI()*RAND()))*$E291*$J291*$K291)))</x:f>
        <x:v>1070.8061192103298</x:v>
      </x:c>
      <x:c r="H291" s="11" t="n">
        <x:f>IF($A291="","",$G291*$F291+$C291*(1-$F291))</x:f>
        <x:v>1057.2821417236155</x:v>
      </x:c>
      <x:c r="I291" s="11" t="n">
        <x:f>IF($A291="","",AVERAGE($H291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1056.9529139058818</x:v>
      </x:c>
      <x:c r="J291" s="12" t="n">
        <x:f>IF($A291="","",1+SUMIFS(Assumptions!$S$5:$S$10,Assumptions!$P$5:$P$10,$B291,Assumptions!$Q$5:$Q$10,"&lt;="&amp;$A291,Assumptions!$R$5:$R$10,"&gt;="&amp;$A291))</x:f>
        <x:v>1</x:v>
      </x:c>
      <x:c r="K291" s="12" t="n">
        <x:f>IF($A291="","",1+((($A291-Assumptions!$B$5)/30)*INDEX(Assumptions!$J$5:$J$12,MATCH($B291,Assumptions!$D$5:$D$12,0))))</x:f>
        <x:v>1.00475</x:v>
      </x:c>
      <x:c r="L291" t="str">
        <x:f>IF($A291="","",IFERROR(INDEX(Assumptions!$O$5:$O$10,MATCH(1,(Assumptions!$P$5:$P$10=$B291)*(Assumptions!$Q$5:$Q$10&lt;=$A291)*(Assumptions!$R$5:$R$10&gt;=$A291),0)),""))</x:f>
      </x:c>
      <x:c r="M291" t="n">
        <x:f>--($A291&lt;&gt;"")</x:f>
        <x:v>1</x:v>
      </x:c>
    </x:row>
    <x:row r="292">
      <x:c r="A292" s="10" t="n">
        <x:f>IF(Assumptions!$B$5+INT((ROW()-2)/Assumptions!$B$7)&gt;Assumptions!$B$6,"",Assumptions!$B$5+INT((ROW()-2)/Assumptions!$B$7))</x:f>
        <x:v>46081</x:v>
      </x:c>
      <x:c r="B292" t="str">
        <x:f>IF($A292="","",INDEX(Assumptions!$D$5:$D$12,MOD(ROW()-2,Assumptions!$B$7)+1))</x:f>
        <x:v>Acheron Prime</x:v>
      </x:c>
      <x:c r="C292" s="11" t="n">
        <x:f>IF($A292="","",INDEX(Assumptions!$F$5:$F$12,MATCH($B292,Assumptions!$D$5:$D$12,0)))</x:f>
        <x:v>1120</x:v>
      </x:c>
      <x:c r="D292" s="11" t="n">
        <x:f>IF($A292="","",INDEX(Assumptions!$G$5:$G$12,MATCH($B292,Assumptions!$D$5:$D$12,0)))</x:f>
        <x:v>115</x:v>
      </x:c>
      <x:c r="E292" s="11" t="n">
        <x:f>IF($A292="","",INDEX(Assumptions!$M$5:$M$11,WEEKDAY($A292,2)))</x:f>
        <x:v>0.91</x:v>
      </x:c>
      <x:c r="F292" s="11" t="n">
        <x:f>IF($A292="","",Assumptions!$B$15)</x:f>
        <x:v>0.35</x:v>
      </x:c>
      <x:c r="G292" s="11" t="n">
        <x:f>IF($A292="","",MAX(INDEX(Assumptions!$H$5:$H$12,MATCH($B292,Assumptions!$D$5:$D$12,0)),MIN(INDEX(Assumptions!$I$5:$I$12,MATCH($B292,Assumptions!$D$5:$D$12,0)),($C292+$D292*SQRT(-2*LN(RAND()))*COS(2*PI()*RAND()))*$E292*$J292*$K292)))</x:f>
        <x:v>1101.0410295331671</x:v>
      </x:c>
      <x:c r="H292" s="11" t="n">
        <x:f>IF($A292="","",$G292*$F292+$C292*(1-$F292))</x:f>
        <x:v>1113.3643603366086</x:v>
      </x:c>
      <x:c r="I292" s="11" t="n">
        <x:f>IF($A292="","",AVERAGE($H292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1125.58563527017</x:v>
      </x:c>
      <x:c r="J292" s="12" t="n">
        <x:f>IF($A292="","",1+SUMIFS(Assumptions!$S$5:$S$10,Assumptions!$P$5:$P$10,$B292,Assumptions!$Q$5:$Q$10,"&lt;="&amp;$A292,Assumptions!$R$5:$R$10,"&gt;="&amp;$A292))</x:f>
        <x:v>1</x:v>
      </x:c>
      <x:c r="K292" s="12" t="n">
        <x:f>IF($A292="","",1+((($A292-Assumptions!$B$5)/30)*INDEX(Assumptions!$J$5:$J$12,MATCH($B292,Assumptions!$D$5:$D$12,0))))</x:f>
        <x:v>1.0038666666666667</x:v>
      </x:c>
      <x:c r="L292" t="str">
        <x:f>IF($A292="","",IFERROR(INDEX(Assumptions!$O$5:$O$10,MATCH(1,(Assumptions!$P$5:$P$10=$B292)*(Assumptions!$Q$5:$Q$10&lt;=$A292)*(Assumptions!$R$5:$R$10&gt;=$A292),0)),""))</x:f>
      </x:c>
      <x:c r="M292" t="n">
        <x:f>--($A292&lt;&gt;"")</x:f>
        <x:v>1</x:v>
      </x:c>
    </x:row>
    <x:row r="293">
      <x:c r="A293" s="10" t="n">
        <x:f>IF(Assumptions!$B$5+INT((ROW()-2)/Assumptions!$B$7)&gt;Assumptions!$B$6,"",Assumptions!$B$5+INT((ROW()-2)/Assumptions!$B$7))</x:f>
        <x:v>46081</x:v>
      </x:c>
      <x:c r="B293" t="str">
        <x:f>IF($A293="","",INDEX(Assumptions!$D$5:$D$12,MOD(ROW()-2,Assumptions!$B$7)+1))</x:f>
        <x:v>LV-426 North</x:v>
      </x:c>
      <x:c r="C293" s="11" t="n">
        <x:f>IF($A293="","",INDEX(Assumptions!$F$5:$F$12,MATCH($B293,Assumptions!$D$5:$D$12,0)))</x:f>
        <x:v>930</x:v>
      </x:c>
      <x:c r="D293" s="11" t="n">
        <x:f>IF($A293="","",INDEX(Assumptions!$G$5:$G$12,MATCH($B293,Assumptions!$D$5:$D$12,0)))</x:f>
        <x:v>95</x:v>
      </x:c>
      <x:c r="E293" s="11" t="n">
        <x:f>IF($A293="","",INDEX(Assumptions!$M$5:$M$11,WEEKDAY($A293,2)))</x:f>
        <x:v>0.91</x:v>
      </x:c>
      <x:c r="F293" s="11" t="n">
        <x:f>IF($A293="","",Assumptions!$B$15)</x:f>
        <x:v>0.35</x:v>
      </x:c>
      <x:c r="G293" s="11" t="n">
        <x:f>IF($A293="","",MAX(INDEX(Assumptions!$H$5:$H$12,MATCH($B293,Assumptions!$D$5:$D$12,0)),MIN(INDEX(Assumptions!$I$5:$I$12,MATCH($B293,Assumptions!$D$5:$D$12,0)),($C293+$D293*SQRT(-2*LN(RAND()))*COS(2*PI()*RAND()))*$E293*$J293*$K293)))</x:f>
        <x:v>822.3063575537852</x:v>
      </x:c>
      <x:c r="H293" s="11" t="n">
        <x:f>IF($A293="","",$G293*$F293+$C293*(1-$F293))</x:f>
        <x:v>892.3072251438248</x:v>
      </x:c>
      <x:c r="I293" s="11" t="n">
        <x:f>IF($A293="","",AVERAGE($H293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924.6613263034814</x:v>
      </x:c>
      <x:c r="J293" s="12" t="n">
        <x:f>IF($A293="","",1+SUMIFS(Assumptions!$S$5:$S$10,Assumptions!$P$5:$P$10,$B293,Assumptions!$Q$5:$Q$10,"&lt;="&amp;$A293,Assumptions!$R$5:$R$10,"&gt;="&amp;$A293))</x:f>
        <x:v>1</x:v>
      </x:c>
      <x:c r="K293" s="12" t="n">
        <x:f>IF($A293="","",1+((($A293-Assumptions!$B$5)/30)*INDEX(Assumptions!$J$5:$J$12,MATCH($B293,Assumptions!$D$5:$D$12,0))))</x:f>
        <x:v>0.9980666666666667</x:v>
      </x:c>
      <x:c r="L293" t="str">
        <x:f>IF($A293="","",IFERROR(INDEX(Assumptions!$O$5:$O$10,MATCH(1,(Assumptions!$P$5:$P$10=$B293)*(Assumptions!$Q$5:$Q$10&lt;=$A293)*(Assumptions!$R$5:$R$10&gt;=$A293),0)),""))</x:f>
      </x:c>
      <x:c r="M293" t="n">
        <x:f>--($A293&lt;&gt;"")</x:f>
        <x:v>1</x:v>
      </x:c>
    </x:row>
    <x:row r="294">
      <x:c r="A294" s="10" t="n">
        <x:f>IF(Assumptions!$B$5+INT((ROW()-2)/Assumptions!$B$7)&gt;Assumptions!$B$6,"",Assumptions!$B$5+INT((ROW()-2)/Assumptions!$B$7))</x:f>
        <x:v>46081</x:v>
      </x:c>
      <x:c r="B294" t="str">
        <x:f>IF($A294="","",INDEX(Assumptions!$D$5:$D$12,MOD(ROW()-2,Assumptions!$B$7)+1))</x:f>
        <x:v>Nostromo Deep</x:v>
      </x:c>
      <x:c r="C294" s="11" t="n">
        <x:f>IF($A294="","",INDEX(Assumptions!$F$5:$F$12,MATCH($B294,Assumptions!$D$5:$D$12,0)))</x:f>
        <x:v>1260</x:v>
      </x:c>
      <x:c r="D294" s="11" t="n">
        <x:f>IF($A294="","",INDEX(Assumptions!$G$5:$G$12,MATCH($B294,Assumptions!$D$5:$D$12,0)))</x:f>
        <x:v>145</x:v>
      </x:c>
      <x:c r="E294" s="11" t="n">
        <x:f>IF($A294="","",INDEX(Assumptions!$M$5:$M$11,WEEKDAY($A294,2)))</x:f>
        <x:v>0.91</x:v>
      </x:c>
      <x:c r="F294" s="11" t="n">
        <x:f>IF($A294="","",Assumptions!$B$15)</x:f>
        <x:v>0.35</x:v>
      </x:c>
      <x:c r="G294" s="11" t="n">
        <x:f>IF($A294="","",MAX(INDEX(Assumptions!$H$5:$H$12,MATCH($B294,Assumptions!$D$5:$D$12,0)),MIN(INDEX(Assumptions!$I$5:$I$12,MATCH($B294,Assumptions!$D$5:$D$12,0)),($C294+$D294*SQRT(-2*LN(RAND()))*COS(2*PI()*RAND()))*$E294*$J294*$K294)))</x:f>
        <x:v>1215.6891574969486</x:v>
      </x:c>
      <x:c r="H294" s="11" t="n">
        <x:f>IF($A294="","",$G294*$F294+$C294*(1-$F294))</x:f>
        <x:v>1244.491205123932</x:v>
      </x:c>
      <x:c r="I294" s="11" t="n">
        <x:f>IF($A294="","",AVERAGE($H294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1239.453533795078</x:v>
      </x:c>
      <x:c r="J294" s="12" t="n">
        <x:f>IF($A294="","",1+SUMIFS(Assumptions!$S$5:$S$10,Assumptions!$P$5:$P$10,$B294,Assumptions!$Q$5:$Q$10,"&lt;="&amp;$A294,Assumptions!$R$5:$R$10,"&gt;="&amp;$A294))</x:f>
        <x:v>1</x:v>
      </x:c>
      <x:c r="K294" s="12" t="n">
        <x:f>IF($A294="","",1+((($A294-Assumptions!$B$5)/30)*INDEX(Assumptions!$J$5:$J$12,MATCH($B294,Assumptions!$D$5:$D$12,0))))</x:f>
        <x:v>1.0058</x:v>
      </x:c>
      <x:c r="L294" t="str">
        <x:f>IF($A294="","",IFERROR(INDEX(Assumptions!$O$5:$O$10,MATCH(1,(Assumptions!$P$5:$P$10=$B294)*(Assumptions!$Q$5:$Q$10&lt;=$A294)*(Assumptions!$R$5:$R$10&gt;=$A294),0)),""))</x:f>
      </x:c>
      <x:c r="M294" t="n">
        <x:f>--($A294&lt;&gt;"")</x:f>
        <x:v>1</x:v>
      </x:c>
    </x:row>
    <x:row r="295">
      <x:c r="A295" s="10" t="n">
        <x:f>IF(Assumptions!$B$5+INT((ROW()-2)/Assumptions!$B$7)&gt;Assumptions!$B$6,"",Assumptions!$B$5+INT((ROW()-2)/Assumptions!$B$7))</x:f>
        <x:v>46081</x:v>
      </x:c>
      <x:c r="B295" t="str">
        <x:f>IF($A295="","",INDEX(Assumptions!$D$5:$D$12,MOD(ROW()-2,Assumptions!$B$7)+1))</x:f>
        <x:v>Hadley's Hope</x:v>
      </x:c>
      <x:c r="C295" s="11" t="n">
        <x:f>IF($A295="","",INDEX(Assumptions!$F$5:$F$12,MATCH($B295,Assumptions!$D$5:$D$12,0)))</x:f>
        <x:v>845</x:v>
      </x:c>
      <x:c r="D295" s="11" t="n">
        <x:f>IF($A295="","",INDEX(Assumptions!$G$5:$G$12,MATCH($B295,Assumptions!$D$5:$D$12,0)))</x:f>
        <x:v>80</x:v>
      </x:c>
      <x:c r="E295" s="11" t="n">
        <x:f>IF($A295="","",INDEX(Assumptions!$M$5:$M$11,WEEKDAY($A295,2)))</x:f>
        <x:v>0.91</x:v>
      </x:c>
      <x:c r="F295" s="11" t="n">
        <x:f>IF($A295="","",Assumptions!$B$15)</x:f>
        <x:v>0.35</x:v>
      </x:c>
      <x:c r="G295" s="11" t="n">
        <x:f>IF($A295="","",MAX(INDEX(Assumptions!$H$5:$H$12,MATCH($B295,Assumptions!$D$5:$D$12,0)),MIN(INDEX(Assumptions!$I$5:$I$12,MATCH($B295,Assumptions!$D$5:$D$12,0)),($C295+$D295*SQRT(-2*LN(RAND()))*COS(2*PI()*RAND()))*$E295*$J295*$K295)))</x:f>
        <x:v>825.6625103955406</x:v>
      </x:c>
      <x:c r="H295" s="11" t="n">
        <x:f>IF($A295="","",$G295*$F295+$C295*(1-$F295))</x:f>
        <x:v>838.2318786384392</x:v>
      </x:c>
      <x:c r="I295" s="11" t="n">
        <x:f>IF($A295="","",AVERAGE($H295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847.6598106479609</x:v>
      </x:c>
      <x:c r="J295" s="12" t="n">
        <x:f>IF($A295="","",1+SUMIFS(Assumptions!$S$5:$S$10,Assumptions!$P$5:$P$10,$B295,Assumptions!$Q$5:$Q$10,"&lt;="&amp;$A295,Assumptions!$R$5:$R$10,"&gt;="&amp;$A295))</x:f>
        <x:v>1</x:v>
      </x:c>
      <x:c r="K295" s="12" t="n">
        <x:f>IF($A295="","",1+((($A295-Assumptions!$B$5)/30)*INDEX(Assumptions!$J$5:$J$12,MATCH($B295,Assumptions!$D$5:$D$12,0))))</x:f>
        <x:v>1.0019333333333333</x:v>
      </x:c>
      <x:c r="L295" t="str">
        <x:f>IF($A295="","",IFERROR(INDEX(Assumptions!$O$5:$O$10,MATCH(1,(Assumptions!$P$5:$P$10=$B295)*(Assumptions!$Q$5:$Q$10&lt;=$A295)*(Assumptions!$R$5:$R$10&gt;=$A295),0)),""))</x:f>
      </x:c>
      <x:c r="M295" t="n">
        <x:f>--($A295&lt;&gt;"")</x:f>
        <x:v>1</x:v>
      </x:c>
    </x:row>
    <x:row r="296">
      <x:c r="A296" s="10" t="n">
        <x:f>IF(Assumptions!$B$5+INT((ROW()-2)/Assumptions!$B$7)&gt;Assumptions!$B$6,"",Assumptions!$B$5+INT((ROW()-2)/Assumptions!$B$7))</x:f>
        <x:v>46081</x:v>
      </x:c>
      <x:c r="B296" t="str">
        <x:f>IF($A296="","",INDEX(Assumptions!$D$5:$D$12,MOD(ROW()-2,Assumptions!$B$7)+1))</x:f>
        <x:v>Yutani Ridge</x:v>
      </x:c>
      <x:c r="C296" s="11" t="n">
        <x:f>IF($A296="","",INDEX(Assumptions!$F$5:$F$12,MATCH($B296,Assumptions!$D$5:$D$12,0)))</x:f>
        <x:v>1050</x:v>
      </x:c>
      <x:c r="D296" s="11" t="n">
        <x:f>IF($A296="","",INDEX(Assumptions!$G$5:$G$12,MATCH($B296,Assumptions!$D$5:$D$12,0)))</x:f>
        <x:v>125</x:v>
      </x:c>
      <x:c r="E296" s="11" t="n">
        <x:f>IF($A296="","",INDEX(Assumptions!$M$5:$M$11,WEEKDAY($A296,2)))</x:f>
        <x:v>0.91</x:v>
      </x:c>
      <x:c r="F296" s="11" t="n">
        <x:f>IF($A296="","",Assumptions!$B$15)</x:f>
        <x:v>0.35</x:v>
      </x:c>
      <x:c r="G296" s="11" t="n">
        <x:f>IF($A296="","",MAX(INDEX(Assumptions!$H$5:$H$12,MATCH($B296,Assumptions!$D$5:$D$12,0)),MIN(INDEX(Assumptions!$I$5:$I$12,MATCH($B296,Assumptions!$D$5:$D$12,0)),($C296+$D296*SQRT(-2*LN(RAND()))*COS(2*PI()*RAND()))*$E296*$J296*$K296)))</x:f>
        <x:v>964.199224346732</x:v>
      </x:c>
      <x:c r="H296" s="11" t="n">
        <x:f>IF($A296="","",$G296*$F296+$C296*(1-$F296))</x:f>
        <x:v>1019.9697285213562</x:v>
      </x:c>
      <x:c r="I296" s="11" t="n">
        <x:f>IF($A296="","",AVERAGE($H296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1061.8696104405606</x:v>
      </x:c>
      <x:c r="J296" s="12" t="n">
        <x:f>IF($A296="","",1+SUMIFS(Assumptions!$S$5:$S$10,Assumptions!$P$5:$P$10,$B296,Assumptions!$Q$5:$Q$10,"&lt;="&amp;$A296,Assumptions!$R$5:$R$10,"&gt;="&amp;$A296))</x:f>
        <x:v>1</x:v>
      </x:c>
      <x:c r="K296" s="12" t="n">
        <x:f>IF($A296="","",1+((($A296-Assumptions!$B$5)/30)*INDEX(Assumptions!$J$5:$J$12,MATCH($B296,Assumptions!$D$5:$D$12,0))))</x:f>
        <x:v>1.0048333333333332</x:v>
      </x:c>
      <x:c r="L296" t="str">
        <x:f>IF($A296="","",IFERROR(INDEX(Assumptions!$O$5:$O$10,MATCH(1,(Assumptions!$P$5:$P$10=$B296)*(Assumptions!$Q$5:$Q$10&lt;=$A296)*(Assumptions!$R$5:$R$10&gt;=$A296),0)),""))</x:f>
      </x:c>
      <x:c r="M296" t="n">
        <x:f>--($A296&lt;&gt;"")</x:f>
        <x:v>1</x:v>
      </x:c>
    </x:row>
    <x:row r="297">
      <x:c r="A297" s="10" t="n">
        <x:f>IF(Assumptions!$B$5+INT((ROW()-2)/Assumptions!$B$7)&gt;Assumptions!$B$6,"",Assumptions!$B$5+INT((ROW()-2)/Assumptions!$B$7))</x:f>
        <x:v>46082</x:v>
      </x:c>
      <x:c r="B297" t="str">
        <x:f>IF($A297="","",INDEX(Assumptions!$D$5:$D$12,MOD(ROW()-2,Assumptions!$B$7)+1))</x:f>
        <x:v>Acheron Prime</x:v>
      </x:c>
      <x:c r="C297" s="11" t="n">
        <x:f>IF($A297="","",INDEX(Assumptions!$F$5:$F$12,MATCH($B297,Assumptions!$D$5:$D$12,0)))</x:f>
        <x:v>1120</x:v>
      </x:c>
      <x:c r="D297" s="11" t="n">
        <x:f>IF($A297="","",INDEX(Assumptions!$G$5:$G$12,MATCH($B297,Assumptions!$D$5:$D$12,0)))</x:f>
        <x:v>115</x:v>
      </x:c>
      <x:c r="E297" s="11" t="n">
        <x:f>IF($A297="","",INDEX(Assumptions!$M$5:$M$11,WEEKDAY($A297,2)))</x:f>
        <x:v>0.87</x:v>
      </x:c>
      <x:c r="F297" s="11" t="n">
        <x:f>IF($A297="","",Assumptions!$B$15)</x:f>
        <x:v>0.35</x:v>
      </x:c>
      <x:c r="G297" s="11" t="n">
        <x:f>IF($A297="","",MAX(INDEX(Assumptions!$H$5:$H$12,MATCH($B297,Assumptions!$D$5:$D$12,0)),MIN(INDEX(Assumptions!$I$5:$I$12,MATCH($B297,Assumptions!$D$5:$D$12,0)),($C297+$D297*SQRT(-2*LN(RAND()))*COS(2*PI()*RAND()))*$E297*$J297*$K297)))</x:f>
        <x:v>867.5216318918582</x:v>
      </x:c>
      <x:c r="H297" s="11" t="n">
        <x:f>IF($A297="","",$G297*$F297+$C297*(1-$F297))</x:f>
        <x:v>1031.6325711621503</x:v>
      </x:c>
      <x:c r="I297" s="11" t="n">
        <x:f>IF($A297="","",AVERAGE($H297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1111.4069631410443</x:v>
      </x:c>
      <x:c r="J297" s="12" t="n">
        <x:f>IF($A297="","",1+SUMIFS(Assumptions!$S$5:$S$10,Assumptions!$P$5:$P$10,$B297,Assumptions!$Q$5:$Q$10,"&lt;="&amp;$A297,Assumptions!$R$5:$R$10,"&gt;="&amp;$A297))</x:f>
        <x:v>1</x:v>
      </x:c>
      <x:c r="K297" s="12" t="n">
        <x:f>IF($A297="","",1+((($A297-Assumptions!$B$5)/30)*INDEX(Assumptions!$J$5:$J$12,MATCH($B297,Assumptions!$D$5:$D$12,0))))</x:f>
        <x:v>1.0039333333333333</x:v>
      </x:c>
      <x:c r="L297" t="str">
        <x:f>IF($A297="","",IFERROR(INDEX(Assumptions!$O$5:$O$10,MATCH(1,(Assumptions!$P$5:$P$10=$B297)*(Assumptions!$Q$5:$Q$10&lt;=$A297)*(Assumptions!$R$5:$R$10&gt;=$A297),0)),""))</x:f>
      </x:c>
      <x:c r="M297" t="n">
        <x:f>--($A297&lt;&gt;"")</x:f>
        <x:v>1</x:v>
      </x:c>
    </x:row>
    <x:row r="298">
      <x:c r="A298" s="10" t="n">
        <x:f>IF(Assumptions!$B$5+INT((ROW()-2)/Assumptions!$B$7)&gt;Assumptions!$B$6,"",Assumptions!$B$5+INT((ROW()-2)/Assumptions!$B$7))</x:f>
        <x:v>46082</x:v>
      </x:c>
      <x:c r="B298" t="str">
        <x:f>IF($A298="","",INDEX(Assumptions!$D$5:$D$12,MOD(ROW()-2,Assumptions!$B$7)+1))</x:f>
        <x:v>LV-426 North</x:v>
      </x:c>
      <x:c r="C298" s="11" t="n">
        <x:f>IF($A298="","",INDEX(Assumptions!$F$5:$F$12,MATCH($B298,Assumptions!$D$5:$D$12,0)))</x:f>
        <x:v>930</x:v>
      </x:c>
      <x:c r="D298" s="11" t="n">
        <x:f>IF($A298="","",INDEX(Assumptions!$G$5:$G$12,MATCH($B298,Assumptions!$D$5:$D$12,0)))</x:f>
        <x:v>95</x:v>
      </x:c>
      <x:c r="E298" s="11" t="n">
        <x:f>IF($A298="","",INDEX(Assumptions!$M$5:$M$11,WEEKDAY($A298,2)))</x:f>
        <x:v>0.87</x:v>
      </x:c>
      <x:c r="F298" s="11" t="n">
        <x:f>IF($A298="","",Assumptions!$B$15)</x:f>
        <x:v>0.35</x:v>
      </x:c>
      <x:c r="G298" s="11" t="n">
        <x:f>IF($A298="","",MAX(INDEX(Assumptions!$H$5:$H$12,MATCH($B298,Assumptions!$D$5:$D$12,0)),MIN(INDEX(Assumptions!$I$5:$I$12,MATCH($B298,Assumptions!$D$5:$D$12,0)),($C298+$D298*SQRT(-2*LN(RAND()))*COS(2*PI()*RAND()))*$E298*$J298*$K298)))</x:f>
        <x:v>712.2025115691703</x:v>
      </x:c>
      <x:c r="H298" s="11" t="n">
        <x:f>IF($A298="","",$G298*$F298+$C298*(1-$F298))</x:f>
        <x:v>853.7708790492096</x:v>
      </x:c>
      <x:c r="I298" s="11" t="n">
        <x:f>IF($A298="","",AVERAGE($H298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925.3343889162518</x:v>
      </x:c>
      <x:c r="J298" s="12" t="n">
        <x:f>IF($A298="","",1+SUMIFS(Assumptions!$S$5:$S$10,Assumptions!$P$5:$P$10,$B298,Assumptions!$Q$5:$Q$10,"&lt;="&amp;$A298,Assumptions!$R$5:$R$10,"&gt;="&amp;$A298))</x:f>
        <x:v>1</x:v>
      </x:c>
      <x:c r="K298" s="12" t="n">
        <x:f>IF($A298="","",1+((($A298-Assumptions!$B$5)/30)*INDEX(Assumptions!$J$5:$J$12,MATCH($B298,Assumptions!$D$5:$D$12,0))))</x:f>
        <x:v>0.9980333333333333</x:v>
      </x:c>
      <x:c r="L298" t="str">
        <x:f>IF($A298="","",IFERROR(INDEX(Assumptions!$O$5:$O$10,MATCH(1,(Assumptions!$P$5:$P$10=$B298)*(Assumptions!$Q$5:$Q$10&lt;=$A298)*(Assumptions!$R$5:$R$10&gt;=$A298),0)),""))</x:f>
      </x:c>
      <x:c r="M298" t="n">
        <x:f>--($A298&lt;&gt;"")</x:f>
        <x:v>1</x:v>
      </x:c>
    </x:row>
    <x:row r="299">
      <x:c r="A299" s="10" t="n">
        <x:f>IF(Assumptions!$B$5+INT((ROW()-2)/Assumptions!$B$7)&gt;Assumptions!$B$6,"",Assumptions!$B$5+INT((ROW()-2)/Assumptions!$B$7))</x:f>
        <x:v>46082</x:v>
      </x:c>
      <x:c r="B299" t="str">
        <x:f>IF($A299="","",INDEX(Assumptions!$D$5:$D$12,MOD(ROW()-2,Assumptions!$B$7)+1))</x:f>
        <x:v>Nostromo Deep</x:v>
      </x:c>
      <x:c r="C299" s="11" t="n">
        <x:f>IF($A299="","",INDEX(Assumptions!$F$5:$F$12,MATCH($B299,Assumptions!$D$5:$D$12,0)))</x:f>
        <x:v>1260</x:v>
      </x:c>
      <x:c r="D299" s="11" t="n">
        <x:f>IF($A299="","",INDEX(Assumptions!$G$5:$G$12,MATCH($B299,Assumptions!$D$5:$D$12,0)))</x:f>
        <x:v>145</x:v>
      </x:c>
      <x:c r="E299" s="11" t="n">
        <x:f>IF($A299="","",INDEX(Assumptions!$M$5:$M$11,WEEKDAY($A299,2)))</x:f>
        <x:v>0.87</x:v>
      </x:c>
      <x:c r="F299" s="11" t="n">
        <x:f>IF($A299="","",Assumptions!$B$15)</x:f>
        <x:v>0.35</x:v>
      </x:c>
      <x:c r="G299" s="11" t="n">
        <x:f>IF($A299="","",MAX(INDEX(Assumptions!$H$5:$H$12,MATCH($B299,Assumptions!$D$5:$D$12,0)),MIN(INDEX(Assumptions!$I$5:$I$12,MATCH($B299,Assumptions!$D$5:$D$12,0)),($C299+$D299*SQRT(-2*LN(RAND()))*COS(2*PI()*RAND()))*$E299*$J299*$K299)))</x:f>
        <x:v>868.9117343535025</x:v>
      </x:c>
      <x:c r="H299" s="11" t="n">
        <x:f>IF($A299="","",$G299*$F299+$C299*(1-$F299))</x:f>
        <x:v>1123.119107023726</x:v>
      </x:c>
      <x:c r="I299" s="11" t="n">
        <x:f>IF($A299="","",AVERAGE($H299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1230.5765930734817</x:v>
      </x:c>
      <x:c r="J299" s="12" t="n">
        <x:f>IF($A299="","",1+SUMIFS(Assumptions!$S$5:$S$10,Assumptions!$P$5:$P$10,$B299,Assumptions!$Q$5:$Q$10,"&lt;="&amp;$A299,Assumptions!$R$5:$R$10,"&gt;="&amp;$A299))</x:f>
        <x:v>1</x:v>
      </x:c>
      <x:c r="K299" s="12" t="n">
        <x:f>IF($A299="","",1+((($A299-Assumptions!$B$5)/30)*INDEX(Assumptions!$J$5:$J$12,MATCH($B299,Assumptions!$D$5:$D$12,0))))</x:f>
        <x:v>1.0059</x:v>
      </x:c>
      <x:c r="L299" t="str">
        <x:f>IF($A299="","",IFERROR(INDEX(Assumptions!$O$5:$O$10,MATCH(1,(Assumptions!$P$5:$P$10=$B299)*(Assumptions!$Q$5:$Q$10&lt;=$A299)*(Assumptions!$R$5:$R$10&gt;=$A299),0)),""))</x:f>
      </x:c>
      <x:c r="M299" t="n">
        <x:f>--($A299&lt;&gt;"")</x:f>
        <x:v>1</x:v>
      </x:c>
    </x:row>
    <x:row r="300">
      <x:c r="A300" s="10" t="n">
        <x:f>IF(Assumptions!$B$5+INT((ROW()-2)/Assumptions!$B$7)&gt;Assumptions!$B$6,"",Assumptions!$B$5+INT((ROW()-2)/Assumptions!$B$7))</x:f>
        <x:v>46082</x:v>
      </x:c>
      <x:c r="B300" t="str">
        <x:f>IF($A300="","",INDEX(Assumptions!$D$5:$D$12,MOD(ROW()-2,Assumptions!$B$7)+1))</x:f>
        <x:v>Hadley's Hope</x:v>
      </x:c>
      <x:c r="C300" s="11" t="n">
        <x:f>IF($A300="","",INDEX(Assumptions!$F$5:$F$12,MATCH($B300,Assumptions!$D$5:$D$12,0)))</x:f>
        <x:v>845</x:v>
      </x:c>
      <x:c r="D300" s="11" t="n">
        <x:f>IF($A300="","",INDEX(Assumptions!$G$5:$G$12,MATCH($B300,Assumptions!$D$5:$D$12,0)))</x:f>
        <x:v>80</x:v>
      </x:c>
      <x:c r="E300" s="11" t="n">
        <x:f>IF($A300="","",INDEX(Assumptions!$M$5:$M$11,WEEKDAY($A300,2)))</x:f>
        <x:v>0.87</x:v>
      </x:c>
      <x:c r="F300" s="11" t="n">
        <x:f>IF($A300="","",Assumptions!$B$15)</x:f>
        <x:v>0.35</x:v>
      </x:c>
      <x:c r="G300" s="11" t="n">
        <x:f>IF($A300="","",MAX(INDEX(Assumptions!$H$5:$H$12,MATCH($B300,Assumptions!$D$5:$D$12,0)),MIN(INDEX(Assumptions!$I$5:$I$12,MATCH($B300,Assumptions!$D$5:$D$12,0)),($C300+$D300*SQRT(-2*LN(RAND()))*COS(2*PI()*RAND()))*$E300*$J300*$K300)))</x:f>
        <x:v>730.2520573706835</x:v>
      </x:c>
      <x:c r="H300" s="11" t="n">
        <x:f>IF($A300="","",$G300*$F300+$C300*(1-$F300))</x:f>
        <x:v>804.8382200797391</x:v>
      </x:c>
      <x:c r="I300" s="11" t="n">
        <x:f>IF($A300="","",AVERAGE($H300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849.818036130762</x:v>
      </x:c>
      <x:c r="J300" s="12" t="n">
        <x:f>IF($A300="","",1+SUMIFS(Assumptions!$S$5:$S$10,Assumptions!$P$5:$P$10,$B300,Assumptions!$Q$5:$Q$10,"&lt;="&amp;$A300,Assumptions!$R$5:$R$10,"&gt;="&amp;$A300))</x:f>
        <x:v>1</x:v>
      </x:c>
      <x:c r="K300" s="12" t="n">
        <x:f>IF($A300="","",1+((($A300-Assumptions!$B$5)/30)*INDEX(Assumptions!$J$5:$J$12,MATCH($B300,Assumptions!$D$5:$D$12,0))))</x:f>
        <x:v>1.0019666666666667</x:v>
      </x:c>
      <x:c r="L300" t="str">
        <x:f>IF($A300="","",IFERROR(INDEX(Assumptions!$O$5:$O$10,MATCH(1,(Assumptions!$P$5:$P$10=$B300)*(Assumptions!$Q$5:$Q$10&lt;=$A300)*(Assumptions!$R$5:$R$10&gt;=$A300),0)),""))</x:f>
      </x:c>
      <x:c r="M300" t="n">
        <x:f>--($A300&lt;&gt;"")</x:f>
        <x:v>1</x:v>
      </x:c>
    </x:row>
    <x:row r="301">
      <x:c r="A301" s="10" t="n">
        <x:f>IF(Assumptions!$B$5+INT((ROW()-2)/Assumptions!$B$7)&gt;Assumptions!$B$6,"",Assumptions!$B$5+INT((ROW()-2)/Assumptions!$B$7))</x:f>
        <x:v>46082</x:v>
      </x:c>
      <x:c r="B301" t="str">
        <x:f>IF($A301="","",INDEX(Assumptions!$D$5:$D$12,MOD(ROW()-2,Assumptions!$B$7)+1))</x:f>
        <x:v>Yutani Ridge</x:v>
      </x:c>
      <x:c r="C301" s="11" t="n">
        <x:f>IF($A301="","",INDEX(Assumptions!$F$5:$F$12,MATCH($B301,Assumptions!$D$5:$D$12,0)))</x:f>
        <x:v>1050</x:v>
      </x:c>
      <x:c r="D301" s="11" t="n">
        <x:f>IF($A301="","",INDEX(Assumptions!$G$5:$G$12,MATCH($B301,Assumptions!$D$5:$D$12,0)))</x:f>
        <x:v>125</x:v>
      </x:c>
      <x:c r="E301" s="11" t="n">
        <x:f>IF($A301="","",INDEX(Assumptions!$M$5:$M$11,WEEKDAY($A301,2)))</x:f>
        <x:v>0.87</x:v>
      </x:c>
      <x:c r="F301" s="11" t="n">
        <x:f>IF($A301="","",Assumptions!$B$15)</x:f>
        <x:v>0.35</x:v>
      </x:c>
      <x:c r="G301" s="11" t="n">
        <x:f>IF($A301="","",MAX(INDEX(Assumptions!$H$5:$H$12,MATCH($B301,Assumptions!$D$5:$D$12,0)),MIN(INDEX(Assumptions!$I$5:$I$12,MATCH($B301,Assumptions!$D$5:$D$12,0)),($C301+$D301*SQRT(-2*LN(RAND()))*COS(2*PI()*RAND()))*$E301*$J301*$K301)))</x:f>
        <x:v>864.9866424087289</x:v>
      </x:c>
      <x:c r="H301" s="11" t="n">
        <x:f>IF($A301="","",$G301*$F301+$C301*(1-$F301))</x:f>
        <x:v>985.2453248430552</x:v>
      </x:c>
      <x:c r="I301" s="11" t="n">
        <x:f>IF($A301="","",AVERAGE($H301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1058.7871741788679</x:v>
      </x:c>
      <x:c r="J301" s="12" t="n">
        <x:f>IF($A301="","",1+SUMIFS(Assumptions!$S$5:$S$10,Assumptions!$P$5:$P$10,$B301,Assumptions!$Q$5:$Q$10,"&lt;="&amp;$A301,Assumptions!$R$5:$R$10,"&gt;="&amp;$A301))</x:f>
        <x:v>1</x:v>
      </x:c>
      <x:c r="K301" s="12" t="n">
        <x:f>IF($A301="","",1+((($A301-Assumptions!$B$5)/30)*INDEX(Assumptions!$J$5:$J$12,MATCH($B301,Assumptions!$D$5:$D$12,0))))</x:f>
        <x:v>1.0049166666666667</x:v>
      </x:c>
      <x:c r="L301" t="str">
        <x:f>IF($A301="","",IFERROR(INDEX(Assumptions!$O$5:$O$10,MATCH(1,(Assumptions!$P$5:$P$10=$B301)*(Assumptions!$Q$5:$Q$10&lt;=$A301)*(Assumptions!$R$5:$R$10&gt;=$A301),0)),""))</x:f>
      </x:c>
      <x:c r="M301" t="n">
        <x:f>--($A301&lt;&gt;"")</x:f>
        <x:v>1</x:v>
      </x:c>
    </x:row>
    <x:row r="302">
      <x:c r="A302" s="10" t="n">
        <x:f>IF(Assumptions!$B$5+INT((ROW()-2)/Assumptions!$B$7)&gt;Assumptions!$B$6,"",Assumptions!$B$5+INT((ROW()-2)/Assumptions!$B$7))</x:f>
        <x:v>46083</x:v>
      </x:c>
      <x:c r="B302" t="str">
        <x:f>IF($A302="","",INDEX(Assumptions!$D$5:$D$12,MOD(ROW()-2,Assumptions!$B$7)+1))</x:f>
        <x:v>Acheron Prime</x:v>
      </x:c>
      <x:c r="C302" s="11" t="n">
        <x:f>IF($A302="","",INDEX(Assumptions!$F$5:$F$12,MATCH($B302,Assumptions!$D$5:$D$12,0)))</x:f>
        <x:v>1120</x:v>
      </x:c>
      <x:c r="D302" s="11" t="n">
        <x:f>IF($A302="","",INDEX(Assumptions!$G$5:$G$12,MATCH($B302,Assumptions!$D$5:$D$12,0)))</x:f>
        <x:v>115</x:v>
      </x:c>
      <x:c r="E302" s="11" t="n">
        <x:f>IF($A302="","",INDEX(Assumptions!$M$5:$M$11,WEEKDAY($A302,2)))</x:f>
        <x:v>1.03</x:v>
      </x:c>
      <x:c r="F302" s="11" t="n">
        <x:f>IF($A302="","",Assumptions!$B$15)</x:f>
        <x:v>0.35</x:v>
      </x:c>
      <x:c r="G302" s="11" t="n">
        <x:f>IF($A302="","",MAX(INDEX(Assumptions!$H$5:$H$12,MATCH($B302,Assumptions!$D$5:$D$12,0)),MIN(INDEX(Assumptions!$I$5:$I$12,MATCH($B302,Assumptions!$D$5:$D$12,0)),($C302+$D302*SQRT(-2*LN(RAND()))*COS(2*PI()*RAND()))*$E302*$J302*$K302)))</x:f>
        <x:v>1104.5896783804317</x:v>
      </x:c>
      <x:c r="H302" s="11" t="n">
        <x:f>IF($A302="","",$G302*$F302+$C302*(1-$F302))</x:f>
        <x:v>1114.606387433151</x:v>
      </x:c>
      <x:c r="I302" s="11" t="n">
        <x:f>IF($A302="","",AVERAGE($H302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1107.2581357079555</x:v>
      </x:c>
      <x:c r="J302" s="12" t="n">
        <x:f>IF($A302="","",1+SUMIFS(Assumptions!$S$5:$S$10,Assumptions!$P$5:$P$10,$B302,Assumptions!$Q$5:$Q$10,"&lt;="&amp;$A302,Assumptions!$R$5:$R$10,"&gt;="&amp;$A302))</x:f>
        <x:v>1</x:v>
      </x:c>
      <x:c r="K302" s="12" t="n">
        <x:f>IF($A302="","",1+((($A302-Assumptions!$B$5)/30)*INDEX(Assumptions!$J$5:$J$12,MATCH($B302,Assumptions!$D$5:$D$12,0))))</x:f>
        <x:v>1.004</x:v>
      </x:c>
      <x:c r="L302" t="str">
        <x:f>IF($A302="","",IFERROR(INDEX(Assumptions!$O$5:$O$10,MATCH(1,(Assumptions!$P$5:$P$10=$B302)*(Assumptions!$Q$5:$Q$10&lt;=$A302)*(Assumptions!$R$5:$R$10&gt;=$A302),0)),""))</x:f>
      </x:c>
      <x:c r="M302" t="n">
        <x:f>--($A302&lt;&gt;"")</x:f>
        <x:v>1</x:v>
      </x:c>
    </x:row>
    <x:row r="303">
      <x:c r="A303" s="10" t="n">
        <x:f>IF(Assumptions!$B$5+INT((ROW()-2)/Assumptions!$B$7)&gt;Assumptions!$B$6,"",Assumptions!$B$5+INT((ROW()-2)/Assumptions!$B$7))</x:f>
        <x:v>46083</x:v>
      </x:c>
      <x:c r="B303" t="str">
        <x:f>IF($A303="","",INDEX(Assumptions!$D$5:$D$12,MOD(ROW()-2,Assumptions!$B$7)+1))</x:f>
        <x:v>LV-426 North</x:v>
      </x:c>
      <x:c r="C303" s="11" t="n">
        <x:f>IF($A303="","",INDEX(Assumptions!$F$5:$F$12,MATCH($B303,Assumptions!$D$5:$D$12,0)))</x:f>
        <x:v>930</x:v>
      </x:c>
      <x:c r="D303" s="11" t="n">
        <x:f>IF($A303="","",INDEX(Assumptions!$G$5:$G$12,MATCH($B303,Assumptions!$D$5:$D$12,0)))</x:f>
        <x:v>95</x:v>
      </x:c>
      <x:c r="E303" s="11" t="n">
        <x:f>IF($A303="","",INDEX(Assumptions!$M$5:$M$11,WEEKDAY($A303,2)))</x:f>
        <x:v>1.03</x:v>
      </x:c>
      <x:c r="F303" s="11" t="n">
        <x:f>IF($A303="","",Assumptions!$B$15)</x:f>
        <x:v>0.35</x:v>
      </x:c>
      <x:c r="G303" s="11" t="n">
        <x:f>IF($A303="","",MAX(INDEX(Assumptions!$H$5:$H$12,MATCH($B303,Assumptions!$D$5:$D$12,0)),MIN(INDEX(Assumptions!$I$5:$I$12,MATCH($B303,Assumptions!$D$5:$D$12,0)),($C303+$D303*SQRT(-2*LN(RAND()))*COS(2*PI()*RAND()))*$E303*$J303*$K303)))</x:f>
        <x:v>931.9084663962374</x:v>
      </x:c>
      <x:c r="H303" s="11" t="n">
        <x:f>IF($A303="","",$G303*$F303+$C303*(1-$F303))</x:f>
        <x:v>930.6679632386831</x:v>
      </x:c>
      <x:c r="I303" s="11" t="n">
        <x:f>IF($A303="","",AVERAGE($H303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927.6065423892348</x:v>
      </x:c>
      <x:c r="J303" s="12" t="n">
        <x:f>IF($A303="","",1+SUMIFS(Assumptions!$S$5:$S$10,Assumptions!$P$5:$P$10,$B303,Assumptions!$Q$5:$Q$10,"&lt;="&amp;$A303,Assumptions!$R$5:$R$10,"&gt;="&amp;$A303))</x:f>
        <x:v>1</x:v>
      </x:c>
      <x:c r="K303" s="12" t="n">
        <x:f>IF($A303="","",1+((($A303-Assumptions!$B$5)/30)*INDEX(Assumptions!$J$5:$J$12,MATCH($B303,Assumptions!$D$5:$D$12,0))))</x:f>
        <x:v>0.998</x:v>
      </x:c>
      <x:c r="L303" t="str">
        <x:f>IF($A303="","",IFERROR(INDEX(Assumptions!$O$5:$O$10,MATCH(1,(Assumptions!$P$5:$P$10=$B303)*(Assumptions!$Q$5:$Q$10&lt;=$A303)*(Assumptions!$R$5:$R$10&gt;=$A303),0)),""))</x:f>
      </x:c>
      <x:c r="M303" t="n">
        <x:f>--($A303&lt;&gt;"")</x:f>
        <x:v>1</x:v>
      </x:c>
    </x:row>
    <x:row r="304">
      <x:c r="A304" s="10" t="n">
        <x:f>IF(Assumptions!$B$5+INT((ROW()-2)/Assumptions!$B$7)&gt;Assumptions!$B$6,"",Assumptions!$B$5+INT((ROW()-2)/Assumptions!$B$7))</x:f>
        <x:v>46083</x:v>
      </x:c>
      <x:c r="B304" t="str">
        <x:f>IF($A304="","",INDEX(Assumptions!$D$5:$D$12,MOD(ROW()-2,Assumptions!$B$7)+1))</x:f>
        <x:v>Nostromo Deep</x:v>
      </x:c>
      <x:c r="C304" s="11" t="n">
        <x:f>IF($A304="","",INDEX(Assumptions!$F$5:$F$12,MATCH($B304,Assumptions!$D$5:$D$12,0)))</x:f>
        <x:v>1260</x:v>
      </x:c>
      <x:c r="D304" s="11" t="n">
        <x:f>IF($A304="","",INDEX(Assumptions!$G$5:$G$12,MATCH($B304,Assumptions!$D$5:$D$12,0)))</x:f>
        <x:v>145</x:v>
      </x:c>
      <x:c r="E304" s="11" t="n">
        <x:f>IF($A304="","",INDEX(Assumptions!$M$5:$M$11,WEEKDAY($A304,2)))</x:f>
        <x:v>1.03</x:v>
      </x:c>
      <x:c r="F304" s="11" t="n">
        <x:f>IF($A304="","",Assumptions!$B$15)</x:f>
        <x:v>0.35</x:v>
      </x:c>
      <x:c r="G304" s="11" t="n">
        <x:f>IF($A304="","",MAX(INDEX(Assumptions!$H$5:$H$12,MATCH($B304,Assumptions!$D$5:$D$12,0)),MIN(INDEX(Assumptions!$I$5:$I$12,MATCH($B304,Assumptions!$D$5:$D$12,0)),($C304+$D304*SQRT(-2*LN(RAND()))*COS(2*PI()*RAND()))*$E304*$J304*$K304)))</x:f>
        <x:v>1034.9459131564324</x:v>
      </x:c>
      <x:c r="H304" s="11" t="n">
        <x:f>IF($A304="","",$G304*$F304+$C304*(1-$F304))</x:f>
        <x:v>1181.2310696047514</x:v>
      </x:c>
      <x:c r="I304" s="11" t="n">
        <x:f>IF($A304="","",AVERAGE($H304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1218.1913299444564</x:v>
      </x:c>
      <x:c r="J304" s="12" t="n">
        <x:f>IF($A304="","",1+SUMIFS(Assumptions!$S$5:$S$10,Assumptions!$P$5:$P$10,$B304,Assumptions!$Q$5:$Q$10,"&lt;="&amp;$A304,Assumptions!$R$5:$R$10,"&gt;="&amp;$A304))</x:f>
        <x:v>1</x:v>
      </x:c>
      <x:c r="K304" s="12" t="n">
        <x:f>IF($A304="","",1+((($A304-Assumptions!$B$5)/30)*INDEX(Assumptions!$J$5:$J$12,MATCH($B304,Assumptions!$D$5:$D$12,0))))</x:f>
        <x:v>1.006</x:v>
      </x:c>
      <x:c r="L304" t="str">
        <x:f>IF($A304="","",IFERROR(INDEX(Assumptions!$O$5:$O$10,MATCH(1,(Assumptions!$P$5:$P$10=$B304)*(Assumptions!$Q$5:$Q$10&lt;=$A304)*(Assumptions!$R$5:$R$10&gt;=$A304),0)),""))</x:f>
      </x:c>
      <x:c r="M304" t="n">
        <x:f>--($A304&lt;&gt;"")</x:f>
        <x:v>1</x:v>
      </x:c>
    </x:row>
    <x:row r="305">
      <x:c r="A305" s="10" t="n">
        <x:f>IF(Assumptions!$B$5+INT((ROW()-2)/Assumptions!$B$7)&gt;Assumptions!$B$6,"",Assumptions!$B$5+INT((ROW()-2)/Assumptions!$B$7))</x:f>
        <x:v>46083</x:v>
      </x:c>
      <x:c r="B305" t="str">
        <x:f>IF($A305="","",INDEX(Assumptions!$D$5:$D$12,MOD(ROW()-2,Assumptions!$B$7)+1))</x:f>
        <x:v>Hadley's Hope</x:v>
      </x:c>
      <x:c r="C305" s="11" t="n">
        <x:f>IF($A305="","",INDEX(Assumptions!$F$5:$F$12,MATCH($B305,Assumptions!$D$5:$D$12,0)))</x:f>
        <x:v>845</x:v>
      </x:c>
      <x:c r="D305" s="11" t="n">
        <x:f>IF($A305="","",INDEX(Assumptions!$G$5:$G$12,MATCH($B305,Assumptions!$D$5:$D$12,0)))</x:f>
        <x:v>80</x:v>
      </x:c>
      <x:c r="E305" s="11" t="n">
        <x:f>IF($A305="","",INDEX(Assumptions!$M$5:$M$11,WEEKDAY($A305,2)))</x:f>
        <x:v>1.03</x:v>
      </x:c>
      <x:c r="F305" s="11" t="n">
        <x:f>IF($A305="","",Assumptions!$B$15)</x:f>
        <x:v>0.35</x:v>
      </x:c>
      <x:c r="G305" s="11" t="n">
        <x:f>IF($A305="","",MAX(INDEX(Assumptions!$H$5:$H$12,MATCH($B305,Assumptions!$D$5:$D$12,0)),MIN(INDEX(Assumptions!$I$5:$I$12,MATCH($B305,Assumptions!$D$5:$D$12,0)),($C305+$D305*SQRT(-2*LN(RAND()))*COS(2*PI()*RAND()))*$E305*$J305*$K305)))</x:f>
        <x:v>882.3237883837302</x:v>
      </x:c>
      <x:c r="H305" s="11" t="n">
        <x:f>IF($A305="","",$G305*$F305+$C305*(1-$F305))</x:f>
        <x:v>858.0633259343056</x:v>
      </x:c>
      <x:c r="I305" s="11" t="n">
        <x:f>IF($A305="","",AVERAGE($H305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852.8533087914683</x:v>
      </x:c>
      <x:c r="J305" s="12" t="n">
        <x:f>IF($A305="","",1+SUMIFS(Assumptions!$S$5:$S$10,Assumptions!$P$5:$P$10,$B305,Assumptions!$Q$5:$Q$10,"&lt;="&amp;$A305,Assumptions!$R$5:$R$10,"&gt;="&amp;$A305))</x:f>
        <x:v>1</x:v>
      </x:c>
      <x:c r="K305" s="12" t="n">
        <x:f>IF($A305="","",1+((($A305-Assumptions!$B$5)/30)*INDEX(Assumptions!$J$5:$J$12,MATCH($B305,Assumptions!$D$5:$D$12,0))))</x:f>
        <x:v>1.002</x:v>
      </x:c>
      <x:c r="L305" t="str">
        <x:f>IF($A305="","",IFERROR(INDEX(Assumptions!$O$5:$O$10,MATCH(1,(Assumptions!$P$5:$P$10=$B305)*(Assumptions!$Q$5:$Q$10&lt;=$A305)*(Assumptions!$R$5:$R$10&gt;=$A305),0)),""))</x:f>
      </x:c>
      <x:c r="M305" t="n">
        <x:f>--($A305&lt;&gt;"")</x:f>
        <x:v>1</x:v>
      </x:c>
    </x:row>
    <x:row r="306">
      <x:c r="A306" s="10" t="n">
        <x:f>IF(Assumptions!$B$5+INT((ROW()-2)/Assumptions!$B$7)&gt;Assumptions!$B$6,"",Assumptions!$B$5+INT((ROW()-2)/Assumptions!$B$7))</x:f>
        <x:v>46083</x:v>
      </x:c>
      <x:c r="B306" t="str">
        <x:f>IF($A306="","",INDEX(Assumptions!$D$5:$D$12,MOD(ROW()-2,Assumptions!$B$7)+1))</x:f>
        <x:v>Yutani Ridge</x:v>
      </x:c>
      <x:c r="C306" s="11" t="n">
        <x:f>IF($A306="","",INDEX(Assumptions!$F$5:$F$12,MATCH($B306,Assumptions!$D$5:$D$12,0)))</x:f>
        <x:v>1050</x:v>
      </x:c>
      <x:c r="D306" s="11" t="n">
        <x:f>IF($A306="","",INDEX(Assumptions!$G$5:$G$12,MATCH($B306,Assumptions!$D$5:$D$12,0)))</x:f>
        <x:v>125</x:v>
      </x:c>
      <x:c r="E306" s="11" t="n">
        <x:f>IF($A306="","",INDEX(Assumptions!$M$5:$M$11,WEEKDAY($A306,2)))</x:f>
        <x:v>1.03</x:v>
      </x:c>
      <x:c r="F306" s="11" t="n">
        <x:f>IF($A306="","",Assumptions!$B$15)</x:f>
        <x:v>0.35</x:v>
      </x:c>
      <x:c r="G306" s="11" t="n">
        <x:f>IF($A306="","",MAX(INDEX(Assumptions!$H$5:$H$12,MATCH($B306,Assumptions!$D$5:$D$12,0)),MIN(INDEX(Assumptions!$I$5:$I$12,MATCH($B306,Assumptions!$D$5:$D$12,0)),($C306+$D306*SQRT(-2*LN(RAND()))*COS(2*PI()*RAND()))*$E306*$J306*$K306)))</x:f>
        <x:v>831.0228661304295</x:v>
      </x:c>
      <x:c r="H306" s="11" t="n">
        <x:f>IF($A306="","",$G306*$F306+$C306*(1-$F306))</x:f>
        <x:v>973.3580031456503</x:v>
      </x:c>
      <x:c r="I306" s="11" t="n">
        <x:f>IF($A306="","",AVERAGE($H306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1038.7451359636</x:v>
      </x:c>
      <x:c r="J306" s="12" t="n">
        <x:f>IF($A306="","",1+SUMIFS(Assumptions!$S$5:$S$10,Assumptions!$P$5:$P$10,$B306,Assumptions!$Q$5:$Q$10,"&lt;="&amp;$A306,Assumptions!$R$5:$R$10,"&gt;="&amp;$A306))</x:f>
        <x:v>1</x:v>
      </x:c>
      <x:c r="K306" s="12" t="n">
        <x:f>IF($A306="","",1+((($A306-Assumptions!$B$5)/30)*INDEX(Assumptions!$J$5:$J$12,MATCH($B306,Assumptions!$D$5:$D$12,0))))</x:f>
        <x:v>1.005</x:v>
      </x:c>
      <x:c r="L306" t="str">
        <x:f>IF($A306="","",IFERROR(INDEX(Assumptions!$O$5:$O$10,MATCH(1,(Assumptions!$P$5:$P$10=$B306)*(Assumptions!$Q$5:$Q$10&lt;=$A306)*(Assumptions!$R$5:$R$10&gt;=$A306),0)),""))</x:f>
      </x:c>
      <x:c r="M306" t="n">
        <x:f>--($A306&lt;&gt;"")</x:f>
        <x:v>1</x:v>
      </x:c>
    </x:row>
    <x:row r="307">
      <x:c r="A307" s="10" t="n">
        <x:f>IF(Assumptions!$B$5+INT((ROW()-2)/Assumptions!$B$7)&gt;Assumptions!$B$6,"",Assumptions!$B$5+INT((ROW()-2)/Assumptions!$B$7))</x:f>
        <x:v>46084</x:v>
      </x:c>
      <x:c r="B307" t="str">
        <x:f>IF($A307="","",INDEX(Assumptions!$D$5:$D$12,MOD(ROW()-2,Assumptions!$B$7)+1))</x:f>
        <x:v>Acheron Prime</x:v>
      </x:c>
      <x:c r="C307" s="11" t="n">
        <x:f>IF($A307="","",INDEX(Assumptions!$F$5:$F$12,MATCH($B307,Assumptions!$D$5:$D$12,0)))</x:f>
        <x:v>1120</x:v>
      </x:c>
      <x:c r="D307" s="11" t="n">
        <x:f>IF($A307="","",INDEX(Assumptions!$G$5:$G$12,MATCH($B307,Assumptions!$D$5:$D$12,0)))</x:f>
        <x:v>115</x:v>
      </x:c>
      <x:c r="E307" s="11" t="n">
        <x:f>IF($A307="","",INDEX(Assumptions!$M$5:$M$11,WEEKDAY($A307,2)))</x:f>
        <x:v>1.02</x:v>
      </x:c>
      <x:c r="F307" s="11" t="n">
        <x:f>IF($A307="","",Assumptions!$B$15)</x:f>
        <x:v>0.35</x:v>
      </x:c>
      <x:c r="G307" s="11" t="n">
        <x:f>IF($A307="","",MAX(INDEX(Assumptions!$H$5:$H$12,MATCH($B307,Assumptions!$D$5:$D$12,0)),MIN(INDEX(Assumptions!$I$5:$I$12,MATCH($B307,Assumptions!$D$5:$D$12,0)),($C307+$D307*SQRT(-2*LN(RAND()))*COS(2*PI()*RAND()))*$E307*$J307*$K307)))</x:f>
        <x:v>942.8766981943185</x:v>
      </x:c>
      <x:c r="H307" s="11" t="n">
        <x:f>IF($A307="","",$G307*$F307+$C307*(1-$F307))</x:f>
        <x:v>1058.0068443680116</x:v>
      </x:c>
      <x:c r="I307" s="11" t="n">
        <x:f>IF($A307="","",AVERAGE($H307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1086.9714270629408</x:v>
      </x:c>
      <x:c r="J307" s="12" t="n">
        <x:f>IF($A307="","",1+SUMIFS(Assumptions!$S$5:$S$10,Assumptions!$P$5:$P$10,$B307,Assumptions!$Q$5:$Q$10,"&lt;="&amp;$A307,Assumptions!$R$5:$R$10,"&gt;="&amp;$A307))</x:f>
        <x:v>1</x:v>
      </x:c>
      <x:c r="K307" s="12" t="n">
        <x:f>IF($A307="","",1+((($A307-Assumptions!$B$5)/30)*INDEX(Assumptions!$J$5:$J$12,MATCH($B307,Assumptions!$D$5:$D$12,0))))</x:f>
        <x:v>1.0040666666666667</x:v>
      </x:c>
      <x:c r="L307" t="str">
        <x:f>IF($A307="","",IFERROR(INDEX(Assumptions!$O$5:$O$10,MATCH(1,(Assumptions!$P$5:$P$10=$B307)*(Assumptions!$Q$5:$Q$10&lt;=$A307)*(Assumptions!$R$5:$R$10&gt;=$A307),0)),""))</x:f>
      </x:c>
      <x:c r="M307" t="n">
        <x:f>--($A307&lt;&gt;"")</x:f>
        <x:v>1</x:v>
      </x:c>
    </x:row>
    <x:row r="308">
      <x:c r="A308" s="10" t="n">
        <x:f>IF(Assumptions!$B$5+INT((ROW()-2)/Assumptions!$B$7)&gt;Assumptions!$B$6,"",Assumptions!$B$5+INT((ROW()-2)/Assumptions!$B$7))</x:f>
        <x:v>46084</x:v>
      </x:c>
      <x:c r="B308" t="str">
        <x:f>IF($A308="","",INDEX(Assumptions!$D$5:$D$12,MOD(ROW()-2,Assumptions!$B$7)+1))</x:f>
        <x:v>LV-426 North</x:v>
      </x:c>
      <x:c r="C308" s="11" t="n">
        <x:f>IF($A308="","",INDEX(Assumptions!$F$5:$F$12,MATCH($B308,Assumptions!$D$5:$D$12,0)))</x:f>
        <x:v>930</x:v>
      </x:c>
      <x:c r="D308" s="11" t="n">
        <x:f>IF($A308="","",INDEX(Assumptions!$G$5:$G$12,MATCH($B308,Assumptions!$D$5:$D$12,0)))</x:f>
        <x:v>95</x:v>
      </x:c>
      <x:c r="E308" s="11" t="n">
        <x:f>IF($A308="","",INDEX(Assumptions!$M$5:$M$11,WEEKDAY($A308,2)))</x:f>
        <x:v>1.02</x:v>
      </x:c>
      <x:c r="F308" s="11" t="n">
        <x:f>IF($A308="","",Assumptions!$B$15)</x:f>
        <x:v>0.35</x:v>
      </x:c>
      <x:c r="G308" s="11" t="n">
        <x:f>IF($A308="","",MAX(INDEX(Assumptions!$H$5:$H$12,MATCH($B308,Assumptions!$D$5:$D$12,0)),MIN(INDEX(Assumptions!$I$5:$I$12,MATCH($B308,Assumptions!$D$5:$D$12,0)),($C308+$D308*SQRT(-2*LN(RAND()))*COS(2*PI()*RAND()))*$E308*$J308*$K308)))</x:f>
        <x:v>880.834250034129</x:v>
      </x:c>
      <x:c r="H308" s="11" t="n">
        <x:f>IF($A308="","",$G308*$F308+$C308*(1-$F308))</x:f>
        <x:v>912.7919875119451</x:v>
      </x:c>
      <x:c r="I308" s="11" t="n">
        <x:f>IF($A308="","",AVERAGE($H308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918.1081770364507</x:v>
      </x:c>
      <x:c r="J308" s="12" t="n">
        <x:f>IF($A308="","",1+SUMIFS(Assumptions!$S$5:$S$10,Assumptions!$P$5:$P$10,$B308,Assumptions!$Q$5:$Q$10,"&lt;="&amp;$A308,Assumptions!$R$5:$R$10,"&gt;="&amp;$A308))</x:f>
        <x:v>1</x:v>
      </x:c>
      <x:c r="K308" s="12" t="n">
        <x:f>IF($A308="","",1+((($A308-Assumptions!$B$5)/30)*INDEX(Assumptions!$J$5:$J$12,MATCH($B308,Assumptions!$D$5:$D$12,0))))</x:f>
        <x:v>0.9979666666666667</x:v>
      </x:c>
      <x:c r="L308" t="str">
        <x:f>IF($A308="","",IFERROR(INDEX(Assumptions!$O$5:$O$10,MATCH(1,(Assumptions!$P$5:$P$10=$B308)*(Assumptions!$Q$5:$Q$10&lt;=$A308)*(Assumptions!$R$5:$R$10&gt;=$A308),0)),""))</x:f>
      </x:c>
      <x:c r="M308" t="n">
        <x:f>--($A308&lt;&gt;"")</x:f>
        <x:v>1</x:v>
      </x:c>
    </x:row>
    <x:row r="309">
      <x:c r="A309" s="10" t="n">
        <x:f>IF(Assumptions!$B$5+INT((ROW()-2)/Assumptions!$B$7)&gt;Assumptions!$B$6,"",Assumptions!$B$5+INT((ROW()-2)/Assumptions!$B$7))</x:f>
        <x:v>46084</x:v>
      </x:c>
      <x:c r="B309" t="str">
        <x:f>IF($A309="","",INDEX(Assumptions!$D$5:$D$12,MOD(ROW()-2,Assumptions!$B$7)+1))</x:f>
        <x:v>Nostromo Deep</x:v>
      </x:c>
      <x:c r="C309" s="11" t="n">
        <x:f>IF($A309="","",INDEX(Assumptions!$F$5:$F$12,MATCH($B309,Assumptions!$D$5:$D$12,0)))</x:f>
        <x:v>1260</x:v>
      </x:c>
      <x:c r="D309" s="11" t="n">
        <x:f>IF($A309="","",INDEX(Assumptions!$G$5:$G$12,MATCH($B309,Assumptions!$D$5:$D$12,0)))</x:f>
        <x:v>145</x:v>
      </x:c>
      <x:c r="E309" s="11" t="n">
        <x:f>IF($A309="","",INDEX(Assumptions!$M$5:$M$11,WEEKDAY($A309,2)))</x:f>
        <x:v>1.02</x:v>
      </x:c>
      <x:c r="F309" s="11" t="n">
        <x:f>IF($A309="","",Assumptions!$B$15)</x:f>
        <x:v>0.35</x:v>
      </x:c>
      <x:c r="G309" s="11" t="n">
        <x:f>IF($A309="","",MAX(INDEX(Assumptions!$H$5:$H$12,MATCH($B309,Assumptions!$D$5:$D$12,0)),MIN(INDEX(Assumptions!$I$5:$I$12,MATCH($B309,Assumptions!$D$5:$D$12,0)),($C309+$D309*SQRT(-2*LN(RAND()))*COS(2*PI()*RAND()))*$E309*$J309*$K309)))</x:f>
        <x:v>1179.7220455410165</x:v>
      </x:c>
      <x:c r="H309" s="11" t="n">
        <x:f>IF($A309="","",$G309*$F309+$C309*(1-$F309))</x:f>
        <x:v>1231.9027159393559</x:v>
      </x:c>
      <x:c r="I309" s="11" t="n">
        <x:f>IF($A309="","",AVERAGE($H309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1224.5875442632112</x:v>
      </x:c>
      <x:c r="J309" s="12" t="n">
        <x:f>IF($A309="","",1+SUMIFS(Assumptions!$S$5:$S$10,Assumptions!$P$5:$P$10,$B309,Assumptions!$Q$5:$Q$10,"&lt;="&amp;$A309,Assumptions!$R$5:$R$10,"&gt;="&amp;$A309))</x:f>
        <x:v>1</x:v>
      </x:c>
      <x:c r="K309" s="12" t="n">
        <x:f>IF($A309="","",1+((($A309-Assumptions!$B$5)/30)*INDEX(Assumptions!$J$5:$J$12,MATCH($B309,Assumptions!$D$5:$D$12,0))))</x:f>
        <x:v>1.0061</x:v>
      </x:c>
      <x:c r="L309" t="str">
        <x:f>IF($A309="","",IFERROR(INDEX(Assumptions!$O$5:$O$10,MATCH(1,(Assumptions!$P$5:$P$10=$B309)*(Assumptions!$Q$5:$Q$10&lt;=$A309)*(Assumptions!$R$5:$R$10&gt;=$A309),0)),""))</x:f>
      </x:c>
      <x:c r="M309" t="n">
        <x:f>--($A309&lt;&gt;"")</x:f>
        <x:v>1</x:v>
      </x:c>
    </x:row>
    <x:row r="310">
      <x:c r="A310" s="10" t="n">
        <x:f>IF(Assumptions!$B$5+INT((ROW()-2)/Assumptions!$B$7)&gt;Assumptions!$B$6,"",Assumptions!$B$5+INT((ROW()-2)/Assumptions!$B$7))</x:f>
        <x:v>46084</x:v>
      </x:c>
      <x:c r="B310" t="str">
        <x:f>IF($A310="","",INDEX(Assumptions!$D$5:$D$12,MOD(ROW()-2,Assumptions!$B$7)+1))</x:f>
        <x:v>Hadley's Hope</x:v>
      </x:c>
      <x:c r="C310" s="11" t="n">
        <x:f>IF($A310="","",INDEX(Assumptions!$F$5:$F$12,MATCH($B310,Assumptions!$D$5:$D$12,0)))</x:f>
        <x:v>845</x:v>
      </x:c>
      <x:c r="D310" s="11" t="n">
        <x:f>IF($A310="","",INDEX(Assumptions!$G$5:$G$12,MATCH($B310,Assumptions!$D$5:$D$12,0)))</x:f>
        <x:v>80</x:v>
      </x:c>
      <x:c r="E310" s="11" t="n">
        <x:f>IF($A310="","",INDEX(Assumptions!$M$5:$M$11,WEEKDAY($A310,2)))</x:f>
        <x:v>1.02</x:v>
      </x:c>
      <x:c r="F310" s="11" t="n">
        <x:f>IF($A310="","",Assumptions!$B$15)</x:f>
        <x:v>0.35</x:v>
      </x:c>
      <x:c r="G310" s="11" t="n">
        <x:f>IF($A310="","",MAX(INDEX(Assumptions!$H$5:$H$12,MATCH($B310,Assumptions!$D$5:$D$12,0)),MIN(INDEX(Assumptions!$I$5:$I$12,MATCH($B310,Assumptions!$D$5:$D$12,0)),($C310+$D310*SQRT(-2*LN(RAND()))*COS(2*PI()*RAND()))*$E310*$J310*$K310)))</x:f>
        <x:v>845.3875886918602</x:v>
      </x:c>
      <x:c r="H310" s="11" t="n">
        <x:f>IF($A310="","",$G310*$F310+$C310*(1-$F310))</x:f>
        <x:v>845.135656042151</x:v>
      </x:c>
      <x:c r="I310" s="11" t="n">
        <x:f>IF($A310="","",AVERAGE($H310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849.6482035299139</x:v>
      </x:c>
      <x:c r="J310" s="12" t="n">
        <x:f>IF($A310="","",1+SUMIFS(Assumptions!$S$5:$S$10,Assumptions!$P$5:$P$10,$B310,Assumptions!$Q$5:$Q$10,"&lt;="&amp;$A310,Assumptions!$R$5:$R$10,"&gt;="&amp;$A310))</x:f>
        <x:v>1</x:v>
      </x:c>
      <x:c r="K310" s="12" t="n">
        <x:f>IF($A310="","",1+((($A310-Assumptions!$B$5)/30)*INDEX(Assumptions!$J$5:$J$12,MATCH($B310,Assumptions!$D$5:$D$12,0))))</x:f>
        <x:v>1.0020333333333333</x:v>
      </x:c>
      <x:c r="L310" t="str">
        <x:f>IF($A310="","",IFERROR(INDEX(Assumptions!$O$5:$O$10,MATCH(1,(Assumptions!$P$5:$P$10=$B310)*(Assumptions!$Q$5:$Q$10&lt;=$A310)*(Assumptions!$R$5:$R$10&gt;=$A310),0)),""))</x:f>
      </x:c>
      <x:c r="M310" t="n">
        <x:f>--($A310&lt;&gt;"")</x:f>
        <x:v>1</x:v>
      </x:c>
    </x:row>
    <x:row r="311">
      <x:c r="A311" s="10" t="n">
        <x:f>IF(Assumptions!$B$5+INT((ROW()-2)/Assumptions!$B$7)&gt;Assumptions!$B$6,"",Assumptions!$B$5+INT((ROW()-2)/Assumptions!$B$7))</x:f>
        <x:v>46084</x:v>
      </x:c>
      <x:c r="B311" t="str">
        <x:f>IF($A311="","",INDEX(Assumptions!$D$5:$D$12,MOD(ROW()-2,Assumptions!$B$7)+1))</x:f>
        <x:v>Yutani Ridge</x:v>
      </x:c>
      <x:c r="C311" s="11" t="n">
        <x:f>IF($A311="","",INDEX(Assumptions!$F$5:$F$12,MATCH($B311,Assumptions!$D$5:$D$12,0)))</x:f>
        <x:v>1050</x:v>
      </x:c>
      <x:c r="D311" s="11" t="n">
        <x:f>IF($A311="","",INDEX(Assumptions!$G$5:$G$12,MATCH($B311,Assumptions!$D$5:$D$12,0)))</x:f>
        <x:v>125</x:v>
      </x:c>
      <x:c r="E311" s="11" t="n">
        <x:f>IF($A311="","",INDEX(Assumptions!$M$5:$M$11,WEEKDAY($A311,2)))</x:f>
        <x:v>1.02</x:v>
      </x:c>
      <x:c r="F311" s="11" t="n">
        <x:f>IF($A311="","",Assumptions!$B$15)</x:f>
        <x:v>0.35</x:v>
      </x:c>
      <x:c r="G311" s="11" t="n">
        <x:f>IF($A311="","",MAX(INDEX(Assumptions!$H$5:$H$12,MATCH($B311,Assumptions!$D$5:$D$12,0)),MIN(INDEX(Assumptions!$I$5:$I$12,MATCH($B311,Assumptions!$D$5:$D$12,0)),($C311+$D311*SQRT(-2*LN(RAND()))*COS(2*PI()*RAND()))*$E311*$J311*$K311)))</x:f>
        <x:v>1150.7796336384229</x:v>
      </x:c>
      <x:c r="H311" s="11" t="n">
        <x:f>IF($A311="","",$G311*$F311+$C311*(1-$F311))</x:f>
        <x:v>1085.272871773448</x:v>
      </x:c>
      <x:c r="I311" s="11" t="n">
        <x:f>IF($A311="","",AVERAGE($H311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1037.7070448877269</x:v>
      </x:c>
      <x:c r="J311" s="12" t="n">
        <x:f>IF($A311="","",1+SUMIFS(Assumptions!$S$5:$S$10,Assumptions!$P$5:$P$10,$B311,Assumptions!$Q$5:$Q$10,"&lt;="&amp;$A311,Assumptions!$R$5:$R$10,"&gt;="&amp;$A311))</x:f>
        <x:v>1</x:v>
      </x:c>
      <x:c r="K311" s="12" t="n">
        <x:f>IF($A311="","",1+((($A311-Assumptions!$B$5)/30)*INDEX(Assumptions!$J$5:$J$12,MATCH($B311,Assumptions!$D$5:$D$12,0))))</x:f>
        <x:v>1.0050833333333333</x:v>
      </x:c>
      <x:c r="L311" t="str">
        <x:f>IF($A311="","",IFERROR(INDEX(Assumptions!$O$5:$O$10,MATCH(1,(Assumptions!$P$5:$P$10=$B311)*(Assumptions!$Q$5:$Q$10&lt;=$A311)*(Assumptions!$R$5:$R$10&gt;=$A311),0)),""))</x:f>
      </x:c>
      <x:c r="M311" t="n">
        <x:f>--($A311&lt;&gt;"")</x:f>
        <x:v>1</x:v>
      </x:c>
    </x:row>
    <x:row r="312">
      <x:c r="A312" s="10" t="n">
        <x:f>IF(Assumptions!$B$5+INT((ROW()-2)/Assumptions!$B$7)&gt;Assumptions!$B$6,"",Assumptions!$B$5+INT((ROW()-2)/Assumptions!$B$7))</x:f>
        <x:v>46085</x:v>
      </x:c>
      <x:c r="B312" t="str">
        <x:f>IF($A312="","",INDEX(Assumptions!$D$5:$D$12,MOD(ROW()-2,Assumptions!$B$7)+1))</x:f>
        <x:v>Acheron Prime</x:v>
      </x:c>
      <x:c r="C312" s="11" t="n">
        <x:f>IF($A312="","",INDEX(Assumptions!$F$5:$F$12,MATCH($B312,Assumptions!$D$5:$D$12,0)))</x:f>
        <x:v>1120</x:v>
      </x:c>
      <x:c r="D312" s="11" t="n">
        <x:f>IF($A312="","",INDEX(Assumptions!$G$5:$G$12,MATCH($B312,Assumptions!$D$5:$D$12,0)))</x:f>
        <x:v>115</x:v>
      </x:c>
      <x:c r="E312" s="11" t="n">
        <x:f>IF($A312="","",INDEX(Assumptions!$M$5:$M$11,WEEKDAY($A312,2)))</x:f>
        <x:v>1.01</x:v>
      </x:c>
      <x:c r="F312" s="11" t="n">
        <x:f>IF($A312="","",Assumptions!$B$15)</x:f>
        <x:v>0.35</x:v>
      </x:c>
      <x:c r="G312" s="11" t="n">
        <x:f>IF($A312="","",MAX(INDEX(Assumptions!$H$5:$H$12,MATCH($B312,Assumptions!$D$5:$D$12,0)),MIN(INDEX(Assumptions!$I$5:$I$12,MATCH($B312,Assumptions!$D$5:$D$12,0)),($C312+$D312*SQRT(-2*LN(RAND()))*COS(2*PI()*RAND()))*$E312*$J312*$K312)))</x:f>
        <x:v>1073.5900845919418</x:v>
      </x:c>
      <x:c r="H312" s="11" t="n">
        <x:f>IF($A312="","",$G312*$F312+$C312*(1-$F312))</x:f>
        <x:v>1103.7565296071796</x:v>
      </x:c>
      <x:c r="I312" s="11" t="n">
        <x:f>IF($A312="","",AVERAGE($H312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1084.255525150714</x:v>
      </x:c>
      <x:c r="J312" s="12" t="n">
        <x:f>IF($A312="","",1+SUMIFS(Assumptions!$S$5:$S$10,Assumptions!$P$5:$P$10,$B312,Assumptions!$Q$5:$Q$10,"&lt;="&amp;$A312,Assumptions!$R$5:$R$10,"&gt;="&amp;$A312))</x:f>
        <x:v>1</x:v>
      </x:c>
      <x:c r="K312" s="12" t="n">
        <x:f>IF($A312="","",1+((($A312-Assumptions!$B$5)/30)*INDEX(Assumptions!$J$5:$J$12,MATCH($B312,Assumptions!$D$5:$D$12,0))))</x:f>
        <x:v>1.0041333333333333</x:v>
      </x:c>
      <x:c r="L312" t="str">
        <x:f>IF($A312="","",IFERROR(INDEX(Assumptions!$O$5:$O$10,MATCH(1,(Assumptions!$P$5:$P$10=$B312)*(Assumptions!$Q$5:$Q$10&lt;=$A312)*(Assumptions!$R$5:$R$10&gt;=$A312),0)),""))</x:f>
      </x:c>
      <x:c r="M312" t="n">
        <x:f>--($A312&lt;&gt;"")</x:f>
        <x:v>1</x:v>
      </x:c>
    </x:row>
    <x:row r="313">
      <x:c r="A313" s="10" t="n">
        <x:f>IF(Assumptions!$B$5+INT((ROW()-2)/Assumptions!$B$7)&gt;Assumptions!$B$6,"",Assumptions!$B$5+INT((ROW()-2)/Assumptions!$B$7))</x:f>
        <x:v>46085</x:v>
      </x:c>
      <x:c r="B313" t="str">
        <x:f>IF($A313="","",INDEX(Assumptions!$D$5:$D$12,MOD(ROW()-2,Assumptions!$B$7)+1))</x:f>
        <x:v>LV-426 North</x:v>
      </x:c>
      <x:c r="C313" s="11" t="n">
        <x:f>IF($A313="","",INDEX(Assumptions!$F$5:$F$12,MATCH($B313,Assumptions!$D$5:$D$12,0)))</x:f>
        <x:v>930</x:v>
      </x:c>
      <x:c r="D313" s="11" t="n">
        <x:f>IF($A313="","",INDEX(Assumptions!$G$5:$G$12,MATCH($B313,Assumptions!$D$5:$D$12,0)))</x:f>
        <x:v>95</x:v>
      </x:c>
      <x:c r="E313" s="11" t="n">
        <x:f>IF($A313="","",INDEX(Assumptions!$M$5:$M$11,WEEKDAY($A313,2)))</x:f>
        <x:v>1.01</x:v>
      </x:c>
      <x:c r="F313" s="11" t="n">
        <x:f>IF($A313="","",Assumptions!$B$15)</x:f>
        <x:v>0.35</x:v>
      </x:c>
      <x:c r="G313" s="11" t="n">
        <x:f>IF($A313="","",MAX(INDEX(Assumptions!$H$5:$H$12,MATCH($B313,Assumptions!$D$5:$D$12,0)),MIN(INDEX(Assumptions!$I$5:$I$12,MATCH($B313,Assumptions!$D$5:$D$12,0)),($C313+$D313*SQRT(-2*LN(RAND()))*COS(2*PI()*RAND()))*$E313*$J313*$K313)))</x:f>
        <x:v>974.52854902188</x:v>
      </x:c>
      <x:c r="H313" s="11" t="n">
        <x:f>IF($A313="","",$G313*$F313+$C313*(1-$F313))</x:f>
        <x:v>945.584992157658</x:v>
      </x:c>
      <x:c r="I313" s="11" t="n">
        <x:f>IF($A313="","",AVERAGE($H313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920.0048309323868</x:v>
      </x:c>
      <x:c r="J313" s="12" t="n">
        <x:f>IF($A313="","",1+SUMIFS(Assumptions!$S$5:$S$10,Assumptions!$P$5:$P$10,$B313,Assumptions!$Q$5:$Q$10,"&lt;="&amp;$A313,Assumptions!$R$5:$R$10,"&gt;="&amp;$A313))</x:f>
        <x:v>1</x:v>
      </x:c>
      <x:c r="K313" s="12" t="n">
        <x:f>IF($A313="","",1+((($A313-Assumptions!$B$5)/30)*INDEX(Assumptions!$J$5:$J$12,MATCH($B313,Assumptions!$D$5:$D$12,0))))</x:f>
        <x:v>0.9979333333333333</x:v>
      </x:c>
      <x:c r="L313" t="str">
        <x:f>IF($A313="","",IFERROR(INDEX(Assumptions!$O$5:$O$10,MATCH(1,(Assumptions!$P$5:$P$10=$B313)*(Assumptions!$Q$5:$Q$10&lt;=$A313)*(Assumptions!$R$5:$R$10&gt;=$A313),0)),""))</x:f>
      </x:c>
      <x:c r="M313" t="n">
        <x:f>--($A313&lt;&gt;"")</x:f>
        <x:v>1</x:v>
      </x:c>
    </x:row>
    <x:row r="314">
      <x:c r="A314" s="10" t="n">
        <x:f>IF(Assumptions!$B$5+INT((ROW()-2)/Assumptions!$B$7)&gt;Assumptions!$B$6,"",Assumptions!$B$5+INT((ROW()-2)/Assumptions!$B$7))</x:f>
        <x:v>46085</x:v>
      </x:c>
      <x:c r="B314" t="str">
        <x:f>IF($A314="","",INDEX(Assumptions!$D$5:$D$12,MOD(ROW()-2,Assumptions!$B$7)+1))</x:f>
        <x:v>Nostromo Deep</x:v>
      </x:c>
      <x:c r="C314" s="11" t="n">
        <x:f>IF($A314="","",INDEX(Assumptions!$F$5:$F$12,MATCH($B314,Assumptions!$D$5:$D$12,0)))</x:f>
        <x:v>1260</x:v>
      </x:c>
      <x:c r="D314" s="11" t="n">
        <x:f>IF($A314="","",INDEX(Assumptions!$G$5:$G$12,MATCH($B314,Assumptions!$D$5:$D$12,0)))</x:f>
        <x:v>145</x:v>
      </x:c>
      <x:c r="E314" s="11" t="n">
        <x:f>IF($A314="","",INDEX(Assumptions!$M$5:$M$11,WEEKDAY($A314,2)))</x:f>
        <x:v>1.01</x:v>
      </x:c>
      <x:c r="F314" s="11" t="n">
        <x:f>IF($A314="","",Assumptions!$B$15)</x:f>
        <x:v>0.35</x:v>
      </x:c>
      <x:c r="G314" s="11" t="n">
        <x:f>IF($A314="","",MAX(INDEX(Assumptions!$H$5:$H$12,MATCH($B314,Assumptions!$D$5:$D$12,0)),MIN(INDEX(Assumptions!$I$5:$I$12,MATCH($B314,Assumptions!$D$5:$D$12,0)),($C314+$D314*SQRT(-2*LN(RAND()))*COS(2*PI()*RAND()))*$E314*$J314*$K314)))</x:f>
        <x:v>924.334261748477</x:v>
      </x:c>
      <x:c r="H314" s="11" t="n">
        <x:f>IF($A314="","",$G314*$F314+$C314*(1-$F314))</x:f>
        <x:v>1142.516991611967</x:v>
      </x:c>
      <x:c r="I314" s="11" t="n">
        <x:f>IF($A314="","",AVERAGE($H314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1193.3000803765767</x:v>
      </x:c>
      <x:c r="J314" s="12" t="n">
        <x:f>IF($A314="","",1+SUMIFS(Assumptions!$S$5:$S$10,Assumptions!$P$5:$P$10,$B314,Assumptions!$Q$5:$Q$10,"&lt;="&amp;$A314,Assumptions!$R$5:$R$10,"&gt;="&amp;$A314))</x:f>
        <x:v>1</x:v>
      </x:c>
      <x:c r="K314" s="12" t="n">
        <x:f>IF($A314="","",1+((($A314-Assumptions!$B$5)/30)*INDEX(Assumptions!$J$5:$J$12,MATCH($B314,Assumptions!$D$5:$D$12,0))))</x:f>
        <x:v>1.0062</x:v>
      </x:c>
      <x:c r="L314" t="str">
        <x:f>IF($A314="","",IFERROR(INDEX(Assumptions!$O$5:$O$10,MATCH(1,(Assumptions!$P$5:$P$10=$B314)*(Assumptions!$Q$5:$Q$10&lt;=$A314)*(Assumptions!$R$5:$R$10&gt;=$A314),0)),""))</x:f>
      </x:c>
      <x:c r="M314" t="n">
        <x:f>--($A314&lt;&gt;"")</x:f>
        <x:v>1</x:v>
      </x:c>
    </x:row>
    <x:row r="315">
      <x:c r="A315" s="10" t="n">
        <x:f>IF(Assumptions!$B$5+INT((ROW()-2)/Assumptions!$B$7)&gt;Assumptions!$B$6,"",Assumptions!$B$5+INT((ROW()-2)/Assumptions!$B$7))</x:f>
        <x:v>46085</x:v>
      </x:c>
      <x:c r="B315" t="str">
        <x:f>IF($A315="","",INDEX(Assumptions!$D$5:$D$12,MOD(ROW()-2,Assumptions!$B$7)+1))</x:f>
        <x:v>Hadley's Hope</x:v>
      </x:c>
      <x:c r="C315" s="11" t="n">
        <x:f>IF($A315="","",INDEX(Assumptions!$F$5:$F$12,MATCH($B315,Assumptions!$D$5:$D$12,0)))</x:f>
        <x:v>845</x:v>
      </x:c>
      <x:c r="D315" s="11" t="n">
        <x:f>IF($A315="","",INDEX(Assumptions!$G$5:$G$12,MATCH($B315,Assumptions!$D$5:$D$12,0)))</x:f>
        <x:v>80</x:v>
      </x:c>
      <x:c r="E315" s="11" t="n">
        <x:f>IF($A315="","",INDEX(Assumptions!$M$5:$M$11,WEEKDAY($A315,2)))</x:f>
        <x:v>1.01</x:v>
      </x:c>
      <x:c r="F315" s="11" t="n">
        <x:f>IF($A315="","",Assumptions!$B$15)</x:f>
        <x:v>0.35</x:v>
      </x:c>
      <x:c r="G315" s="11" t="n">
        <x:f>IF($A315="","",MAX(INDEX(Assumptions!$H$5:$H$12,MATCH($B315,Assumptions!$D$5:$D$12,0)),MIN(INDEX(Assumptions!$I$5:$I$12,MATCH($B315,Assumptions!$D$5:$D$12,0)),($C315+$D315*SQRT(-2*LN(RAND()))*COS(2*PI()*RAND()))*$E315*$J315*$K315)))</x:f>
        <x:v>909.6418801338398</x:v>
      </x:c>
      <x:c r="H315" s="11" t="n">
        <x:f>IF($A315="","",$G315*$F315+$C315*(1-$F315))</x:f>
        <x:v>867.6246580468439</x:v>
      </x:c>
      <x:c r="I315" s="11" t="n">
        <x:f>IF($A315="","",AVERAGE($H315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841.8915400740651</x:v>
      </x:c>
      <x:c r="J315" s="12" t="n">
        <x:f>IF($A315="","",1+SUMIFS(Assumptions!$S$5:$S$10,Assumptions!$P$5:$P$10,$B315,Assumptions!$Q$5:$Q$10,"&lt;="&amp;$A315,Assumptions!$R$5:$R$10,"&gt;="&amp;$A315))</x:f>
        <x:v>1</x:v>
      </x:c>
      <x:c r="K315" s="12" t="n">
        <x:f>IF($A315="","",1+((($A315-Assumptions!$B$5)/30)*INDEX(Assumptions!$J$5:$J$12,MATCH($B315,Assumptions!$D$5:$D$12,0))))</x:f>
        <x:v>1.0020666666666667</x:v>
      </x:c>
      <x:c r="L315" t="str">
        <x:f>IF($A315="","",IFERROR(INDEX(Assumptions!$O$5:$O$10,MATCH(1,(Assumptions!$P$5:$P$10=$B315)*(Assumptions!$Q$5:$Q$10&lt;=$A315)*(Assumptions!$R$5:$R$10&gt;=$A315),0)),""))</x:f>
      </x:c>
      <x:c r="M315" t="n">
        <x:f>--($A315&lt;&gt;"")</x:f>
        <x:v>1</x:v>
      </x:c>
    </x:row>
    <x:row r="316">
      <x:c r="A316" s="10" t="n">
        <x:f>IF(Assumptions!$B$5+INT((ROW()-2)/Assumptions!$B$7)&gt;Assumptions!$B$6,"",Assumptions!$B$5+INT((ROW()-2)/Assumptions!$B$7))</x:f>
        <x:v>46085</x:v>
      </x:c>
      <x:c r="B316" t="str">
        <x:f>IF($A316="","",INDEX(Assumptions!$D$5:$D$12,MOD(ROW()-2,Assumptions!$B$7)+1))</x:f>
        <x:v>Yutani Ridge</x:v>
      </x:c>
      <x:c r="C316" s="11" t="n">
        <x:f>IF($A316="","",INDEX(Assumptions!$F$5:$F$12,MATCH($B316,Assumptions!$D$5:$D$12,0)))</x:f>
        <x:v>1050</x:v>
      </x:c>
      <x:c r="D316" s="11" t="n">
        <x:f>IF($A316="","",INDEX(Assumptions!$G$5:$G$12,MATCH($B316,Assumptions!$D$5:$D$12,0)))</x:f>
        <x:v>125</x:v>
      </x:c>
      <x:c r="E316" s="11" t="n">
        <x:f>IF($A316="","",INDEX(Assumptions!$M$5:$M$11,WEEKDAY($A316,2)))</x:f>
        <x:v>1.01</x:v>
      </x:c>
      <x:c r="F316" s="11" t="n">
        <x:f>IF($A316="","",Assumptions!$B$15)</x:f>
        <x:v>0.35</x:v>
      </x:c>
      <x:c r="G316" s="11" t="n">
        <x:f>IF($A316="","",MAX(INDEX(Assumptions!$H$5:$H$12,MATCH($B316,Assumptions!$D$5:$D$12,0)),MIN(INDEX(Assumptions!$I$5:$I$12,MATCH($B316,Assumptions!$D$5:$D$12,0)),($C316+$D316*SQRT(-2*LN(RAND()))*COS(2*PI()*RAND()))*$E316*$J316*$K316)))</x:f>
        <x:v>997.2592626683473</x:v>
      </x:c>
      <x:c r="H316" s="11" t="n">
        <x:f>IF($A316="","",$G316*$F316+$C316*(1-$F316))</x:f>
        <x:v>1031.5407419339215</x:v>
      </x:c>
      <x:c r="I316" s="11" t="n">
        <x:f>IF($A316="","",AVERAGE($H316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1033.911852297881</x:v>
      </x:c>
      <x:c r="J316" s="12" t="n">
        <x:f>IF($A316="","",1+SUMIFS(Assumptions!$S$5:$S$10,Assumptions!$P$5:$P$10,$B316,Assumptions!$Q$5:$Q$10,"&lt;="&amp;$A316,Assumptions!$R$5:$R$10,"&gt;="&amp;$A316))</x:f>
        <x:v>1</x:v>
      </x:c>
      <x:c r="K316" s="12" t="n">
        <x:f>IF($A316="","",1+((($A316-Assumptions!$B$5)/30)*INDEX(Assumptions!$J$5:$J$12,MATCH($B316,Assumptions!$D$5:$D$12,0))))</x:f>
        <x:v>1.0051666666666668</x:v>
      </x:c>
      <x:c r="L316" t="str">
        <x:f>IF($A316="","",IFERROR(INDEX(Assumptions!$O$5:$O$10,MATCH(1,(Assumptions!$P$5:$P$10=$B316)*(Assumptions!$Q$5:$Q$10&lt;=$A316)*(Assumptions!$R$5:$R$10&gt;=$A316),0)),""))</x:f>
      </x:c>
      <x:c r="M316" t="n">
        <x:f>--($A316&lt;&gt;"")</x:f>
        <x:v>1</x:v>
      </x:c>
    </x:row>
    <x:row r="317">
      <x:c r="A317" s="10" t="n">
        <x:f>IF(Assumptions!$B$5+INT((ROW()-2)/Assumptions!$B$7)&gt;Assumptions!$B$6,"",Assumptions!$B$5+INT((ROW()-2)/Assumptions!$B$7))</x:f>
        <x:v>46086</x:v>
      </x:c>
      <x:c r="B317" t="str">
        <x:f>IF($A317="","",INDEX(Assumptions!$D$5:$D$12,MOD(ROW()-2,Assumptions!$B$7)+1))</x:f>
        <x:v>Acheron Prime</x:v>
      </x:c>
      <x:c r="C317" s="11" t="n">
        <x:f>IF($A317="","",INDEX(Assumptions!$F$5:$F$12,MATCH($B317,Assumptions!$D$5:$D$12,0)))</x:f>
        <x:v>1120</x:v>
      </x:c>
      <x:c r="D317" s="11" t="n">
        <x:f>IF($A317="","",INDEX(Assumptions!$G$5:$G$12,MATCH($B317,Assumptions!$D$5:$D$12,0)))</x:f>
        <x:v>115</x:v>
      </x:c>
      <x:c r="E317" s="11" t="n">
        <x:f>IF($A317="","",INDEX(Assumptions!$M$5:$M$11,WEEKDAY($A317,2)))</x:f>
        <x:v>1</x:v>
      </x:c>
      <x:c r="F317" s="11" t="n">
        <x:f>IF($A317="","",Assumptions!$B$15)</x:f>
        <x:v>0.35</x:v>
      </x:c>
      <x:c r="G317" s="11" t="n">
        <x:f>IF($A317="","",MAX(INDEX(Assumptions!$H$5:$H$12,MATCH($B317,Assumptions!$D$5:$D$12,0)),MIN(INDEX(Assumptions!$I$5:$I$12,MATCH($B317,Assumptions!$D$5:$D$12,0)),($C317+$D317*SQRT(-2*LN(RAND()))*COS(2*PI()*RAND()))*$E317*$J317*$K317)))</x:f>
        <x:v>1151.8291570703552</x:v>
      </x:c>
      <x:c r="H317" s="11" t="n">
        <x:f>IF($A317="","",$G317*$F317+$C317*(1-$F317))</x:f>
        <x:v>1131.1402049746243</x:v>
      </x:c>
      <x:c r="I317" s="11" t="n">
        <x:f>IF($A317="","",AVERAGE($H317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1092.108609104386</x:v>
      </x:c>
      <x:c r="J317" s="12" t="n">
        <x:f>IF($A317="","",1+SUMIFS(Assumptions!$S$5:$S$10,Assumptions!$P$5:$P$10,$B317,Assumptions!$Q$5:$Q$10,"&lt;="&amp;$A317,Assumptions!$R$5:$R$10,"&gt;="&amp;$A317))</x:f>
        <x:v>1</x:v>
      </x:c>
      <x:c r="K317" s="12" t="n">
        <x:f>IF($A317="","",1+((($A317-Assumptions!$B$5)/30)*INDEX(Assumptions!$J$5:$J$12,MATCH($B317,Assumptions!$D$5:$D$12,0))))</x:f>
        <x:v>1.0042</x:v>
      </x:c>
      <x:c r="L317" t="str">
        <x:f>IF($A317="","",IFERROR(INDEX(Assumptions!$O$5:$O$10,MATCH(1,(Assumptions!$P$5:$P$10=$B317)*(Assumptions!$Q$5:$Q$10&lt;=$A317)*(Assumptions!$R$5:$R$10&gt;=$A317),0)),""))</x:f>
      </x:c>
      <x:c r="M317" t="n">
        <x:f>--($A317&lt;&gt;"")</x:f>
        <x:v>1</x:v>
      </x:c>
    </x:row>
    <x:row r="318">
      <x:c r="A318" s="10" t="n">
        <x:f>IF(Assumptions!$B$5+INT((ROW()-2)/Assumptions!$B$7)&gt;Assumptions!$B$6,"",Assumptions!$B$5+INT((ROW()-2)/Assumptions!$B$7))</x:f>
        <x:v>46086</x:v>
      </x:c>
      <x:c r="B318" t="str">
        <x:f>IF($A318="","",INDEX(Assumptions!$D$5:$D$12,MOD(ROW()-2,Assumptions!$B$7)+1))</x:f>
        <x:v>LV-426 North</x:v>
      </x:c>
      <x:c r="C318" s="11" t="n">
        <x:f>IF($A318="","",INDEX(Assumptions!$F$5:$F$12,MATCH($B318,Assumptions!$D$5:$D$12,0)))</x:f>
        <x:v>930</x:v>
      </x:c>
      <x:c r="D318" s="11" t="n">
        <x:f>IF($A318="","",INDEX(Assumptions!$G$5:$G$12,MATCH($B318,Assumptions!$D$5:$D$12,0)))</x:f>
        <x:v>95</x:v>
      </x:c>
      <x:c r="E318" s="11" t="n">
        <x:f>IF($A318="","",INDEX(Assumptions!$M$5:$M$11,WEEKDAY($A318,2)))</x:f>
        <x:v>1</x:v>
      </x:c>
      <x:c r="F318" s="11" t="n">
        <x:f>IF($A318="","",Assumptions!$B$15)</x:f>
        <x:v>0.35</x:v>
      </x:c>
      <x:c r="G318" s="11" t="n">
        <x:f>IF($A318="","",MAX(INDEX(Assumptions!$H$5:$H$12,MATCH($B318,Assumptions!$D$5:$D$12,0)),MIN(INDEX(Assumptions!$I$5:$I$12,MATCH($B318,Assumptions!$D$5:$D$12,0)),($C318+$D318*SQRT(-2*LN(RAND()))*COS(2*PI()*RAND()))*$E318*$J318*$K318)))</x:f>
        <x:v>1140.6000706288387</x:v>
      </x:c>
      <x:c r="H318" s="11" t="n">
        <x:f>IF($A318="","",$G318*$F318+$C318*(1-$F318))</x:f>
        <x:v>1003.7100247200935</x:v>
      </x:c>
      <x:c r="I318" s="11" t="n">
        <x:f>IF($A318="","",AVERAGE($H318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921.1052489805091</x:v>
      </x:c>
      <x:c r="J318" s="12" t="n">
        <x:f>IF($A318="","",1+SUMIFS(Assumptions!$S$5:$S$10,Assumptions!$P$5:$P$10,$B318,Assumptions!$Q$5:$Q$10,"&lt;="&amp;$A318,Assumptions!$R$5:$R$10,"&gt;="&amp;$A318))</x:f>
        <x:v>1</x:v>
      </x:c>
      <x:c r="K318" s="12" t="n">
        <x:f>IF($A318="","",1+((($A318-Assumptions!$B$5)/30)*INDEX(Assumptions!$J$5:$J$12,MATCH($B318,Assumptions!$D$5:$D$12,0))))</x:f>
        <x:v>0.9979</x:v>
      </x:c>
      <x:c r="L318" t="str">
        <x:f>IF($A318="","",IFERROR(INDEX(Assumptions!$O$5:$O$10,MATCH(1,(Assumptions!$P$5:$P$10=$B318)*(Assumptions!$Q$5:$Q$10&lt;=$A318)*(Assumptions!$R$5:$R$10&gt;=$A318),0)),""))</x:f>
      </x:c>
      <x:c r="M318" t="n">
        <x:f>--($A318&lt;&gt;"")</x:f>
        <x:v>1</x:v>
      </x:c>
    </x:row>
    <x:row r="319">
      <x:c r="A319" s="10" t="n">
        <x:f>IF(Assumptions!$B$5+INT((ROW()-2)/Assumptions!$B$7)&gt;Assumptions!$B$6,"",Assumptions!$B$5+INT((ROW()-2)/Assumptions!$B$7))</x:f>
        <x:v>46086</x:v>
      </x:c>
      <x:c r="B319" t="str">
        <x:f>IF($A319="","",INDEX(Assumptions!$D$5:$D$12,MOD(ROW()-2,Assumptions!$B$7)+1))</x:f>
        <x:v>Nostromo Deep</x:v>
      </x:c>
      <x:c r="C319" s="11" t="n">
        <x:f>IF($A319="","",INDEX(Assumptions!$F$5:$F$12,MATCH($B319,Assumptions!$D$5:$D$12,0)))</x:f>
        <x:v>1260</x:v>
      </x:c>
      <x:c r="D319" s="11" t="n">
        <x:f>IF($A319="","",INDEX(Assumptions!$G$5:$G$12,MATCH($B319,Assumptions!$D$5:$D$12,0)))</x:f>
        <x:v>145</x:v>
      </x:c>
      <x:c r="E319" s="11" t="n">
        <x:f>IF($A319="","",INDEX(Assumptions!$M$5:$M$11,WEEKDAY($A319,2)))</x:f>
        <x:v>1</x:v>
      </x:c>
      <x:c r="F319" s="11" t="n">
        <x:f>IF($A319="","",Assumptions!$B$15)</x:f>
        <x:v>0.35</x:v>
      </x:c>
      <x:c r="G319" s="11" t="n">
        <x:f>IF($A319="","",MAX(INDEX(Assumptions!$H$5:$H$12,MATCH($B319,Assumptions!$D$5:$D$12,0)),MIN(INDEX(Assumptions!$I$5:$I$12,MATCH($B319,Assumptions!$D$5:$D$12,0)),($C319+$D319*SQRT(-2*LN(RAND()))*COS(2*PI()*RAND()))*$E319*$J319*$K319)))</x:f>
        <x:v>1412.5520630287735</x:v>
      </x:c>
      <x:c r="H319" s="11" t="n">
        <x:f>IF($A319="","",$G319*$F319+$C319*(1-$F319))</x:f>
        <x:v>1313.3932220600707</x:v>
      </x:c>
      <x:c r="I319" s="11" t="n">
        <x:f>IF($A319="","",AVERAGE($H319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1215.113337100364</x:v>
      </x:c>
      <x:c r="J319" s="12" t="n">
        <x:f>IF($A319="","",1+SUMIFS(Assumptions!$S$5:$S$10,Assumptions!$P$5:$P$10,$B319,Assumptions!$Q$5:$Q$10,"&lt;="&amp;$A319,Assumptions!$R$5:$R$10,"&gt;="&amp;$A319))</x:f>
        <x:v>1</x:v>
      </x:c>
      <x:c r="K319" s="12" t="n">
        <x:f>IF($A319="","",1+((($A319-Assumptions!$B$5)/30)*INDEX(Assumptions!$J$5:$J$12,MATCH($B319,Assumptions!$D$5:$D$12,0))))</x:f>
        <x:v>1.0063</x:v>
      </x:c>
      <x:c r="L319" t="str">
        <x:f>IF($A319="","",IFERROR(INDEX(Assumptions!$O$5:$O$10,MATCH(1,(Assumptions!$P$5:$P$10=$B319)*(Assumptions!$Q$5:$Q$10&lt;=$A319)*(Assumptions!$R$5:$R$10&gt;=$A319),0)),""))</x:f>
      </x:c>
      <x:c r="M319" t="n">
        <x:f>--($A319&lt;&gt;"")</x:f>
        <x:v>1</x:v>
      </x:c>
    </x:row>
    <x:row r="320">
      <x:c r="A320" s="10" t="n">
        <x:f>IF(Assumptions!$B$5+INT((ROW()-2)/Assumptions!$B$7)&gt;Assumptions!$B$6,"",Assumptions!$B$5+INT((ROW()-2)/Assumptions!$B$7))</x:f>
        <x:v>46086</x:v>
      </x:c>
      <x:c r="B320" t="str">
        <x:f>IF($A320="","",INDEX(Assumptions!$D$5:$D$12,MOD(ROW()-2,Assumptions!$B$7)+1))</x:f>
        <x:v>Hadley's Hope</x:v>
      </x:c>
      <x:c r="C320" s="11" t="n">
        <x:f>IF($A320="","",INDEX(Assumptions!$F$5:$F$12,MATCH($B320,Assumptions!$D$5:$D$12,0)))</x:f>
        <x:v>845</x:v>
      </x:c>
      <x:c r="D320" s="11" t="n">
        <x:f>IF($A320="","",INDEX(Assumptions!$G$5:$G$12,MATCH($B320,Assumptions!$D$5:$D$12,0)))</x:f>
        <x:v>80</x:v>
      </x:c>
      <x:c r="E320" s="11" t="n">
        <x:f>IF($A320="","",INDEX(Assumptions!$M$5:$M$11,WEEKDAY($A320,2)))</x:f>
        <x:v>1</x:v>
      </x:c>
      <x:c r="F320" s="11" t="n">
        <x:f>IF($A320="","",Assumptions!$B$15)</x:f>
        <x:v>0.35</x:v>
      </x:c>
      <x:c r="G320" s="11" t="n">
        <x:f>IF($A320="","",MAX(INDEX(Assumptions!$H$5:$H$12,MATCH($B320,Assumptions!$D$5:$D$12,0)),MIN(INDEX(Assumptions!$I$5:$I$12,MATCH($B320,Assumptions!$D$5:$D$12,0)),($C320+$D320*SQRT(-2*LN(RAND()))*COS(2*PI()*RAND()))*$E320*$J320*$K320)))</x:f>
        <x:v>685.8356576183138</x:v>
      </x:c>
      <x:c r="H320" s="11" t="n">
        <x:f>IF($A320="","",$G320*$F320+$C320*(1-$F320))</x:f>
        <x:v>789.2924801664099</x:v>
      </x:c>
      <x:c r="I320" s="11" t="n">
        <x:f>IF($A320="","",AVERAGE($H320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834.8585604864385</x:v>
      </x:c>
      <x:c r="J320" s="12" t="n">
        <x:f>IF($A320="","",1+SUMIFS(Assumptions!$S$5:$S$10,Assumptions!$P$5:$P$10,$B320,Assumptions!$Q$5:$Q$10,"&lt;="&amp;$A320,Assumptions!$R$5:$R$10,"&gt;="&amp;$A320))</x:f>
        <x:v>1</x:v>
      </x:c>
      <x:c r="K320" s="12" t="n">
        <x:f>IF($A320="","",1+((($A320-Assumptions!$B$5)/30)*INDEX(Assumptions!$J$5:$J$12,MATCH($B320,Assumptions!$D$5:$D$12,0))))</x:f>
        <x:v>1.0021</x:v>
      </x:c>
      <x:c r="L320" t="str">
        <x:f>IF($A320="","",IFERROR(INDEX(Assumptions!$O$5:$O$10,MATCH(1,(Assumptions!$P$5:$P$10=$B320)*(Assumptions!$Q$5:$Q$10&lt;=$A320)*(Assumptions!$R$5:$R$10&gt;=$A320),0)),""))</x:f>
      </x:c>
      <x:c r="M320" t="n">
        <x:f>--($A320&lt;&gt;"")</x:f>
        <x:v>1</x:v>
      </x:c>
    </x:row>
    <x:row r="321">
      <x:c r="A321" s="10" t="n">
        <x:f>IF(Assumptions!$B$5+INT((ROW()-2)/Assumptions!$B$7)&gt;Assumptions!$B$6,"",Assumptions!$B$5+INT((ROW()-2)/Assumptions!$B$7))</x:f>
        <x:v>46086</x:v>
      </x:c>
      <x:c r="B321" t="str">
        <x:f>IF($A321="","",INDEX(Assumptions!$D$5:$D$12,MOD(ROW()-2,Assumptions!$B$7)+1))</x:f>
        <x:v>Yutani Ridge</x:v>
      </x:c>
      <x:c r="C321" s="11" t="n">
        <x:f>IF($A321="","",INDEX(Assumptions!$F$5:$F$12,MATCH($B321,Assumptions!$D$5:$D$12,0)))</x:f>
        <x:v>1050</x:v>
      </x:c>
      <x:c r="D321" s="11" t="n">
        <x:f>IF($A321="","",INDEX(Assumptions!$G$5:$G$12,MATCH($B321,Assumptions!$D$5:$D$12,0)))</x:f>
        <x:v>125</x:v>
      </x:c>
      <x:c r="E321" s="11" t="n">
        <x:f>IF($A321="","",INDEX(Assumptions!$M$5:$M$11,WEEKDAY($A321,2)))</x:f>
        <x:v>1</x:v>
      </x:c>
      <x:c r="F321" s="11" t="n">
        <x:f>IF($A321="","",Assumptions!$B$15)</x:f>
        <x:v>0.35</x:v>
      </x:c>
      <x:c r="G321" s="11" t="n">
        <x:f>IF($A321="","",MAX(INDEX(Assumptions!$H$5:$H$12,MATCH($B321,Assumptions!$D$5:$D$12,0)),MIN(INDEX(Assumptions!$I$5:$I$12,MATCH($B321,Assumptions!$D$5:$D$12,0)),($C321+$D321*SQRT(-2*LN(RAND()))*COS(2*PI()*RAND()))*$E321*$J321*$K321)))</x:f>
        <x:v>1400.9325879045434</x:v>
      </x:c>
      <x:c r="H321" s="11" t="n">
        <x:f>IF($A321="","",$G321*$F321+$C321*(1-$F321))</x:f>
        <x:v>1172.8264057665901</x:v>
      </x:c>
      <x:c r="I321" s="11" t="n">
        <x:f>IF($A321="","",AVERAGE($H321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1046.4993168153767</x:v>
      </x:c>
      <x:c r="J321" s="12" t="n">
        <x:f>IF($A321="","",1+SUMIFS(Assumptions!$S$5:$S$10,Assumptions!$P$5:$P$10,$B321,Assumptions!$Q$5:$Q$10,"&lt;="&amp;$A321,Assumptions!$R$5:$R$10,"&gt;="&amp;$A321))</x:f>
        <x:v>1</x:v>
      </x:c>
      <x:c r="K321" s="12" t="n">
        <x:f>IF($A321="","",1+((($A321-Assumptions!$B$5)/30)*INDEX(Assumptions!$J$5:$J$12,MATCH($B321,Assumptions!$D$5:$D$12,0))))</x:f>
        <x:v>1.00525</x:v>
      </x:c>
      <x:c r="L321" t="str">
        <x:f>IF($A321="","",IFERROR(INDEX(Assumptions!$O$5:$O$10,MATCH(1,(Assumptions!$P$5:$P$10=$B321)*(Assumptions!$Q$5:$Q$10&lt;=$A321)*(Assumptions!$R$5:$R$10&gt;=$A321),0)),""))</x:f>
      </x:c>
      <x:c r="M321" t="n">
        <x:f>--($A321&lt;&gt;"")</x:f>
        <x:v>1</x:v>
      </x:c>
    </x:row>
    <x:row r="322">
      <x:c r="A322" s="10" t="n">
        <x:f>IF(Assumptions!$B$5+INT((ROW()-2)/Assumptions!$B$7)&gt;Assumptions!$B$6,"",Assumptions!$B$5+INT((ROW()-2)/Assumptions!$B$7))</x:f>
        <x:v>46087</x:v>
      </x:c>
      <x:c r="B322" t="str">
        <x:f>IF($A322="","",INDEX(Assumptions!$D$5:$D$12,MOD(ROW()-2,Assumptions!$B$7)+1))</x:f>
        <x:v>Acheron Prime</x:v>
      </x:c>
      <x:c r="C322" s="11" t="n">
        <x:f>IF($A322="","",INDEX(Assumptions!$F$5:$F$12,MATCH($B322,Assumptions!$D$5:$D$12,0)))</x:f>
        <x:v>1120</x:v>
      </x:c>
      <x:c r="D322" s="11" t="n">
        <x:f>IF($A322="","",INDEX(Assumptions!$G$5:$G$12,MATCH($B322,Assumptions!$D$5:$D$12,0)))</x:f>
        <x:v>115</x:v>
      </x:c>
      <x:c r="E322" s="11" t="n">
        <x:f>IF($A322="","",INDEX(Assumptions!$M$5:$M$11,WEEKDAY($A322,2)))</x:f>
        <x:v>0.98</x:v>
      </x:c>
      <x:c r="F322" s="11" t="n">
        <x:f>IF($A322="","",Assumptions!$B$15)</x:f>
        <x:v>0.35</x:v>
      </x:c>
      <x:c r="G322" s="11" t="n">
        <x:f>IF($A322="","",MAX(INDEX(Assumptions!$H$5:$H$12,MATCH($B322,Assumptions!$D$5:$D$12,0)),MIN(INDEX(Assumptions!$I$5:$I$12,MATCH($B322,Assumptions!$D$5:$D$12,0)),($C322+$D322*SQRT(-2*LN(RAND()))*COS(2*PI()*RAND()))*$E322*$J322*$K322)))</x:f>
        <x:v>1048.2211834605807</x:v>
      </x:c>
      <x:c r="H322" s="11" t="n">
        <x:f>IF($A322="","",$G322*$F322+$C322*(1-$F322))</x:f>
        <x:v>1094.8774142112034</x:v>
      </x:c>
      <x:c r="I322" s="11" t="n">
        <x:f>IF($A322="","",AVERAGE($H322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1092.4834731561327</x:v>
      </x:c>
      <x:c r="J322" s="12" t="n">
        <x:f>IF($A322="","",1+SUMIFS(Assumptions!$S$5:$S$10,Assumptions!$P$5:$P$10,$B322,Assumptions!$Q$5:$Q$10,"&lt;="&amp;$A322,Assumptions!$R$5:$R$10,"&gt;="&amp;$A322))</x:f>
        <x:v>1</x:v>
      </x:c>
      <x:c r="K322" s="12" t="n">
        <x:f>IF($A322="","",1+((($A322-Assumptions!$B$5)/30)*INDEX(Assumptions!$J$5:$J$12,MATCH($B322,Assumptions!$D$5:$D$12,0))))</x:f>
        <x:v>1.0042666666666666</x:v>
      </x:c>
      <x:c r="L322" t="str">
        <x:f>IF($A322="","",IFERROR(INDEX(Assumptions!$O$5:$O$10,MATCH(1,(Assumptions!$P$5:$P$10=$B322)*(Assumptions!$Q$5:$Q$10&lt;=$A322)*(Assumptions!$R$5:$R$10&gt;=$A322),0)),""))</x:f>
      </x:c>
      <x:c r="M322" t="n">
        <x:f>--($A322&lt;&gt;"")</x:f>
        <x:v>1</x:v>
      </x:c>
    </x:row>
    <x:row r="323">
      <x:c r="A323" s="10" t="n">
        <x:f>IF(Assumptions!$B$5+INT((ROW()-2)/Assumptions!$B$7)&gt;Assumptions!$B$6,"",Assumptions!$B$5+INT((ROW()-2)/Assumptions!$B$7))</x:f>
        <x:v>46087</x:v>
      </x:c>
      <x:c r="B323" t="str">
        <x:f>IF($A323="","",INDEX(Assumptions!$D$5:$D$12,MOD(ROW()-2,Assumptions!$B$7)+1))</x:f>
        <x:v>LV-426 North</x:v>
      </x:c>
      <x:c r="C323" s="11" t="n">
        <x:f>IF($A323="","",INDEX(Assumptions!$F$5:$F$12,MATCH($B323,Assumptions!$D$5:$D$12,0)))</x:f>
        <x:v>930</x:v>
      </x:c>
      <x:c r="D323" s="11" t="n">
        <x:f>IF($A323="","",INDEX(Assumptions!$G$5:$G$12,MATCH($B323,Assumptions!$D$5:$D$12,0)))</x:f>
        <x:v>95</x:v>
      </x:c>
      <x:c r="E323" s="11" t="n">
        <x:f>IF($A323="","",INDEX(Assumptions!$M$5:$M$11,WEEKDAY($A323,2)))</x:f>
        <x:v>0.98</x:v>
      </x:c>
      <x:c r="F323" s="11" t="n">
        <x:f>IF($A323="","",Assumptions!$B$15)</x:f>
        <x:v>0.35</x:v>
      </x:c>
      <x:c r="G323" s="11" t="n">
        <x:f>IF($A323="","",MAX(INDEX(Assumptions!$H$5:$H$12,MATCH($B323,Assumptions!$D$5:$D$12,0)),MIN(INDEX(Assumptions!$I$5:$I$12,MATCH($B323,Assumptions!$D$5:$D$12,0)),($C323+$D323*SQRT(-2*LN(RAND()))*COS(2*PI()*RAND()))*$E323*$J323*$K323)))</x:f>
        <x:v>916.2915451772981</x:v>
      </x:c>
      <x:c r="H323" s="11" t="n">
        <x:f>IF($A323="","",$G323*$F323+$C323*(1-$F323))</x:f>
        <x:v>925.2020408120543</x:v>
      </x:c>
      <x:c r="I323" s="11" t="n">
        <x:f>IF($A323="","",AVERAGE($H323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923.4335875190669</x:v>
      </x:c>
      <x:c r="J323" s="12" t="n">
        <x:f>IF($A323="","",1+SUMIFS(Assumptions!$S$5:$S$10,Assumptions!$P$5:$P$10,$B323,Assumptions!$Q$5:$Q$10,"&lt;="&amp;$A323,Assumptions!$R$5:$R$10,"&gt;="&amp;$A323))</x:f>
        <x:v>1</x:v>
      </x:c>
      <x:c r="K323" s="12" t="n">
        <x:f>IF($A323="","",1+((($A323-Assumptions!$B$5)/30)*INDEX(Assumptions!$J$5:$J$12,MATCH($B323,Assumptions!$D$5:$D$12,0))))</x:f>
        <x:v>0.9978666666666667</x:v>
      </x:c>
      <x:c r="L323" t="str">
        <x:f>IF($A323="","",IFERROR(INDEX(Assumptions!$O$5:$O$10,MATCH(1,(Assumptions!$P$5:$P$10=$B323)*(Assumptions!$Q$5:$Q$10&lt;=$A323)*(Assumptions!$R$5:$R$10&gt;=$A323),0)),""))</x:f>
      </x:c>
      <x:c r="M323" t="n">
        <x:f>--($A323&lt;&gt;"")</x:f>
        <x:v>1</x:v>
      </x:c>
    </x:row>
    <x:row r="324">
      <x:c r="A324" s="10" t="n">
        <x:f>IF(Assumptions!$B$5+INT((ROW()-2)/Assumptions!$B$7)&gt;Assumptions!$B$6,"",Assumptions!$B$5+INT((ROW()-2)/Assumptions!$B$7))</x:f>
        <x:v>46087</x:v>
      </x:c>
      <x:c r="B324" t="str">
        <x:f>IF($A324="","",INDEX(Assumptions!$D$5:$D$12,MOD(ROW()-2,Assumptions!$B$7)+1))</x:f>
        <x:v>Nostromo Deep</x:v>
      </x:c>
      <x:c r="C324" s="11" t="n">
        <x:f>IF($A324="","",INDEX(Assumptions!$F$5:$F$12,MATCH($B324,Assumptions!$D$5:$D$12,0)))</x:f>
        <x:v>1260</x:v>
      </x:c>
      <x:c r="D324" s="11" t="n">
        <x:f>IF($A324="","",INDEX(Assumptions!$G$5:$G$12,MATCH($B324,Assumptions!$D$5:$D$12,0)))</x:f>
        <x:v>145</x:v>
      </x:c>
      <x:c r="E324" s="11" t="n">
        <x:f>IF($A324="","",INDEX(Assumptions!$M$5:$M$11,WEEKDAY($A324,2)))</x:f>
        <x:v>0.98</x:v>
      </x:c>
      <x:c r="F324" s="11" t="n">
        <x:f>IF($A324="","",Assumptions!$B$15)</x:f>
        <x:v>0.35</x:v>
      </x:c>
      <x:c r="G324" s="11" t="n">
        <x:f>IF($A324="","",MAX(INDEX(Assumptions!$H$5:$H$12,MATCH($B324,Assumptions!$D$5:$D$12,0)),MIN(INDEX(Assumptions!$I$5:$I$12,MATCH($B324,Assumptions!$D$5:$D$12,0)),($C324+$D324*SQRT(-2*LN(RAND()))*COS(2*PI()*RAND()))*$E324*$J324*$K324)))</x:f>
        <x:v>1048.7428941040994</x:v>
      </x:c>
      <x:c r="H324" s="11" t="n">
        <x:f>IF($A324="","",$G324*$F324+$C324*(1-$F324))</x:f>
        <x:v>1186.0600129364348</x:v>
      </x:c>
      <x:c r="I324" s="11" t="n">
        <x:f>IF($A324="","",AVERAGE($H324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1203.2449034714625</x:v>
      </x:c>
      <x:c r="J324" s="12" t="n">
        <x:f>IF($A324="","",1+SUMIFS(Assumptions!$S$5:$S$10,Assumptions!$P$5:$P$10,$B324,Assumptions!$Q$5:$Q$10,"&lt;="&amp;$A324,Assumptions!$R$5:$R$10,"&gt;="&amp;$A324))</x:f>
        <x:v>1</x:v>
      </x:c>
      <x:c r="K324" s="12" t="n">
        <x:f>IF($A324="","",1+((($A324-Assumptions!$B$5)/30)*INDEX(Assumptions!$J$5:$J$12,MATCH($B324,Assumptions!$D$5:$D$12,0))))</x:f>
        <x:v>1.0064</x:v>
      </x:c>
      <x:c r="L324" t="str">
        <x:f>IF($A324="","",IFERROR(INDEX(Assumptions!$O$5:$O$10,MATCH(1,(Assumptions!$P$5:$P$10=$B324)*(Assumptions!$Q$5:$Q$10&lt;=$A324)*(Assumptions!$R$5:$R$10&gt;=$A324),0)),""))</x:f>
      </x:c>
      <x:c r="M324" t="n">
        <x:f>--($A324&lt;&gt;"")</x:f>
        <x:v>1</x:v>
      </x:c>
    </x:row>
    <x:row r="325">
      <x:c r="A325" s="10" t="n">
        <x:f>IF(Assumptions!$B$5+INT((ROW()-2)/Assumptions!$B$7)&gt;Assumptions!$B$6,"",Assumptions!$B$5+INT((ROW()-2)/Assumptions!$B$7))</x:f>
        <x:v>46087</x:v>
      </x:c>
      <x:c r="B325" t="str">
        <x:f>IF($A325="","",INDEX(Assumptions!$D$5:$D$12,MOD(ROW()-2,Assumptions!$B$7)+1))</x:f>
        <x:v>Hadley's Hope</x:v>
      </x:c>
      <x:c r="C325" s="11" t="n">
        <x:f>IF($A325="","",INDEX(Assumptions!$F$5:$F$12,MATCH($B325,Assumptions!$D$5:$D$12,0)))</x:f>
        <x:v>845</x:v>
      </x:c>
      <x:c r="D325" s="11" t="n">
        <x:f>IF($A325="","",INDEX(Assumptions!$G$5:$G$12,MATCH($B325,Assumptions!$D$5:$D$12,0)))</x:f>
        <x:v>80</x:v>
      </x:c>
      <x:c r="E325" s="11" t="n">
        <x:f>IF($A325="","",INDEX(Assumptions!$M$5:$M$11,WEEKDAY($A325,2)))</x:f>
        <x:v>0.98</x:v>
      </x:c>
      <x:c r="F325" s="11" t="n">
        <x:f>IF($A325="","",Assumptions!$B$15)</x:f>
        <x:v>0.35</x:v>
      </x:c>
      <x:c r="G325" s="11" t="n">
        <x:f>IF($A325="","",MAX(INDEX(Assumptions!$H$5:$H$12,MATCH($B325,Assumptions!$D$5:$D$12,0)),MIN(INDEX(Assumptions!$I$5:$I$12,MATCH($B325,Assumptions!$D$5:$D$12,0)),($C325+$D325*SQRT(-2*LN(RAND()))*COS(2*PI()*RAND()))*$E325*$J325*$K325)))</x:f>
        <x:v>848.499853279268</x:v>
      </x:c>
      <x:c r="H325" s="11" t="n">
        <x:f>IF($A325="","",$G325*$F325+$C325*(1-$F325))</x:f>
        <x:v>846.2249486477438</x:v>
      </x:c>
      <x:c r="I325" s="11" t="n">
        <x:f>IF($A325="","",AVERAGE($H325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835.6301667936619</x:v>
      </x:c>
      <x:c r="J325" s="12" t="n">
        <x:f>IF($A325="","",1+SUMIFS(Assumptions!$S$5:$S$10,Assumptions!$P$5:$P$10,$B325,Assumptions!$Q$5:$Q$10,"&lt;="&amp;$A325,Assumptions!$R$5:$R$10,"&gt;="&amp;$A325))</x:f>
        <x:v>1</x:v>
      </x:c>
      <x:c r="K325" s="12" t="n">
        <x:f>IF($A325="","",1+((($A325-Assumptions!$B$5)/30)*INDEX(Assumptions!$J$5:$J$12,MATCH($B325,Assumptions!$D$5:$D$12,0))))</x:f>
        <x:v>1.0021333333333333</x:v>
      </x:c>
      <x:c r="L325" t="str">
        <x:f>IF($A325="","",IFERROR(INDEX(Assumptions!$O$5:$O$10,MATCH(1,(Assumptions!$P$5:$P$10=$B325)*(Assumptions!$Q$5:$Q$10&lt;=$A325)*(Assumptions!$R$5:$R$10&gt;=$A325),0)),""))</x:f>
      </x:c>
      <x:c r="M325" t="n">
        <x:f>--($A325&lt;&gt;"")</x:f>
        <x:v>1</x:v>
      </x:c>
    </x:row>
    <x:row r="326">
      <x:c r="A326" s="10" t="n">
        <x:f>IF(Assumptions!$B$5+INT((ROW()-2)/Assumptions!$B$7)&gt;Assumptions!$B$6,"",Assumptions!$B$5+INT((ROW()-2)/Assumptions!$B$7))</x:f>
        <x:v>46087</x:v>
      </x:c>
      <x:c r="B326" t="str">
        <x:f>IF($A326="","",INDEX(Assumptions!$D$5:$D$12,MOD(ROW()-2,Assumptions!$B$7)+1))</x:f>
        <x:v>Yutani Ridge</x:v>
      </x:c>
      <x:c r="C326" s="11" t="n">
        <x:f>IF($A326="","",INDEX(Assumptions!$F$5:$F$12,MATCH($B326,Assumptions!$D$5:$D$12,0)))</x:f>
        <x:v>1050</x:v>
      </x:c>
      <x:c r="D326" s="11" t="n">
        <x:f>IF($A326="","",INDEX(Assumptions!$G$5:$G$12,MATCH($B326,Assumptions!$D$5:$D$12,0)))</x:f>
        <x:v>125</x:v>
      </x:c>
      <x:c r="E326" s="11" t="n">
        <x:f>IF($A326="","",INDEX(Assumptions!$M$5:$M$11,WEEKDAY($A326,2)))</x:f>
        <x:v>0.98</x:v>
      </x:c>
      <x:c r="F326" s="11" t="n">
        <x:f>IF($A326="","",Assumptions!$B$15)</x:f>
        <x:v>0.35</x:v>
      </x:c>
      <x:c r="G326" s="11" t="n">
        <x:f>IF($A326="","",MAX(INDEX(Assumptions!$H$5:$H$12,MATCH($B326,Assumptions!$D$5:$D$12,0)),MIN(INDEX(Assumptions!$I$5:$I$12,MATCH($B326,Assumptions!$D$5:$D$12,0)),($C326+$D326*SQRT(-2*LN(RAND()))*COS(2*PI()*RAND()))*$E326*$J326*$K326)))</x:f>
        <x:v>1004.064320980847</x:v>
      </x:c>
      <x:c r="H326" s="11" t="n">
        <x:f>IF($A326="","",$G326*$F326+$C326*(1-$F326))</x:f>
        <x:v>1033.9225123432964</x:v>
      </x:c>
      <x:c r="I326" s="11" t="n">
        <x:f>IF($A326="","",AVERAGE($H326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1043.1622269039026</x:v>
      </x:c>
      <x:c r="J326" s="12" t="n">
        <x:f>IF($A326="","",1+SUMIFS(Assumptions!$S$5:$S$10,Assumptions!$P$5:$P$10,$B326,Assumptions!$Q$5:$Q$10,"&lt;="&amp;$A326,Assumptions!$R$5:$R$10,"&gt;="&amp;$A326))</x:f>
        <x:v>1</x:v>
      </x:c>
      <x:c r="K326" s="12" t="n">
        <x:f>IF($A326="","",1+((($A326-Assumptions!$B$5)/30)*INDEX(Assumptions!$J$5:$J$12,MATCH($B326,Assumptions!$D$5:$D$12,0))))</x:f>
        <x:v>1.0053333333333334</x:v>
      </x:c>
      <x:c r="L326" t="str">
        <x:f>IF($A326="","",IFERROR(INDEX(Assumptions!$O$5:$O$10,MATCH(1,(Assumptions!$P$5:$P$10=$B326)*(Assumptions!$Q$5:$Q$10&lt;=$A326)*(Assumptions!$R$5:$R$10&gt;=$A326),0)),""))</x:f>
      </x:c>
      <x:c r="M326" t="n">
        <x:f>--($A326&lt;&gt;"")</x:f>
        <x:v>1</x:v>
      </x:c>
    </x:row>
    <x:row r="327">
      <x:c r="A327" s="10" t="n">
        <x:f>IF(Assumptions!$B$5+INT((ROW()-2)/Assumptions!$B$7)&gt;Assumptions!$B$6,"",Assumptions!$B$5+INT((ROW()-2)/Assumptions!$B$7))</x:f>
        <x:v>46088</x:v>
      </x:c>
      <x:c r="B327" t="str">
        <x:f>IF($A327="","",INDEX(Assumptions!$D$5:$D$12,MOD(ROW()-2,Assumptions!$B$7)+1))</x:f>
        <x:v>Acheron Prime</x:v>
      </x:c>
      <x:c r="C327" s="11" t="n">
        <x:f>IF($A327="","",INDEX(Assumptions!$F$5:$F$12,MATCH($B327,Assumptions!$D$5:$D$12,0)))</x:f>
        <x:v>1120</x:v>
      </x:c>
      <x:c r="D327" s="11" t="n">
        <x:f>IF($A327="","",INDEX(Assumptions!$G$5:$G$12,MATCH($B327,Assumptions!$D$5:$D$12,0)))</x:f>
        <x:v>115</x:v>
      </x:c>
      <x:c r="E327" s="11" t="n">
        <x:f>IF($A327="","",INDEX(Assumptions!$M$5:$M$11,WEEKDAY($A327,2)))</x:f>
        <x:v>0.91</x:v>
      </x:c>
      <x:c r="F327" s="11" t="n">
        <x:f>IF($A327="","",Assumptions!$B$15)</x:f>
        <x:v>0.35</x:v>
      </x:c>
      <x:c r="G327" s="11" t="n">
        <x:f>IF($A327="","",MAX(INDEX(Assumptions!$H$5:$H$12,MATCH($B327,Assumptions!$D$5:$D$12,0)),MIN(INDEX(Assumptions!$I$5:$I$12,MATCH($B327,Assumptions!$D$5:$D$12,0)),($C327+$D327*SQRT(-2*LN(RAND()))*COS(2*PI()*RAND()))*$E327*$J327*$K327)))</x:f>
        <x:v>947.0445483217665</x:v>
      </x:c>
      <x:c r="H327" s="11" t="n">
        <x:f>IF($A327="","",$G327*$F327+$C327*(1-$F327))</x:f>
        <x:v>1059.4655919126183</x:v>
      </x:c>
      <x:c r="I327" s="11" t="n">
        <x:f>IF($A327="","",AVERAGE($H327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1084.7836490955626</x:v>
      </x:c>
      <x:c r="J327" s="12" t="n">
        <x:f>IF($A327="","",1+SUMIFS(Assumptions!$S$5:$S$10,Assumptions!$P$5:$P$10,$B327,Assumptions!$Q$5:$Q$10,"&lt;="&amp;$A327,Assumptions!$R$5:$R$10,"&gt;="&amp;$A327))</x:f>
        <x:v>1</x:v>
      </x:c>
      <x:c r="K327" s="12" t="n">
        <x:f>IF($A327="","",1+((($A327-Assumptions!$B$5)/30)*INDEX(Assumptions!$J$5:$J$12,MATCH($B327,Assumptions!$D$5:$D$12,0))))</x:f>
        <x:v>1.0043333333333333</x:v>
      </x:c>
      <x:c r="L327" t="str">
        <x:f>IF($A327="","",IFERROR(INDEX(Assumptions!$O$5:$O$10,MATCH(1,(Assumptions!$P$5:$P$10=$B327)*(Assumptions!$Q$5:$Q$10&lt;=$A327)*(Assumptions!$R$5:$R$10&gt;=$A327),0)),""))</x:f>
      </x:c>
      <x:c r="M327" t="n">
        <x:f>--($A327&lt;&gt;"")</x:f>
        <x:v>1</x:v>
      </x:c>
    </x:row>
    <x:row r="328">
      <x:c r="A328" s="10" t="n">
        <x:f>IF(Assumptions!$B$5+INT((ROW()-2)/Assumptions!$B$7)&gt;Assumptions!$B$6,"",Assumptions!$B$5+INT((ROW()-2)/Assumptions!$B$7))</x:f>
        <x:v>46088</x:v>
      </x:c>
      <x:c r="B328" t="str">
        <x:f>IF($A328="","",INDEX(Assumptions!$D$5:$D$12,MOD(ROW()-2,Assumptions!$B$7)+1))</x:f>
        <x:v>LV-426 North</x:v>
      </x:c>
      <x:c r="C328" s="11" t="n">
        <x:f>IF($A328="","",INDEX(Assumptions!$F$5:$F$12,MATCH($B328,Assumptions!$D$5:$D$12,0)))</x:f>
        <x:v>930</x:v>
      </x:c>
      <x:c r="D328" s="11" t="n">
        <x:f>IF($A328="","",INDEX(Assumptions!$G$5:$G$12,MATCH($B328,Assumptions!$D$5:$D$12,0)))</x:f>
        <x:v>95</x:v>
      </x:c>
      <x:c r="E328" s="11" t="n">
        <x:f>IF($A328="","",INDEX(Assumptions!$M$5:$M$11,WEEKDAY($A328,2)))</x:f>
        <x:v>0.91</x:v>
      </x:c>
      <x:c r="F328" s="11" t="n">
        <x:f>IF($A328="","",Assumptions!$B$15)</x:f>
        <x:v>0.35</x:v>
      </x:c>
      <x:c r="G328" s="11" t="n">
        <x:f>IF($A328="","",MAX(INDEX(Assumptions!$H$5:$H$12,MATCH($B328,Assumptions!$D$5:$D$12,0)),MIN(INDEX(Assumptions!$I$5:$I$12,MATCH($B328,Assumptions!$D$5:$D$12,0)),($C328+$D328*SQRT(-2*LN(RAND()))*COS(2*PI()*RAND()))*$E328*$J328*$K328)))</x:f>
        <x:v>889.1175826864637</x:v>
      </x:c>
      <x:c r="H328" s="11" t="n">
        <x:f>IF($A328="","",$G328*$F328+$C328*(1-$F328))</x:f>
        <x:v>915.6911539402622</x:v>
      </x:c>
      <x:c r="I328" s="11" t="n">
        <x:f>IF($A328="","",AVERAGE($H328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926.774148775701</x:v>
      </x:c>
      <x:c r="J328" s="12" t="n">
        <x:f>IF($A328="","",1+SUMIFS(Assumptions!$S$5:$S$10,Assumptions!$P$5:$P$10,$B328,Assumptions!$Q$5:$Q$10,"&lt;="&amp;$A328,Assumptions!$R$5:$R$10,"&gt;="&amp;$A328))</x:f>
        <x:v>1</x:v>
      </x:c>
      <x:c r="K328" s="12" t="n">
        <x:f>IF($A328="","",1+((($A328-Assumptions!$B$5)/30)*INDEX(Assumptions!$J$5:$J$12,MATCH($B328,Assumptions!$D$5:$D$12,0))))</x:f>
        <x:v>0.9978333333333333</x:v>
      </x:c>
      <x:c r="L328" t="str">
        <x:f>IF($A328="","",IFERROR(INDEX(Assumptions!$O$5:$O$10,MATCH(1,(Assumptions!$P$5:$P$10=$B328)*(Assumptions!$Q$5:$Q$10&lt;=$A328)*(Assumptions!$R$5:$R$10&gt;=$A328),0)),""))</x:f>
      </x:c>
      <x:c r="M328" t="n">
        <x:f>--($A328&lt;&gt;"")</x:f>
        <x:v>1</x:v>
      </x:c>
    </x:row>
    <x:row r="329">
      <x:c r="A329" s="10" t="n">
        <x:f>IF(Assumptions!$B$5+INT((ROW()-2)/Assumptions!$B$7)&gt;Assumptions!$B$6,"",Assumptions!$B$5+INT((ROW()-2)/Assumptions!$B$7))</x:f>
        <x:v>46088</x:v>
      </x:c>
      <x:c r="B329" t="str">
        <x:f>IF($A329="","",INDEX(Assumptions!$D$5:$D$12,MOD(ROW()-2,Assumptions!$B$7)+1))</x:f>
        <x:v>Nostromo Deep</x:v>
      </x:c>
      <x:c r="C329" s="11" t="n">
        <x:f>IF($A329="","",INDEX(Assumptions!$F$5:$F$12,MATCH($B329,Assumptions!$D$5:$D$12,0)))</x:f>
        <x:v>1260</x:v>
      </x:c>
      <x:c r="D329" s="11" t="n">
        <x:f>IF($A329="","",INDEX(Assumptions!$G$5:$G$12,MATCH($B329,Assumptions!$D$5:$D$12,0)))</x:f>
        <x:v>145</x:v>
      </x:c>
      <x:c r="E329" s="11" t="n">
        <x:f>IF($A329="","",INDEX(Assumptions!$M$5:$M$11,WEEKDAY($A329,2)))</x:f>
        <x:v>0.91</x:v>
      </x:c>
      <x:c r="F329" s="11" t="n">
        <x:f>IF($A329="","",Assumptions!$B$15)</x:f>
        <x:v>0.35</x:v>
      </x:c>
      <x:c r="G329" s="11" t="n">
        <x:f>IF($A329="","",MAX(INDEX(Assumptions!$H$5:$H$12,MATCH($B329,Assumptions!$D$5:$D$12,0)),MIN(INDEX(Assumptions!$I$5:$I$12,MATCH($B329,Assumptions!$D$5:$D$12,0)),($C329+$D329*SQRT(-2*LN(RAND()))*COS(2*PI()*RAND()))*$E329*$J329*$K329)))</x:f>
        <x:v>1181.9775978683313</x:v>
      </x:c>
      <x:c r="H329" s="11" t="n">
        <x:f>IF($A329="","",$G329*$F329+$C329*(1-$F329))</x:f>
        <x:v>1232.6921592539159</x:v>
      </x:c>
      <x:c r="I329" s="11" t="n">
        <x:f>IF($A329="","",AVERAGE($H329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1201.5593254900316</x:v>
      </x:c>
      <x:c r="J329" s="12" t="n">
        <x:f>IF($A329="","",1+SUMIFS(Assumptions!$S$5:$S$10,Assumptions!$P$5:$P$10,$B329,Assumptions!$Q$5:$Q$10,"&lt;="&amp;$A329,Assumptions!$R$5:$R$10,"&gt;="&amp;$A329))</x:f>
        <x:v>1</x:v>
      </x:c>
      <x:c r="K329" s="12" t="n">
        <x:f>IF($A329="","",1+((($A329-Assumptions!$B$5)/30)*INDEX(Assumptions!$J$5:$J$12,MATCH($B329,Assumptions!$D$5:$D$12,0))))</x:f>
        <x:v>1.0065</x:v>
      </x:c>
      <x:c r="L329" t="str">
        <x:f>IF($A329="","",IFERROR(INDEX(Assumptions!$O$5:$O$10,MATCH(1,(Assumptions!$P$5:$P$10=$B329)*(Assumptions!$Q$5:$Q$10&lt;=$A329)*(Assumptions!$R$5:$R$10&gt;=$A329),0)),""))</x:f>
      </x:c>
      <x:c r="M329" t="n">
        <x:f>--($A329&lt;&gt;"")</x:f>
        <x:v>1</x:v>
      </x:c>
    </x:row>
    <x:row r="330">
      <x:c r="A330" s="10" t="n">
        <x:f>IF(Assumptions!$B$5+INT((ROW()-2)/Assumptions!$B$7)&gt;Assumptions!$B$6,"",Assumptions!$B$5+INT((ROW()-2)/Assumptions!$B$7))</x:f>
        <x:v>46088</x:v>
      </x:c>
      <x:c r="B330" t="str">
        <x:f>IF($A330="","",INDEX(Assumptions!$D$5:$D$12,MOD(ROW()-2,Assumptions!$B$7)+1))</x:f>
        <x:v>Hadley's Hope</x:v>
      </x:c>
      <x:c r="C330" s="11" t="n">
        <x:f>IF($A330="","",INDEX(Assumptions!$F$5:$F$12,MATCH($B330,Assumptions!$D$5:$D$12,0)))</x:f>
        <x:v>845</x:v>
      </x:c>
      <x:c r="D330" s="11" t="n">
        <x:f>IF($A330="","",INDEX(Assumptions!$G$5:$G$12,MATCH($B330,Assumptions!$D$5:$D$12,0)))</x:f>
        <x:v>80</x:v>
      </x:c>
      <x:c r="E330" s="11" t="n">
        <x:f>IF($A330="","",INDEX(Assumptions!$M$5:$M$11,WEEKDAY($A330,2)))</x:f>
        <x:v>0.91</x:v>
      </x:c>
      <x:c r="F330" s="11" t="n">
        <x:f>IF($A330="","",Assumptions!$B$15)</x:f>
        <x:v>0.35</x:v>
      </x:c>
      <x:c r="G330" s="11" t="n">
        <x:f>IF($A330="","",MAX(INDEX(Assumptions!$H$5:$H$12,MATCH($B330,Assumptions!$D$5:$D$12,0)),MIN(INDEX(Assumptions!$I$5:$I$12,MATCH($B330,Assumptions!$D$5:$D$12,0)),($C330+$D330*SQRT(-2*LN(RAND()))*COS(2*PI()*RAND()))*$E330*$J330*$K330)))</x:f>
        <x:v>882.0612303793516</x:v>
      </x:c>
      <x:c r="H330" s="11" t="n">
        <x:f>IF($A330="","",$G330*$F330+$C330*(1-$F330))</x:f>
        <x:v>857.971430632773</x:v>
      </x:c>
      <x:c r="I330" s="11" t="n">
        <x:f>IF($A330="","",AVERAGE($H330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838.4501027928525</x:v>
      </x:c>
      <x:c r="J330" s="12" t="n">
        <x:f>IF($A330="","",1+SUMIFS(Assumptions!$S$5:$S$10,Assumptions!$P$5:$P$10,$B330,Assumptions!$Q$5:$Q$10,"&lt;="&amp;$A330,Assumptions!$R$5:$R$10,"&gt;="&amp;$A330))</x:f>
        <x:v>1</x:v>
      </x:c>
      <x:c r="K330" s="12" t="n">
        <x:f>IF($A330="","",1+((($A330-Assumptions!$B$5)/30)*INDEX(Assumptions!$J$5:$J$12,MATCH($B330,Assumptions!$D$5:$D$12,0))))</x:f>
        <x:v>1.0021666666666667</x:v>
      </x:c>
      <x:c r="L330" t="str">
        <x:f>IF($A330="","",IFERROR(INDEX(Assumptions!$O$5:$O$10,MATCH(1,(Assumptions!$P$5:$P$10=$B330)*(Assumptions!$Q$5:$Q$10&lt;=$A330)*(Assumptions!$R$5:$R$10&gt;=$A330),0)),""))</x:f>
      </x:c>
      <x:c r="M330" t="n">
        <x:f>--($A330&lt;&gt;"")</x:f>
        <x:v>1</x:v>
      </x:c>
    </x:row>
    <x:row r="331">
      <x:c r="A331" s="10" t="n">
        <x:f>IF(Assumptions!$B$5+INT((ROW()-2)/Assumptions!$B$7)&gt;Assumptions!$B$6,"",Assumptions!$B$5+INT((ROW()-2)/Assumptions!$B$7))</x:f>
        <x:v>46088</x:v>
      </x:c>
      <x:c r="B331" t="str">
        <x:f>IF($A331="","",INDEX(Assumptions!$D$5:$D$12,MOD(ROW()-2,Assumptions!$B$7)+1))</x:f>
        <x:v>Yutani Ridge</x:v>
      </x:c>
      <x:c r="C331" s="11" t="n">
        <x:f>IF($A331="","",INDEX(Assumptions!$F$5:$F$12,MATCH($B331,Assumptions!$D$5:$D$12,0)))</x:f>
        <x:v>1050</x:v>
      </x:c>
      <x:c r="D331" s="11" t="n">
        <x:f>IF($A331="","",INDEX(Assumptions!$G$5:$G$12,MATCH($B331,Assumptions!$D$5:$D$12,0)))</x:f>
        <x:v>125</x:v>
      </x:c>
      <x:c r="E331" s="11" t="n">
        <x:f>IF($A331="","",INDEX(Assumptions!$M$5:$M$11,WEEKDAY($A331,2)))</x:f>
        <x:v>0.91</x:v>
      </x:c>
      <x:c r="F331" s="11" t="n">
        <x:f>IF($A331="","",Assumptions!$B$15)</x:f>
        <x:v>0.35</x:v>
      </x:c>
      <x:c r="G331" s="11" t="n">
        <x:f>IF($A331="","",MAX(INDEX(Assumptions!$H$5:$H$12,MATCH($B331,Assumptions!$D$5:$D$12,0)),MIN(INDEX(Assumptions!$I$5:$I$12,MATCH($B331,Assumptions!$D$5:$D$12,0)),($C331+$D331*SQRT(-2*LN(RAND()))*COS(2*PI()*RAND()))*$E331*$J331*$K331)))</x:f>
        <x:v>1027.6419060925975</x:v>
      </x:c>
      <x:c r="H331" s="11" t="n">
        <x:f>IF($A331="","",$G331*$F331+$C331*(1-$F331))</x:f>
        <x:v>1042.174667132409</x:v>
      </x:c>
      <x:c r="I331" s="11" t="n">
        <x:f>IF($A331="","",AVERAGE($H331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1046.3343609911958</x:v>
      </x:c>
      <x:c r="J331" s="12" t="n">
        <x:f>IF($A331="","",1+SUMIFS(Assumptions!$S$5:$S$10,Assumptions!$P$5:$P$10,$B331,Assumptions!$Q$5:$Q$10,"&lt;="&amp;$A331,Assumptions!$R$5:$R$10,"&gt;="&amp;$A331))</x:f>
        <x:v>1</x:v>
      </x:c>
      <x:c r="K331" s="12" t="n">
        <x:f>IF($A331="","",1+((($A331-Assumptions!$B$5)/30)*INDEX(Assumptions!$J$5:$J$12,MATCH($B331,Assumptions!$D$5:$D$12,0))))</x:f>
        <x:v>1.0054166666666666</x:v>
      </x:c>
      <x:c r="L331" t="str">
        <x:f>IF($A331="","",IFERROR(INDEX(Assumptions!$O$5:$O$10,MATCH(1,(Assumptions!$P$5:$P$10=$B331)*(Assumptions!$Q$5:$Q$10&lt;=$A331)*(Assumptions!$R$5:$R$10&gt;=$A331),0)),""))</x:f>
      </x:c>
      <x:c r="M331" t="n">
        <x:f>--($A331&lt;&gt;"")</x:f>
        <x:v>1</x:v>
      </x:c>
    </x:row>
    <x:row r="332">
      <x:c r="A332" s="10" t="n">
        <x:f>IF(Assumptions!$B$5+INT((ROW()-2)/Assumptions!$B$7)&gt;Assumptions!$B$6,"",Assumptions!$B$5+INT((ROW()-2)/Assumptions!$B$7))</x:f>
        <x:v>46089</x:v>
      </x:c>
      <x:c r="B332" t="str">
        <x:f>IF($A332="","",INDEX(Assumptions!$D$5:$D$12,MOD(ROW()-2,Assumptions!$B$7)+1))</x:f>
        <x:v>Acheron Prime</x:v>
      </x:c>
      <x:c r="C332" s="11" t="n">
        <x:f>IF($A332="","",INDEX(Assumptions!$F$5:$F$12,MATCH($B332,Assumptions!$D$5:$D$12,0)))</x:f>
        <x:v>1120</x:v>
      </x:c>
      <x:c r="D332" s="11" t="n">
        <x:f>IF($A332="","",INDEX(Assumptions!$G$5:$G$12,MATCH($B332,Assumptions!$D$5:$D$12,0)))</x:f>
        <x:v>115</x:v>
      </x:c>
      <x:c r="E332" s="11" t="n">
        <x:f>IF($A332="","",INDEX(Assumptions!$M$5:$M$11,WEEKDAY($A332,2)))</x:f>
        <x:v>0.87</x:v>
      </x:c>
      <x:c r="F332" s="11" t="n">
        <x:f>IF($A332="","",Assumptions!$B$15)</x:f>
        <x:v>0.35</x:v>
      </x:c>
      <x:c r="G332" s="11" t="n">
        <x:f>IF($A332="","",MAX(INDEX(Assumptions!$H$5:$H$12,MATCH($B332,Assumptions!$D$5:$D$12,0)),MIN(INDEX(Assumptions!$I$5:$I$12,MATCH($B332,Assumptions!$D$5:$D$12,0)),($C332+$D332*SQRT(-2*LN(RAND()))*COS(2*PI()*RAND()))*$E332*$J332*$K332)))</x:f>
        <x:v>861.9418543728916</x:v>
      </x:c>
      <x:c r="H332" s="11" t="n">
        <x:f>IF($A332="","",$G332*$F332+$C332*(1-$F332))</x:f>
        <x:v>1029.679649030512</x:v>
      </x:c>
      <x:c r="I332" s="11" t="n">
        <x:f>IF($A332="","",AVERAGE($H332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1084.5046602196142</x:v>
      </x:c>
      <x:c r="J332" s="12" t="n">
        <x:f>IF($A332="","",1+SUMIFS(Assumptions!$S$5:$S$10,Assumptions!$P$5:$P$10,$B332,Assumptions!$Q$5:$Q$10,"&lt;="&amp;$A332,Assumptions!$R$5:$R$10,"&gt;="&amp;$A332))</x:f>
        <x:v>1</x:v>
      </x:c>
      <x:c r="K332" s="12" t="n">
        <x:f>IF($A332="","",1+((($A332-Assumptions!$B$5)/30)*INDEX(Assumptions!$J$5:$J$12,MATCH($B332,Assumptions!$D$5:$D$12,0))))</x:f>
        <x:v>1.0044</x:v>
      </x:c>
      <x:c r="L332" t="str">
        <x:f>IF($A332="","",IFERROR(INDEX(Assumptions!$O$5:$O$10,MATCH(1,(Assumptions!$P$5:$P$10=$B332)*(Assumptions!$Q$5:$Q$10&lt;=$A332)*(Assumptions!$R$5:$R$10&gt;=$A332),0)),""))</x:f>
      </x:c>
      <x:c r="M332" t="n">
        <x:f>--($A332&lt;&gt;"")</x:f>
        <x:v>1</x:v>
      </x:c>
    </x:row>
    <x:row r="333">
      <x:c r="A333" s="10" t="n">
        <x:f>IF(Assumptions!$B$5+INT((ROW()-2)/Assumptions!$B$7)&gt;Assumptions!$B$6,"",Assumptions!$B$5+INT((ROW()-2)/Assumptions!$B$7))</x:f>
        <x:v>46089</x:v>
      </x:c>
      <x:c r="B333" t="str">
        <x:f>IF($A333="","",INDEX(Assumptions!$D$5:$D$12,MOD(ROW()-2,Assumptions!$B$7)+1))</x:f>
        <x:v>LV-426 North</x:v>
      </x:c>
      <x:c r="C333" s="11" t="n">
        <x:f>IF($A333="","",INDEX(Assumptions!$F$5:$F$12,MATCH($B333,Assumptions!$D$5:$D$12,0)))</x:f>
        <x:v>930</x:v>
      </x:c>
      <x:c r="D333" s="11" t="n">
        <x:f>IF($A333="","",INDEX(Assumptions!$G$5:$G$12,MATCH($B333,Assumptions!$D$5:$D$12,0)))</x:f>
        <x:v>95</x:v>
      </x:c>
      <x:c r="E333" s="11" t="n">
        <x:f>IF($A333="","",INDEX(Assumptions!$M$5:$M$11,WEEKDAY($A333,2)))</x:f>
        <x:v>0.87</x:v>
      </x:c>
      <x:c r="F333" s="11" t="n">
        <x:f>IF($A333="","",Assumptions!$B$15)</x:f>
        <x:v>0.35</x:v>
      </x:c>
      <x:c r="G333" s="11" t="n">
        <x:f>IF($A333="","",MAX(INDEX(Assumptions!$H$5:$H$12,MATCH($B333,Assumptions!$D$5:$D$12,0)),MIN(INDEX(Assumptions!$I$5:$I$12,MATCH($B333,Assumptions!$D$5:$D$12,0)),($C333+$D333*SQRT(-2*LN(RAND()))*COS(2*PI()*RAND()))*$E333*$J333*$K333)))</x:f>
        <x:v>808.8792979003989</x:v>
      </x:c>
      <x:c r="H333" s="11" t="n">
        <x:f>IF($A333="","",$G333*$F333+$C333*(1-$F333))</x:f>
        <x:v>887.6077542651396</x:v>
      </x:c>
      <x:c r="I333" s="11" t="n">
        <x:f>IF($A333="","",AVERAGE($H333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931.6079880922623</x:v>
      </x:c>
      <x:c r="J333" s="12" t="n">
        <x:f>IF($A333="","",1+SUMIFS(Assumptions!$S$5:$S$10,Assumptions!$P$5:$P$10,$B333,Assumptions!$Q$5:$Q$10,"&lt;="&amp;$A333,Assumptions!$R$5:$R$10,"&gt;="&amp;$A333))</x:f>
        <x:v>1</x:v>
      </x:c>
      <x:c r="K333" s="12" t="n">
        <x:f>IF($A333="","",1+((($A333-Assumptions!$B$5)/30)*INDEX(Assumptions!$J$5:$J$12,MATCH($B333,Assumptions!$D$5:$D$12,0))))</x:f>
        <x:v>0.9978</x:v>
      </x:c>
      <x:c r="L333" t="str">
        <x:f>IF($A333="","",IFERROR(INDEX(Assumptions!$O$5:$O$10,MATCH(1,(Assumptions!$P$5:$P$10=$B333)*(Assumptions!$Q$5:$Q$10&lt;=$A333)*(Assumptions!$R$5:$R$10&gt;=$A333),0)),""))</x:f>
      </x:c>
      <x:c r="M333" t="n">
        <x:f>--($A333&lt;&gt;"")</x:f>
        <x:v>1</x:v>
      </x:c>
    </x:row>
    <x:row r="334">
      <x:c r="A334" s="10" t="n">
        <x:f>IF(Assumptions!$B$5+INT((ROW()-2)/Assumptions!$B$7)&gt;Assumptions!$B$6,"",Assumptions!$B$5+INT((ROW()-2)/Assumptions!$B$7))</x:f>
        <x:v>46089</x:v>
      </x:c>
      <x:c r="B334" t="str">
        <x:f>IF($A334="","",INDEX(Assumptions!$D$5:$D$12,MOD(ROW()-2,Assumptions!$B$7)+1))</x:f>
        <x:v>Nostromo Deep</x:v>
      </x:c>
      <x:c r="C334" s="11" t="n">
        <x:f>IF($A334="","",INDEX(Assumptions!$F$5:$F$12,MATCH($B334,Assumptions!$D$5:$D$12,0)))</x:f>
        <x:v>1260</x:v>
      </x:c>
      <x:c r="D334" s="11" t="n">
        <x:f>IF($A334="","",INDEX(Assumptions!$G$5:$G$12,MATCH($B334,Assumptions!$D$5:$D$12,0)))</x:f>
        <x:v>145</x:v>
      </x:c>
      <x:c r="E334" s="11" t="n">
        <x:f>IF($A334="","",INDEX(Assumptions!$M$5:$M$11,WEEKDAY($A334,2)))</x:f>
        <x:v>0.87</x:v>
      </x:c>
      <x:c r="F334" s="11" t="n">
        <x:f>IF($A334="","",Assumptions!$B$15)</x:f>
        <x:v>0.35</x:v>
      </x:c>
      <x:c r="G334" s="11" t="n">
        <x:f>IF($A334="","",MAX(INDEX(Assumptions!$H$5:$H$12,MATCH($B334,Assumptions!$D$5:$D$12,0)),MIN(INDEX(Assumptions!$I$5:$I$12,MATCH($B334,Assumptions!$D$5:$D$12,0)),($C334+$D334*SQRT(-2*LN(RAND()))*COS(2*PI()*RAND()))*$E334*$J334*$K334)))</x:f>
        <x:v>969.670707730517</x:v>
      </x:c>
      <x:c r="H334" s="11" t="n">
        <x:f>IF($A334="","",$G334*$F334+$C334*(1-$F334))</x:f>
        <x:v>1158.3847477056809</x:v>
      </x:c>
      <x:c r="I334" s="11" t="n">
        <x:f>IF($A334="","",AVERAGE($H334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1206.5972741588823</x:v>
      </x:c>
      <x:c r="J334" s="12" t="n">
        <x:f>IF($A334="","",1+SUMIFS(Assumptions!$S$5:$S$10,Assumptions!$P$5:$P$10,$B334,Assumptions!$Q$5:$Q$10,"&lt;="&amp;$A334,Assumptions!$R$5:$R$10,"&gt;="&amp;$A334))</x:f>
        <x:v>1</x:v>
      </x:c>
      <x:c r="K334" s="12" t="n">
        <x:f>IF($A334="","",1+((($A334-Assumptions!$B$5)/30)*INDEX(Assumptions!$J$5:$J$12,MATCH($B334,Assumptions!$D$5:$D$12,0))))</x:f>
        <x:v>1.0066</x:v>
      </x:c>
      <x:c r="L334" t="str">
        <x:f>IF($A334="","",IFERROR(INDEX(Assumptions!$O$5:$O$10,MATCH(1,(Assumptions!$P$5:$P$10=$B334)*(Assumptions!$Q$5:$Q$10&lt;=$A334)*(Assumptions!$R$5:$R$10&gt;=$A334),0)),""))</x:f>
      </x:c>
      <x:c r="M334" t="n">
        <x:f>--($A334&lt;&gt;"")</x:f>
        <x:v>1</x:v>
      </x:c>
    </x:row>
    <x:row r="335">
      <x:c r="A335" s="10" t="n">
        <x:f>IF(Assumptions!$B$5+INT((ROW()-2)/Assumptions!$B$7)&gt;Assumptions!$B$6,"",Assumptions!$B$5+INT((ROW()-2)/Assumptions!$B$7))</x:f>
        <x:v>46089</x:v>
      </x:c>
      <x:c r="B335" t="str">
        <x:f>IF($A335="","",INDEX(Assumptions!$D$5:$D$12,MOD(ROW()-2,Assumptions!$B$7)+1))</x:f>
        <x:v>Hadley's Hope</x:v>
      </x:c>
      <x:c r="C335" s="11" t="n">
        <x:f>IF($A335="","",INDEX(Assumptions!$F$5:$F$12,MATCH($B335,Assumptions!$D$5:$D$12,0)))</x:f>
        <x:v>845</x:v>
      </x:c>
      <x:c r="D335" s="11" t="n">
        <x:f>IF($A335="","",INDEX(Assumptions!$G$5:$G$12,MATCH($B335,Assumptions!$D$5:$D$12,0)))</x:f>
        <x:v>80</x:v>
      </x:c>
      <x:c r="E335" s="11" t="n">
        <x:f>IF($A335="","",INDEX(Assumptions!$M$5:$M$11,WEEKDAY($A335,2)))</x:f>
        <x:v>0.87</x:v>
      </x:c>
      <x:c r="F335" s="11" t="n">
        <x:f>IF($A335="","",Assumptions!$B$15)</x:f>
        <x:v>0.35</x:v>
      </x:c>
      <x:c r="G335" s="11" t="n">
        <x:f>IF($A335="","",MAX(INDEX(Assumptions!$H$5:$H$12,MATCH($B335,Assumptions!$D$5:$D$12,0)),MIN(INDEX(Assumptions!$I$5:$I$12,MATCH($B335,Assumptions!$D$5:$D$12,0)),($C335+$D335*SQRT(-2*LN(RAND()))*COS(2*PI()*RAND()))*$E335*$J335*$K335)))</x:f>
        <x:v>734.0048688966427</x:v>
      </x:c>
      <x:c r="H335" s="11" t="n">
        <x:f>IF($A335="","",$G335*$F335+$C335*(1-$F335))</x:f>
        <x:v>806.151704113825</x:v>
      </x:c>
      <x:c r="I335" s="11" t="n">
        <x:f>IF($A335="","",AVERAGE($H335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838.6377433691504</x:v>
      </x:c>
      <x:c r="J335" s="12" t="n">
        <x:f>IF($A335="","",1+SUMIFS(Assumptions!$S$5:$S$10,Assumptions!$P$5:$P$10,$B335,Assumptions!$Q$5:$Q$10,"&lt;="&amp;$A335,Assumptions!$R$5:$R$10,"&gt;="&amp;$A335))</x:f>
        <x:v>1</x:v>
      </x:c>
      <x:c r="K335" s="12" t="n">
        <x:f>IF($A335="","",1+((($A335-Assumptions!$B$5)/30)*INDEX(Assumptions!$J$5:$J$12,MATCH($B335,Assumptions!$D$5:$D$12,0))))</x:f>
        <x:v>1.0022</x:v>
      </x:c>
      <x:c r="L335" t="str">
        <x:f>IF($A335="","",IFERROR(INDEX(Assumptions!$O$5:$O$10,MATCH(1,(Assumptions!$P$5:$P$10=$B335)*(Assumptions!$Q$5:$Q$10&lt;=$A335)*(Assumptions!$R$5:$R$10&gt;=$A335),0)),""))</x:f>
      </x:c>
      <x:c r="M335" t="n">
        <x:f>--($A335&lt;&gt;"")</x:f>
        <x:v>1</x:v>
      </x:c>
    </x:row>
    <x:row r="336">
      <x:c r="A336" s="10" t="n">
        <x:f>IF(Assumptions!$B$5+INT((ROW()-2)/Assumptions!$B$7)&gt;Assumptions!$B$6,"",Assumptions!$B$5+INT((ROW()-2)/Assumptions!$B$7))</x:f>
        <x:v>46089</x:v>
      </x:c>
      <x:c r="B336" t="str">
        <x:f>IF($A336="","",INDEX(Assumptions!$D$5:$D$12,MOD(ROW()-2,Assumptions!$B$7)+1))</x:f>
        <x:v>Yutani Ridge</x:v>
      </x:c>
      <x:c r="C336" s="11" t="n">
        <x:f>IF($A336="","",INDEX(Assumptions!$F$5:$F$12,MATCH($B336,Assumptions!$D$5:$D$12,0)))</x:f>
        <x:v>1050</x:v>
      </x:c>
      <x:c r="D336" s="11" t="n">
        <x:f>IF($A336="","",INDEX(Assumptions!$G$5:$G$12,MATCH($B336,Assumptions!$D$5:$D$12,0)))</x:f>
        <x:v>125</x:v>
      </x:c>
      <x:c r="E336" s="11" t="n">
        <x:f>IF($A336="","",INDEX(Assumptions!$M$5:$M$11,WEEKDAY($A336,2)))</x:f>
        <x:v>0.87</x:v>
      </x:c>
      <x:c r="F336" s="11" t="n">
        <x:f>IF($A336="","",Assumptions!$B$15)</x:f>
        <x:v>0.35</x:v>
      </x:c>
      <x:c r="G336" s="11" t="n">
        <x:f>IF($A336="","",MAX(INDEX(Assumptions!$H$5:$H$12,MATCH($B336,Assumptions!$D$5:$D$12,0)),MIN(INDEX(Assumptions!$I$5:$I$12,MATCH($B336,Assumptions!$D$5:$D$12,0)),($C336+$D336*SQRT(-2*LN(RAND()))*COS(2*PI()*RAND()))*$E336*$J336*$K336)))</x:f>
        <x:v>792.584848843255</x:v>
      </x:c>
      <x:c r="H336" s="11" t="n">
        <x:f>IF($A336="","",$G336*$F336+$C336*(1-$F336))</x:f>
        <x:v>959.9046970951392</x:v>
      </x:c>
      <x:c r="I336" s="11" t="n">
        <x:f>IF($A336="","",AVERAGE($H336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1042.7142713129222</x:v>
      </x:c>
      <x:c r="J336" s="12" t="n">
        <x:f>IF($A336="","",1+SUMIFS(Assumptions!$S$5:$S$10,Assumptions!$P$5:$P$10,$B336,Assumptions!$Q$5:$Q$10,"&lt;="&amp;$A336,Assumptions!$R$5:$R$10,"&gt;="&amp;$A336))</x:f>
        <x:v>1</x:v>
      </x:c>
      <x:c r="K336" s="12" t="n">
        <x:f>IF($A336="","",1+((($A336-Assumptions!$B$5)/30)*INDEX(Assumptions!$J$5:$J$12,MATCH($B336,Assumptions!$D$5:$D$12,0))))</x:f>
        <x:v>1.0055</x:v>
      </x:c>
      <x:c r="L336" t="str">
        <x:f>IF($A336="","",IFERROR(INDEX(Assumptions!$O$5:$O$10,MATCH(1,(Assumptions!$P$5:$P$10=$B336)*(Assumptions!$Q$5:$Q$10&lt;=$A336)*(Assumptions!$R$5:$R$10&gt;=$A336),0)),""))</x:f>
      </x:c>
      <x:c r="M336" t="n">
        <x:f>--($A336&lt;&gt;"")</x:f>
        <x:v>1</x:v>
      </x:c>
    </x:row>
    <x:row r="337">
      <x:c r="A337" s="10" t="n">
        <x:f>IF(Assumptions!$B$5+INT((ROW()-2)/Assumptions!$B$7)&gt;Assumptions!$B$6,"",Assumptions!$B$5+INT((ROW()-2)/Assumptions!$B$7))</x:f>
        <x:v>46090</x:v>
      </x:c>
      <x:c r="B337" t="str">
        <x:f>IF($A337="","",INDEX(Assumptions!$D$5:$D$12,MOD(ROW()-2,Assumptions!$B$7)+1))</x:f>
        <x:v>Acheron Prime</x:v>
      </x:c>
      <x:c r="C337" s="11" t="n">
        <x:f>IF($A337="","",INDEX(Assumptions!$F$5:$F$12,MATCH($B337,Assumptions!$D$5:$D$12,0)))</x:f>
        <x:v>1120</x:v>
      </x:c>
      <x:c r="D337" s="11" t="n">
        <x:f>IF($A337="","",INDEX(Assumptions!$G$5:$G$12,MATCH($B337,Assumptions!$D$5:$D$12,0)))</x:f>
        <x:v>115</x:v>
      </x:c>
      <x:c r="E337" s="11" t="n">
        <x:f>IF($A337="","",INDEX(Assumptions!$M$5:$M$11,WEEKDAY($A337,2)))</x:f>
        <x:v>1.03</x:v>
      </x:c>
      <x:c r="F337" s="11" t="n">
        <x:f>IF($A337="","",Assumptions!$B$15)</x:f>
        <x:v>0.35</x:v>
      </x:c>
      <x:c r="G337" s="11" t="n">
        <x:f>IF($A337="","",MAX(INDEX(Assumptions!$H$5:$H$12,MATCH($B337,Assumptions!$D$5:$D$12,0)),MIN(INDEX(Assumptions!$I$5:$I$12,MATCH($B337,Assumptions!$D$5:$D$12,0)),($C337+$D337*SQRT(-2*LN(RAND()))*COS(2*PI()*RAND()))*$E337*$J337*$K337)))</x:f>
        <x:v>1174.0858744345846</x:v>
      </x:c>
      <x:c r="H337" s="11" t="n">
        <x:f>IF($A337="","",$G337*$F337+$C337*(1-$F337))</x:f>
        <x:v>1138.9300560521046</x:v>
      </x:c>
      <x:c r="I337" s="11" t="n">
        <x:f>IF($A337="","",AVERAGE($H337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1087.9794700223217</x:v>
      </x:c>
      <x:c r="J337" s="12" t="n">
        <x:f>IF($A337="","",1+SUMIFS(Assumptions!$S$5:$S$10,Assumptions!$P$5:$P$10,$B337,Assumptions!$Q$5:$Q$10,"&lt;="&amp;$A337,Assumptions!$R$5:$R$10,"&gt;="&amp;$A337))</x:f>
        <x:v>1</x:v>
      </x:c>
      <x:c r="K337" s="12" t="n">
        <x:f>IF($A337="","",1+((($A337-Assumptions!$B$5)/30)*INDEX(Assumptions!$J$5:$J$12,MATCH($B337,Assumptions!$D$5:$D$12,0))))</x:f>
        <x:v>1.0044666666666666</x:v>
      </x:c>
      <x:c r="L337" t="str">
        <x:f>IF($A337="","",IFERROR(INDEX(Assumptions!$O$5:$O$10,MATCH(1,(Assumptions!$P$5:$P$10=$B337)*(Assumptions!$Q$5:$Q$10&lt;=$A337)*(Assumptions!$R$5:$R$10&gt;=$A337),0)),""))</x:f>
      </x:c>
      <x:c r="M337" t="n">
        <x:f>--($A337&lt;&gt;"")</x:f>
        <x:v>1</x:v>
      </x:c>
    </x:row>
    <x:row r="338">
      <x:c r="A338" s="10" t="n">
        <x:f>IF(Assumptions!$B$5+INT((ROW()-2)/Assumptions!$B$7)&gt;Assumptions!$B$6,"",Assumptions!$B$5+INT((ROW()-2)/Assumptions!$B$7))</x:f>
        <x:v>46090</x:v>
      </x:c>
      <x:c r="B338" t="str">
        <x:f>IF($A338="","",INDEX(Assumptions!$D$5:$D$12,MOD(ROW()-2,Assumptions!$B$7)+1))</x:f>
        <x:v>LV-426 North</x:v>
      </x:c>
      <x:c r="C338" s="11" t="n">
        <x:f>IF($A338="","",INDEX(Assumptions!$F$5:$F$12,MATCH($B338,Assumptions!$D$5:$D$12,0)))</x:f>
        <x:v>930</x:v>
      </x:c>
      <x:c r="D338" s="11" t="n">
        <x:f>IF($A338="","",INDEX(Assumptions!$G$5:$G$12,MATCH($B338,Assumptions!$D$5:$D$12,0)))</x:f>
        <x:v>95</x:v>
      </x:c>
      <x:c r="E338" s="11" t="n">
        <x:f>IF($A338="","",INDEX(Assumptions!$M$5:$M$11,WEEKDAY($A338,2)))</x:f>
        <x:v>1.03</x:v>
      </x:c>
      <x:c r="F338" s="11" t="n">
        <x:f>IF($A338="","",Assumptions!$B$15)</x:f>
        <x:v>0.35</x:v>
      </x:c>
      <x:c r="G338" s="11" t="n">
        <x:f>IF($A338="","",MAX(INDEX(Assumptions!$H$5:$H$12,MATCH($B338,Assumptions!$D$5:$D$12,0)),MIN(INDEX(Assumptions!$I$5:$I$12,MATCH($B338,Assumptions!$D$5:$D$12,0)),($C338+$D338*SQRT(-2*LN(RAND()))*COS(2*PI()*RAND()))*$E338*$J338*$K338)))</x:f>
        <x:v>745.0664591853237</x:v>
      </x:c>
      <x:c r="H338" s="11" t="n">
        <x:f>IF($A338="","",$G338*$F338+$C338*(1-$F338))</x:f>
        <x:v>865.2732607148632</x:v>
      </x:c>
      <x:c r="I338" s="11" t="n">
        <x:f>IF($A338="","",AVERAGE($H338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922.2658877317166</x:v>
      </x:c>
      <x:c r="J338" s="12" t="n">
        <x:f>IF($A338="","",1+SUMIFS(Assumptions!$S$5:$S$10,Assumptions!$P$5:$P$10,$B338,Assumptions!$Q$5:$Q$10,"&lt;="&amp;$A338,Assumptions!$R$5:$R$10,"&gt;="&amp;$A338))</x:f>
        <x:v>1</x:v>
      </x:c>
      <x:c r="K338" s="12" t="n">
        <x:f>IF($A338="","",1+((($A338-Assumptions!$B$5)/30)*INDEX(Assumptions!$J$5:$J$12,MATCH($B338,Assumptions!$D$5:$D$12,0))))</x:f>
        <x:v>0.9977666666666667</x:v>
      </x:c>
      <x:c r="L338" t="str">
        <x:f>IF($A338="","",IFERROR(INDEX(Assumptions!$O$5:$O$10,MATCH(1,(Assumptions!$P$5:$P$10=$B338)*(Assumptions!$Q$5:$Q$10&lt;=$A338)*(Assumptions!$R$5:$R$10&gt;=$A338),0)),""))</x:f>
      </x:c>
      <x:c r="M338" t="n">
        <x:f>--($A338&lt;&gt;"")</x:f>
        <x:v>1</x:v>
      </x:c>
    </x:row>
    <x:row r="339">
      <x:c r="A339" s="10" t="n">
        <x:f>IF(Assumptions!$B$5+INT((ROW()-2)/Assumptions!$B$7)&gt;Assumptions!$B$6,"",Assumptions!$B$5+INT((ROW()-2)/Assumptions!$B$7))</x:f>
        <x:v>46090</x:v>
      </x:c>
      <x:c r="B339" t="str">
        <x:f>IF($A339="","",INDEX(Assumptions!$D$5:$D$12,MOD(ROW()-2,Assumptions!$B$7)+1))</x:f>
        <x:v>Nostromo Deep</x:v>
      </x:c>
      <x:c r="C339" s="11" t="n">
        <x:f>IF($A339="","",INDEX(Assumptions!$F$5:$F$12,MATCH($B339,Assumptions!$D$5:$D$12,0)))</x:f>
        <x:v>1260</x:v>
      </x:c>
      <x:c r="D339" s="11" t="n">
        <x:f>IF($A339="","",INDEX(Assumptions!$G$5:$G$12,MATCH($B339,Assumptions!$D$5:$D$12,0)))</x:f>
        <x:v>145</x:v>
      </x:c>
      <x:c r="E339" s="11" t="n">
        <x:f>IF($A339="","",INDEX(Assumptions!$M$5:$M$11,WEEKDAY($A339,2)))</x:f>
        <x:v>1.03</x:v>
      </x:c>
      <x:c r="F339" s="11" t="n">
        <x:f>IF($A339="","",Assumptions!$B$15)</x:f>
        <x:v>0.35</x:v>
      </x:c>
      <x:c r="G339" s="11" t="n">
        <x:f>IF($A339="","",MAX(INDEX(Assumptions!$H$5:$H$12,MATCH($B339,Assumptions!$D$5:$D$12,0)),MIN(INDEX(Assumptions!$I$5:$I$12,MATCH($B339,Assumptions!$D$5:$D$12,0)),($C339+$D339*SQRT(-2*LN(RAND()))*COS(2*PI()*RAND()))*$E339*$J339*$K339)))</x:f>
        <x:v>1336.7606316147876</x:v>
      </x:c>
      <x:c r="H339" s="11" t="n">
        <x:f>IF($A339="","",$G339*$F339+$C339*(1-$F339))</x:f>
        <x:v>1286.8662210651755</x:v>
      </x:c>
      <x:c r="I339" s="11" t="n">
        <x:f>IF($A339="","",AVERAGE($H339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1221.6880100818</x:v>
      </x:c>
      <x:c r="J339" s="12" t="n">
        <x:f>IF($A339="","",1+SUMIFS(Assumptions!$S$5:$S$10,Assumptions!$P$5:$P$10,$B339,Assumptions!$Q$5:$Q$10,"&lt;="&amp;$A339,Assumptions!$R$5:$R$10,"&gt;="&amp;$A339))</x:f>
        <x:v>1</x:v>
      </x:c>
      <x:c r="K339" s="12" t="n">
        <x:f>IF($A339="","",1+((($A339-Assumptions!$B$5)/30)*INDEX(Assumptions!$J$5:$J$12,MATCH($B339,Assumptions!$D$5:$D$12,0))))</x:f>
        <x:v>1.0067</x:v>
      </x:c>
      <x:c r="L339" t="str">
        <x:f>IF($A339="","",IFERROR(INDEX(Assumptions!$O$5:$O$10,MATCH(1,(Assumptions!$P$5:$P$10=$B339)*(Assumptions!$Q$5:$Q$10&lt;=$A339)*(Assumptions!$R$5:$R$10&gt;=$A339),0)),""))</x:f>
      </x:c>
      <x:c r="M339" t="n">
        <x:f>--($A339&lt;&gt;"")</x:f>
        <x:v>1</x:v>
      </x:c>
    </x:row>
    <x:row r="340">
      <x:c r="A340" s="10" t="n">
        <x:f>IF(Assumptions!$B$5+INT((ROW()-2)/Assumptions!$B$7)&gt;Assumptions!$B$6,"",Assumptions!$B$5+INT((ROW()-2)/Assumptions!$B$7))</x:f>
        <x:v>46090</x:v>
      </x:c>
      <x:c r="B340" t="str">
        <x:f>IF($A340="","",INDEX(Assumptions!$D$5:$D$12,MOD(ROW()-2,Assumptions!$B$7)+1))</x:f>
        <x:v>Hadley's Hope</x:v>
      </x:c>
      <x:c r="C340" s="11" t="n">
        <x:f>IF($A340="","",INDEX(Assumptions!$F$5:$F$12,MATCH($B340,Assumptions!$D$5:$D$12,0)))</x:f>
        <x:v>845</x:v>
      </x:c>
      <x:c r="D340" s="11" t="n">
        <x:f>IF($A340="","",INDEX(Assumptions!$G$5:$G$12,MATCH($B340,Assumptions!$D$5:$D$12,0)))</x:f>
        <x:v>80</x:v>
      </x:c>
      <x:c r="E340" s="11" t="n">
        <x:f>IF($A340="","",INDEX(Assumptions!$M$5:$M$11,WEEKDAY($A340,2)))</x:f>
        <x:v>1.03</x:v>
      </x:c>
      <x:c r="F340" s="11" t="n">
        <x:f>IF($A340="","",Assumptions!$B$15)</x:f>
        <x:v>0.35</x:v>
      </x:c>
      <x:c r="G340" s="11" t="n">
        <x:f>IF($A340="","",MAX(INDEX(Assumptions!$H$5:$H$12,MATCH($B340,Assumptions!$D$5:$D$12,0)),MIN(INDEX(Assumptions!$I$5:$I$12,MATCH($B340,Assumptions!$D$5:$D$12,0)),($C340+$D340*SQRT(-2*LN(RAND()))*COS(2*PI()*RAND()))*$E340*$J340*$K340)))</x:f>
        <x:v>748.161615129831</x:v>
      </x:c>
      <x:c r="H340" s="11" t="n">
        <x:f>IF($A340="","",$G340*$F340+$C340*(1-$F340))</x:f>
        <x:v>811.1065652954409</x:v>
      </x:c>
      <x:c r="I340" s="11" t="n">
        <x:f>IF($A340="","",AVERAGE($H340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831.9296347064553</x:v>
      </x:c>
      <x:c r="J340" s="12" t="n">
        <x:f>IF($A340="","",1+SUMIFS(Assumptions!$S$5:$S$10,Assumptions!$P$5:$P$10,$B340,Assumptions!$Q$5:$Q$10,"&lt;="&amp;$A340,Assumptions!$R$5:$R$10,"&gt;="&amp;$A340))</x:f>
        <x:v>1</x:v>
      </x:c>
      <x:c r="K340" s="12" t="n">
        <x:f>IF($A340="","",1+((($A340-Assumptions!$B$5)/30)*INDEX(Assumptions!$J$5:$J$12,MATCH($B340,Assumptions!$D$5:$D$12,0))))</x:f>
        <x:v>1.0022333333333333</x:v>
      </x:c>
      <x:c r="L340" t="str">
        <x:f>IF($A340="","",IFERROR(INDEX(Assumptions!$O$5:$O$10,MATCH(1,(Assumptions!$P$5:$P$10=$B340)*(Assumptions!$Q$5:$Q$10&lt;=$A340)*(Assumptions!$R$5:$R$10&gt;=$A340),0)),""))</x:f>
      </x:c>
      <x:c r="M340" t="n">
        <x:f>--($A340&lt;&gt;"")</x:f>
        <x:v>1</x:v>
      </x:c>
    </x:row>
    <x:row r="341">
      <x:c r="A341" s="10" t="n">
        <x:f>IF(Assumptions!$B$5+INT((ROW()-2)/Assumptions!$B$7)&gt;Assumptions!$B$6,"",Assumptions!$B$5+INT((ROW()-2)/Assumptions!$B$7))</x:f>
        <x:v>46090</x:v>
      </x:c>
      <x:c r="B341" t="str">
        <x:f>IF($A341="","",INDEX(Assumptions!$D$5:$D$12,MOD(ROW()-2,Assumptions!$B$7)+1))</x:f>
        <x:v>Yutani Ridge</x:v>
      </x:c>
      <x:c r="C341" s="11" t="n">
        <x:f>IF($A341="","",INDEX(Assumptions!$F$5:$F$12,MATCH($B341,Assumptions!$D$5:$D$12,0)))</x:f>
        <x:v>1050</x:v>
      </x:c>
      <x:c r="D341" s="11" t="n">
        <x:f>IF($A341="","",INDEX(Assumptions!$G$5:$G$12,MATCH($B341,Assumptions!$D$5:$D$12,0)))</x:f>
        <x:v>125</x:v>
      </x:c>
      <x:c r="E341" s="11" t="n">
        <x:f>IF($A341="","",INDEX(Assumptions!$M$5:$M$11,WEEKDAY($A341,2)))</x:f>
        <x:v>1.03</x:v>
      </x:c>
      <x:c r="F341" s="11" t="n">
        <x:f>IF($A341="","",Assumptions!$B$15)</x:f>
        <x:v>0.35</x:v>
      </x:c>
      <x:c r="G341" s="11" t="n">
        <x:f>IF($A341="","",MAX(INDEX(Assumptions!$H$5:$H$12,MATCH($B341,Assumptions!$D$5:$D$12,0)),MIN(INDEX(Assumptions!$I$5:$I$12,MATCH($B341,Assumptions!$D$5:$D$12,0)),($C341+$D341*SQRT(-2*LN(RAND()))*COS(2*PI()*RAND()))*$E341*$J341*$K341)))</x:f>
        <x:v>1008.3943532397029</x:v>
      </x:c>
      <x:c r="H341" s="11" t="n">
        <x:f>IF($A341="","",$G341*$F341+$C341*(1-$F341))</x:f>
        <x:v>1035.4380236338961</x:v>
      </x:c>
      <x:c r="I341" s="11" t="n">
        <x:f>IF($A341="","",AVERAGE($H341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1051.5828456683857</x:v>
      </x:c>
      <x:c r="J341" s="12" t="n">
        <x:f>IF($A341="","",1+SUMIFS(Assumptions!$S$5:$S$10,Assumptions!$P$5:$P$10,$B341,Assumptions!$Q$5:$Q$10,"&lt;="&amp;$A341,Assumptions!$R$5:$R$10,"&gt;="&amp;$A341))</x:f>
        <x:v>1</x:v>
      </x:c>
      <x:c r="K341" s="12" t="n">
        <x:f>IF($A341="","",1+((($A341-Assumptions!$B$5)/30)*INDEX(Assumptions!$J$5:$J$12,MATCH($B341,Assumptions!$D$5:$D$12,0))))</x:f>
        <x:v>1.0055833333333333</x:v>
      </x:c>
      <x:c r="L341" t="str">
        <x:f>IF($A341="","",IFERROR(INDEX(Assumptions!$O$5:$O$10,MATCH(1,(Assumptions!$P$5:$P$10=$B341)*(Assumptions!$Q$5:$Q$10&lt;=$A341)*(Assumptions!$R$5:$R$10&gt;=$A341),0)),""))</x:f>
      </x:c>
      <x:c r="M341" t="n">
        <x:f>--($A341&lt;&gt;"")</x:f>
        <x:v>1</x:v>
      </x:c>
    </x:row>
    <x:row r="342">
      <x:c r="A342" s="10" t="n">
        <x:f>IF(Assumptions!$B$5+INT((ROW()-2)/Assumptions!$B$7)&gt;Assumptions!$B$6,"",Assumptions!$B$5+INT((ROW()-2)/Assumptions!$B$7))</x:f>
        <x:v>46091</x:v>
      </x:c>
      <x:c r="B342" t="str">
        <x:f>IF($A342="","",INDEX(Assumptions!$D$5:$D$12,MOD(ROW()-2,Assumptions!$B$7)+1))</x:f>
        <x:v>Acheron Prime</x:v>
      </x:c>
      <x:c r="C342" s="11" t="n">
        <x:f>IF($A342="","",INDEX(Assumptions!$F$5:$F$12,MATCH($B342,Assumptions!$D$5:$D$12,0)))</x:f>
        <x:v>1120</x:v>
      </x:c>
      <x:c r="D342" s="11" t="n">
        <x:f>IF($A342="","",INDEX(Assumptions!$G$5:$G$12,MATCH($B342,Assumptions!$D$5:$D$12,0)))</x:f>
        <x:v>115</x:v>
      </x:c>
      <x:c r="E342" s="11" t="n">
        <x:f>IF($A342="","",INDEX(Assumptions!$M$5:$M$11,WEEKDAY($A342,2)))</x:f>
        <x:v>1.02</x:v>
      </x:c>
      <x:c r="F342" s="11" t="n">
        <x:f>IF($A342="","",Assumptions!$B$15)</x:f>
        <x:v>0.35</x:v>
      </x:c>
      <x:c r="G342" s="11" t="n">
        <x:f>IF($A342="","",MAX(INDEX(Assumptions!$H$5:$H$12,MATCH($B342,Assumptions!$D$5:$D$12,0)),MIN(INDEX(Assumptions!$I$5:$I$12,MATCH($B342,Assumptions!$D$5:$D$12,0)),($C342+$D342*SQRT(-2*LN(RAND()))*COS(2*PI()*RAND()))*$E342*$J342*$K342)))</x:f>
        <x:v>1252.63784619096</x:v>
      </x:c>
      <x:c r="H342" s="11" t="n">
        <x:f>IF($A342="","",$G342*$F342+$C342*(1-$F342))</x:f>
        <x:v>1166.423246166836</x:v>
      </x:c>
      <x:c r="I342" s="11" t="n">
        <x:f>IF($A342="","",AVERAGE($H342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1103.467527422154</x:v>
      </x:c>
      <x:c r="J342" s="12" t="n">
        <x:f>IF($A342="","",1+SUMIFS(Assumptions!$S$5:$S$10,Assumptions!$P$5:$P$10,$B342,Assumptions!$Q$5:$Q$10,"&lt;="&amp;$A342,Assumptions!$R$5:$R$10,"&gt;="&amp;$A342))</x:f>
        <x:v>1</x:v>
      </x:c>
      <x:c r="K342" s="12" t="n">
        <x:f>IF($A342="","",1+((($A342-Assumptions!$B$5)/30)*INDEX(Assumptions!$J$5:$J$12,MATCH($B342,Assumptions!$D$5:$D$12,0))))</x:f>
        <x:v>1.0045333333333333</x:v>
      </x:c>
      <x:c r="L342" t="str">
        <x:f>IF($A342="","",IFERROR(INDEX(Assumptions!$O$5:$O$10,MATCH(1,(Assumptions!$P$5:$P$10=$B342)*(Assumptions!$Q$5:$Q$10&lt;=$A342)*(Assumptions!$R$5:$R$10&gt;=$A342),0)),""))</x:f>
      </x:c>
      <x:c r="M342" t="n">
        <x:f>--($A342&lt;&gt;"")</x:f>
        <x:v>1</x:v>
      </x:c>
    </x:row>
    <x:row r="343">
      <x:c r="A343" s="10" t="n">
        <x:f>IF(Assumptions!$B$5+INT((ROW()-2)/Assumptions!$B$7)&gt;Assumptions!$B$6,"",Assumptions!$B$5+INT((ROW()-2)/Assumptions!$B$7))</x:f>
        <x:v>46091</x:v>
      </x:c>
      <x:c r="B343" t="str">
        <x:f>IF($A343="","",INDEX(Assumptions!$D$5:$D$12,MOD(ROW()-2,Assumptions!$B$7)+1))</x:f>
        <x:v>LV-426 North</x:v>
      </x:c>
      <x:c r="C343" s="11" t="n">
        <x:f>IF($A343="","",INDEX(Assumptions!$F$5:$F$12,MATCH($B343,Assumptions!$D$5:$D$12,0)))</x:f>
        <x:v>930</x:v>
      </x:c>
      <x:c r="D343" s="11" t="n">
        <x:f>IF($A343="","",INDEX(Assumptions!$G$5:$G$12,MATCH($B343,Assumptions!$D$5:$D$12,0)))</x:f>
        <x:v>95</x:v>
      </x:c>
      <x:c r="E343" s="11" t="n">
        <x:f>IF($A343="","",INDEX(Assumptions!$M$5:$M$11,WEEKDAY($A343,2)))</x:f>
        <x:v>1.02</x:v>
      </x:c>
      <x:c r="F343" s="11" t="n">
        <x:f>IF($A343="","",Assumptions!$B$15)</x:f>
        <x:v>0.35</x:v>
      </x:c>
      <x:c r="G343" s="11" t="n">
        <x:f>IF($A343="","",MAX(INDEX(Assumptions!$H$5:$H$12,MATCH($B343,Assumptions!$D$5:$D$12,0)),MIN(INDEX(Assumptions!$I$5:$I$12,MATCH($B343,Assumptions!$D$5:$D$12,0)),($C343+$D343*SQRT(-2*LN(RAND()))*COS(2*PI()*RAND()))*$E343*$J343*$K343)))</x:f>
        <x:v>1300</x:v>
      </x:c>
      <x:c r="H343" s="11" t="n">
        <x:f>IF($A343="","",$G343*$F343+$C343*(1-$F343))</x:f>
        <x:v>1059.5</x:v>
      </x:c>
      <x:c r="I343" s="11" t="n">
        <x:f>IF($A343="","",AVERAGE($H343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943.22417523001</x:v>
      </x:c>
      <x:c r="J343" s="12" t="n">
        <x:f>IF($A343="","",1+SUMIFS(Assumptions!$S$5:$S$10,Assumptions!$P$5:$P$10,$B343,Assumptions!$Q$5:$Q$10,"&lt;="&amp;$A343,Assumptions!$R$5:$R$10,"&gt;="&amp;$A343))</x:f>
        <x:v>1.18</x:v>
      </x:c>
      <x:c r="K343" s="12" t="n">
        <x:f>IF($A343="","",1+((($A343-Assumptions!$B$5)/30)*INDEX(Assumptions!$J$5:$J$12,MATCH($B343,Assumptions!$D$5:$D$12,0))))</x:f>
        <x:v>0.9977333333333334</x:v>
      </x:c>
      <x:c r="L343" t="str">
        <x:f>IF($A343="","",IFERROR(INDEX(Assumptions!$O$5:$O$10,MATCH(1,(Assumptions!$P$5:$P$10=$B343)*(Assumptions!$Q$5:$Q$10&lt;=$A343)*(Assumptions!$R$5:$R$10&gt;=$A343),0)),""))</x:f>
        <x:v>Ore seam boost</x:v>
      </x:c>
      <x:c r="M343" t="n">
        <x:f>--($A343&lt;&gt;"")</x:f>
        <x:v>1</x:v>
      </x:c>
    </x:row>
    <x:row r="344">
      <x:c r="A344" s="10" t="n">
        <x:f>IF(Assumptions!$B$5+INT((ROW()-2)/Assumptions!$B$7)&gt;Assumptions!$B$6,"",Assumptions!$B$5+INT((ROW()-2)/Assumptions!$B$7))</x:f>
        <x:v>46091</x:v>
      </x:c>
      <x:c r="B344" t="str">
        <x:f>IF($A344="","",INDEX(Assumptions!$D$5:$D$12,MOD(ROW()-2,Assumptions!$B$7)+1))</x:f>
        <x:v>Nostromo Deep</x:v>
      </x:c>
      <x:c r="C344" s="11" t="n">
        <x:f>IF($A344="","",INDEX(Assumptions!$F$5:$F$12,MATCH($B344,Assumptions!$D$5:$D$12,0)))</x:f>
        <x:v>1260</x:v>
      </x:c>
      <x:c r="D344" s="11" t="n">
        <x:f>IF($A344="","",INDEX(Assumptions!$G$5:$G$12,MATCH($B344,Assumptions!$D$5:$D$12,0)))</x:f>
        <x:v>145</x:v>
      </x:c>
      <x:c r="E344" s="11" t="n">
        <x:f>IF($A344="","",INDEX(Assumptions!$M$5:$M$11,WEEKDAY($A344,2)))</x:f>
        <x:v>1.02</x:v>
      </x:c>
      <x:c r="F344" s="11" t="n">
        <x:f>IF($A344="","",Assumptions!$B$15)</x:f>
        <x:v>0.35</x:v>
      </x:c>
      <x:c r="G344" s="11" t="n">
        <x:f>IF($A344="","",MAX(INDEX(Assumptions!$H$5:$H$12,MATCH($B344,Assumptions!$D$5:$D$12,0)),MIN(INDEX(Assumptions!$I$5:$I$12,MATCH($B344,Assumptions!$D$5:$D$12,0)),($C344+$D344*SQRT(-2*LN(RAND()))*COS(2*PI()*RAND()))*$E344*$J344*$K344)))</x:f>
        <x:v>1100.125646920043</x:v>
      </x:c>
      <x:c r="H344" s="11" t="n">
        <x:f>IF($A344="","",$G344*$F344+$C344*(1-$F344))</x:f>
        <x:v>1204.043976422015</x:v>
      </x:c>
      <x:c r="I344" s="11" t="n">
        <x:f>IF($A344="","",AVERAGE($H344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1217.7081901507515</x:v>
      </x:c>
      <x:c r="J344" s="12" t="n">
        <x:f>IF($A344="","",1+SUMIFS(Assumptions!$S$5:$S$10,Assumptions!$P$5:$P$10,$B344,Assumptions!$Q$5:$Q$10,"&lt;="&amp;$A344,Assumptions!$R$5:$R$10,"&gt;="&amp;$A344))</x:f>
        <x:v>1</x:v>
      </x:c>
      <x:c r="K344" s="12" t="n">
        <x:f>IF($A344="","",1+((($A344-Assumptions!$B$5)/30)*INDEX(Assumptions!$J$5:$J$12,MATCH($B344,Assumptions!$D$5:$D$12,0))))</x:f>
        <x:v>1.0068</x:v>
      </x:c>
      <x:c r="L344" t="str">
        <x:f>IF($A344="","",IFERROR(INDEX(Assumptions!$O$5:$O$10,MATCH(1,(Assumptions!$P$5:$P$10=$B344)*(Assumptions!$Q$5:$Q$10&lt;=$A344)*(Assumptions!$R$5:$R$10&gt;=$A344),0)),""))</x:f>
      </x:c>
      <x:c r="M344" t="n">
        <x:f>--($A344&lt;&gt;"")</x:f>
        <x:v>1</x:v>
      </x:c>
    </x:row>
    <x:row r="345">
      <x:c r="A345" s="10" t="n">
        <x:f>IF(Assumptions!$B$5+INT((ROW()-2)/Assumptions!$B$7)&gt;Assumptions!$B$6,"",Assumptions!$B$5+INT((ROW()-2)/Assumptions!$B$7))</x:f>
        <x:v>46091</x:v>
      </x:c>
      <x:c r="B345" t="str">
        <x:f>IF($A345="","",INDEX(Assumptions!$D$5:$D$12,MOD(ROW()-2,Assumptions!$B$7)+1))</x:f>
        <x:v>Hadley's Hope</x:v>
      </x:c>
      <x:c r="C345" s="11" t="n">
        <x:f>IF($A345="","",INDEX(Assumptions!$F$5:$F$12,MATCH($B345,Assumptions!$D$5:$D$12,0)))</x:f>
        <x:v>845</x:v>
      </x:c>
      <x:c r="D345" s="11" t="n">
        <x:f>IF($A345="","",INDEX(Assumptions!$G$5:$G$12,MATCH($B345,Assumptions!$D$5:$D$12,0)))</x:f>
        <x:v>80</x:v>
      </x:c>
      <x:c r="E345" s="11" t="n">
        <x:f>IF($A345="","",INDEX(Assumptions!$M$5:$M$11,WEEKDAY($A345,2)))</x:f>
        <x:v>1.02</x:v>
      </x:c>
      <x:c r="F345" s="11" t="n">
        <x:f>IF($A345="","",Assumptions!$B$15)</x:f>
        <x:v>0.35</x:v>
      </x:c>
      <x:c r="G345" s="11" t="n">
        <x:f>IF($A345="","",MAX(INDEX(Assumptions!$H$5:$H$12,MATCH($B345,Assumptions!$D$5:$D$12,0)),MIN(INDEX(Assumptions!$I$5:$I$12,MATCH($B345,Assumptions!$D$5:$D$12,0)),($C345+$D345*SQRT(-2*LN(RAND()))*COS(2*PI()*RAND()))*$E345*$J345*$K345)))</x:f>
        <x:v>788.0437030760736</x:v>
      </x:c>
      <x:c r="H345" s="11" t="n">
        <x:f>IF($A345="","",$G345*$F345+$C345*(1-$F345))</x:f>
        <x:v>825.0652960766257</x:v>
      </x:c>
      <x:c r="I345" s="11" t="n">
        <x:f>IF($A345="","",AVERAGE($H345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829.0624404256662</x:v>
      </x:c>
      <x:c r="J345" s="12" t="n">
        <x:f>IF($A345="","",1+SUMIFS(Assumptions!$S$5:$S$10,Assumptions!$P$5:$P$10,$B345,Assumptions!$Q$5:$Q$10,"&lt;="&amp;$A345,Assumptions!$R$5:$R$10,"&gt;="&amp;$A345))</x:f>
        <x:v>1</x:v>
      </x:c>
      <x:c r="K345" s="12" t="n">
        <x:f>IF($A345="","",1+((($A345-Assumptions!$B$5)/30)*INDEX(Assumptions!$J$5:$J$12,MATCH($B345,Assumptions!$D$5:$D$12,0))))</x:f>
        <x:v>1.0022666666666666</x:v>
      </x:c>
      <x:c r="L345" t="str">
        <x:f>IF($A345="","",IFERROR(INDEX(Assumptions!$O$5:$O$10,MATCH(1,(Assumptions!$P$5:$P$10=$B345)*(Assumptions!$Q$5:$Q$10&lt;=$A345)*(Assumptions!$R$5:$R$10&gt;=$A345),0)),""))</x:f>
      </x:c>
      <x:c r="M345" t="n">
        <x:f>--($A345&lt;&gt;"")</x:f>
        <x:v>1</x:v>
      </x:c>
    </x:row>
    <x:row r="346">
      <x:c r="A346" s="10" t="n">
        <x:f>IF(Assumptions!$B$5+INT((ROW()-2)/Assumptions!$B$7)&gt;Assumptions!$B$6,"",Assumptions!$B$5+INT((ROW()-2)/Assumptions!$B$7))</x:f>
        <x:v>46091</x:v>
      </x:c>
      <x:c r="B346" t="str">
        <x:f>IF($A346="","",INDEX(Assumptions!$D$5:$D$12,MOD(ROW()-2,Assumptions!$B$7)+1))</x:f>
        <x:v>Yutani Ridge</x:v>
      </x:c>
      <x:c r="C346" s="11" t="n">
        <x:f>IF($A346="","",INDEX(Assumptions!$F$5:$F$12,MATCH($B346,Assumptions!$D$5:$D$12,0)))</x:f>
        <x:v>1050</x:v>
      </x:c>
      <x:c r="D346" s="11" t="n">
        <x:f>IF($A346="","",INDEX(Assumptions!$G$5:$G$12,MATCH($B346,Assumptions!$D$5:$D$12,0)))</x:f>
        <x:v>125</x:v>
      </x:c>
      <x:c r="E346" s="11" t="n">
        <x:f>IF($A346="","",INDEX(Assumptions!$M$5:$M$11,WEEKDAY($A346,2)))</x:f>
        <x:v>1.02</x:v>
      </x:c>
      <x:c r="F346" s="11" t="n">
        <x:f>IF($A346="","",Assumptions!$B$15)</x:f>
        <x:v>0.35</x:v>
      </x:c>
      <x:c r="G346" s="11" t="n">
        <x:f>IF($A346="","",MAX(INDEX(Assumptions!$H$5:$H$12,MATCH($B346,Assumptions!$D$5:$D$12,0)),MIN(INDEX(Assumptions!$I$5:$I$12,MATCH($B346,Assumptions!$D$5:$D$12,0)),($C346+$D346*SQRT(-2*LN(RAND()))*COS(2*PI()*RAND()))*$E346*$J346*$K346)))</x:f>
        <x:v>1353.3561049062923</x:v>
      </x:c>
      <x:c r="H346" s="11" t="n">
        <x:f>IF($A346="","",$G346*$F346+$C346*(1-$F346))</x:f>
        <x:v>1156.1746367172022</x:v>
      </x:c>
      <x:c r="I346" s="11" t="n">
        <x:f>IF($A346="","",AVERAGE($H346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1061.7116692317793</x:v>
      </x:c>
      <x:c r="J346" s="12" t="n">
        <x:f>IF($A346="","",1+SUMIFS(Assumptions!$S$5:$S$10,Assumptions!$P$5:$P$10,$B346,Assumptions!$Q$5:$Q$10,"&lt;="&amp;$A346,Assumptions!$R$5:$R$10,"&gt;="&amp;$A346))</x:f>
        <x:v>1</x:v>
      </x:c>
      <x:c r="K346" s="12" t="n">
        <x:f>IF($A346="","",1+((($A346-Assumptions!$B$5)/30)*INDEX(Assumptions!$J$5:$J$12,MATCH($B346,Assumptions!$D$5:$D$12,0))))</x:f>
        <x:v>1.0056666666666667</x:v>
      </x:c>
      <x:c r="L346" t="str">
        <x:f>IF($A346="","",IFERROR(INDEX(Assumptions!$O$5:$O$10,MATCH(1,(Assumptions!$P$5:$P$10=$B346)*(Assumptions!$Q$5:$Q$10&lt;=$A346)*(Assumptions!$R$5:$R$10&gt;=$A346),0)),""))</x:f>
      </x:c>
      <x:c r="M346" t="n">
        <x:f>--($A346&lt;&gt;"")</x:f>
        <x:v>1</x:v>
      </x:c>
    </x:row>
    <x:row r="347">
      <x:c r="A347" s="10" t="n">
        <x:f>IF(Assumptions!$B$5+INT((ROW()-2)/Assumptions!$B$7)&gt;Assumptions!$B$6,"",Assumptions!$B$5+INT((ROW()-2)/Assumptions!$B$7))</x:f>
        <x:v>46092</x:v>
      </x:c>
      <x:c r="B347" t="str">
        <x:f>IF($A347="","",INDEX(Assumptions!$D$5:$D$12,MOD(ROW()-2,Assumptions!$B$7)+1))</x:f>
        <x:v>Acheron Prime</x:v>
      </x:c>
      <x:c r="C347" s="11" t="n">
        <x:f>IF($A347="","",INDEX(Assumptions!$F$5:$F$12,MATCH($B347,Assumptions!$D$5:$D$12,0)))</x:f>
        <x:v>1120</x:v>
      </x:c>
      <x:c r="D347" s="11" t="n">
        <x:f>IF($A347="","",INDEX(Assumptions!$G$5:$G$12,MATCH($B347,Assumptions!$D$5:$D$12,0)))</x:f>
        <x:v>115</x:v>
      </x:c>
      <x:c r="E347" s="11" t="n">
        <x:f>IF($A347="","",INDEX(Assumptions!$M$5:$M$11,WEEKDAY($A347,2)))</x:f>
        <x:v>1.01</x:v>
      </x:c>
      <x:c r="F347" s="11" t="n">
        <x:f>IF($A347="","",Assumptions!$B$15)</x:f>
        <x:v>0.35</x:v>
      </x:c>
      <x:c r="G347" s="11" t="n">
        <x:f>IF($A347="","",MAX(INDEX(Assumptions!$H$5:$H$12,MATCH($B347,Assumptions!$D$5:$D$12,0)),MIN(INDEX(Assumptions!$I$5:$I$12,MATCH($B347,Assumptions!$D$5:$D$12,0)),($C347+$D347*SQRT(-2*LN(RAND()))*COS(2*PI()*RAND()))*$E347*$J347*$K347)))</x:f>
        <x:v>1114.607097884988</x:v>
      </x:c>
      <x:c r="H347" s="11" t="n">
        <x:f>IF($A347="","",$G347*$F347+$C347*(1-$F347))</x:f>
        <x:v>1118.1124842597458</x:v>
      </x:c>
      <x:c r="I347" s="11" t="n">
        <x:f>IF($A347="","",AVERAGE($H347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1105.5183780868063</x:v>
      </x:c>
      <x:c r="J347" s="12" t="n">
        <x:f>IF($A347="","",1+SUMIFS(Assumptions!$S$5:$S$10,Assumptions!$P$5:$P$10,$B347,Assumptions!$Q$5:$Q$10,"&lt;="&amp;$A347,Assumptions!$R$5:$R$10,"&gt;="&amp;$A347))</x:f>
        <x:v>1</x:v>
      </x:c>
      <x:c r="K347" s="12" t="n">
        <x:f>IF($A347="","",1+((($A347-Assumptions!$B$5)/30)*INDEX(Assumptions!$J$5:$J$12,MATCH($B347,Assumptions!$D$5:$D$12,0))))</x:f>
        <x:v>1.0046</x:v>
      </x:c>
      <x:c r="L347" t="str">
        <x:f>IF($A347="","",IFERROR(INDEX(Assumptions!$O$5:$O$10,MATCH(1,(Assumptions!$P$5:$P$10=$B347)*(Assumptions!$Q$5:$Q$10&lt;=$A347)*(Assumptions!$R$5:$R$10&gt;=$A347),0)),""))</x:f>
      </x:c>
      <x:c r="M347" t="n">
        <x:f>--($A347&lt;&gt;"")</x:f>
        <x:v>1</x:v>
      </x:c>
    </x:row>
    <x:row r="348">
      <x:c r="A348" s="10" t="n">
        <x:f>IF(Assumptions!$B$5+INT((ROW()-2)/Assumptions!$B$7)&gt;Assumptions!$B$6,"",Assumptions!$B$5+INT((ROW()-2)/Assumptions!$B$7))</x:f>
        <x:v>46092</x:v>
      </x:c>
      <x:c r="B348" t="str">
        <x:f>IF($A348="","",INDEX(Assumptions!$D$5:$D$12,MOD(ROW()-2,Assumptions!$B$7)+1))</x:f>
        <x:v>LV-426 North</x:v>
      </x:c>
      <x:c r="C348" s="11" t="n">
        <x:f>IF($A348="","",INDEX(Assumptions!$F$5:$F$12,MATCH($B348,Assumptions!$D$5:$D$12,0)))</x:f>
        <x:v>930</x:v>
      </x:c>
      <x:c r="D348" s="11" t="n">
        <x:f>IF($A348="","",INDEX(Assumptions!$G$5:$G$12,MATCH($B348,Assumptions!$D$5:$D$12,0)))</x:f>
        <x:v>95</x:v>
      </x:c>
      <x:c r="E348" s="11" t="n">
        <x:f>IF($A348="","",INDEX(Assumptions!$M$5:$M$11,WEEKDAY($A348,2)))</x:f>
        <x:v>1.01</x:v>
      </x:c>
      <x:c r="F348" s="11" t="n">
        <x:f>IF($A348="","",Assumptions!$B$15)</x:f>
        <x:v>0.35</x:v>
      </x:c>
      <x:c r="G348" s="11" t="n">
        <x:f>IF($A348="","",MAX(INDEX(Assumptions!$H$5:$H$12,MATCH($B348,Assumptions!$D$5:$D$12,0)),MIN(INDEX(Assumptions!$I$5:$I$12,MATCH($B348,Assumptions!$D$5:$D$12,0)),($C348+$D348*SQRT(-2*LN(RAND()))*COS(2*PI()*RAND()))*$E348*$J348*$K348)))</x:f>
        <x:v>1266.4597109864292</x:v>
      </x:c>
      <x:c r="H348" s="11" t="n">
        <x:f>IF($A348="","",$G348*$F348+$C348*(1-$F348))</x:f>
        <x:v>1047.7608988452503</x:v>
      </x:c>
      <x:c r="I348" s="11" t="n">
        <x:f>IF($A348="","",AVERAGE($H348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957.8207333282377</x:v>
      </x:c>
      <x:c r="J348" s="12" t="n">
        <x:f>IF($A348="","",1+SUMIFS(Assumptions!$S$5:$S$10,Assumptions!$P$5:$P$10,$B348,Assumptions!$Q$5:$Q$10,"&lt;="&amp;$A348,Assumptions!$R$5:$R$10,"&gt;="&amp;$A348))</x:f>
        <x:v>1.18</x:v>
      </x:c>
      <x:c r="K348" s="12" t="n">
        <x:f>IF($A348="","",1+((($A348-Assumptions!$B$5)/30)*INDEX(Assumptions!$J$5:$J$12,MATCH($B348,Assumptions!$D$5:$D$12,0))))</x:f>
        <x:v>0.9977</x:v>
      </x:c>
      <x:c r="L348" t="str">
        <x:f>IF($A348="","",IFERROR(INDEX(Assumptions!$O$5:$O$10,MATCH(1,(Assumptions!$P$5:$P$10=$B348)*(Assumptions!$Q$5:$Q$10&lt;=$A348)*(Assumptions!$R$5:$R$10&gt;=$A348),0)),""))</x:f>
        <x:v>Ore seam boost</x:v>
      </x:c>
      <x:c r="M348" t="n">
        <x:f>--($A348&lt;&gt;"")</x:f>
        <x:v>1</x:v>
      </x:c>
    </x:row>
    <x:row r="349">
      <x:c r="A349" s="10" t="n">
        <x:f>IF(Assumptions!$B$5+INT((ROW()-2)/Assumptions!$B$7)&gt;Assumptions!$B$6,"",Assumptions!$B$5+INT((ROW()-2)/Assumptions!$B$7))</x:f>
        <x:v>46092</x:v>
      </x:c>
      <x:c r="B349" t="str">
        <x:f>IF($A349="","",INDEX(Assumptions!$D$5:$D$12,MOD(ROW()-2,Assumptions!$B$7)+1))</x:f>
        <x:v>Nostromo Deep</x:v>
      </x:c>
      <x:c r="C349" s="11" t="n">
        <x:f>IF($A349="","",INDEX(Assumptions!$F$5:$F$12,MATCH($B349,Assumptions!$D$5:$D$12,0)))</x:f>
        <x:v>1260</x:v>
      </x:c>
      <x:c r="D349" s="11" t="n">
        <x:f>IF($A349="","",INDEX(Assumptions!$G$5:$G$12,MATCH($B349,Assumptions!$D$5:$D$12,0)))</x:f>
        <x:v>145</x:v>
      </x:c>
      <x:c r="E349" s="11" t="n">
        <x:f>IF($A349="","",INDEX(Assumptions!$M$5:$M$11,WEEKDAY($A349,2)))</x:f>
        <x:v>1.01</x:v>
      </x:c>
      <x:c r="F349" s="11" t="n">
        <x:f>IF($A349="","",Assumptions!$B$15)</x:f>
        <x:v>0.35</x:v>
      </x:c>
      <x:c r="G349" s="11" t="n">
        <x:f>IF($A349="","",MAX(INDEX(Assumptions!$H$5:$H$12,MATCH($B349,Assumptions!$D$5:$D$12,0)),MIN(INDEX(Assumptions!$I$5:$I$12,MATCH($B349,Assumptions!$D$5:$D$12,0)),($C349+$D349*SQRT(-2*LN(RAND()))*COS(2*PI()*RAND()))*$E349*$J349*$K349)))</x:f>
        <x:v>1233.6612162327776</x:v>
      </x:c>
      <x:c r="H349" s="11" t="n">
        <x:f>IF($A349="","",$G349*$F349+$C349*(1-$F349))</x:f>
        <x:v>1250.7814256814722</x:v>
      </x:c>
      <x:c r="I349" s="11" t="n">
        <x:f>IF($A349="","",AVERAGE($H349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1233.1745378749663</x:v>
      </x:c>
      <x:c r="J349" s="12" t="n">
        <x:f>IF($A349="","",1+SUMIFS(Assumptions!$S$5:$S$10,Assumptions!$P$5:$P$10,$B349,Assumptions!$Q$5:$Q$10,"&lt;="&amp;$A349,Assumptions!$R$5:$R$10,"&gt;="&amp;$A349))</x:f>
        <x:v>1</x:v>
      </x:c>
      <x:c r="K349" s="12" t="n">
        <x:f>IF($A349="","",1+((($A349-Assumptions!$B$5)/30)*INDEX(Assumptions!$J$5:$J$12,MATCH($B349,Assumptions!$D$5:$D$12,0))))</x:f>
        <x:v>1.0069</x:v>
      </x:c>
      <x:c r="L349" t="str">
        <x:f>IF($A349="","",IFERROR(INDEX(Assumptions!$O$5:$O$10,MATCH(1,(Assumptions!$P$5:$P$10=$B349)*(Assumptions!$Q$5:$Q$10&lt;=$A349)*(Assumptions!$R$5:$R$10&gt;=$A349),0)),""))</x:f>
      </x:c>
      <x:c r="M349" t="n">
        <x:f>--($A349&lt;&gt;"")</x:f>
        <x:v>1</x:v>
      </x:c>
    </x:row>
    <x:row r="350">
      <x:c r="A350" s="10" t="n">
        <x:f>IF(Assumptions!$B$5+INT((ROW()-2)/Assumptions!$B$7)&gt;Assumptions!$B$6,"",Assumptions!$B$5+INT((ROW()-2)/Assumptions!$B$7))</x:f>
        <x:v>46092</x:v>
      </x:c>
      <x:c r="B350" t="str">
        <x:f>IF($A350="","",INDEX(Assumptions!$D$5:$D$12,MOD(ROW()-2,Assumptions!$B$7)+1))</x:f>
        <x:v>Hadley's Hope</x:v>
      </x:c>
      <x:c r="C350" s="11" t="n">
        <x:f>IF($A350="","",INDEX(Assumptions!$F$5:$F$12,MATCH($B350,Assumptions!$D$5:$D$12,0)))</x:f>
        <x:v>845</x:v>
      </x:c>
      <x:c r="D350" s="11" t="n">
        <x:f>IF($A350="","",INDEX(Assumptions!$G$5:$G$12,MATCH($B350,Assumptions!$D$5:$D$12,0)))</x:f>
        <x:v>80</x:v>
      </x:c>
      <x:c r="E350" s="11" t="n">
        <x:f>IF($A350="","",INDEX(Assumptions!$M$5:$M$11,WEEKDAY($A350,2)))</x:f>
        <x:v>1.01</x:v>
      </x:c>
      <x:c r="F350" s="11" t="n">
        <x:f>IF($A350="","",Assumptions!$B$15)</x:f>
        <x:v>0.35</x:v>
      </x:c>
      <x:c r="G350" s="11" t="n">
        <x:f>IF($A350="","",MAX(INDEX(Assumptions!$H$5:$H$12,MATCH($B350,Assumptions!$D$5:$D$12,0)),MIN(INDEX(Assumptions!$I$5:$I$12,MATCH($B350,Assumptions!$D$5:$D$12,0)),($C350+$D350*SQRT(-2*LN(RAND()))*COS(2*PI()*RAND()))*$E350*$J350*$K350)))</x:f>
        <x:v>826.8674986448531</x:v>
      </x:c>
      <x:c r="H350" s="11" t="n">
        <x:f>IF($A350="","",$G350*$F350+$C350*(1-$F350))</x:f>
        <x:v>838.6536245256985</x:v>
      </x:c>
      <x:c r="I350" s="11" t="n">
        <x:f>IF($A350="","",AVERAGE($H350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824.9237213512167</x:v>
      </x:c>
      <x:c r="J350" s="12" t="n">
        <x:f>IF($A350="","",1+SUMIFS(Assumptions!$S$5:$S$10,Assumptions!$P$5:$P$10,$B350,Assumptions!$Q$5:$Q$10,"&lt;="&amp;$A350,Assumptions!$R$5:$R$10,"&gt;="&amp;$A350))</x:f>
        <x:v>1</x:v>
      </x:c>
      <x:c r="K350" s="12" t="n">
        <x:f>IF($A350="","",1+((($A350-Assumptions!$B$5)/30)*INDEX(Assumptions!$J$5:$J$12,MATCH($B350,Assumptions!$D$5:$D$12,0))))</x:f>
        <x:v>1.0023</x:v>
      </x:c>
      <x:c r="L350" t="str">
        <x:f>IF($A350="","",IFERROR(INDEX(Assumptions!$O$5:$O$10,MATCH(1,(Assumptions!$P$5:$P$10=$B350)*(Assumptions!$Q$5:$Q$10&lt;=$A350)*(Assumptions!$R$5:$R$10&gt;=$A350),0)),""))</x:f>
      </x:c>
      <x:c r="M350" t="n">
        <x:f>--($A350&lt;&gt;"")</x:f>
        <x:v>1</x:v>
      </x:c>
    </x:row>
    <x:row r="351">
      <x:c r="A351" s="10" t="n">
        <x:f>IF(Assumptions!$B$5+INT((ROW()-2)/Assumptions!$B$7)&gt;Assumptions!$B$6,"",Assumptions!$B$5+INT((ROW()-2)/Assumptions!$B$7))</x:f>
        <x:v>46092</x:v>
      </x:c>
      <x:c r="B351" t="str">
        <x:f>IF($A351="","",INDEX(Assumptions!$D$5:$D$12,MOD(ROW()-2,Assumptions!$B$7)+1))</x:f>
        <x:v>Yutani Ridge</x:v>
      </x:c>
      <x:c r="C351" s="11" t="n">
        <x:f>IF($A351="","",INDEX(Assumptions!$F$5:$F$12,MATCH($B351,Assumptions!$D$5:$D$12,0)))</x:f>
        <x:v>1050</x:v>
      </x:c>
      <x:c r="D351" s="11" t="n">
        <x:f>IF($A351="","",INDEX(Assumptions!$G$5:$G$12,MATCH($B351,Assumptions!$D$5:$D$12,0)))</x:f>
        <x:v>125</x:v>
      </x:c>
      <x:c r="E351" s="11" t="n">
        <x:f>IF($A351="","",INDEX(Assumptions!$M$5:$M$11,WEEKDAY($A351,2)))</x:f>
        <x:v>1.01</x:v>
      </x:c>
      <x:c r="F351" s="11" t="n">
        <x:f>IF($A351="","",Assumptions!$B$15)</x:f>
        <x:v>0.35</x:v>
      </x:c>
      <x:c r="G351" s="11" t="n">
        <x:f>IF($A351="","",MAX(INDEX(Assumptions!$H$5:$H$12,MATCH($B351,Assumptions!$D$5:$D$12,0)),MIN(INDEX(Assumptions!$I$5:$I$12,MATCH($B351,Assumptions!$D$5:$D$12,0)),($C351+$D351*SQRT(-2*LN(RAND()))*COS(2*PI()*RAND()))*$E351*$J351*$K351)))</x:f>
        <x:v>1128.2864248174901</x:v>
      </x:c>
      <x:c r="H351" s="11" t="n">
        <x:f>IF($A351="","",$G351*$F351+$C351*(1-$F351))</x:f>
        <x:v>1077.4002486861216</x:v>
      </x:c>
      <x:c r="I351" s="11" t="n">
        <x:f>IF($A351="","",AVERAGE($H351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1068.2630273392363</x:v>
      </x:c>
      <x:c r="J351" s="12" t="n">
        <x:f>IF($A351="","",1+SUMIFS(Assumptions!$S$5:$S$10,Assumptions!$P$5:$P$10,$B351,Assumptions!$Q$5:$Q$10,"&lt;="&amp;$A351,Assumptions!$R$5:$R$10,"&gt;="&amp;$A351))</x:f>
        <x:v>1</x:v>
      </x:c>
      <x:c r="K351" s="12" t="n">
        <x:f>IF($A351="","",1+((($A351-Assumptions!$B$5)/30)*INDEX(Assumptions!$J$5:$J$12,MATCH($B351,Assumptions!$D$5:$D$12,0))))</x:f>
        <x:v>1.00575</x:v>
      </x:c>
      <x:c r="L351" t="str">
        <x:f>IF($A351="","",IFERROR(INDEX(Assumptions!$O$5:$O$10,MATCH(1,(Assumptions!$P$5:$P$10=$B351)*(Assumptions!$Q$5:$Q$10&lt;=$A351)*(Assumptions!$R$5:$R$10&gt;=$A351),0)),""))</x:f>
      </x:c>
      <x:c r="M351" t="n">
        <x:f>--($A351&lt;&gt;"")</x:f>
        <x:v>1</x:v>
      </x:c>
    </x:row>
    <x:row r="352">
      <x:c r="A352" s="10" t="n">
        <x:f>IF(Assumptions!$B$5+INT((ROW()-2)/Assumptions!$B$7)&gt;Assumptions!$B$6,"",Assumptions!$B$5+INT((ROW()-2)/Assumptions!$B$7))</x:f>
        <x:v>46093</x:v>
      </x:c>
      <x:c r="B352" t="str">
        <x:f>IF($A352="","",INDEX(Assumptions!$D$5:$D$12,MOD(ROW()-2,Assumptions!$B$7)+1))</x:f>
        <x:v>Acheron Prime</x:v>
      </x:c>
      <x:c r="C352" s="11" t="n">
        <x:f>IF($A352="","",INDEX(Assumptions!$F$5:$F$12,MATCH($B352,Assumptions!$D$5:$D$12,0)))</x:f>
        <x:v>1120</x:v>
      </x:c>
      <x:c r="D352" s="11" t="n">
        <x:f>IF($A352="","",INDEX(Assumptions!$G$5:$G$12,MATCH($B352,Assumptions!$D$5:$D$12,0)))</x:f>
        <x:v>115</x:v>
      </x:c>
      <x:c r="E352" s="11" t="n">
        <x:f>IF($A352="","",INDEX(Assumptions!$M$5:$M$11,WEEKDAY($A352,2)))</x:f>
        <x:v>1</x:v>
      </x:c>
      <x:c r="F352" s="11" t="n">
        <x:f>IF($A352="","",Assumptions!$B$15)</x:f>
        <x:v>0.35</x:v>
      </x:c>
      <x:c r="G352" s="11" t="n">
        <x:f>IF($A352="","",MAX(INDEX(Assumptions!$H$5:$H$12,MATCH($B352,Assumptions!$D$5:$D$12,0)),MIN(INDEX(Assumptions!$I$5:$I$12,MATCH($B352,Assumptions!$D$5:$D$12,0)),($C352+$D352*SQRT(-2*LN(RAND()))*COS(2*PI()*RAND()))*$E352*$J352*$K352)))</x:f>
        <x:v>1067.6650996556941</x:v>
      </x:c>
      <x:c r="H352" s="11" t="n">
        <x:f>IF($A352="","",$G352*$F352+$C352*(1-$F352))</x:f>
        <x:v>1101.6827848794928</x:v>
      </x:c>
      <x:c r="I352" s="11" t="n">
        <x:f>IF($A352="","",AVERAGE($H352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1101.3101752160733</x:v>
      </x:c>
      <x:c r="J352" s="12" t="n">
        <x:f>IF($A352="","",1+SUMIFS(Assumptions!$S$5:$S$10,Assumptions!$P$5:$P$10,$B352,Assumptions!$Q$5:$Q$10,"&lt;="&amp;$A352,Assumptions!$R$5:$R$10,"&gt;="&amp;$A352))</x:f>
        <x:v>1</x:v>
      </x:c>
      <x:c r="K352" s="12" t="n">
        <x:f>IF($A352="","",1+((($A352-Assumptions!$B$5)/30)*INDEX(Assumptions!$J$5:$J$12,MATCH($B352,Assumptions!$D$5:$D$12,0))))</x:f>
        <x:v>1.0046666666666666</x:v>
      </x:c>
      <x:c r="L352" t="str">
        <x:f>IF($A352="","",IFERROR(INDEX(Assumptions!$O$5:$O$10,MATCH(1,(Assumptions!$P$5:$P$10=$B352)*(Assumptions!$Q$5:$Q$10&lt;=$A352)*(Assumptions!$R$5:$R$10&gt;=$A352),0)),""))</x:f>
      </x:c>
      <x:c r="M352" t="n">
        <x:f>--($A352&lt;&gt;"")</x:f>
        <x:v>1</x:v>
      </x:c>
    </x:row>
    <x:row r="353">
      <x:c r="A353" s="10" t="n">
        <x:f>IF(Assumptions!$B$5+INT((ROW()-2)/Assumptions!$B$7)&gt;Assumptions!$B$6,"",Assumptions!$B$5+INT((ROW()-2)/Assumptions!$B$7))</x:f>
        <x:v>46093</x:v>
      </x:c>
      <x:c r="B353" t="str">
        <x:f>IF($A353="","",INDEX(Assumptions!$D$5:$D$12,MOD(ROW()-2,Assumptions!$B$7)+1))</x:f>
        <x:v>LV-426 North</x:v>
      </x:c>
      <x:c r="C353" s="11" t="n">
        <x:f>IF($A353="","",INDEX(Assumptions!$F$5:$F$12,MATCH($B353,Assumptions!$D$5:$D$12,0)))</x:f>
        <x:v>930</x:v>
      </x:c>
      <x:c r="D353" s="11" t="n">
        <x:f>IF($A353="","",INDEX(Assumptions!$G$5:$G$12,MATCH($B353,Assumptions!$D$5:$D$12,0)))</x:f>
        <x:v>95</x:v>
      </x:c>
      <x:c r="E353" s="11" t="n">
        <x:f>IF($A353="","",INDEX(Assumptions!$M$5:$M$11,WEEKDAY($A353,2)))</x:f>
        <x:v>1</x:v>
      </x:c>
      <x:c r="F353" s="11" t="n">
        <x:f>IF($A353="","",Assumptions!$B$15)</x:f>
        <x:v>0.35</x:v>
      </x:c>
      <x:c r="G353" s="11" t="n">
        <x:f>IF($A353="","",MAX(INDEX(Assumptions!$H$5:$H$12,MATCH($B353,Assumptions!$D$5:$D$12,0)),MIN(INDEX(Assumptions!$I$5:$I$12,MATCH($B353,Assumptions!$D$5:$D$12,0)),($C353+$D353*SQRT(-2*LN(RAND()))*COS(2*PI()*RAND()))*$E353*$J353*$K353)))</x:f>
        <x:v>899.4751008191406</x:v>
      </x:c>
      <x:c r="H353" s="11" t="n">
        <x:f>IF($A353="","",$G353*$F353+$C353*(1-$F353))</x:f>
        <x:v>919.3162852866992</x:v>
      </x:c>
      <x:c r="I353" s="11" t="n">
        <x:f>IF($A353="","",AVERAGE($H353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945.7644848377528</x:v>
      </x:c>
      <x:c r="J353" s="12" t="n">
        <x:f>IF($A353="","",1+SUMIFS(Assumptions!$S$5:$S$10,Assumptions!$P$5:$P$10,$B353,Assumptions!$Q$5:$Q$10,"&lt;="&amp;$A353,Assumptions!$R$5:$R$10,"&gt;="&amp;$A353))</x:f>
        <x:v>1.18</x:v>
      </x:c>
      <x:c r="K353" s="12" t="n">
        <x:f>IF($A353="","",1+((($A353-Assumptions!$B$5)/30)*INDEX(Assumptions!$J$5:$J$12,MATCH($B353,Assumptions!$D$5:$D$12,0))))</x:f>
        <x:v>0.9976666666666667</x:v>
      </x:c>
      <x:c r="L353" t="str">
        <x:f>IF($A353="","",IFERROR(INDEX(Assumptions!$O$5:$O$10,MATCH(1,(Assumptions!$P$5:$P$10=$B353)*(Assumptions!$Q$5:$Q$10&lt;=$A353)*(Assumptions!$R$5:$R$10&gt;=$A353),0)),""))</x:f>
        <x:v>Ore seam boost</x:v>
      </x:c>
      <x:c r="M353" t="n">
        <x:f>--($A353&lt;&gt;"")</x:f>
        <x:v>1</x:v>
      </x:c>
    </x:row>
    <x:row r="354">
      <x:c r="A354" s="10" t="n">
        <x:f>IF(Assumptions!$B$5+INT((ROW()-2)/Assumptions!$B$7)&gt;Assumptions!$B$6,"",Assumptions!$B$5+INT((ROW()-2)/Assumptions!$B$7))</x:f>
        <x:v>46093</x:v>
      </x:c>
      <x:c r="B354" t="str">
        <x:f>IF($A354="","",INDEX(Assumptions!$D$5:$D$12,MOD(ROW()-2,Assumptions!$B$7)+1))</x:f>
        <x:v>Nostromo Deep</x:v>
      </x:c>
      <x:c r="C354" s="11" t="n">
        <x:f>IF($A354="","",INDEX(Assumptions!$F$5:$F$12,MATCH($B354,Assumptions!$D$5:$D$12,0)))</x:f>
        <x:v>1260</x:v>
      </x:c>
      <x:c r="D354" s="11" t="n">
        <x:f>IF($A354="","",INDEX(Assumptions!$G$5:$G$12,MATCH($B354,Assumptions!$D$5:$D$12,0)))</x:f>
        <x:v>145</x:v>
      </x:c>
      <x:c r="E354" s="11" t="n">
        <x:f>IF($A354="","",INDEX(Assumptions!$M$5:$M$11,WEEKDAY($A354,2)))</x:f>
        <x:v>1</x:v>
      </x:c>
      <x:c r="F354" s="11" t="n">
        <x:f>IF($A354="","",Assumptions!$B$15)</x:f>
        <x:v>0.35</x:v>
      </x:c>
      <x:c r="G354" s="11" t="n">
        <x:f>IF($A354="","",MAX(INDEX(Assumptions!$H$5:$H$12,MATCH($B354,Assumptions!$D$5:$D$12,0)),MIN(INDEX(Assumptions!$I$5:$I$12,MATCH($B354,Assumptions!$D$5:$D$12,0)),($C354+$D354*SQRT(-2*LN(RAND()))*COS(2*PI()*RAND()))*$E354*$J354*$K354)))</x:f>
        <x:v>1266.057758173098</x:v>
      </x:c>
      <x:c r="H354" s="11" t="n">
        <x:f>IF($A354="","",$G354*$F354+$C354*(1-$F354))</x:f>
        <x:v>1262.1202153605843</x:v>
      </x:c>
      <x:c r="I354" s="11" t="n">
        <x:f>IF($A354="","",AVERAGE($H354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1225.8498226321826</x:v>
      </x:c>
      <x:c r="J354" s="12" t="n">
        <x:f>IF($A354="","",1+SUMIFS(Assumptions!$S$5:$S$10,Assumptions!$P$5:$P$10,$B354,Assumptions!$Q$5:$Q$10,"&lt;="&amp;$A354,Assumptions!$R$5:$R$10,"&gt;="&amp;$A354))</x:f>
        <x:v>1</x:v>
      </x:c>
      <x:c r="K354" s="12" t="n">
        <x:f>IF($A354="","",1+((($A354-Assumptions!$B$5)/30)*INDEX(Assumptions!$J$5:$J$12,MATCH($B354,Assumptions!$D$5:$D$12,0))))</x:f>
        <x:v>1.007</x:v>
      </x:c>
      <x:c r="L354" t="str">
        <x:f>IF($A354="","",IFERROR(INDEX(Assumptions!$O$5:$O$10,MATCH(1,(Assumptions!$P$5:$P$10=$B354)*(Assumptions!$Q$5:$Q$10&lt;=$A354)*(Assumptions!$R$5:$R$10&gt;=$A354),0)),""))</x:f>
      </x:c>
      <x:c r="M354" t="n">
        <x:f>--($A354&lt;&gt;"")</x:f>
        <x:v>1</x:v>
      </x:c>
    </x:row>
    <x:row r="355">
      <x:c r="A355" s="10" t="n">
        <x:f>IF(Assumptions!$B$5+INT((ROW()-2)/Assumptions!$B$7)&gt;Assumptions!$B$6,"",Assumptions!$B$5+INT((ROW()-2)/Assumptions!$B$7))</x:f>
        <x:v>46093</x:v>
      </x:c>
      <x:c r="B355" t="str">
        <x:f>IF($A355="","",INDEX(Assumptions!$D$5:$D$12,MOD(ROW()-2,Assumptions!$B$7)+1))</x:f>
        <x:v>Hadley's Hope</x:v>
      </x:c>
      <x:c r="C355" s="11" t="n">
        <x:f>IF($A355="","",INDEX(Assumptions!$F$5:$F$12,MATCH($B355,Assumptions!$D$5:$D$12,0)))</x:f>
        <x:v>845</x:v>
      </x:c>
      <x:c r="D355" s="11" t="n">
        <x:f>IF($A355="","",INDEX(Assumptions!$G$5:$G$12,MATCH($B355,Assumptions!$D$5:$D$12,0)))</x:f>
        <x:v>80</x:v>
      </x:c>
      <x:c r="E355" s="11" t="n">
        <x:f>IF($A355="","",INDEX(Assumptions!$M$5:$M$11,WEEKDAY($A355,2)))</x:f>
        <x:v>1</x:v>
      </x:c>
      <x:c r="F355" s="11" t="n">
        <x:f>IF($A355="","",Assumptions!$B$15)</x:f>
        <x:v>0.35</x:v>
      </x:c>
      <x:c r="G355" s="11" t="n">
        <x:f>IF($A355="","",MAX(INDEX(Assumptions!$H$5:$H$12,MATCH($B355,Assumptions!$D$5:$D$12,0)),MIN(INDEX(Assumptions!$I$5:$I$12,MATCH($B355,Assumptions!$D$5:$D$12,0)),($C355+$D355*SQRT(-2*LN(RAND()))*COS(2*PI()*RAND()))*$E355*$J355*$K355)))</x:f>
        <x:v>863.6097796378261</x:v>
      </x:c>
      <x:c r="H355" s="11" t="n">
        <x:f>IF($A355="","",$G355*$F355+$C355*(1-$F355))</x:f>
        <x:v>851.513422873239</x:v>
      </x:c>
      <x:c r="I355" s="11" t="n">
        <x:f>IF($A355="","",AVERAGE($H355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833.8124274521923</x:v>
      </x:c>
      <x:c r="J355" s="12" t="n">
        <x:f>IF($A355="","",1+SUMIFS(Assumptions!$S$5:$S$10,Assumptions!$P$5:$P$10,$B355,Assumptions!$Q$5:$Q$10,"&lt;="&amp;$A355,Assumptions!$R$5:$R$10,"&gt;="&amp;$A355))</x:f>
        <x:v>1</x:v>
      </x:c>
      <x:c r="K355" s="12" t="n">
        <x:f>IF($A355="","",1+((($A355-Assumptions!$B$5)/30)*INDEX(Assumptions!$J$5:$J$12,MATCH($B355,Assumptions!$D$5:$D$12,0))))</x:f>
        <x:v>1.0023333333333333</x:v>
      </x:c>
      <x:c r="L355" t="str">
        <x:f>IF($A355="","",IFERROR(INDEX(Assumptions!$O$5:$O$10,MATCH(1,(Assumptions!$P$5:$P$10=$B355)*(Assumptions!$Q$5:$Q$10&lt;=$A355)*(Assumptions!$R$5:$R$10&gt;=$A355),0)),""))</x:f>
      </x:c>
      <x:c r="M355" t="n">
        <x:f>--($A355&lt;&gt;"")</x:f>
        <x:v>1</x:v>
      </x:c>
    </x:row>
    <x:row r="356">
      <x:c r="A356" s="10" t="n">
        <x:f>IF(Assumptions!$B$5+INT((ROW()-2)/Assumptions!$B$7)&gt;Assumptions!$B$6,"",Assumptions!$B$5+INT((ROW()-2)/Assumptions!$B$7))</x:f>
        <x:v>46093</x:v>
      </x:c>
      <x:c r="B356" t="str">
        <x:f>IF($A356="","",INDEX(Assumptions!$D$5:$D$12,MOD(ROW()-2,Assumptions!$B$7)+1))</x:f>
        <x:v>Yutani Ridge</x:v>
      </x:c>
      <x:c r="C356" s="11" t="n">
        <x:f>IF($A356="","",INDEX(Assumptions!$F$5:$F$12,MATCH($B356,Assumptions!$D$5:$D$12,0)))</x:f>
        <x:v>1050</x:v>
      </x:c>
      <x:c r="D356" s="11" t="n">
        <x:f>IF($A356="","",INDEX(Assumptions!$G$5:$G$12,MATCH($B356,Assumptions!$D$5:$D$12,0)))</x:f>
        <x:v>125</x:v>
      </x:c>
      <x:c r="E356" s="11" t="n">
        <x:f>IF($A356="","",INDEX(Assumptions!$M$5:$M$11,WEEKDAY($A356,2)))</x:f>
        <x:v>1</x:v>
      </x:c>
      <x:c r="F356" s="11" t="n">
        <x:f>IF($A356="","",Assumptions!$B$15)</x:f>
        <x:v>0.35</x:v>
      </x:c>
      <x:c r="G356" s="11" t="n">
        <x:f>IF($A356="","",MAX(INDEX(Assumptions!$H$5:$H$12,MATCH($B356,Assumptions!$D$5:$D$12,0)),MIN(INDEX(Assumptions!$I$5:$I$12,MATCH($B356,Assumptions!$D$5:$D$12,0)),($C356+$D356*SQRT(-2*LN(RAND()))*COS(2*PI()*RAND()))*$E356*$J356*$K356)))</x:f>
        <x:v>1233.44135856182</x:v>
      </x:c>
      <x:c r="H356" s="11" t="n">
        <x:f>IF($A356="","",$G356*$F356+$C356*(1-$F356))</x:f>
        <x:v>1114.2044754966369</x:v>
      </x:c>
      <x:c r="I356" s="11" t="n">
        <x:f>IF($A356="","",AVERAGE($H356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1059.8884658721001</x:v>
      </x:c>
      <x:c r="J356" s="12" t="n">
        <x:f>IF($A356="","",1+SUMIFS(Assumptions!$S$5:$S$10,Assumptions!$P$5:$P$10,$B356,Assumptions!$Q$5:$Q$10,"&lt;="&amp;$A356,Assumptions!$R$5:$R$10,"&gt;="&amp;$A356))</x:f>
        <x:v>1</x:v>
      </x:c>
      <x:c r="K356" s="12" t="n">
        <x:f>IF($A356="","",1+((($A356-Assumptions!$B$5)/30)*INDEX(Assumptions!$J$5:$J$12,MATCH($B356,Assumptions!$D$5:$D$12,0))))</x:f>
        <x:v>1.0058333333333334</x:v>
      </x:c>
      <x:c r="L356" t="str">
        <x:f>IF($A356="","",IFERROR(INDEX(Assumptions!$O$5:$O$10,MATCH(1,(Assumptions!$P$5:$P$10=$B356)*(Assumptions!$Q$5:$Q$10&lt;=$A356)*(Assumptions!$R$5:$R$10&gt;=$A356),0)),""))</x:f>
      </x:c>
      <x:c r="M356" t="n">
        <x:f>--($A356&lt;&gt;"")</x:f>
        <x:v>1</x:v>
      </x:c>
    </x:row>
    <x:row r="357">
      <x:c r="A357" s="10" t="n">
        <x:f>IF(Assumptions!$B$5+INT((ROW()-2)/Assumptions!$B$7)&gt;Assumptions!$B$6,"",Assumptions!$B$5+INT((ROW()-2)/Assumptions!$B$7))</x:f>
        <x:v>46094</x:v>
      </x:c>
      <x:c r="B357" t="str">
        <x:f>IF($A357="","",INDEX(Assumptions!$D$5:$D$12,MOD(ROW()-2,Assumptions!$B$7)+1))</x:f>
        <x:v>Acheron Prime</x:v>
      </x:c>
      <x:c r="C357" s="11" t="n">
        <x:f>IF($A357="","",INDEX(Assumptions!$F$5:$F$12,MATCH($B357,Assumptions!$D$5:$D$12,0)))</x:f>
        <x:v>1120</x:v>
      </x:c>
      <x:c r="D357" s="11" t="n">
        <x:f>IF($A357="","",INDEX(Assumptions!$G$5:$G$12,MATCH($B357,Assumptions!$D$5:$D$12,0)))</x:f>
        <x:v>115</x:v>
      </x:c>
      <x:c r="E357" s="11" t="n">
        <x:f>IF($A357="","",INDEX(Assumptions!$M$5:$M$11,WEEKDAY($A357,2)))</x:f>
        <x:v>0.98</x:v>
      </x:c>
      <x:c r="F357" s="11" t="n">
        <x:f>IF($A357="","",Assumptions!$B$15)</x:f>
        <x:v>0.35</x:v>
      </x:c>
      <x:c r="G357" s="11" t="n">
        <x:f>IF($A357="","",MAX(INDEX(Assumptions!$H$5:$H$12,MATCH($B357,Assumptions!$D$5:$D$12,0)),MIN(INDEX(Assumptions!$I$5:$I$12,MATCH($B357,Assumptions!$D$5:$D$12,0)),($C357+$D357*SQRT(-2*LN(RAND()))*COS(2*PI()*RAND()))*$E357*$J357*$K357)))</x:f>
        <x:v>1037.8122539578312</x:v>
      </x:c>
      <x:c r="H357" s="11" t="n">
        <x:f>IF($A357="","",$G357*$F357+$C357*(1-$F357))</x:f>
        <x:v>1091.2342888852409</x:v>
      </x:c>
      <x:c r="I357" s="11" t="n">
        <x:f>IF($A357="","",AVERAGE($H357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1100.7897287409357</x:v>
      </x:c>
      <x:c r="J357" s="12" t="n">
        <x:f>IF($A357="","",1+SUMIFS(Assumptions!$S$5:$S$10,Assumptions!$P$5:$P$10,$B357,Assumptions!$Q$5:$Q$10,"&lt;="&amp;$A357,Assumptions!$R$5:$R$10,"&gt;="&amp;$A357))</x:f>
        <x:v>1</x:v>
      </x:c>
      <x:c r="K357" s="12" t="n">
        <x:f>IF($A357="","",1+((($A357-Assumptions!$B$5)/30)*INDEX(Assumptions!$J$5:$J$12,MATCH($B357,Assumptions!$D$5:$D$12,0))))</x:f>
        <x:v>1.0047333333333333</x:v>
      </x:c>
      <x:c r="L357" t="str">
        <x:f>IF($A357="","",IFERROR(INDEX(Assumptions!$O$5:$O$10,MATCH(1,(Assumptions!$P$5:$P$10=$B357)*(Assumptions!$Q$5:$Q$10&lt;=$A357)*(Assumptions!$R$5:$R$10&gt;=$A357),0)),""))</x:f>
      </x:c>
      <x:c r="M357" t="n">
        <x:f>--($A357&lt;&gt;"")</x:f>
        <x:v>1</x:v>
      </x:c>
    </x:row>
    <x:row r="358">
      <x:c r="A358" s="10" t="n">
        <x:f>IF(Assumptions!$B$5+INT((ROW()-2)/Assumptions!$B$7)&gt;Assumptions!$B$6,"",Assumptions!$B$5+INT((ROW()-2)/Assumptions!$B$7))</x:f>
        <x:v>46094</x:v>
      </x:c>
      <x:c r="B358" t="str">
        <x:f>IF($A358="","",INDEX(Assumptions!$D$5:$D$12,MOD(ROW()-2,Assumptions!$B$7)+1))</x:f>
        <x:v>LV-426 North</x:v>
      </x:c>
      <x:c r="C358" s="11" t="n">
        <x:f>IF($A358="","",INDEX(Assumptions!$F$5:$F$12,MATCH($B358,Assumptions!$D$5:$D$12,0)))</x:f>
        <x:v>930</x:v>
      </x:c>
      <x:c r="D358" s="11" t="n">
        <x:f>IF($A358="","",INDEX(Assumptions!$G$5:$G$12,MATCH($B358,Assumptions!$D$5:$D$12,0)))</x:f>
        <x:v>95</x:v>
      </x:c>
      <x:c r="E358" s="11" t="n">
        <x:f>IF($A358="","",INDEX(Assumptions!$M$5:$M$11,WEEKDAY($A358,2)))</x:f>
        <x:v>0.98</x:v>
      </x:c>
      <x:c r="F358" s="11" t="n">
        <x:f>IF($A358="","",Assumptions!$B$15)</x:f>
        <x:v>0.35</x:v>
      </x:c>
      <x:c r="G358" s="11" t="n">
        <x:f>IF($A358="","",MAX(INDEX(Assumptions!$H$5:$H$12,MATCH($B358,Assumptions!$D$5:$D$12,0)),MIN(INDEX(Assumptions!$I$5:$I$12,MATCH($B358,Assumptions!$D$5:$D$12,0)),($C358+$D358*SQRT(-2*LN(RAND()))*COS(2*PI()*RAND()))*$E358*$J358*$K358)))</x:f>
        <x:v>1162.9054788568626</x:v>
      </x:c>
      <x:c r="H358" s="11" t="n">
        <x:f>IF($A358="","",$G358*$F358+$C358*(1-$F358))</x:f>
        <x:v>1011.516917599902</x:v>
      </x:c>
      <x:c r="I358" s="11" t="n">
        <x:f>IF($A358="","",AVERAGE($H358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958.095181521731</x:v>
      </x:c>
      <x:c r="J358" s="12" t="n">
        <x:f>IF($A358="","",1+SUMIFS(Assumptions!$S$5:$S$10,Assumptions!$P$5:$P$10,$B358,Assumptions!$Q$5:$Q$10,"&lt;="&amp;$A358,Assumptions!$R$5:$R$10,"&gt;="&amp;$A358))</x:f>
        <x:v>1.18</x:v>
      </x:c>
      <x:c r="K358" s="12" t="n">
        <x:f>IF($A358="","",1+((($A358-Assumptions!$B$5)/30)*INDEX(Assumptions!$J$5:$J$12,MATCH($B358,Assumptions!$D$5:$D$12,0))))</x:f>
        <x:v>0.9976333333333334</x:v>
      </x:c>
      <x:c r="L358" t="str">
        <x:f>IF($A358="","",IFERROR(INDEX(Assumptions!$O$5:$O$10,MATCH(1,(Assumptions!$P$5:$P$10=$B358)*(Assumptions!$Q$5:$Q$10&lt;=$A358)*(Assumptions!$R$5:$R$10&gt;=$A358),0)),""))</x:f>
        <x:v>Ore seam boost</x:v>
      </x:c>
      <x:c r="M358" t="n">
        <x:f>--($A358&lt;&gt;"")</x:f>
        <x:v>1</x:v>
      </x:c>
    </x:row>
    <x:row r="359">
      <x:c r="A359" s="10" t="n">
        <x:f>IF(Assumptions!$B$5+INT((ROW()-2)/Assumptions!$B$7)&gt;Assumptions!$B$6,"",Assumptions!$B$5+INT((ROW()-2)/Assumptions!$B$7))</x:f>
        <x:v>46094</x:v>
      </x:c>
      <x:c r="B359" t="str">
        <x:f>IF($A359="","",INDEX(Assumptions!$D$5:$D$12,MOD(ROW()-2,Assumptions!$B$7)+1))</x:f>
        <x:v>Nostromo Deep</x:v>
      </x:c>
      <x:c r="C359" s="11" t="n">
        <x:f>IF($A359="","",INDEX(Assumptions!$F$5:$F$12,MATCH($B359,Assumptions!$D$5:$D$12,0)))</x:f>
        <x:v>1260</x:v>
      </x:c>
      <x:c r="D359" s="11" t="n">
        <x:f>IF($A359="","",INDEX(Assumptions!$G$5:$G$12,MATCH($B359,Assumptions!$D$5:$D$12,0)))</x:f>
        <x:v>145</x:v>
      </x:c>
      <x:c r="E359" s="11" t="n">
        <x:f>IF($A359="","",INDEX(Assumptions!$M$5:$M$11,WEEKDAY($A359,2)))</x:f>
        <x:v>0.98</x:v>
      </x:c>
      <x:c r="F359" s="11" t="n">
        <x:f>IF($A359="","",Assumptions!$B$15)</x:f>
        <x:v>0.35</x:v>
      </x:c>
      <x:c r="G359" s="11" t="n">
        <x:f>IF($A359="","",MAX(INDEX(Assumptions!$H$5:$H$12,MATCH($B359,Assumptions!$D$5:$D$12,0)),MIN(INDEX(Assumptions!$I$5:$I$12,MATCH($B359,Assumptions!$D$5:$D$12,0)),($C359+$D359*SQRT(-2*LN(RAND()))*COS(2*PI()*RAND()))*$E359*$J359*$K359)))</x:f>
        <x:v>1253.4810510523412</x:v>
      </x:c>
      <x:c r="H359" s="11" t="n">
        <x:f>IF($A359="","",$G359*$F359+$C359*(1-$F359))</x:f>
        <x:v>1257.7183678683193</x:v>
      </x:c>
      <x:c r="I359" s="11" t="n">
        <x:f>IF($A359="","",AVERAGE($H359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1236.0867304795945</x:v>
      </x:c>
      <x:c r="J359" s="12" t="n">
        <x:f>IF($A359="","",1+SUMIFS(Assumptions!$S$5:$S$10,Assumptions!$P$5:$P$10,$B359,Assumptions!$Q$5:$Q$10,"&lt;="&amp;$A359,Assumptions!$R$5:$R$10,"&gt;="&amp;$A359))</x:f>
        <x:v>1</x:v>
      </x:c>
      <x:c r="K359" s="12" t="n">
        <x:f>IF($A359="","",1+((($A359-Assumptions!$B$5)/30)*INDEX(Assumptions!$J$5:$J$12,MATCH($B359,Assumptions!$D$5:$D$12,0))))</x:f>
        <x:v>1.0071</x:v>
      </x:c>
      <x:c r="L359" t="str">
        <x:f>IF($A359="","",IFERROR(INDEX(Assumptions!$O$5:$O$10,MATCH(1,(Assumptions!$P$5:$P$10=$B359)*(Assumptions!$Q$5:$Q$10&lt;=$A359)*(Assumptions!$R$5:$R$10&gt;=$A359),0)),""))</x:f>
      </x:c>
      <x:c r="M359" t="n">
        <x:f>--($A359&lt;&gt;"")</x:f>
        <x:v>1</x:v>
      </x:c>
    </x:row>
    <x:row r="360">
      <x:c r="A360" s="10" t="n">
        <x:f>IF(Assumptions!$B$5+INT((ROW()-2)/Assumptions!$B$7)&gt;Assumptions!$B$6,"",Assumptions!$B$5+INT((ROW()-2)/Assumptions!$B$7))</x:f>
        <x:v>46094</x:v>
      </x:c>
      <x:c r="B360" t="str">
        <x:f>IF($A360="","",INDEX(Assumptions!$D$5:$D$12,MOD(ROW()-2,Assumptions!$B$7)+1))</x:f>
        <x:v>Hadley's Hope</x:v>
      </x:c>
      <x:c r="C360" s="11" t="n">
        <x:f>IF($A360="","",INDEX(Assumptions!$F$5:$F$12,MATCH($B360,Assumptions!$D$5:$D$12,0)))</x:f>
        <x:v>845</x:v>
      </x:c>
      <x:c r="D360" s="11" t="n">
        <x:f>IF($A360="","",INDEX(Assumptions!$G$5:$G$12,MATCH($B360,Assumptions!$D$5:$D$12,0)))</x:f>
        <x:v>80</x:v>
      </x:c>
      <x:c r="E360" s="11" t="n">
        <x:f>IF($A360="","",INDEX(Assumptions!$M$5:$M$11,WEEKDAY($A360,2)))</x:f>
        <x:v>0.98</x:v>
      </x:c>
      <x:c r="F360" s="11" t="n">
        <x:f>IF($A360="","",Assumptions!$B$15)</x:f>
        <x:v>0.35</x:v>
      </x:c>
      <x:c r="G360" s="11" t="n">
        <x:f>IF($A360="","",MAX(INDEX(Assumptions!$H$5:$H$12,MATCH($B360,Assumptions!$D$5:$D$12,0)),MIN(INDEX(Assumptions!$I$5:$I$12,MATCH($B360,Assumptions!$D$5:$D$12,0)),($C360+$D360*SQRT(-2*LN(RAND()))*COS(2*PI()*RAND()))*$E360*$J360*$K360)))</x:f>
        <x:v>808.6393641927298</x:v>
      </x:c>
      <x:c r="H360" s="11" t="n">
        <x:f>IF($A360="","",$G360*$F360+$C360*(1-$F360))</x:f>
        <x:v>832.2737774674554</x:v>
      </x:c>
      <x:c r="I360" s="11" t="n">
        <x:f>IF($A360="","",AVERAGE($H360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831.8194029978655</x:v>
      </x:c>
      <x:c r="J360" s="12" t="n">
        <x:f>IF($A360="","",1+SUMIFS(Assumptions!$S$5:$S$10,Assumptions!$P$5:$P$10,$B360,Assumptions!$Q$5:$Q$10,"&lt;="&amp;$A360,Assumptions!$R$5:$R$10,"&gt;="&amp;$A360))</x:f>
        <x:v>1</x:v>
      </x:c>
      <x:c r="K360" s="12" t="n">
        <x:f>IF($A360="","",1+((($A360-Assumptions!$B$5)/30)*INDEX(Assumptions!$J$5:$J$12,MATCH($B360,Assumptions!$D$5:$D$12,0))))</x:f>
        <x:v>1.0023666666666666</x:v>
      </x:c>
      <x:c r="L360" t="str">
        <x:f>IF($A360="","",IFERROR(INDEX(Assumptions!$O$5:$O$10,MATCH(1,(Assumptions!$P$5:$P$10=$B360)*(Assumptions!$Q$5:$Q$10&lt;=$A360)*(Assumptions!$R$5:$R$10&gt;=$A360),0)),""))</x:f>
      </x:c>
      <x:c r="M360" t="n">
        <x:f>--($A360&lt;&gt;"")</x:f>
        <x:v>1</x:v>
      </x:c>
    </x:row>
    <x:row r="361">
      <x:c r="A361" s="10" t="n">
        <x:f>IF(Assumptions!$B$5+INT((ROW()-2)/Assumptions!$B$7)&gt;Assumptions!$B$6,"",Assumptions!$B$5+INT((ROW()-2)/Assumptions!$B$7))</x:f>
        <x:v>46094</x:v>
      </x:c>
      <x:c r="B361" t="str">
        <x:f>IF($A361="","",INDEX(Assumptions!$D$5:$D$12,MOD(ROW()-2,Assumptions!$B$7)+1))</x:f>
        <x:v>Yutani Ridge</x:v>
      </x:c>
      <x:c r="C361" s="11" t="n">
        <x:f>IF($A361="","",INDEX(Assumptions!$F$5:$F$12,MATCH($B361,Assumptions!$D$5:$D$12,0)))</x:f>
        <x:v>1050</x:v>
      </x:c>
      <x:c r="D361" s="11" t="n">
        <x:f>IF($A361="","",INDEX(Assumptions!$G$5:$G$12,MATCH($B361,Assumptions!$D$5:$D$12,0)))</x:f>
        <x:v>125</x:v>
      </x:c>
      <x:c r="E361" s="11" t="n">
        <x:f>IF($A361="","",INDEX(Assumptions!$M$5:$M$11,WEEKDAY($A361,2)))</x:f>
        <x:v>0.98</x:v>
      </x:c>
      <x:c r="F361" s="11" t="n">
        <x:f>IF($A361="","",Assumptions!$B$15)</x:f>
        <x:v>0.35</x:v>
      </x:c>
      <x:c r="G361" s="11" t="n">
        <x:f>IF($A361="","",MAX(INDEX(Assumptions!$H$5:$H$12,MATCH($B361,Assumptions!$D$5:$D$12,0)),MIN(INDEX(Assumptions!$I$5:$I$12,MATCH($B361,Assumptions!$D$5:$D$12,0)),($C361+$D361*SQRT(-2*LN(RAND()))*COS(2*PI()*RAND()))*$E361*$J361*$K361)))</x:f>
        <x:v>1007.4051380045861</x:v>
      </x:c>
      <x:c r="H361" s="11" t="n">
        <x:f>IF($A361="","",$G361*$F361+$C361*(1-$F361))</x:f>
        <x:v>1035.0917983016052</x:v>
      </x:c>
      <x:c r="I361" s="11" t="n">
        <x:f>IF($A361="","",AVERAGE($H361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1060.0555067232874</x:v>
      </x:c>
      <x:c r="J361" s="12" t="n">
        <x:f>IF($A361="","",1+SUMIFS(Assumptions!$S$5:$S$10,Assumptions!$P$5:$P$10,$B361,Assumptions!$Q$5:$Q$10,"&lt;="&amp;$A361,Assumptions!$R$5:$R$10,"&gt;="&amp;$A361))</x:f>
        <x:v>1</x:v>
      </x:c>
      <x:c r="K361" s="12" t="n">
        <x:f>IF($A361="","",1+((($A361-Assumptions!$B$5)/30)*INDEX(Assumptions!$J$5:$J$12,MATCH($B361,Assumptions!$D$5:$D$12,0))))</x:f>
        <x:v>1.0059166666666666</x:v>
      </x:c>
      <x:c r="L361" t="str">
        <x:f>IF($A361="","",IFERROR(INDEX(Assumptions!$O$5:$O$10,MATCH(1,(Assumptions!$P$5:$P$10=$B361)*(Assumptions!$Q$5:$Q$10&lt;=$A361)*(Assumptions!$R$5:$R$10&gt;=$A361),0)),""))</x:f>
      </x:c>
      <x:c r="M361" t="n">
        <x:f>--($A361&lt;&gt;"")</x:f>
        <x:v>1</x:v>
      </x:c>
    </x:row>
    <x:row r="362">
      <x:c r="A362" s="10" t="n">
        <x:f>IF(Assumptions!$B$5+INT((ROW()-2)/Assumptions!$B$7)&gt;Assumptions!$B$6,"",Assumptions!$B$5+INT((ROW()-2)/Assumptions!$B$7))</x:f>
        <x:v>46095</x:v>
      </x:c>
      <x:c r="B362" t="str">
        <x:f>IF($A362="","",INDEX(Assumptions!$D$5:$D$12,MOD(ROW()-2,Assumptions!$B$7)+1))</x:f>
        <x:v>Acheron Prime</x:v>
      </x:c>
      <x:c r="C362" s="11" t="n">
        <x:f>IF($A362="","",INDEX(Assumptions!$F$5:$F$12,MATCH($B362,Assumptions!$D$5:$D$12,0)))</x:f>
        <x:v>1120</x:v>
      </x:c>
      <x:c r="D362" s="11" t="n">
        <x:f>IF($A362="","",INDEX(Assumptions!$G$5:$G$12,MATCH($B362,Assumptions!$D$5:$D$12,0)))</x:f>
        <x:v>115</x:v>
      </x:c>
      <x:c r="E362" s="11" t="n">
        <x:f>IF($A362="","",INDEX(Assumptions!$M$5:$M$11,WEEKDAY($A362,2)))</x:f>
        <x:v>0.91</x:v>
      </x:c>
      <x:c r="F362" s="11" t="n">
        <x:f>IF($A362="","",Assumptions!$B$15)</x:f>
        <x:v>0.35</x:v>
      </x:c>
      <x:c r="G362" s="11" t="n">
        <x:f>IF($A362="","",MAX(INDEX(Assumptions!$H$5:$H$12,MATCH($B362,Assumptions!$D$5:$D$12,0)),MIN(INDEX(Assumptions!$I$5:$I$12,MATCH($B362,Assumptions!$D$5:$D$12,0)),($C362+$D362*SQRT(-2*LN(RAND()))*COS(2*PI()*RAND()))*$E362*$J362*$K362)))</x:f>
        <x:v>1142.203409860394</x:v>
      </x:c>
      <x:c r="H362" s="11" t="n">
        <x:f>IF($A362="","",$G362*$F362+$C362*(1-$F362))</x:f>
        <x:v>1127.7711934511378</x:v>
      </x:c>
      <x:c r="I362" s="11" t="n">
        <x:f>IF($A362="","",AVERAGE($H362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1110.5476718178672</x:v>
      </x:c>
      <x:c r="J362" s="12" t="n">
        <x:f>IF($A362="","",1+SUMIFS(Assumptions!$S$5:$S$10,Assumptions!$P$5:$P$10,$B362,Assumptions!$Q$5:$Q$10,"&lt;="&amp;$A362,Assumptions!$R$5:$R$10,"&gt;="&amp;$A362))</x:f>
        <x:v>1</x:v>
      </x:c>
      <x:c r="K362" s="12" t="n">
        <x:f>IF($A362="","",1+((($A362-Assumptions!$B$5)/30)*INDEX(Assumptions!$J$5:$J$12,MATCH($B362,Assumptions!$D$5:$D$12,0))))</x:f>
        <x:v>1.0048</x:v>
      </x:c>
      <x:c r="L362" t="str">
        <x:f>IF($A362="","",IFERROR(INDEX(Assumptions!$O$5:$O$10,MATCH(1,(Assumptions!$P$5:$P$10=$B362)*(Assumptions!$Q$5:$Q$10&lt;=$A362)*(Assumptions!$R$5:$R$10&gt;=$A362),0)),""))</x:f>
      </x:c>
      <x:c r="M362" t="n">
        <x:f>--($A362&lt;&gt;"")</x:f>
        <x:v>1</x:v>
      </x:c>
    </x:row>
    <x:row r="363">
      <x:c r="A363" s="10" t="n">
        <x:f>IF(Assumptions!$B$5+INT((ROW()-2)/Assumptions!$B$7)&gt;Assumptions!$B$6,"",Assumptions!$B$5+INT((ROW()-2)/Assumptions!$B$7))</x:f>
        <x:v>46095</x:v>
      </x:c>
      <x:c r="B363" t="str">
        <x:f>IF($A363="","",INDEX(Assumptions!$D$5:$D$12,MOD(ROW()-2,Assumptions!$B$7)+1))</x:f>
        <x:v>LV-426 North</x:v>
      </x:c>
      <x:c r="C363" s="11" t="n">
        <x:f>IF($A363="","",INDEX(Assumptions!$F$5:$F$12,MATCH($B363,Assumptions!$D$5:$D$12,0)))</x:f>
        <x:v>930</x:v>
      </x:c>
      <x:c r="D363" s="11" t="n">
        <x:f>IF($A363="","",INDEX(Assumptions!$G$5:$G$12,MATCH($B363,Assumptions!$D$5:$D$12,0)))</x:f>
        <x:v>95</x:v>
      </x:c>
      <x:c r="E363" s="11" t="n">
        <x:f>IF($A363="","",INDEX(Assumptions!$M$5:$M$11,WEEKDAY($A363,2)))</x:f>
        <x:v>0.91</x:v>
      </x:c>
      <x:c r="F363" s="11" t="n">
        <x:f>IF($A363="","",Assumptions!$B$15)</x:f>
        <x:v>0.35</x:v>
      </x:c>
      <x:c r="G363" s="11" t="n">
        <x:f>IF($A363="","",MAX(INDEX(Assumptions!$H$5:$H$12,MATCH($B363,Assumptions!$D$5:$D$12,0)),MIN(INDEX(Assumptions!$I$5:$I$12,MATCH($B363,Assumptions!$D$5:$D$12,0)),($C363+$D363*SQRT(-2*LN(RAND()))*COS(2*PI()*RAND()))*$E363*$J363*$K363)))</x:f>
        <x:v>961.5271495552341</x:v>
      </x:c>
      <x:c r="H363" s="11" t="n">
        <x:f>IF($A363="","",$G363*$F363+$C363*(1-$F363))</x:f>
        <x:v>941.0345023443319</x:v>
      </x:c>
      <x:c r="I363" s="11" t="n">
        <x:f>IF($A363="","",AVERAGE($H363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961.7156598651696</x:v>
      </x:c>
      <x:c r="J363" s="12" t="n">
        <x:f>IF($A363="","",1+SUMIFS(Assumptions!$S$5:$S$10,Assumptions!$P$5:$P$10,$B363,Assumptions!$Q$5:$Q$10,"&lt;="&amp;$A363,Assumptions!$R$5:$R$10,"&gt;="&amp;$A363))</x:f>
        <x:v>1.18</x:v>
      </x:c>
      <x:c r="K363" s="12" t="n">
        <x:f>IF($A363="","",1+((($A363-Assumptions!$B$5)/30)*INDEX(Assumptions!$J$5:$J$12,MATCH($B363,Assumptions!$D$5:$D$12,0))))</x:f>
        <x:v>0.9976</x:v>
      </x:c>
      <x:c r="L363" t="str">
        <x:f>IF($A363="","",IFERROR(INDEX(Assumptions!$O$5:$O$10,MATCH(1,(Assumptions!$P$5:$P$10=$B363)*(Assumptions!$Q$5:$Q$10&lt;=$A363)*(Assumptions!$R$5:$R$10&gt;=$A363),0)),""))</x:f>
        <x:v>Ore seam boost</x:v>
      </x:c>
      <x:c r="M363" t="n">
        <x:f>--($A363&lt;&gt;"")</x:f>
        <x:v>1</x:v>
      </x:c>
    </x:row>
    <x:row r="364">
      <x:c r="A364" s="10" t="n">
        <x:f>IF(Assumptions!$B$5+INT((ROW()-2)/Assumptions!$B$7)&gt;Assumptions!$B$6,"",Assumptions!$B$5+INT((ROW()-2)/Assumptions!$B$7))</x:f>
        <x:v>46095</x:v>
      </x:c>
      <x:c r="B364" t="str">
        <x:f>IF($A364="","",INDEX(Assumptions!$D$5:$D$12,MOD(ROW()-2,Assumptions!$B$7)+1))</x:f>
        <x:v>Nostromo Deep</x:v>
      </x:c>
      <x:c r="C364" s="11" t="n">
        <x:f>IF($A364="","",INDEX(Assumptions!$F$5:$F$12,MATCH($B364,Assumptions!$D$5:$D$12,0)))</x:f>
        <x:v>1260</x:v>
      </x:c>
      <x:c r="D364" s="11" t="n">
        <x:f>IF($A364="","",INDEX(Assumptions!$G$5:$G$12,MATCH($B364,Assumptions!$D$5:$D$12,0)))</x:f>
        <x:v>145</x:v>
      </x:c>
      <x:c r="E364" s="11" t="n">
        <x:f>IF($A364="","",INDEX(Assumptions!$M$5:$M$11,WEEKDAY($A364,2)))</x:f>
        <x:v>0.91</x:v>
      </x:c>
      <x:c r="F364" s="11" t="n">
        <x:f>IF($A364="","",Assumptions!$B$15)</x:f>
        <x:v>0.35</x:v>
      </x:c>
      <x:c r="G364" s="11" t="n">
        <x:f>IF($A364="","",MAX(INDEX(Assumptions!$H$5:$H$12,MATCH($B364,Assumptions!$D$5:$D$12,0)),MIN(INDEX(Assumptions!$I$5:$I$12,MATCH($B364,Assumptions!$D$5:$D$12,0)),($C364+$D364*SQRT(-2*LN(RAND()))*COS(2*PI()*RAND()))*$E364*$J364*$K364)))</x:f>
        <x:v>1026.607261948171</x:v>
      </x:c>
      <x:c r="H364" s="11" t="n">
        <x:f>IF($A364="","",$G364*$F364+$C364*(1-$F364))</x:f>
        <x:v>1178.3125416818598</x:v>
      </x:c>
      <x:c r="I364" s="11" t="n">
        <x:f>IF($A364="","",AVERAGE($H364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1228.318213683587</x:v>
      </x:c>
      <x:c r="J364" s="12" t="n">
        <x:f>IF($A364="","",1+SUMIFS(Assumptions!$S$5:$S$10,Assumptions!$P$5:$P$10,$B364,Assumptions!$Q$5:$Q$10,"&lt;="&amp;$A364,Assumptions!$R$5:$R$10,"&gt;="&amp;$A364))</x:f>
        <x:v>1</x:v>
      </x:c>
      <x:c r="K364" s="12" t="n">
        <x:f>IF($A364="","",1+((($A364-Assumptions!$B$5)/30)*INDEX(Assumptions!$J$5:$J$12,MATCH($B364,Assumptions!$D$5:$D$12,0))))</x:f>
        <x:v>1.0072</x:v>
      </x:c>
      <x:c r="L364" t="str">
        <x:f>IF($A364="","",IFERROR(INDEX(Assumptions!$O$5:$O$10,MATCH(1,(Assumptions!$P$5:$P$10=$B364)*(Assumptions!$Q$5:$Q$10&lt;=$A364)*(Assumptions!$R$5:$R$10&gt;=$A364),0)),""))</x:f>
      </x:c>
      <x:c r="M364" t="n">
        <x:f>--($A364&lt;&gt;"")</x:f>
        <x:v>1</x:v>
      </x:c>
    </x:row>
    <x:row r="365">
      <x:c r="A365" s="10" t="n">
        <x:f>IF(Assumptions!$B$5+INT((ROW()-2)/Assumptions!$B$7)&gt;Assumptions!$B$6,"",Assumptions!$B$5+INT((ROW()-2)/Assumptions!$B$7))</x:f>
        <x:v>46095</x:v>
      </x:c>
      <x:c r="B365" t="str">
        <x:f>IF($A365="","",INDEX(Assumptions!$D$5:$D$12,MOD(ROW()-2,Assumptions!$B$7)+1))</x:f>
        <x:v>Hadley's Hope</x:v>
      </x:c>
      <x:c r="C365" s="11" t="n">
        <x:f>IF($A365="","",INDEX(Assumptions!$F$5:$F$12,MATCH($B365,Assumptions!$D$5:$D$12,0)))</x:f>
        <x:v>845</x:v>
      </x:c>
      <x:c r="D365" s="11" t="n">
        <x:f>IF($A365="","",INDEX(Assumptions!$G$5:$G$12,MATCH($B365,Assumptions!$D$5:$D$12,0)))</x:f>
        <x:v>80</x:v>
      </x:c>
      <x:c r="E365" s="11" t="n">
        <x:f>IF($A365="","",INDEX(Assumptions!$M$5:$M$11,WEEKDAY($A365,2)))</x:f>
        <x:v>0.91</x:v>
      </x:c>
      <x:c r="F365" s="11" t="n">
        <x:f>IF($A365="","",Assumptions!$B$15)</x:f>
        <x:v>0.35</x:v>
      </x:c>
      <x:c r="G365" s="11" t="n">
        <x:f>IF($A365="","",MAX(INDEX(Assumptions!$H$5:$H$12,MATCH($B365,Assumptions!$D$5:$D$12,0)),MIN(INDEX(Assumptions!$I$5:$I$12,MATCH($B365,Assumptions!$D$5:$D$12,0)),($C365+$D365*SQRT(-2*LN(RAND()))*COS(2*PI()*RAND()))*$E365*$J365*$K365)))</x:f>
        <x:v>717.0905825724227</x:v>
      </x:c>
      <x:c r="H365" s="11" t="n">
        <x:f>IF($A365="","",$G365*$F365+$C365*(1-$F365))</x:f>
        <x:v>800.231703900348</x:v>
      </x:c>
      <x:c r="I365" s="11" t="n">
        <x:f>IF($A365="","",AVERAGE($H365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823.570870607519</x:v>
      </x:c>
      <x:c r="J365" s="12" t="n">
        <x:f>IF($A365="","",1+SUMIFS(Assumptions!$S$5:$S$10,Assumptions!$P$5:$P$10,$B365,Assumptions!$Q$5:$Q$10,"&lt;="&amp;$A365,Assumptions!$R$5:$R$10,"&gt;="&amp;$A365))</x:f>
        <x:v>1</x:v>
      </x:c>
      <x:c r="K365" s="12" t="n">
        <x:f>IF($A365="","",1+((($A365-Assumptions!$B$5)/30)*INDEX(Assumptions!$J$5:$J$12,MATCH($B365,Assumptions!$D$5:$D$12,0))))</x:f>
        <x:v>1.0024</x:v>
      </x:c>
      <x:c r="L365" t="str">
        <x:f>IF($A365="","",IFERROR(INDEX(Assumptions!$O$5:$O$10,MATCH(1,(Assumptions!$P$5:$P$10=$B365)*(Assumptions!$Q$5:$Q$10&lt;=$A365)*(Assumptions!$R$5:$R$10&gt;=$A365),0)),""))</x:f>
      </x:c>
      <x:c r="M365" t="n">
        <x:f>--($A365&lt;&gt;"")</x:f>
        <x:v>1</x:v>
      </x:c>
    </x:row>
    <x:row r="366">
      <x:c r="A366" s="10" t="n">
        <x:f>IF(Assumptions!$B$5+INT((ROW()-2)/Assumptions!$B$7)&gt;Assumptions!$B$6,"",Assumptions!$B$5+INT((ROW()-2)/Assumptions!$B$7))</x:f>
        <x:v>46095</x:v>
      </x:c>
      <x:c r="B366" t="str">
        <x:f>IF($A366="","",INDEX(Assumptions!$D$5:$D$12,MOD(ROW()-2,Assumptions!$B$7)+1))</x:f>
        <x:v>Yutani Ridge</x:v>
      </x:c>
      <x:c r="C366" s="11" t="n">
        <x:f>IF($A366="","",INDEX(Assumptions!$F$5:$F$12,MATCH($B366,Assumptions!$D$5:$D$12,0)))</x:f>
        <x:v>1050</x:v>
      </x:c>
      <x:c r="D366" s="11" t="n">
        <x:f>IF($A366="","",INDEX(Assumptions!$G$5:$G$12,MATCH($B366,Assumptions!$D$5:$D$12,0)))</x:f>
        <x:v>125</x:v>
      </x:c>
      <x:c r="E366" s="11" t="n">
        <x:f>IF($A366="","",INDEX(Assumptions!$M$5:$M$11,WEEKDAY($A366,2)))</x:f>
        <x:v>0.91</x:v>
      </x:c>
      <x:c r="F366" s="11" t="n">
        <x:f>IF($A366="","",Assumptions!$B$15)</x:f>
        <x:v>0.35</x:v>
      </x:c>
      <x:c r="G366" s="11" t="n">
        <x:f>IF($A366="","",MAX(INDEX(Assumptions!$H$5:$H$12,MATCH($B366,Assumptions!$D$5:$D$12,0)),MIN(INDEX(Assumptions!$I$5:$I$12,MATCH($B366,Assumptions!$D$5:$D$12,0)),($C366+$D366*SQRT(-2*LN(RAND()))*COS(2*PI()*RAND()))*$E366*$J366*$K366)))</x:f>
        <x:v>1035.9857888169108</x:v>
      </x:c>
      <x:c r="H366" s="11" t="n">
        <x:f>IF($A366="","",$G366*$F366+$C366*(1-$F366))</x:f>
        <x:v>1045.0950260859188</x:v>
      </x:c>
      <x:c r="I366" s="11" t="n">
        <x:f>IF($A366="","",AVERAGE($H366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1060.472700859503</x:v>
      </x:c>
      <x:c r="J366" s="12" t="n">
        <x:f>IF($A366="","",1+SUMIFS(Assumptions!$S$5:$S$10,Assumptions!$P$5:$P$10,$B366,Assumptions!$Q$5:$Q$10,"&lt;="&amp;$A366,Assumptions!$R$5:$R$10,"&gt;="&amp;$A366))</x:f>
        <x:v>1</x:v>
      </x:c>
      <x:c r="K366" s="12" t="n">
        <x:f>IF($A366="","",1+((($A366-Assumptions!$B$5)/30)*INDEX(Assumptions!$J$5:$J$12,MATCH($B366,Assumptions!$D$5:$D$12,0))))</x:f>
        <x:v>1.006</x:v>
      </x:c>
      <x:c r="L366" t="str">
        <x:f>IF($A366="","",IFERROR(INDEX(Assumptions!$O$5:$O$10,MATCH(1,(Assumptions!$P$5:$P$10=$B366)*(Assumptions!$Q$5:$Q$10&lt;=$A366)*(Assumptions!$R$5:$R$10&gt;=$A366),0)),""))</x:f>
      </x:c>
      <x:c r="M366" t="n">
        <x:f>--($A366&lt;&gt;"")</x:f>
        <x:v>1</x:v>
      </x:c>
    </x:row>
    <x:row r="367">
      <x:c r="A367" s="10" t="n">
        <x:f>IF(Assumptions!$B$5+INT((ROW()-2)/Assumptions!$B$7)&gt;Assumptions!$B$6,"",Assumptions!$B$5+INT((ROW()-2)/Assumptions!$B$7))</x:f>
        <x:v>46096</x:v>
      </x:c>
      <x:c r="B367" t="str">
        <x:f>IF($A367="","",INDEX(Assumptions!$D$5:$D$12,MOD(ROW()-2,Assumptions!$B$7)+1))</x:f>
        <x:v>Acheron Prime</x:v>
      </x:c>
      <x:c r="C367" s="11" t="n">
        <x:f>IF($A367="","",INDEX(Assumptions!$F$5:$F$12,MATCH($B367,Assumptions!$D$5:$D$12,0)))</x:f>
        <x:v>1120</x:v>
      </x:c>
      <x:c r="D367" s="11" t="n">
        <x:f>IF($A367="","",INDEX(Assumptions!$G$5:$G$12,MATCH($B367,Assumptions!$D$5:$D$12,0)))</x:f>
        <x:v>115</x:v>
      </x:c>
      <x:c r="E367" s="11" t="n">
        <x:f>IF($A367="","",INDEX(Assumptions!$M$5:$M$11,WEEKDAY($A367,2)))</x:f>
        <x:v>0.87</x:v>
      </x:c>
      <x:c r="F367" s="11" t="n">
        <x:f>IF($A367="","",Assumptions!$B$15)</x:f>
        <x:v>0.35</x:v>
      </x:c>
      <x:c r="G367" s="11" t="n">
        <x:f>IF($A367="","",MAX(INDEX(Assumptions!$H$5:$H$12,MATCH($B367,Assumptions!$D$5:$D$12,0)),MIN(INDEX(Assumptions!$I$5:$I$12,MATCH($B367,Assumptions!$D$5:$D$12,0)),($C367+$D367*SQRT(-2*LN(RAND()))*COS(2*PI()*RAND()))*$E367*$J367*$K367)))</x:f>
        <x:v>898.2321247254484</x:v>
      </x:c>
      <x:c r="H367" s="11" t="n">
        <x:f>IF($A367="","",$G367*$F367+$C367*(1-$F367))</x:f>
        <x:v>1042.381243653907</x:v>
      </x:c>
      <x:c r="I367" s="11" t="n">
        <x:f>IF($A367="","",AVERAGE($H367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1112.3621853354948</x:v>
      </x:c>
      <x:c r="J367" s="12" t="n">
        <x:f>IF($A367="","",1+SUMIFS(Assumptions!$S$5:$S$10,Assumptions!$P$5:$P$10,$B367,Assumptions!$Q$5:$Q$10,"&lt;="&amp;$A367,Assumptions!$R$5:$R$10,"&gt;="&amp;$A367))</x:f>
        <x:v>1</x:v>
      </x:c>
      <x:c r="K367" s="12" t="n">
        <x:f>IF($A367="","",1+((($A367-Assumptions!$B$5)/30)*INDEX(Assumptions!$J$5:$J$12,MATCH($B367,Assumptions!$D$5:$D$12,0))))</x:f>
        <x:v>1.0048666666666666</x:v>
      </x:c>
      <x:c r="L367" t="str">
        <x:f>IF($A367="","",IFERROR(INDEX(Assumptions!$O$5:$O$10,MATCH(1,(Assumptions!$P$5:$P$10=$B367)*(Assumptions!$Q$5:$Q$10&lt;=$A367)*(Assumptions!$R$5:$R$10&gt;=$A367),0)),""))</x:f>
      </x:c>
      <x:c r="M367" t="n">
        <x:f>--($A367&lt;&gt;"")</x:f>
        <x:v>1</x:v>
      </x:c>
    </x:row>
    <x:row r="368">
      <x:c r="A368" s="10" t="n">
        <x:f>IF(Assumptions!$B$5+INT((ROW()-2)/Assumptions!$B$7)&gt;Assumptions!$B$6,"",Assumptions!$B$5+INT((ROW()-2)/Assumptions!$B$7))</x:f>
        <x:v>46096</x:v>
      </x:c>
      <x:c r="B368" t="str">
        <x:f>IF($A368="","",INDEX(Assumptions!$D$5:$D$12,MOD(ROW()-2,Assumptions!$B$7)+1))</x:f>
        <x:v>LV-426 North</x:v>
      </x:c>
      <x:c r="C368" s="11" t="n">
        <x:f>IF($A368="","",INDEX(Assumptions!$F$5:$F$12,MATCH($B368,Assumptions!$D$5:$D$12,0)))</x:f>
        <x:v>930</x:v>
      </x:c>
      <x:c r="D368" s="11" t="n">
        <x:f>IF($A368="","",INDEX(Assumptions!$G$5:$G$12,MATCH($B368,Assumptions!$D$5:$D$12,0)))</x:f>
        <x:v>95</x:v>
      </x:c>
      <x:c r="E368" s="11" t="n">
        <x:f>IF($A368="","",INDEX(Assumptions!$M$5:$M$11,WEEKDAY($A368,2)))</x:f>
        <x:v>0.87</x:v>
      </x:c>
      <x:c r="F368" s="11" t="n">
        <x:f>IF($A368="","",Assumptions!$B$15)</x:f>
        <x:v>0.35</x:v>
      </x:c>
      <x:c r="G368" s="11" t="n">
        <x:f>IF($A368="","",MAX(INDEX(Assumptions!$H$5:$H$12,MATCH($B368,Assumptions!$D$5:$D$12,0)),MIN(INDEX(Assumptions!$I$5:$I$12,MATCH($B368,Assumptions!$D$5:$D$12,0)),($C368+$D368*SQRT(-2*LN(RAND()))*COS(2*PI()*RAND()))*$E368*$J368*$K368)))</x:f>
        <x:v>1091.787550452555</x:v>
      </x:c>
      <x:c r="H368" s="11" t="n">
        <x:f>IF($A368="","",$G368*$F368+$C368*(1-$F368))</x:f>
        <x:v>986.6256426583942</x:v>
      </x:c>
      <x:c r="I368" s="11" t="n">
        <x:f>IF($A368="","",AVERAGE($H368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975.8610724927772</x:v>
      </x:c>
      <x:c r="J368" s="12" t="n">
        <x:f>IF($A368="","",1+SUMIFS(Assumptions!$S$5:$S$10,Assumptions!$P$5:$P$10,$B368,Assumptions!$Q$5:$Q$10,"&lt;="&amp;$A368,Assumptions!$R$5:$R$10,"&gt;="&amp;$A368))</x:f>
        <x:v>1.18</x:v>
      </x:c>
      <x:c r="K368" s="12" t="n">
        <x:f>IF($A368="","",1+((($A368-Assumptions!$B$5)/30)*INDEX(Assumptions!$J$5:$J$12,MATCH($B368,Assumptions!$D$5:$D$12,0))))</x:f>
        <x:v>0.9975666666666667</x:v>
      </x:c>
      <x:c r="L368" t="str">
        <x:f>IF($A368="","",IFERROR(INDEX(Assumptions!$O$5:$O$10,MATCH(1,(Assumptions!$P$5:$P$10=$B368)*(Assumptions!$Q$5:$Q$10&lt;=$A368)*(Assumptions!$R$5:$R$10&gt;=$A368),0)),""))</x:f>
        <x:v>Ore seam boost</x:v>
      </x:c>
      <x:c r="M368" t="n">
        <x:f>--($A368&lt;&gt;"")</x:f>
        <x:v>1</x:v>
      </x:c>
    </x:row>
    <x:row r="369">
      <x:c r="A369" s="10" t="n">
        <x:f>IF(Assumptions!$B$5+INT((ROW()-2)/Assumptions!$B$7)&gt;Assumptions!$B$6,"",Assumptions!$B$5+INT((ROW()-2)/Assumptions!$B$7))</x:f>
        <x:v>46096</x:v>
      </x:c>
      <x:c r="B369" t="str">
        <x:f>IF($A369="","",INDEX(Assumptions!$D$5:$D$12,MOD(ROW()-2,Assumptions!$B$7)+1))</x:f>
        <x:v>Nostromo Deep</x:v>
      </x:c>
      <x:c r="C369" s="11" t="n">
        <x:f>IF($A369="","",INDEX(Assumptions!$F$5:$F$12,MATCH($B369,Assumptions!$D$5:$D$12,0)))</x:f>
        <x:v>1260</x:v>
      </x:c>
      <x:c r="D369" s="11" t="n">
        <x:f>IF($A369="","",INDEX(Assumptions!$G$5:$G$12,MATCH($B369,Assumptions!$D$5:$D$12,0)))</x:f>
        <x:v>145</x:v>
      </x:c>
      <x:c r="E369" s="11" t="n">
        <x:f>IF($A369="","",INDEX(Assumptions!$M$5:$M$11,WEEKDAY($A369,2)))</x:f>
        <x:v>0.87</x:v>
      </x:c>
      <x:c r="F369" s="11" t="n">
        <x:f>IF($A369="","",Assumptions!$B$15)</x:f>
        <x:v>0.35</x:v>
      </x:c>
      <x:c r="G369" s="11" t="n">
        <x:f>IF($A369="","",MAX(INDEX(Assumptions!$H$5:$H$12,MATCH($B369,Assumptions!$D$5:$D$12,0)),MIN(INDEX(Assumptions!$I$5:$I$12,MATCH($B369,Assumptions!$D$5:$D$12,0)),($C369+$D369*SQRT(-2*LN(RAND()))*COS(2*PI()*RAND()))*$E369*$J369*$K369)))</x:f>
        <x:v>899.6548539031769</x:v>
      </x:c>
      <x:c r="H369" s="11" t="n">
        <x:f>IF($A369="","",$G369*$F369+$C369*(1-$F369))</x:f>
        <x:v>1133.879198866112</x:v>
      </x:c>
      <x:c r="I369" s="11" t="n">
        <x:f>IF($A369="","",AVERAGE($H369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1224.8174209922197</x:v>
      </x:c>
      <x:c r="J369" s="12" t="n">
        <x:f>IF($A369="","",1+SUMIFS(Assumptions!$S$5:$S$10,Assumptions!$P$5:$P$10,$B369,Assumptions!$Q$5:$Q$10,"&lt;="&amp;$A369,Assumptions!$R$5:$R$10,"&gt;="&amp;$A369))</x:f>
        <x:v>1</x:v>
      </x:c>
      <x:c r="K369" s="12" t="n">
        <x:f>IF($A369="","",1+((($A369-Assumptions!$B$5)/30)*INDEX(Assumptions!$J$5:$J$12,MATCH($B369,Assumptions!$D$5:$D$12,0))))</x:f>
        <x:v>1.0073</x:v>
      </x:c>
      <x:c r="L369" t="str">
        <x:f>IF($A369="","",IFERROR(INDEX(Assumptions!$O$5:$O$10,MATCH(1,(Assumptions!$P$5:$P$10=$B369)*(Assumptions!$Q$5:$Q$10&lt;=$A369)*(Assumptions!$R$5:$R$10&gt;=$A369),0)),""))</x:f>
      </x:c>
      <x:c r="M369" t="n">
        <x:f>--($A369&lt;&gt;"")</x:f>
        <x:v>1</x:v>
      </x:c>
    </x:row>
    <x:row r="370">
      <x:c r="A370" s="10" t="n">
        <x:f>IF(Assumptions!$B$5+INT((ROW()-2)/Assumptions!$B$7)&gt;Assumptions!$B$6,"",Assumptions!$B$5+INT((ROW()-2)/Assumptions!$B$7))</x:f>
        <x:v>46096</x:v>
      </x:c>
      <x:c r="B370" t="str">
        <x:f>IF($A370="","",INDEX(Assumptions!$D$5:$D$12,MOD(ROW()-2,Assumptions!$B$7)+1))</x:f>
        <x:v>Hadley's Hope</x:v>
      </x:c>
      <x:c r="C370" s="11" t="n">
        <x:f>IF($A370="","",INDEX(Assumptions!$F$5:$F$12,MATCH($B370,Assumptions!$D$5:$D$12,0)))</x:f>
        <x:v>845</x:v>
      </x:c>
      <x:c r="D370" s="11" t="n">
        <x:f>IF($A370="","",INDEX(Assumptions!$G$5:$G$12,MATCH($B370,Assumptions!$D$5:$D$12,0)))</x:f>
        <x:v>80</x:v>
      </x:c>
      <x:c r="E370" s="11" t="n">
        <x:f>IF($A370="","",INDEX(Assumptions!$M$5:$M$11,WEEKDAY($A370,2)))</x:f>
        <x:v>0.87</x:v>
      </x:c>
      <x:c r="F370" s="11" t="n">
        <x:f>IF($A370="","",Assumptions!$B$15)</x:f>
        <x:v>0.35</x:v>
      </x:c>
      <x:c r="G370" s="11" t="n">
        <x:f>IF($A370="","",MAX(INDEX(Assumptions!$H$5:$H$12,MATCH($B370,Assumptions!$D$5:$D$12,0)),MIN(INDEX(Assumptions!$I$5:$I$12,MATCH($B370,Assumptions!$D$5:$D$12,0)),($C370+$D370*SQRT(-2*LN(RAND()))*COS(2*PI()*RAND()))*$E370*$J370*$K370)))</x:f>
        <x:v>740.7891011427257</x:v>
      </x:c>
      <x:c r="H370" s="11" t="n">
        <x:f>IF($A370="","",$G370*$F370+$C370*(1-$F370))</x:f>
        <x:v>808.526185399954</x:v>
      </x:c>
      <x:c r="I370" s="11" t="n">
        <x:f>IF($A370="","",AVERAGE($H370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823.9100822198232</x:v>
      </x:c>
      <x:c r="J370" s="12" t="n">
        <x:f>IF($A370="","",1+SUMIFS(Assumptions!$S$5:$S$10,Assumptions!$P$5:$P$10,$B370,Assumptions!$Q$5:$Q$10,"&lt;="&amp;$A370,Assumptions!$R$5:$R$10,"&gt;="&amp;$A370))</x:f>
        <x:v>1</x:v>
      </x:c>
      <x:c r="K370" s="12" t="n">
        <x:f>IF($A370="","",1+((($A370-Assumptions!$B$5)/30)*INDEX(Assumptions!$J$5:$J$12,MATCH($B370,Assumptions!$D$5:$D$12,0))))</x:f>
        <x:v>1.0024333333333333</x:v>
      </x:c>
      <x:c r="L370" t="str">
        <x:f>IF($A370="","",IFERROR(INDEX(Assumptions!$O$5:$O$10,MATCH(1,(Assumptions!$P$5:$P$10=$B370)*(Assumptions!$Q$5:$Q$10&lt;=$A370)*(Assumptions!$R$5:$R$10&gt;=$A370),0)),""))</x:f>
      </x:c>
      <x:c r="M370" t="n">
        <x:f>--($A370&lt;&gt;"")</x:f>
        <x:v>1</x:v>
      </x:c>
    </x:row>
    <x:row r="371">
      <x:c r="A371" s="10" t="n">
        <x:f>IF(Assumptions!$B$5+INT((ROW()-2)/Assumptions!$B$7)&gt;Assumptions!$B$6,"",Assumptions!$B$5+INT((ROW()-2)/Assumptions!$B$7))</x:f>
        <x:v>46096</x:v>
      </x:c>
      <x:c r="B371" t="str">
        <x:f>IF($A371="","",INDEX(Assumptions!$D$5:$D$12,MOD(ROW()-2,Assumptions!$B$7)+1))</x:f>
        <x:v>Yutani Ridge</x:v>
      </x:c>
      <x:c r="C371" s="11" t="n">
        <x:f>IF($A371="","",INDEX(Assumptions!$F$5:$F$12,MATCH($B371,Assumptions!$D$5:$D$12,0)))</x:f>
        <x:v>1050</x:v>
      </x:c>
      <x:c r="D371" s="11" t="n">
        <x:f>IF($A371="","",INDEX(Assumptions!$G$5:$G$12,MATCH($B371,Assumptions!$D$5:$D$12,0)))</x:f>
        <x:v>125</x:v>
      </x:c>
      <x:c r="E371" s="11" t="n">
        <x:f>IF($A371="","",INDEX(Assumptions!$M$5:$M$11,WEEKDAY($A371,2)))</x:f>
        <x:v>0.87</x:v>
      </x:c>
      <x:c r="F371" s="11" t="n">
        <x:f>IF($A371="","",Assumptions!$B$15)</x:f>
        <x:v>0.35</x:v>
      </x:c>
      <x:c r="G371" s="11" t="n">
        <x:f>IF($A371="","",MAX(INDEX(Assumptions!$H$5:$H$12,MATCH($B371,Assumptions!$D$5:$D$12,0)),MIN(INDEX(Assumptions!$I$5:$I$12,MATCH($B371,Assumptions!$D$5:$D$12,0)),($C371+$D371*SQRT(-2*LN(RAND()))*COS(2*PI()*RAND()))*$E371*$J371*$K371)))</x:f>
        <x:v>931.2609416112534</x:v>
      </x:c>
      <x:c r="H371" s="11" t="n">
        <x:f>IF($A371="","",$G371*$F371+$C371*(1-$F371))</x:f>
        <x:v>1008.4413295639387</x:v>
      </x:c>
      <x:c r="I371" s="11" t="n">
        <x:f>IF($A371="","",AVERAGE($H371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1067.406505497903</x:v>
      </x:c>
      <x:c r="J371" s="12" t="n">
        <x:f>IF($A371="","",1+SUMIFS(Assumptions!$S$5:$S$10,Assumptions!$P$5:$P$10,$B371,Assumptions!$Q$5:$Q$10,"&lt;="&amp;$A371,Assumptions!$R$5:$R$10,"&gt;="&amp;$A371))</x:f>
        <x:v>1</x:v>
      </x:c>
      <x:c r="K371" s="12" t="n">
        <x:f>IF($A371="","",1+((($A371-Assumptions!$B$5)/30)*INDEX(Assumptions!$J$5:$J$12,MATCH($B371,Assumptions!$D$5:$D$12,0))))</x:f>
        <x:v>1.0060833333333334</x:v>
      </x:c>
      <x:c r="L371" t="str">
        <x:f>IF($A371="","",IFERROR(INDEX(Assumptions!$O$5:$O$10,MATCH(1,(Assumptions!$P$5:$P$10=$B371)*(Assumptions!$Q$5:$Q$10&lt;=$A371)*(Assumptions!$R$5:$R$10&gt;=$A371),0)),""))</x:f>
      </x:c>
      <x:c r="M371" t="n">
        <x:f>--($A371&lt;&gt;"")</x:f>
        <x:v>1</x:v>
      </x:c>
    </x:row>
    <x:row r="372">
      <x:c r="A372" s="10" t="n">
        <x:f>IF(Assumptions!$B$5+INT((ROW()-2)/Assumptions!$B$7)&gt;Assumptions!$B$6,"",Assumptions!$B$5+INT((ROW()-2)/Assumptions!$B$7))</x:f>
        <x:v>46097</x:v>
      </x:c>
      <x:c r="B372" t="str">
        <x:f>IF($A372="","",INDEX(Assumptions!$D$5:$D$12,MOD(ROW()-2,Assumptions!$B$7)+1))</x:f>
        <x:v>Acheron Prime</x:v>
      </x:c>
      <x:c r="C372" s="11" t="n">
        <x:f>IF($A372="","",INDEX(Assumptions!$F$5:$F$12,MATCH($B372,Assumptions!$D$5:$D$12,0)))</x:f>
        <x:v>1120</x:v>
      </x:c>
      <x:c r="D372" s="11" t="n">
        <x:f>IF($A372="","",INDEX(Assumptions!$G$5:$G$12,MATCH($B372,Assumptions!$D$5:$D$12,0)))</x:f>
        <x:v>115</x:v>
      </x:c>
      <x:c r="E372" s="11" t="n">
        <x:f>IF($A372="","",INDEX(Assumptions!$M$5:$M$11,WEEKDAY($A372,2)))</x:f>
        <x:v>1.03</x:v>
      </x:c>
      <x:c r="F372" s="11" t="n">
        <x:f>IF($A372="","",Assumptions!$B$15)</x:f>
        <x:v>0.35</x:v>
      </x:c>
      <x:c r="G372" s="11" t="n">
        <x:f>IF($A372="","",MAX(INDEX(Assumptions!$H$5:$H$12,MATCH($B372,Assumptions!$D$5:$D$12,0)),MIN(INDEX(Assumptions!$I$5:$I$12,MATCH($B372,Assumptions!$D$5:$D$12,0)),($C372+$D372*SQRT(-2*LN(RAND()))*COS(2*PI()*RAND()))*$E372*$J372*$K372)))</x:f>
        <x:v>921.4896183015347</x:v>
      </x:c>
      <x:c r="H372" s="11" t="n">
        <x:f>IF($A372="","",$G372*$F372+$C372*(1-$F372))</x:f>
        <x:v>1050.5213664055373</x:v>
      </x:c>
      <x:c r="I372" s="11" t="n">
        <x:f>IF($A372="","",AVERAGE($H372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1099.7323725288425</x:v>
      </x:c>
      <x:c r="J372" s="12" t="n">
        <x:f>IF($A372="","",1+SUMIFS(Assumptions!$S$5:$S$10,Assumptions!$P$5:$P$10,$B372,Assumptions!$Q$5:$Q$10,"&lt;="&amp;$A372,Assumptions!$R$5:$R$10,"&gt;="&amp;$A372))</x:f>
        <x:v>1</x:v>
      </x:c>
      <x:c r="K372" s="12" t="n">
        <x:f>IF($A372="","",1+((($A372-Assumptions!$B$5)/30)*INDEX(Assumptions!$J$5:$J$12,MATCH($B372,Assumptions!$D$5:$D$12,0))))</x:f>
        <x:v>1.0049333333333332</x:v>
      </x:c>
      <x:c r="L372" t="str">
        <x:f>IF($A372="","",IFERROR(INDEX(Assumptions!$O$5:$O$10,MATCH(1,(Assumptions!$P$5:$P$10=$B372)*(Assumptions!$Q$5:$Q$10&lt;=$A372)*(Assumptions!$R$5:$R$10&gt;=$A372),0)),""))</x:f>
      </x:c>
      <x:c r="M372" t="n">
        <x:f>--($A372&lt;&gt;"")</x:f>
        <x:v>1</x:v>
      </x:c>
    </x:row>
    <x:row r="373">
      <x:c r="A373" s="10" t="n">
        <x:f>IF(Assumptions!$B$5+INT((ROW()-2)/Assumptions!$B$7)&gt;Assumptions!$B$6,"",Assumptions!$B$5+INT((ROW()-2)/Assumptions!$B$7))</x:f>
        <x:v>46097</x:v>
      </x:c>
      <x:c r="B373" t="str">
        <x:f>IF($A373="","",INDEX(Assumptions!$D$5:$D$12,MOD(ROW()-2,Assumptions!$B$7)+1))</x:f>
        <x:v>LV-426 North</x:v>
      </x:c>
      <x:c r="C373" s="11" t="n">
        <x:f>IF($A373="","",INDEX(Assumptions!$F$5:$F$12,MATCH($B373,Assumptions!$D$5:$D$12,0)))</x:f>
        <x:v>930</x:v>
      </x:c>
      <x:c r="D373" s="11" t="n">
        <x:f>IF($A373="","",INDEX(Assumptions!$G$5:$G$12,MATCH($B373,Assumptions!$D$5:$D$12,0)))</x:f>
        <x:v>95</x:v>
      </x:c>
      <x:c r="E373" s="11" t="n">
        <x:f>IF($A373="","",INDEX(Assumptions!$M$5:$M$11,WEEKDAY($A373,2)))</x:f>
        <x:v>1.03</x:v>
      </x:c>
      <x:c r="F373" s="11" t="n">
        <x:f>IF($A373="","",Assumptions!$B$15)</x:f>
        <x:v>0.35</x:v>
      </x:c>
      <x:c r="G373" s="11" t="n">
        <x:f>IF($A373="","",MAX(INDEX(Assumptions!$H$5:$H$12,MATCH($B373,Assumptions!$D$5:$D$12,0)),MIN(INDEX(Assumptions!$I$5:$I$12,MATCH($B373,Assumptions!$D$5:$D$12,0)),($C373+$D373*SQRT(-2*LN(RAND()))*COS(2*PI()*RAND()))*$E373*$J373*$K373)))</x:f>
        <x:v>1256.469147751923</x:v>
      </x:c>
      <x:c r="H373" s="11" t="n">
        <x:f>IF($A373="","",$G373*$F373+$C373*(1-$F373))</x:f>
        <x:v>1044.264201713173</x:v>
      </x:c>
      <x:c r="I373" s="11" t="n">
        <x:f>IF($A373="","",AVERAGE($H373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1001.4312069211072</x:v>
      </x:c>
      <x:c r="J373" s="12" t="n">
        <x:f>IF($A373="","",1+SUMIFS(Assumptions!$S$5:$S$10,Assumptions!$P$5:$P$10,$B373,Assumptions!$Q$5:$Q$10,"&lt;="&amp;$A373,Assumptions!$R$5:$R$10,"&gt;="&amp;$A373))</x:f>
        <x:v>1.18</x:v>
      </x:c>
      <x:c r="K373" s="12" t="n">
        <x:f>IF($A373="","",1+((($A373-Assumptions!$B$5)/30)*INDEX(Assumptions!$J$5:$J$12,MATCH($B373,Assumptions!$D$5:$D$12,0))))</x:f>
        <x:v>0.9975333333333334</x:v>
      </x:c>
      <x:c r="L373" t="str">
        <x:f>IF($A373="","",IFERROR(INDEX(Assumptions!$O$5:$O$10,MATCH(1,(Assumptions!$P$5:$P$10=$B373)*(Assumptions!$Q$5:$Q$10&lt;=$A373)*(Assumptions!$R$5:$R$10&gt;=$A373),0)),""))</x:f>
        <x:v>Ore seam boost</x:v>
      </x:c>
      <x:c r="M373" t="n">
        <x:f>--($A373&lt;&gt;"")</x:f>
        <x:v>1</x:v>
      </x:c>
    </x:row>
    <x:row r="374">
      <x:c r="A374" s="10" t="n">
        <x:f>IF(Assumptions!$B$5+INT((ROW()-2)/Assumptions!$B$7)&gt;Assumptions!$B$6,"",Assumptions!$B$5+INT((ROW()-2)/Assumptions!$B$7))</x:f>
        <x:v>46097</x:v>
      </x:c>
      <x:c r="B374" t="str">
        <x:f>IF($A374="","",INDEX(Assumptions!$D$5:$D$12,MOD(ROW()-2,Assumptions!$B$7)+1))</x:f>
        <x:v>Nostromo Deep</x:v>
      </x:c>
      <x:c r="C374" s="11" t="n">
        <x:f>IF($A374="","",INDEX(Assumptions!$F$5:$F$12,MATCH($B374,Assumptions!$D$5:$D$12,0)))</x:f>
        <x:v>1260</x:v>
      </x:c>
      <x:c r="D374" s="11" t="n">
        <x:f>IF($A374="","",INDEX(Assumptions!$G$5:$G$12,MATCH($B374,Assumptions!$D$5:$D$12,0)))</x:f>
        <x:v>145</x:v>
      </x:c>
      <x:c r="E374" s="11" t="n">
        <x:f>IF($A374="","",INDEX(Assumptions!$M$5:$M$11,WEEKDAY($A374,2)))</x:f>
        <x:v>1.03</x:v>
      </x:c>
      <x:c r="F374" s="11" t="n">
        <x:f>IF($A374="","",Assumptions!$B$15)</x:f>
        <x:v>0.35</x:v>
      </x:c>
      <x:c r="G374" s="11" t="n">
        <x:f>IF($A374="","",MAX(INDEX(Assumptions!$H$5:$H$12,MATCH($B374,Assumptions!$D$5:$D$12,0)),MIN(INDEX(Assumptions!$I$5:$I$12,MATCH($B374,Assumptions!$D$5:$D$12,0)),($C374+$D374*SQRT(-2*LN(RAND()))*COS(2*PI()*RAND()))*$E374*$J374*$K374)))</x:f>
        <x:v>1244.5872220494687</x:v>
      </x:c>
      <x:c r="H374" s="11" t="n">
        <x:f>IF($A374="","",$G374*$F374+$C374*(1-$F374))</x:f>
        <x:v>1254.605527717314</x:v>
      </x:c>
      <x:c r="I374" s="11" t="n">
        <x:f>IF($A374="","",AVERAGE($H374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1220.2087505139539</x:v>
      </x:c>
      <x:c r="J374" s="12" t="n">
        <x:f>IF($A374="","",1+SUMIFS(Assumptions!$S$5:$S$10,Assumptions!$P$5:$P$10,$B374,Assumptions!$Q$5:$Q$10,"&lt;="&amp;$A374,Assumptions!$R$5:$R$10,"&gt;="&amp;$A374))</x:f>
        <x:v>1</x:v>
      </x:c>
      <x:c r="K374" s="12" t="n">
        <x:f>IF($A374="","",1+((($A374-Assumptions!$B$5)/30)*INDEX(Assumptions!$J$5:$J$12,MATCH($B374,Assumptions!$D$5:$D$12,0))))</x:f>
        <x:v>1.0074</x:v>
      </x:c>
      <x:c r="L374" t="str">
        <x:f>IF($A374="","",IFERROR(INDEX(Assumptions!$O$5:$O$10,MATCH(1,(Assumptions!$P$5:$P$10=$B374)*(Assumptions!$Q$5:$Q$10&lt;=$A374)*(Assumptions!$R$5:$R$10&gt;=$A374),0)),""))</x:f>
      </x:c>
      <x:c r="M374" t="n">
        <x:f>--($A374&lt;&gt;"")</x:f>
        <x:v>1</x:v>
      </x:c>
    </x:row>
    <x:row r="375">
      <x:c r="A375" s="10" t="n">
        <x:f>IF(Assumptions!$B$5+INT((ROW()-2)/Assumptions!$B$7)&gt;Assumptions!$B$6,"",Assumptions!$B$5+INT((ROW()-2)/Assumptions!$B$7))</x:f>
        <x:v>46097</x:v>
      </x:c>
      <x:c r="B375" t="str">
        <x:f>IF($A375="","",INDEX(Assumptions!$D$5:$D$12,MOD(ROW()-2,Assumptions!$B$7)+1))</x:f>
        <x:v>Hadley's Hope</x:v>
      </x:c>
      <x:c r="C375" s="11" t="n">
        <x:f>IF($A375="","",INDEX(Assumptions!$F$5:$F$12,MATCH($B375,Assumptions!$D$5:$D$12,0)))</x:f>
        <x:v>845</x:v>
      </x:c>
      <x:c r="D375" s="11" t="n">
        <x:f>IF($A375="","",INDEX(Assumptions!$G$5:$G$12,MATCH($B375,Assumptions!$D$5:$D$12,0)))</x:f>
        <x:v>80</x:v>
      </x:c>
      <x:c r="E375" s="11" t="n">
        <x:f>IF($A375="","",INDEX(Assumptions!$M$5:$M$11,WEEKDAY($A375,2)))</x:f>
        <x:v>1.03</x:v>
      </x:c>
      <x:c r="F375" s="11" t="n">
        <x:f>IF($A375="","",Assumptions!$B$15)</x:f>
        <x:v>0.35</x:v>
      </x:c>
      <x:c r="G375" s="11" t="n">
        <x:f>IF($A375="","",MAX(INDEX(Assumptions!$H$5:$H$12,MATCH($B375,Assumptions!$D$5:$D$12,0)),MIN(INDEX(Assumptions!$I$5:$I$12,MATCH($B375,Assumptions!$D$5:$D$12,0)),($C375+$D375*SQRT(-2*LN(RAND()))*COS(2*PI()*RAND()))*$E375*$J375*$K375)))</x:f>
        <x:v>876.3126102542155</x:v>
      </x:c>
      <x:c r="H375" s="11" t="n">
        <x:f>IF($A375="","",$G375*$F375+$C375*(1-$F375))</x:f>
        <x:v>855.9594135889754</x:v>
      </x:c>
      <x:c r="I375" s="11" t="n">
        <x:f>IF($A375="","",AVERAGE($H375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830.3176319760422</x:v>
      </x:c>
      <x:c r="J375" s="12" t="n">
        <x:f>IF($A375="","",1+SUMIFS(Assumptions!$S$5:$S$10,Assumptions!$P$5:$P$10,$B375,Assumptions!$Q$5:$Q$10,"&lt;="&amp;$A375,Assumptions!$R$5:$R$10,"&gt;="&amp;$A375))</x:f>
        <x:v>1</x:v>
      </x:c>
      <x:c r="K375" s="12" t="n">
        <x:f>IF($A375="","",1+((($A375-Assumptions!$B$5)/30)*INDEX(Assumptions!$J$5:$J$12,MATCH($B375,Assumptions!$D$5:$D$12,0))))</x:f>
        <x:v>1.0024666666666666</x:v>
      </x:c>
      <x:c r="L375" t="str">
        <x:f>IF($A375="","",IFERROR(INDEX(Assumptions!$O$5:$O$10,MATCH(1,(Assumptions!$P$5:$P$10=$B375)*(Assumptions!$Q$5:$Q$10&lt;=$A375)*(Assumptions!$R$5:$R$10&gt;=$A375),0)),""))</x:f>
      </x:c>
      <x:c r="M375" t="n">
        <x:f>--($A375&lt;&gt;"")</x:f>
        <x:v>1</x:v>
      </x:c>
    </x:row>
    <x:row r="376">
      <x:c r="A376" s="10" t="n">
        <x:f>IF(Assumptions!$B$5+INT((ROW()-2)/Assumptions!$B$7)&gt;Assumptions!$B$6,"",Assumptions!$B$5+INT((ROW()-2)/Assumptions!$B$7))</x:f>
        <x:v>46097</x:v>
      </x:c>
      <x:c r="B376" t="str">
        <x:f>IF($A376="","",INDEX(Assumptions!$D$5:$D$12,MOD(ROW()-2,Assumptions!$B$7)+1))</x:f>
        <x:v>Yutani Ridge</x:v>
      </x:c>
      <x:c r="C376" s="11" t="n">
        <x:f>IF($A376="","",INDEX(Assumptions!$F$5:$F$12,MATCH($B376,Assumptions!$D$5:$D$12,0)))</x:f>
        <x:v>1050</x:v>
      </x:c>
      <x:c r="D376" s="11" t="n">
        <x:f>IF($A376="","",INDEX(Assumptions!$G$5:$G$12,MATCH($B376,Assumptions!$D$5:$D$12,0)))</x:f>
        <x:v>125</x:v>
      </x:c>
      <x:c r="E376" s="11" t="n">
        <x:f>IF($A376="","",INDEX(Assumptions!$M$5:$M$11,WEEKDAY($A376,2)))</x:f>
        <x:v>1.03</x:v>
      </x:c>
      <x:c r="F376" s="11" t="n">
        <x:f>IF($A376="","",Assumptions!$B$15)</x:f>
        <x:v>0.35</x:v>
      </x:c>
      <x:c r="G376" s="11" t="n">
        <x:f>IF($A376="","",MAX(INDEX(Assumptions!$H$5:$H$12,MATCH($B376,Assumptions!$D$5:$D$12,0)),MIN(INDEX(Assumptions!$I$5:$I$12,MATCH($B376,Assumptions!$D$5:$D$12,0)),($C376+$D376*SQRT(-2*LN(RAND()))*COS(2*PI()*RAND()))*$E376*$J376*$K376)))</x:f>
        <x:v>1101.329369943816</x:v>
      </x:c>
      <x:c r="H376" s="11" t="n">
        <x:f>IF($A376="","",$G376*$F376+$C376*(1-$F376))</x:f>
        <x:v>1067.9652794803355</x:v>
      </x:c>
      <x:c r="I376" s="11" t="n">
        <x:f>IF($A376="","",AVERAGE($H376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1072.0532563331085</x:v>
      </x:c>
      <x:c r="J376" s="12" t="n">
        <x:f>IF($A376="","",1+SUMIFS(Assumptions!$S$5:$S$10,Assumptions!$P$5:$P$10,$B376,Assumptions!$Q$5:$Q$10,"&lt;="&amp;$A376,Assumptions!$R$5:$R$10,"&gt;="&amp;$A376))</x:f>
        <x:v>1</x:v>
      </x:c>
      <x:c r="K376" s="12" t="n">
        <x:f>IF($A376="","",1+((($A376-Assumptions!$B$5)/30)*INDEX(Assumptions!$J$5:$J$12,MATCH($B376,Assumptions!$D$5:$D$12,0))))</x:f>
        <x:v>1.0061666666666667</x:v>
      </x:c>
      <x:c r="L376" t="str">
        <x:f>IF($A376="","",IFERROR(INDEX(Assumptions!$O$5:$O$10,MATCH(1,(Assumptions!$P$5:$P$10=$B376)*(Assumptions!$Q$5:$Q$10&lt;=$A376)*(Assumptions!$R$5:$R$10&gt;=$A376),0)),""))</x:f>
      </x:c>
      <x:c r="M376" t="n">
        <x:f>--($A376&lt;&gt;"")</x:f>
        <x:v>1</x:v>
      </x:c>
    </x:row>
    <x:row r="377">
      <x:c r="A377" s="10" t="n">
        <x:f>IF(Assumptions!$B$5+INT((ROW()-2)/Assumptions!$B$7)&gt;Assumptions!$B$6,"",Assumptions!$B$5+INT((ROW()-2)/Assumptions!$B$7))</x:f>
        <x:v>46098</x:v>
      </x:c>
      <x:c r="B377" t="str">
        <x:f>IF($A377="","",INDEX(Assumptions!$D$5:$D$12,MOD(ROW()-2,Assumptions!$B$7)+1))</x:f>
        <x:v>Acheron Prime</x:v>
      </x:c>
      <x:c r="C377" s="11" t="n">
        <x:f>IF($A377="","",INDEX(Assumptions!$F$5:$F$12,MATCH($B377,Assumptions!$D$5:$D$12,0)))</x:f>
        <x:v>1120</x:v>
      </x:c>
      <x:c r="D377" s="11" t="n">
        <x:f>IF($A377="","",INDEX(Assumptions!$G$5:$G$12,MATCH($B377,Assumptions!$D$5:$D$12,0)))</x:f>
        <x:v>115</x:v>
      </x:c>
      <x:c r="E377" s="11" t="n">
        <x:f>IF($A377="","",INDEX(Assumptions!$M$5:$M$11,WEEKDAY($A377,2)))</x:f>
        <x:v>1.02</x:v>
      </x:c>
      <x:c r="F377" s="11" t="n">
        <x:f>IF($A377="","",Assumptions!$B$15)</x:f>
        <x:v>0.35</x:v>
      </x:c>
      <x:c r="G377" s="11" t="n">
        <x:f>IF($A377="","",MAX(INDEX(Assumptions!$H$5:$H$12,MATCH($B377,Assumptions!$D$5:$D$12,0)),MIN(INDEX(Assumptions!$I$5:$I$12,MATCH($B377,Assumptions!$D$5:$D$12,0)),($C377+$D377*SQRT(-2*LN(RAND()))*COS(2*PI()*RAND()))*$E377*$J377*$K377)))</x:f>
        <x:v>1047.3675743788806</x:v>
      </x:c>
      <x:c r="H377" s="11" t="n">
        <x:f>IF($A377="","",$G377*$F377+$C377*(1-$F377))</x:f>
        <x:v>1094.5786510326081</x:v>
      </x:c>
      <x:c r="I377" s="11" t="n">
        <x:f>IF($A377="","",AVERAGE($H377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1089.4688589382383</x:v>
      </x:c>
      <x:c r="J377" s="12" t="n">
        <x:f>IF($A377="","",1+SUMIFS(Assumptions!$S$5:$S$10,Assumptions!$P$5:$P$10,$B377,Assumptions!$Q$5:$Q$10,"&lt;="&amp;$A377,Assumptions!$R$5:$R$10,"&gt;="&amp;$A377))</x:f>
        <x:v>1</x:v>
      </x:c>
      <x:c r="K377" s="12" t="n">
        <x:f>IF($A377="","",1+((($A377-Assumptions!$B$5)/30)*INDEX(Assumptions!$J$5:$J$12,MATCH($B377,Assumptions!$D$5:$D$12,0))))</x:f>
        <x:v>1.005</x:v>
      </x:c>
      <x:c r="L377" t="str">
        <x:f>IF($A377="","",IFERROR(INDEX(Assumptions!$O$5:$O$10,MATCH(1,(Assumptions!$P$5:$P$10=$B377)*(Assumptions!$Q$5:$Q$10&lt;=$A377)*(Assumptions!$R$5:$R$10&gt;=$A377),0)),""))</x:f>
      </x:c>
      <x:c r="M377" t="n">
        <x:f>--($A377&lt;&gt;"")</x:f>
        <x:v>1</x:v>
      </x:c>
    </x:row>
    <x:row r="378">
      <x:c r="A378" s="10" t="n">
        <x:f>IF(Assumptions!$B$5+INT((ROW()-2)/Assumptions!$B$7)&gt;Assumptions!$B$6,"",Assumptions!$B$5+INT((ROW()-2)/Assumptions!$B$7))</x:f>
        <x:v>46098</x:v>
      </x:c>
      <x:c r="B378" t="str">
        <x:f>IF($A378="","",INDEX(Assumptions!$D$5:$D$12,MOD(ROW()-2,Assumptions!$B$7)+1))</x:f>
        <x:v>LV-426 North</x:v>
      </x:c>
      <x:c r="C378" s="11" t="n">
        <x:f>IF($A378="","",INDEX(Assumptions!$F$5:$F$12,MATCH($B378,Assumptions!$D$5:$D$12,0)))</x:f>
        <x:v>930</x:v>
      </x:c>
      <x:c r="D378" s="11" t="n">
        <x:f>IF($A378="","",INDEX(Assumptions!$G$5:$G$12,MATCH($B378,Assumptions!$D$5:$D$12,0)))</x:f>
        <x:v>95</x:v>
      </x:c>
      <x:c r="E378" s="11" t="n">
        <x:f>IF($A378="","",INDEX(Assumptions!$M$5:$M$11,WEEKDAY($A378,2)))</x:f>
        <x:v>1.02</x:v>
      </x:c>
      <x:c r="F378" s="11" t="n">
        <x:f>IF($A378="","",Assumptions!$B$15)</x:f>
        <x:v>0.35</x:v>
      </x:c>
      <x:c r="G378" s="11" t="n">
        <x:f>IF($A378="","",MAX(INDEX(Assumptions!$H$5:$H$12,MATCH($B378,Assumptions!$D$5:$D$12,0)),MIN(INDEX(Assumptions!$I$5:$I$12,MATCH($B378,Assumptions!$D$5:$D$12,0)),($C378+$D378*SQRT(-2*LN(RAND()))*COS(2*PI()*RAND()))*$E378*$J378*$K378)))</x:f>
        <x:v>1115.4369167620257</x:v>
      </x:c>
      <x:c r="H378" s="11" t="n">
        <x:f>IF($A378="","",$G378*$F378+$C378*(1-$F378))</x:f>
        <x:v>994.902920866709</x:v>
      </x:c>
      <x:c r="I378" s="11" t="n">
        <x:f>IF($A378="","",AVERAGE($H378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992.2030527592085</x:v>
      </x:c>
      <x:c r="J378" s="12" t="n">
        <x:f>IF($A378="","",1+SUMIFS(Assumptions!$S$5:$S$10,Assumptions!$P$5:$P$10,$B378,Assumptions!$Q$5:$Q$10,"&lt;="&amp;$A378,Assumptions!$R$5:$R$10,"&gt;="&amp;$A378))</x:f>
        <x:v>1.18</x:v>
      </x:c>
      <x:c r="K378" s="12" t="n">
        <x:f>IF($A378="","",1+((($A378-Assumptions!$B$5)/30)*INDEX(Assumptions!$J$5:$J$12,MATCH($B378,Assumptions!$D$5:$D$12,0))))</x:f>
        <x:v>0.9975</x:v>
      </x:c>
      <x:c r="L378" t="str">
        <x:f>IF($A378="","",IFERROR(INDEX(Assumptions!$O$5:$O$10,MATCH(1,(Assumptions!$P$5:$P$10=$B378)*(Assumptions!$Q$5:$Q$10&lt;=$A378)*(Assumptions!$R$5:$R$10&gt;=$A378),0)),""))</x:f>
        <x:v>Ore seam boost</x:v>
      </x:c>
      <x:c r="M378" t="n">
        <x:f>--($A378&lt;&gt;"")</x:f>
        <x:v>1</x:v>
      </x:c>
    </x:row>
    <x:row r="379">
      <x:c r="A379" s="10" t="n">
        <x:f>IF(Assumptions!$B$5+INT((ROW()-2)/Assumptions!$B$7)&gt;Assumptions!$B$6,"",Assumptions!$B$5+INT((ROW()-2)/Assumptions!$B$7))</x:f>
        <x:v>46098</x:v>
      </x:c>
      <x:c r="B379" t="str">
        <x:f>IF($A379="","",INDEX(Assumptions!$D$5:$D$12,MOD(ROW()-2,Assumptions!$B$7)+1))</x:f>
        <x:v>Nostromo Deep</x:v>
      </x:c>
      <x:c r="C379" s="11" t="n">
        <x:f>IF($A379="","",INDEX(Assumptions!$F$5:$F$12,MATCH($B379,Assumptions!$D$5:$D$12,0)))</x:f>
        <x:v>1260</x:v>
      </x:c>
      <x:c r="D379" s="11" t="n">
        <x:f>IF($A379="","",INDEX(Assumptions!$G$5:$G$12,MATCH($B379,Assumptions!$D$5:$D$12,0)))</x:f>
        <x:v>145</x:v>
      </x:c>
      <x:c r="E379" s="11" t="n">
        <x:f>IF($A379="","",INDEX(Assumptions!$M$5:$M$11,WEEKDAY($A379,2)))</x:f>
        <x:v>1.02</x:v>
      </x:c>
      <x:c r="F379" s="11" t="n">
        <x:f>IF($A379="","",Assumptions!$B$15)</x:f>
        <x:v>0.35</x:v>
      </x:c>
      <x:c r="G379" s="11" t="n">
        <x:f>IF($A379="","",MAX(INDEX(Assumptions!$H$5:$H$12,MATCH($B379,Assumptions!$D$5:$D$12,0)),MIN(INDEX(Assumptions!$I$5:$I$12,MATCH($B379,Assumptions!$D$5:$D$12,0)),($C379+$D379*SQRT(-2*LN(RAND()))*COS(2*PI()*RAND()))*$E379*$J379*$K379)))</x:f>
        <x:v>1631.9638244339203</x:v>
      </x:c>
      <x:c r="H379" s="11" t="n">
        <x:f>IF($A379="","",$G379*$F379+$C379*(1-$F379))</x:f>
        <x:v>1390.187338551872</x:v>
      </x:c>
      <x:c r="I379" s="11" t="n">
        <x:f>IF($A379="","",AVERAGE($H379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1246.8006593896478</x:v>
      </x:c>
      <x:c r="J379" s="12" t="n">
        <x:f>IF($A379="","",1+SUMIFS(Assumptions!$S$5:$S$10,Assumptions!$P$5:$P$10,$B379,Assumptions!$Q$5:$Q$10,"&lt;="&amp;$A379,Assumptions!$R$5:$R$10,"&gt;="&amp;$A379))</x:f>
        <x:v>1</x:v>
      </x:c>
      <x:c r="K379" s="12" t="n">
        <x:f>IF($A379="","",1+((($A379-Assumptions!$B$5)/30)*INDEX(Assumptions!$J$5:$J$12,MATCH($B379,Assumptions!$D$5:$D$12,0))))</x:f>
        <x:v>1.0075</x:v>
      </x:c>
      <x:c r="L379" t="str">
        <x:f>IF($A379="","",IFERROR(INDEX(Assumptions!$O$5:$O$10,MATCH(1,(Assumptions!$P$5:$P$10=$B379)*(Assumptions!$Q$5:$Q$10&lt;=$A379)*(Assumptions!$R$5:$R$10&gt;=$A379),0)),""))</x:f>
      </x:c>
      <x:c r="M379" t="n">
        <x:f>--($A379&lt;&gt;"")</x:f>
        <x:v>1</x:v>
      </x:c>
    </x:row>
    <x:row r="380">
      <x:c r="A380" s="10" t="n">
        <x:f>IF(Assumptions!$B$5+INT((ROW()-2)/Assumptions!$B$7)&gt;Assumptions!$B$6,"",Assumptions!$B$5+INT((ROW()-2)/Assumptions!$B$7))</x:f>
        <x:v>46098</x:v>
      </x:c>
      <x:c r="B380" t="str">
        <x:f>IF($A380="","",INDEX(Assumptions!$D$5:$D$12,MOD(ROW()-2,Assumptions!$B$7)+1))</x:f>
        <x:v>Hadley's Hope</x:v>
      </x:c>
      <x:c r="C380" s="11" t="n">
        <x:f>IF($A380="","",INDEX(Assumptions!$F$5:$F$12,MATCH($B380,Assumptions!$D$5:$D$12,0)))</x:f>
        <x:v>845</x:v>
      </x:c>
      <x:c r="D380" s="11" t="n">
        <x:f>IF($A380="","",INDEX(Assumptions!$G$5:$G$12,MATCH($B380,Assumptions!$D$5:$D$12,0)))</x:f>
        <x:v>80</x:v>
      </x:c>
      <x:c r="E380" s="11" t="n">
        <x:f>IF($A380="","",INDEX(Assumptions!$M$5:$M$11,WEEKDAY($A380,2)))</x:f>
        <x:v>1.02</x:v>
      </x:c>
      <x:c r="F380" s="11" t="n">
        <x:f>IF($A380="","",Assumptions!$B$15)</x:f>
        <x:v>0.35</x:v>
      </x:c>
      <x:c r="G380" s="11" t="n">
        <x:f>IF($A380="","",MAX(INDEX(Assumptions!$H$5:$H$12,MATCH($B380,Assumptions!$D$5:$D$12,0)),MIN(INDEX(Assumptions!$I$5:$I$12,MATCH($B380,Assumptions!$D$5:$D$12,0)),($C380+$D380*SQRT(-2*LN(RAND()))*COS(2*PI()*RAND()))*$E380*$J380*$K380)))</x:f>
        <x:v>849.0070164466038</x:v>
      </x:c>
      <x:c r="H380" s="11" t="n">
        <x:f>IF($A380="","",$G380*$F380+$C380*(1-$F380))</x:f>
        <x:v>846.4024557563113</x:v>
      </x:c>
      <x:c r="I380" s="11" t="n">
        <x:f>IF($A380="","",AVERAGE($H380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833.3657976445687</x:v>
      </x:c>
      <x:c r="J380" s="12" t="n">
        <x:f>IF($A380="","",1+SUMIFS(Assumptions!$S$5:$S$10,Assumptions!$P$5:$P$10,$B380,Assumptions!$Q$5:$Q$10,"&lt;="&amp;$A380,Assumptions!$R$5:$R$10,"&gt;="&amp;$A380))</x:f>
        <x:v>1</x:v>
      </x:c>
      <x:c r="K380" s="12" t="n">
        <x:f>IF($A380="","",1+((($A380-Assumptions!$B$5)/30)*INDEX(Assumptions!$J$5:$J$12,MATCH($B380,Assumptions!$D$5:$D$12,0))))</x:f>
        <x:v>1.0025</x:v>
      </x:c>
      <x:c r="L380" t="str">
        <x:f>IF($A380="","",IFERROR(INDEX(Assumptions!$O$5:$O$10,MATCH(1,(Assumptions!$P$5:$P$10=$B380)*(Assumptions!$Q$5:$Q$10&lt;=$A380)*(Assumptions!$R$5:$R$10&gt;=$A380),0)),""))</x:f>
      </x:c>
      <x:c r="M380" t="n">
        <x:f>--($A380&lt;&gt;"")</x:f>
        <x:v>1</x:v>
      </x:c>
    </x:row>
    <x:row r="381">
      <x:c r="A381" s="10" t="n">
        <x:f>IF(Assumptions!$B$5+INT((ROW()-2)/Assumptions!$B$7)&gt;Assumptions!$B$6,"",Assumptions!$B$5+INT((ROW()-2)/Assumptions!$B$7))</x:f>
        <x:v>46098</x:v>
      </x:c>
      <x:c r="B381" t="str">
        <x:f>IF($A381="","",INDEX(Assumptions!$D$5:$D$12,MOD(ROW()-2,Assumptions!$B$7)+1))</x:f>
        <x:v>Yutani Ridge</x:v>
      </x:c>
      <x:c r="C381" s="11" t="n">
        <x:f>IF($A381="","",INDEX(Assumptions!$F$5:$F$12,MATCH($B381,Assumptions!$D$5:$D$12,0)))</x:f>
        <x:v>1050</x:v>
      </x:c>
      <x:c r="D381" s="11" t="n">
        <x:f>IF($A381="","",INDEX(Assumptions!$G$5:$G$12,MATCH($B381,Assumptions!$D$5:$D$12,0)))</x:f>
        <x:v>125</x:v>
      </x:c>
      <x:c r="E381" s="11" t="n">
        <x:f>IF($A381="","",INDEX(Assumptions!$M$5:$M$11,WEEKDAY($A381,2)))</x:f>
        <x:v>1.02</x:v>
      </x:c>
      <x:c r="F381" s="11" t="n">
        <x:f>IF($A381="","",Assumptions!$B$15)</x:f>
        <x:v>0.35</x:v>
      </x:c>
      <x:c r="G381" s="11" t="n">
        <x:f>IF($A381="","",MAX(INDEX(Assumptions!$H$5:$H$12,MATCH($B381,Assumptions!$D$5:$D$12,0)),MIN(INDEX(Assumptions!$I$5:$I$12,MATCH($B381,Assumptions!$D$5:$D$12,0)),($C381+$D381*SQRT(-2*LN(RAND()))*COS(2*PI()*RAND()))*$E381*$J381*$K381)))</x:f>
        <x:v>990.6010118117865</x:v>
      </x:c>
      <x:c r="H381" s="11" t="n">
        <x:f>IF($A381="","",$G381*$F381+$C381*(1-$F381))</x:f>
        <x:v>1029.2103541341253</x:v>
      </x:c>
      <x:c r="I381" s="11" t="n">
        <x:f>IF($A381="","",AVERAGE($H381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1053.9155016783832</x:v>
      </x:c>
      <x:c r="J381" s="12" t="n">
        <x:f>IF($A381="","",1+SUMIFS(Assumptions!$S$5:$S$10,Assumptions!$P$5:$P$10,$B381,Assumptions!$Q$5:$Q$10,"&lt;="&amp;$A381,Assumptions!$R$5:$R$10,"&gt;="&amp;$A381))</x:f>
        <x:v>1</x:v>
      </x:c>
      <x:c r="K381" s="12" t="n">
        <x:f>IF($A381="","",1+((($A381-Assumptions!$B$5)/30)*INDEX(Assumptions!$J$5:$J$12,MATCH($B381,Assumptions!$D$5:$D$12,0))))</x:f>
        <x:v>1.00625</x:v>
      </x:c>
      <x:c r="L381" t="str">
        <x:f>IF($A381="","",IFERROR(INDEX(Assumptions!$O$5:$O$10,MATCH(1,(Assumptions!$P$5:$P$10=$B381)*(Assumptions!$Q$5:$Q$10&lt;=$A381)*(Assumptions!$R$5:$R$10&gt;=$A381),0)),""))</x:f>
      </x:c>
      <x:c r="M381" t="n">
        <x:f>--($A381&lt;&gt;"")</x:f>
        <x:v>1</x:v>
      </x:c>
    </x:row>
    <x:row r="382">
      <x:c r="A382" s="10" t="n">
        <x:f>IF(Assumptions!$B$5+INT((ROW()-2)/Assumptions!$B$7)&gt;Assumptions!$B$6,"",Assumptions!$B$5+INT((ROW()-2)/Assumptions!$B$7))</x:f>
        <x:v>46099</x:v>
      </x:c>
      <x:c r="B382" t="str">
        <x:f>IF($A382="","",INDEX(Assumptions!$D$5:$D$12,MOD(ROW()-2,Assumptions!$B$7)+1))</x:f>
        <x:v>Acheron Prime</x:v>
      </x:c>
      <x:c r="C382" s="11" t="n">
        <x:f>IF($A382="","",INDEX(Assumptions!$F$5:$F$12,MATCH($B382,Assumptions!$D$5:$D$12,0)))</x:f>
        <x:v>1120</x:v>
      </x:c>
      <x:c r="D382" s="11" t="n">
        <x:f>IF($A382="","",INDEX(Assumptions!$G$5:$G$12,MATCH($B382,Assumptions!$D$5:$D$12,0)))</x:f>
        <x:v>115</x:v>
      </x:c>
      <x:c r="E382" s="11" t="n">
        <x:f>IF($A382="","",INDEX(Assumptions!$M$5:$M$11,WEEKDAY($A382,2)))</x:f>
        <x:v>1.01</x:v>
      </x:c>
      <x:c r="F382" s="11" t="n">
        <x:f>IF($A382="","",Assumptions!$B$15)</x:f>
        <x:v>0.35</x:v>
      </x:c>
      <x:c r="G382" s="11" t="n">
        <x:f>IF($A382="","",MAX(INDEX(Assumptions!$H$5:$H$12,MATCH($B382,Assumptions!$D$5:$D$12,0)),MIN(INDEX(Assumptions!$I$5:$I$12,MATCH($B382,Assumptions!$D$5:$D$12,0)),($C382+$D382*SQRT(-2*LN(RAND()))*COS(2*PI()*RAND()))*$E382*$J382*$K382)))</x:f>
        <x:v>1286.6610215977184</x:v>
      </x:c>
      <x:c r="H382" s="11" t="n">
        <x:f>IF($A382="","",$G382*$F382+$C382*(1-$F382))</x:f>
        <x:v>1178.3313575592015</x:v>
      </x:c>
      <x:c r="I382" s="11" t="n">
        <x:f>IF($A382="","",AVERAGE($H382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1098.0715551238752</x:v>
      </x:c>
      <x:c r="J382" s="12" t="n">
        <x:f>IF($A382="","",1+SUMIFS(Assumptions!$S$5:$S$10,Assumptions!$P$5:$P$10,$B382,Assumptions!$Q$5:$Q$10,"&lt;="&amp;$A382,Assumptions!$R$5:$R$10,"&gt;="&amp;$A382))</x:f>
        <x:v>1</x:v>
      </x:c>
      <x:c r="K382" s="12" t="n">
        <x:f>IF($A382="","",1+((($A382-Assumptions!$B$5)/30)*INDEX(Assumptions!$J$5:$J$12,MATCH($B382,Assumptions!$D$5:$D$12,0))))</x:f>
        <x:v>1.0050666666666668</x:v>
      </x:c>
      <x:c r="L382" t="str">
        <x:f>IF($A382="","",IFERROR(INDEX(Assumptions!$O$5:$O$10,MATCH(1,(Assumptions!$P$5:$P$10=$B382)*(Assumptions!$Q$5:$Q$10&lt;=$A382)*(Assumptions!$R$5:$R$10&gt;=$A382),0)),""))</x:f>
      </x:c>
      <x:c r="M382" t="n">
        <x:f>--($A382&lt;&gt;"")</x:f>
        <x:v>1</x:v>
      </x:c>
    </x:row>
    <x:row r="383">
      <x:c r="A383" s="10" t="n">
        <x:f>IF(Assumptions!$B$5+INT((ROW()-2)/Assumptions!$B$7)&gt;Assumptions!$B$6,"",Assumptions!$B$5+INT((ROW()-2)/Assumptions!$B$7))</x:f>
        <x:v>46099</x:v>
      </x:c>
      <x:c r="B383" t="str">
        <x:f>IF($A383="","",INDEX(Assumptions!$D$5:$D$12,MOD(ROW()-2,Assumptions!$B$7)+1))</x:f>
        <x:v>LV-426 North</x:v>
      </x:c>
      <x:c r="C383" s="11" t="n">
        <x:f>IF($A383="","",INDEX(Assumptions!$F$5:$F$12,MATCH($B383,Assumptions!$D$5:$D$12,0)))</x:f>
        <x:v>930</x:v>
      </x:c>
      <x:c r="D383" s="11" t="n">
        <x:f>IF($A383="","",INDEX(Assumptions!$G$5:$G$12,MATCH($B383,Assumptions!$D$5:$D$12,0)))</x:f>
        <x:v>95</x:v>
      </x:c>
      <x:c r="E383" s="11" t="n">
        <x:f>IF($A383="","",INDEX(Assumptions!$M$5:$M$11,WEEKDAY($A383,2)))</x:f>
        <x:v>1.01</x:v>
      </x:c>
      <x:c r="F383" s="11" t="n">
        <x:f>IF($A383="","",Assumptions!$B$15)</x:f>
        <x:v>0.35</x:v>
      </x:c>
      <x:c r="G383" s="11" t="n">
        <x:f>IF($A383="","",MAX(INDEX(Assumptions!$H$5:$H$12,MATCH($B383,Assumptions!$D$5:$D$12,0)),MIN(INDEX(Assumptions!$I$5:$I$12,MATCH($B383,Assumptions!$D$5:$D$12,0)),($C383+$D383*SQRT(-2*LN(RAND()))*COS(2*PI()*RAND()))*$E383*$J383*$K383)))</x:f>
        <x:v>1146.8770140557046</x:v>
      </x:c>
      <x:c r="H383" s="11" t="n">
        <x:f>IF($A383="","",$G383*$F383+$C383*(1-$F383))</x:f>
        <x:v>1005.9069549194967</x:v>
      </x:c>
      <x:c r="I383" s="11" t="n">
        <x:f>IF($A383="","",AVERAGE($H383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986.2239179126722</x:v>
      </x:c>
      <x:c r="J383" s="12" t="n">
        <x:f>IF($A383="","",1+SUMIFS(Assumptions!$S$5:$S$10,Assumptions!$P$5:$P$10,$B383,Assumptions!$Q$5:$Q$10,"&lt;="&amp;$A383,Assumptions!$R$5:$R$10,"&gt;="&amp;$A383))</x:f>
        <x:v>1.18</x:v>
      </x:c>
      <x:c r="K383" s="12" t="n">
        <x:f>IF($A383="","",1+((($A383-Assumptions!$B$5)/30)*INDEX(Assumptions!$J$5:$J$12,MATCH($B383,Assumptions!$D$5:$D$12,0))))</x:f>
        <x:v>0.9974666666666666</x:v>
      </x:c>
      <x:c r="L383" t="str">
        <x:f>IF($A383="","",IFERROR(INDEX(Assumptions!$O$5:$O$10,MATCH(1,(Assumptions!$P$5:$P$10=$B383)*(Assumptions!$Q$5:$Q$10&lt;=$A383)*(Assumptions!$R$5:$R$10&gt;=$A383),0)),""))</x:f>
        <x:v>Ore seam boost</x:v>
      </x:c>
      <x:c r="M383" t="n">
        <x:f>--($A383&lt;&gt;"")</x:f>
        <x:v>1</x:v>
      </x:c>
    </x:row>
    <x:row r="384">
      <x:c r="A384" s="10" t="n">
        <x:f>IF(Assumptions!$B$5+INT((ROW()-2)/Assumptions!$B$7)&gt;Assumptions!$B$6,"",Assumptions!$B$5+INT((ROW()-2)/Assumptions!$B$7))</x:f>
        <x:v>46099</x:v>
      </x:c>
      <x:c r="B384" t="str">
        <x:f>IF($A384="","",INDEX(Assumptions!$D$5:$D$12,MOD(ROW()-2,Assumptions!$B$7)+1))</x:f>
        <x:v>Nostromo Deep</x:v>
      </x:c>
      <x:c r="C384" s="11" t="n">
        <x:f>IF($A384="","",INDEX(Assumptions!$F$5:$F$12,MATCH($B384,Assumptions!$D$5:$D$12,0)))</x:f>
        <x:v>1260</x:v>
      </x:c>
      <x:c r="D384" s="11" t="n">
        <x:f>IF($A384="","",INDEX(Assumptions!$G$5:$G$12,MATCH($B384,Assumptions!$D$5:$D$12,0)))</x:f>
        <x:v>145</x:v>
      </x:c>
      <x:c r="E384" s="11" t="n">
        <x:f>IF($A384="","",INDEX(Assumptions!$M$5:$M$11,WEEKDAY($A384,2)))</x:f>
        <x:v>1.01</x:v>
      </x:c>
      <x:c r="F384" s="11" t="n">
        <x:f>IF($A384="","",Assumptions!$B$15)</x:f>
        <x:v>0.35</x:v>
      </x:c>
      <x:c r="G384" s="11" t="n">
        <x:f>IF($A384="","",MAX(INDEX(Assumptions!$H$5:$H$12,MATCH($B384,Assumptions!$D$5:$D$12,0)),MIN(INDEX(Assumptions!$I$5:$I$12,MATCH($B384,Assumptions!$D$5:$D$12,0)),($C384+$D384*SQRT(-2*LN(RAND()))*COS(2*PI()*RAND()))*$E384*$J384*$K384)))</x:f>
        <x:v>1311.7421702149738</x:v>
      </x:c>
      <x:c r="H384" s="11" t="n">
        <x:f>IF($A384="","",$G384*$F384+$C384*(1-$F384))</x:f>
        <x:v>1278.1097595752408</x:v>
      </x:c>
      <x:c r="I384" s="11" t="n">
        <x:f>IF($A384="","",AVERAGE($H384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1250.7047070887577</x:v>
      </x:c>
      <x:c r="J384" s="12" t="n">
        <x:f>IF($A384="","",1+SUMIFS(Assumptions!$S$5:$S$10,Assumptions!$P$5:$P$10,$B384,Assumptions!$Q$5:$Q$10,"&lt;="&amp;$A384,Assumptions!$R$5:$R$10,"&gt;="&amp;$A384))</x:f>
        <x:v>1</x:v>
      </x:c>
      <x:c r="K384" s="12" t="n">
        <x:f>IF($A384="","",1+((($A384-Assumptions!$B$5)/30)*INDEX(Assumptions!$J$5:$J$12,MATCH($B384,Assumptions!$D$5:$D$12,0))))</x:f>
        <x:v>1.0076</x:v>
      </x:c>
      <x:c r="L384" t="str">
        <x:f>IF($A384="","",IFERROR(INDEX(Assumptions!$O$5:$O$10,MATCH(1,(Assumptions!$P$5:$P$10=$B384)*(Assumptions!$Q$5:$Q$10&lt;=$A384)*(Assumptions!$R$5:$R$10&gt;=$A384),0)),""))</x:f>
      </x:c>
      <x:c r="M384" t="n">
        <x:f>--($A384&lt;&gt;"")</x:f>
        <x:v>1</x:v>
      </x:c>
    </x:row>
    <x:row r="385">
      <x:c r="A385" s="10" t="n">
        <x:f>IF(Assumptions!$B$5+INT((ROW()-2)/Assumptions!$B$7)&gt;Assumptions!$B$6,"",Assumptions!$B$5+INT((ROW()-2)/Assumptions!$B$7))</x:f>
        <x:v>46099</x:v>
      </x:c>
      <x:c r="B385" t="str">
        <x:f>IF($A385="","",INDEX(Assumptions!$D$5:$D$12,MOD(ROW()-2,Assumptions!$B$7)+1))</x:f>
        <x:v>Hadley's Hope</x:v>
      </x:c>
      <x:c r="C385" s="11" t="n">
        <x:f>IF($A385="","",INDEX(Assumptions!$F$5:$F$12,MATCH($B385,Assumptions!$D$5:$D$12,0)))</x:f>
        <x:v>845</x:v>
      </x:c>
      <x:c r="D385" s="11" t="n">
        <x:f>IF($A385="","",INDEX(Assumptions!$G$5:$G$12,MATCH($B385,Assumptions!$D$5:$D$12,0)))</x:f>
        <x:v>80</x:v>
      </x:c>
      <x:c r="E385" s="11" t="n">
        <x:f>IF($A385="","",INDEX(Assumptions!$M$5:$M$11,WEEKDAY($A385,2)))</x:f>
        <x:v>1.01</x:v>
      </x:c>
      <x:c r="F385" s="11" t="n">
        <x:f>IF($A385="","",Assumptions!$B$15)</x:f>
        <x:v>0.35</x:v>
      </x:c>
      <x:c r="G385" s="11" t="n">
        <x:f>IF($A385="","",MAX(INDEX(Assumptions!$H$5:$H$12,MATCH($B385,Assumptions!$D$5:$D$12,0)),MIN(INDEX(Assumptions!$I$5:$I$12,MATCH($B385,Assumptions!$D$5:$D$12,0)),($C385+$D385*SQRT(-2*LN(RAND()))*COS(2*PI()*RAND()))*$E385*$J385*$K385)))</x:f>
        <x:v>968.1979335687529</x:v>
      </x:c>
      <x:c r="H385" s="11" t="n">
        <x:f>IF($A385="","",$G385*$F385+$C385*(1-$F385))</x:f>
        <x:v>888.1192767490635</x:v>
      </x:c>
      <x:c r="I385" s="11" t="n">
        <x:f>IF($A385="","",AVERAGE($H385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840.4323193907637</x:v>
      </x:c>
      <x:c r="J385" s="12" t="n">
        <x:f>IF($A385="","",1+SUMIFS(Assumptions!$S$5:$S$10,Assumptions!$P$5:$P$10,$B385,Assumptions!$Q$5:$Q$10,"&lt;="&amp;$A385,Assumptions!$R$5:$R$10,"&gt;="&amp;$A385))</x:f>
        <x:v>1</x:v>
      </x:c>
      <x:c r="K385" s="12" t="n">
        <x:f>IF($A385="","",1+((($A385-Assumptions!$B$5)/30)*INDEX(Assumptions!$J$5:$J$12,MATCH($B385,Assumptions!$D$5:$D$12,0))))</x:f>
        <x:v>1.0025333333333333</x:v>
      </x:c>
      <x:c r="L385" t="str">
        <x:f>IF($A385="","",IFERROR(INDEX(Assumptions!$O$5:$O$10,MATCH(1,(Assumptions!$P$5:$P$10=$B385)*(Assumptions!$Q$5:$Q$10&lt;=$A385)*(Assumptions!$R$5:$R$10&gt;=$A385),0)),""))</x:f>
      </x:c>
      <x:c r="M385" t="n">
        <x:f>--($A385&lt;&gt;"")</x:f>
        <x:v>1</x:v>
      </x:c>
    </x:row>
    <x:row r="386">
      <x:c r="A386" s="10" t="n">
        <x:f>IF(Assumptions!$B$5+INT((ROW()-2)/Assumptions!$B$7)&gt;Assumptions!$B$6,"",Assumptions!$B$5+INT((ROW()-2)/Assumptions!$B$7))</x:f>
        <x:v>46099</x:v>
      </x:c>
      <x:c r="B386" t="str">
        <x:f>IF($A386="","",INDEX(Assumptions!$D$5:$D$12,MOD(ROW()-2,Assumptions!$B$7)+1))</x:f>
        <x:v>Yutani Ridge</x:v>
      </x:c>
      <x:c r="C386" s="11" t="n">
        <x:f>IF($A386="","",INDEX(Assumptions!$F$5:$F$12,MATCH($B386,Assumptions!$D$5:$D$12,0)))</x:f>
        <x:v>1050</x:v>
      </x:c>
      <x:c r="D386" s="11" t="n">
        <x:f>IF($A386="","",INDEX(Assumptions!$G$5:$G$12,MATCH($B386,Assumptions!$D$5:$D$12,0)))</x:f>
        <x:v>125</x:v>
      </x:c>
      <x:c r="E386" s="11" t="n">
        <x:f>IF($A386="","",INDEX(Assumptions!$M$5:$M$11,WEEKDAY($A386,2)))</x:f>
        <x:v>1.01</x:v>
      </x:c>
      <x:c r="F386" s="11" t="n">
        <x:f>IF($A386="","",Assumptions!$B$15)</x:f>
        <x:v>0.35</x:v>
      </x:c>
      <x:c r="G386" s="11" t="n">
        <x:f>IF($A386="","",MAX(INDEX(Assumptions!$H$5:$H$12,MATCH($B386,Assumptions!$D$5:$D$12,0)),MIN(INDEX(Assumptions!$I$5:$I$12,MATCH($B386,Assumptions!$D$5:$D$12,0)),($C386+$D386*SQRT(-2*LN(RAND()))*COS(2*PI()*RAND()))*$E386*$J386*$K386)))</x:f>
        <x:v>974.2570616640584</x:v>
      </x:c>
      <x:c r="H386" s="11" t="n">
        <x:f>IF($A386="","",$G386*$F386+$C386*(1-$F386))</x:f>
        <x:v>1023.4899715824204</x:v>
      </x:c>
      <x:c r="I386" s="11" t="n">
        <x:f>IF($A386="","",AVERAGE($H386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1046.2140335207116</x:v>
      </x:c>
      <x:c r="J386" s="12" t="n">
        <x:f>IF($A386="","",1+SUMIFS(Assumptions!$S$5:$S$10,Assumptions!$P$5:$P$10,$B386,Assumptions!$Q$5:$Q$10,"&lt;="&amp;$A386,Assumptions!$R$5:$R$10,"&gt;="&amp;$A386))</x:f>
        <x:v>1</x:v>
      </x:c>
      <x:c r="K386" s="12" t="n">
        <x:f>IF($A386="","",1+((($A386-Assumptions!$B$5)/30)*INDEX(Assumptions!$J$5:$J$12,MATCH($B386,Assumptions!$D$5:$D$12,0))))</x:f>
        <x:v>1.0063333333333333</x:v>
      </x:c>
      <x:c r="L386" t="str">
        <x:f>IF($A386="","",IFERROR(INDEX(Assumptions!$O$5:$O$10,MATCH(1,(Assumptions!$P$5:$P$10=$B386)*(Assumptions!$Q$5:$Q$10&lt;=$A386)*(Assumptions!$R$5:$R$10&gt;=$A386),0)),""))</x:f>
      </x:c>
      <x:c r="M386" t="n">
        <x:f>--($A386&lt;&gt;"")</x:f>
        <x:v>1</x:v>
      </x:c>
    </x:row>
    <x:row r="387">
      <x:c r="A387" s="10" t="n">
        <x:f>IF(Assumptions!$B$5+INT((ROW()-2)/Assumptions!$B$7)&gt;Assumptions!$B$6,"",Assumptions!$B$5+INT((ROW()-2)/Assumptions!$B$7))</x:f>
        <x:v>46100</x:v>
      </x:c>
      <x:c r="B387" t="str">
        <x:f>IF($A387="","",INDEX(Assumptions!$D$5:$D$12,MOD(ROW()-2,Assumptions!$B$7)+1))</x:f>
        <x:v>Acheron Prime</x:v>
      </x:c>
      <x:c r="C387" s="11" t="n">
        <x:f>IF($A387="","",INDEX(Assumptions!$F$5:$F$12,MATCH($B387,Assumptions!$D$5:$D$12,0)))</x:f>
        <x:v>1120</x:v>
      </x:c>
      <x:c r="D387" s="11" t="n">
        <x:f>IF($A387="","",INDEX(Assumptions!$G$5:$G$12,MATCH($B387,Assumptions!$D$5:$D$12,0)))</x:f>
        <x:v>115</x:v>
      </x:c>
      <x:c r="E387" s="11" t="n">
        <x:f>IF($A387="","",INDEX(Assumptions!$M$5:$M$11,WEEKDAY($A387,2)))</x:f>
        <x:v>1</x:v>
      </x:c>
      <x:c r="F387" s="11" t="n">
        <x:f>IF($A387="","",Assumptions!$B$15)</x:f>
        <x:v>0.35</x:v>
      </x:c>
      <x:c r="G387" s="11" t="n">
        <x:f>IF($A387="","",MAX(INDEX(Assumptions!$H$5:$H$12,MATCH($B387,Assumptions!$D$5:$D$12,0)),MIN(INDEX(Assumptions!$I$5:$I$12,MATCH($B387,Assumptions!$D$5:$D$12,0)),($C387+$D387*SQRT(-2*LN(RAND()))*COS(2*PI()*RAND()))*$E387*$J387*$K387)))</x:f>
        <x:v>1311.9002054080559</x:v>
      </x:c>
      <x:c r="H387" s="11" t="n">
        <x:f>IF($A387="","",$G387*$F387+$C387*(1-$F387))</x:f>
        <x:v>1187.1650718928195</x:v>
      </x:c>
      <x:c r="I387" s="11" t="n">
        <x:f>IF($A387="","",AVERAGE($H387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1110.2833104114932</x:v>
      </x:c>
      <x:c r="J387" s="12" t="n">
        <x:f>IF($A387="","",1+SUMIFS(Assumptions!$S$5:$S$10,Assumptions!$P$5:$P$10,$B387,Assumptions!$Q$5:$Q$10,"&lt;="&amp;$A387,Assumptions!$R$5:$R$10,"&gt;="&amp;$A387))</x:f>
        <x:v>1</x:v>
      </x:c>
      <x:c r="K387" s="12" t="n">
        <x:f>IF($A387="","",1+((($A387-Assumptions!$B$5)/30)*INDEX(Assumptions!$J$5:$J$12,MATCH($B387,Assumptions!$D$5:$D$12,0))))</x:f>
        <x:v>1.0051333333333334</x:v>
      </x:c>
      <x:c r="L387" t="str">
        <x:f>IF($A387="","",IFERROR(INDEX(Assumptions!$O$5:$O$10,MATCH(1,(Assumptions!$P$5:$P$10=$B387)*(Assumptions!$Q$5:$Q$10&lt;=$A387)*(Assumptions!$R$5:$R$10&gt;=$A387),0)),""))</x:f>
      </x:c>
      <x:c r="M387" t="n">
        <x:f>--($A387&lt;&gt;"")</x:f>
        <x:v>1</x:v>
      </x:c>
    </x:row>
    <x:row r="388">
      <x:c r="A388" s="10" t="n">
        <x:f>IF(Assumptions!$B$5+INT((ROW()-2)/Assumptions!$B$7)&gt;Assumptions!$B$6,"",Assumptions!$B$5+INT((ROW()-2)/Assumptions!$B$7))</x:f>
        <x:v>46100</x:v>
      </x:c>
      <x:c r="B388" t="str">
        <x:f>IF($A388="","",INDEX(Assumptions!$D$5:$D$12,MOD(ROW()-2,Assumptions!$B$7)+1))</x:f>
        <x:v>LV-426 North</x:v>
      </x:c>
      <x:c r="C388" s="11" t="n">
        <x:f>IF($A388="","",INDEX(Assumptions!$F$5:$F$12,MATCH($B388,Assumptions!$D$5:$D$12,0)))</x:f>
        <x:v>930</x:v>
      </x:c>
      <x:c r="D388" s="11" t="n">
        <x:f>IF($A388="","",INDEX(Assumptions!$G$5:$G$12,MATCH($B388,Assumptions!$D$5:$D$12,0)))</x:f>
        <x:v>95</x:v>
      </x:c>
      <x:c r="E388" s="11" t="n">
        <x:f>IF($A388="","",INDEX(Assumptions!$M$5:$M$11,WEEKDAY($A388,2)))</x:f>
        <x:v>1</x:v>
      </x:c>
      <x:c r="F388" s="11" t="n">
        <x:f>IF($A388="","",Assumptions!$B$15)</x:f>
        <x:v>0.35</x:v>
      </x:c>
      <x:c r="G388" s="11" t="n">
        <x:f>IF($A388="","",MAX(INDEX(Assumptions!$H$5:$H$12,MATCH($B388,Assumptions!$D$5:$D$12,0)),MIN(INDEX(Assumptions!$I$5:$I$12,MATCH($B388,Assumptions!$D$5:$D$12,0)),($C388+$D388*SQRT(-2*LN(RAND()))*COS(2*PI()*RAND()))*$E388*$J388*$K388)))</x:f>
        <x:v>909.5474536078884</x:v>
      </x:c>
      <x:c r="H388" s="11" t="n">
        <x:f>IF($A388="","",$G388*$F388+$C388*(1-$F388))</x:f>
        <x:v>922.8416087627609</x:v>
      </x:c>
      <x:c r="I388" s="11" t="n">
        <x:f>IF($A388="","",AVERAGE($H388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986.7275355521095</x:v>
      </x:c>
      <x:c r="J388" s="12" t="n">
        <x:f>IF($A388="","",1+SUMIFS(Assumptions!$S$5:$S$10,Assumptions!$P$5:$P$10,$B388,Assumptions!$Q$5:$Q$10,"&lt;="&amp;$A388,Assumptions!$R$5:$R$10,"&gt;="&amp;$A388))</x:f>
        <x:v>1.18</x:v>
      </x:c>
      <x:c r="K388" s="12" t="n">
        <x:f>IF($A388="","",1+((($A388-Assumptions!$B$5)/30)*INDEX(Assumptions!$J$5:$J$12,MATCH($B388,Assumptions!$D$5:$D$12,0))))</x:f>
        <x:v>0.9974333333333333</x:v>
      </x:c>
      <x:c r="L388" t="str">
        <x:f>IF($A388="","",IFERROR(INDEX(Assumptions!$O$5:$O$10,MATCH(1,(Assumptions!$P$5:$P$10=$B388)*(Assumptions!$Q$5:$Q$10&lt;=$A388)*(Assumptions!$R$5:$R$10&gt;=$A388),0)),""))</x:f>
        <x:v>Ore seam boost</x:v>
      </x:c>
      <x:c r="M388" t="n">
        <x:f>--($A388&lt;&gt;"")</x:f>
        <x:v>1</x:v>
      </x:c>
    </x:row>
    <x:row r="389">
      <x:c r="A389" s="10" t="n">
        <x:f>IF(Assumptions!$B$5+INT((ROW()-2)/Assumptions!$B$7)&gt;Assumptions!$B$6,"",Assumptions!$B$5+INT((ROW()-2)/Assumptions!$B$7))</x:f>
        <x:v>46100</x:v>
      </x:c>
      <x:c r="B389" t="str">
        <x:f>IF($A389="","",INDEX(Assumptions!$D$5:$D$12,MOD(ROW()-2,Assumptions!$B$7)+1))</x:f>
        <x:v>Nostromo Deep</x:v>
      </x:c>
      <x:c r="C389" s="11" t="n">
        <x:f>IF($A389="","",INDEX(Assumptions!$F$5:$F$12,MATCH($B389,Assumptions!$D$5:$D$12,0)))</x:f>
        <x:v>1260</x:v>
      </x:c>
      <x:c r="D389" s="11" t="n">
        <x:f>IF($A389="","",INDEX(Assumptions!$G$5:$G$12,MATCH($B389,Assumptions!$D$5:$D$12,0)))</x:f>
        <x:v>145</x:v>
      </x:c>
      <x:c r="E389" s="11" t="n">
        <x:f>IF($A389="","",INDEX(Assumptions!$M$5:$M$11,WEEKDAY($A389,2)))</x:f>
        <x:v>1</x:v>
      </x:c>
      <x:c r="F389" s="11" t="n">
        <x:f>IF($A389="","",Assumptions!$B$15)</x:f>
        <x:v>0.35</x:v>
      </x:c>
      <x:c r="G389" s="11" t="n">
        <x:f>IF($A389="","",MAX(INDEX(Assumptions!$H$5:$H$12,MATCH($B389,Assumptions!$D$5:$D$12,0)),MIN(INDEX(Assumptions!$I$5:$I$12,MATCH($B389,Assumptions!$D$5:$D$12,0)),($C389+$D389*SQRT(-2*LN(RAND()))*COS(2*PI()*RAND()))*$E389*$J389*$K389)))</x:f>
        <x:v>1434.0770844889423</x:v>
      </x:c>
      <x:c r="H389" s="11" t="n">
        <x:f>IF($A389="","",$G389*$F389+$C389*(1-$F389))</x:f>
        <x:v>1320.9269795711298</x:v>
      </x:c>
      <x:c r="I389" s="11" t="n">
        <x:f>IF($A389="","",AVERAGE($H389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1259.1056734045499</x:v>
      </x:c>
      <x:c r="J389" s="12" t="n">
        <x:f>IF($A389="","",1+SUMIFS(Assumptions!$S$5:$S$10,Assumptions!$P$5:$P$10,$B389,Assumptions!$Q$5:$Q$10,"&lt;="&amp;$A389,Assumptions!$R$5:$R$10,"&gt;="&amp;$A389))</x:f>
        <x:v>1</x:v>
      </x:c>
      <x:c r="K389" s="12" t="n">
        <x:f>IF($A389="","",1+((($A389-Assumptions!$B$5)/30)*INDEX(Assumptions!$J$5:$J$12,MATCH($B389,Assumptions!$D$5:$D$12,0))))</x:f>
        <x:v>1.0077</x:v>
      </x:c>
      <x:c r="L389" t="str">
        <x:f>IF($A389="","",IFERROR(INDEX(Assumptions!$O$5:$O$10,MATCH(1,(Assumptions!$P$5:$P$10=$B389)*(Assumptions!$Q$5:$Q$10&lt;=$A389)*(Assumptions!$R$5:$R$10&gt;=$A389),0)),""))</x:f>
      </x:c>
      <x:c r="M389" t="n">
        <x:f>--($A389&lt;&gt;"")</x:f>
        <x:v>1</x:v>
      </x:c>
    </x:row>
    <x:row r="390">
      <x:c r="A390" s="10" t="n">
        <x:f>IF(Assumptions!$B$5+INT((ROW()-2)/Assumptions!$B$7)&gt;Assumptions!$B$6,"",Assumptions!$B$5+INT((ROW()-2)/Assumptions!$B$7))</x:f>
        <x:v>46100</x:v>
      </x:c>
      <x:c r="B390" t="str">
        <x:f>IF($A390="","",INDEX(Assumptions!$D$5:$D$12,MOD(ROW()-2,Assumptions!$B$7)+1))</x:f>
        <x:v>Hadley's Hope</x:v>
      </x:c>
      <x:c r="C390" s="11" t="n">
        <x:f>IF($A390="","",INDEX(Assumptions!$F$5:$F$12,MATCH($B390,Assumptions!$D$5:$D$12,0)))</x:f>
        <x:v>845</x:v>
      </x:c>
      <x:c r="D390" s="11" t="n">
        <x:f>IF($A390="","",INDEX(Assumptions!$G$5:$G$12,MATCH($B390,Assumptions!$D$5:$D$12,0)))</x:f>
        <x:v>80</x:v>
      </x:c>
      <x:c r="E390" s="11" t="n">
        <x:f>IF($A390="","",INDEX(Assumptions!$M$5:$M$11,WEEKDAY($A390,2)))</x:f>
        <x:v>1</x:v>
      </x:c>
      <x:c r="F390" s="11" t="n">
        <x:f>IF($A390="","",Assumptions!$B$15)</x:f>
        <x:v>0.35</x:v>
      </x:c>
      <x:c r="G390" s="11" t="n">
        <x:f>IF($A390="","",MAX(INDEX(Assumptions!$H$5:$H$12,MATCH($B390,Assumptions!$D$5:$D$12,0)),MIN(INDEX(Assumptions!$I$5:$I$12,MATCH($B390,Assumptions!$D$5:$D$12,0)),($C390+$D390*SQRT(-2*LN(RAND()))*COS(2*PI()*RAND()))*$E390*$J390*$K390)))</x:f>
        <x:v>826.4440474453908</x:v>
      </x:c>
      <x:c r="H390" s="11" t="n">
        <x:f>IF($A390="","",$G390*$F390+$C390*(1-$F390))</x:f>
        <x:v>838.5054166058867</x:v>
      </x:c>
      <x:c r="I390" s="11" t="n">
        <x:f>IF($A390="","",AVERAGE($H390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838.5740327811419</x:v>
      </x:c>
      <x:c r="J390" s="12" t="n">
        <x:f>IF($A390="","",1+SUMIFS(Assumptions!$S$5:$S$10,Assumptions!$P$5:$P$10,$B390,Assumptions!$Q$5:$Q$10,"&lt;="&amp;$A390,Assumptions!$R$5:$R$10,"&gt;="&amp;$A390))</x:f>
        <x:v>1</x:v>
      </x:c>
      <x:c r="K390" s="12" t="n">
        <x:f>IF($A390="","",1+((($A390-Assumptions!$B$5)/30)*INDEX(Assumptions!$J$5:$J$12,MATCH($B390,Assumptions!$D$5:$D$12,0))))</x:f>
        <x:v>1.0025666666666666</x:v>
      </x:c>
      <x:c r="L390" t="str">
        <x:f>IF($A390="","",IFERROR(INDEX(Assumptions!$O$5:$O$10,MATCH(1,(Assumptions!$P$5:$P$10=$B390)*(Assumptions!$Q$5:$Q$10&lt;=$A390)*(Assumptions!$R$5:$R$10&gt;=$A390),0)),""))</x:f>
      </x:c>
      <x:c r="M390" t="n">
        <x:f>--($A390&lt;&gt;"")</x:f>
        <x:v>1</x:v>
      </x:c>
    </x:row>
    <x:row r="391">
      <x:c r="A391" s="10" t="n">
        <x:f>IF(Assumptions!$B$5+INT((ROW()-2)/Assumptions!$B$7)&gt;Assumptions!$B$6,"",Assumptions!$B$5+INT((ROW()-2)/Assumptions!$B$7))</x:f>
        <x:v>46100</x:v>
      </x:c>
      <x:c r="B391" t="str">
        <x:f>IF($A391="","",INDEX(Assumptions!$D$5:$D$12,MOD(ROW()-2,Assumptions!$B$7)+1))</x:f>
        <x:v>Yutani Ridge</x:v>
      </x:c>
      <x:c r="C391" s="11" t="n">
        <x:f>IF($A391="","",INDEX(Assumptions!$F$5:$F$12,MATCH($B391,Assumptions!$D$5:$D$12,0)))</x:f>
        <x:v>1050</x:v>
      </x:c>
      <x:c r="D391" s="11" t="n">
        <x:f>IF($A391="","",INDEX(Assumptions!$G$5:$G$12,MATCH($B391,Assumptions!$D$5:$D$12,0)))</x:f>
        <x:v>125</x:v>
      </x:c>
      <x:c r="E391" s="11" t="n">
        <x:f>IF($A391="","",INDEX(Assumptions!$M$5:$M$11,WEEKDAY($A391,2)))</x:f>
        <x:v>1</x:v>
      </x:c>
      <x:c r="F391" s="11" t="n">
        <x:f>IF($A391="","",Assumptions!$B$15)</x:f>
        <x:v>0.35</x:v>
      </x:c>
      <x:c r="G391" s="11" t="n">
        <x:f>IF($A391="","",MAX(INDEX(Assumptions!$H$5:$H$12,MATCH($B391,Assumptions!$D$5:$D$12,0)),MIN(INDEX(Assumptions!$I$5:$I$12,MATCH($B391,Assumptions!$D$5:$D$12,0)),($C391+$D391*SQRT(-2*LN(RAND()))*COS(2*PI()*RAND()))*$E391*$J391*$K391)))</x:f>
        <x:v>752.0655078896444</x:v>
      </x:c>
      <x:c r="H391" s="11" t="n">
        <x:f>IF($A391="","",$G391*$F391+$C391*(1-$F391))</x:f>
        <x:v>945.7229277613756</x:v>
      </x:c>
      <x:c r="I391" s="11" t="n">
        <x:f>IF($A391="","",AVERAGE($H391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1022.1452409871027</x:v>
      </x:c>
      <x:c r="J391" s="12" t="n">
        <x:f>IF($A391="","",1+SUMIFS(Assumptions!$S$5:$S$10,Assumptions!$P$5:$P$10,$B391,Assumptions!$Q$5:$Q$10,"&lt;="&amp;$A391,Assumptions!$R$5:$R$10,"&gt;="&amp;$A391))</x:f>
        <x:v>1</x:v>
      </x:c>
      <x:c r="K391" s="12" t="n">
        <x:f>IF($A391="","",1+((($A391-Assumptions!$B$5)/30)*INDEX(Assumptions!$J$5:$J$12,MATCH($B391,Assumptions!$D$5:$D$12,0))))</x:f>
        <x:v>1.0064166666666667</x:v>
      </x:c>
      <x:c r="L391" t="str">
        <x:f>IF($A391="","",IFERROR(INDEX(Assumptions!$O$5:$O$10,MATCH(1,(Assumptions!$P$5:$P$10=$B391)*(Assumptions!$Q$5:$Q$10&lt;=$A391)*(Assumptions!$R$5:$R$10&gt;=$A391),0)),""))</x:f>
      </x:c>
      <x:c r="M391" t="n">
        <x:f>--($A391&lt;&gt;"")</x:f>
        <x:v>1</x:v>
      </x:c>
    </x:row>
    <x:row r="392">
      <x:c r="A392" s="10" t="n">
        <x:f>IF(Assumptions!$B$5+INT((ROW()-2)/Assumptions!$B$7)&gt;Assumptions!$B$6,"",Assumptions!$B$5+INT((ROW()-2)/Assumptions!$B$7))</x:f>
        <x:v>46101</x:v>
      </x:c>
      <x:c r="B392" t="str">
        <x:f>IF($A392="","",INDEX(Assumptions!$D$5:$D$12,MOD(ROW()-2,Assumptions!$B$7)+1))</x:f>
        <x:v>Acheron Prime</x:v>
      </x:c>
      <x:c r="C392" s="11" t="n">
        <x:f>IF($A392="","",INDEX(Assumptions!$F$5:$F$12,MATCH($B392,Assumptions!$D$5:$D$12,0)))</x:f>
        <x:v>1120</x:v>
      </x:c>
      <x:c r="D392" s="11" t="n">
        <x:f>IF($A392="","",INDEX(Assumptions!$G$5:$G$12,MATCH($B392,Assumptions!$D$5:$D$12,0)))</x:f>
        <x:v>115</x:v>
      </x:c>
      <x:c r="E392" s="11" t="n">
        <x:f>IF($A392="","",INDEX(Assumptions!$M$5:$M$11,WEEKDAY($A392,2)))</x:f>
        <x:v>0.98</x:v>
      </x:c>
      <x:c r="F392" s="11" t="n">
        <x:f>IF($A392="","",Assumptions!$B$15)</x:f>
        <x:v>0.35</x:v>
      </x:c>
      <x:c r="G392" s="11" t="n">
        <x:f>IF($A392="","",MAX(INDEX(Assumptions!$H$5:$H$12,MATCH($B392,Assumptions!$D$5:$D$12,0)),MIN(INDEX(Assumptions!$I$5:$I$12,MATCH($B392,Assumptions!$D$5:$D$12,0)),($C392+$D392*SQRT(-2*LN(RAND()))*COS(2*PI()*RAND()))*$E392*$J392*$K392)))</x:f>
        <x:v>1189.1290819396263</x:v>
      </x:c>
      <x:c r="H392" s="11" t="n">
        <x:f>IF($A392="","",$G392*$F392+$C392*(1-$F392))</x:f>
        <x:v>1144.195178678869</x:v>
      </x:c>
      <x:c r="I392" s="11" t="n">
        <x:f>IF($A392="","",AVERAGE($H392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1117.849151810583</x:v>
      </x:c>
      <x:c r="J392" s="12" t="n">
        <x:f>IF($A392="","",1+SUMIFS(Assumptions!$S$5:$S$10,Assumptions!$P$5:$P$10,$B392,Assumptions!$Q$5:$Q$10,"&lt;="&amp;$A392,Assumptions!$R$5:$R$10,"&gt;="&amp;$A392))</x:f>
        <x:v>1</x:v>
      </x:c>
      <x:c r="K392" s="12" t="n">
        <x:f>IF($A392="","",1+((($A392-Assumptions!$B$5)/30)*INDEX(Assumptions!$J$5:$J$12,MATCH($B392,Assumptions!$D$5:$D$12,0))))</x:f>
        <x:v>1.0052</x:v>
      </x:c>
      <x:c r="L392" t="str">
        <x:f>IF($A392="","",IFERROR(INDEX(Assumptions!$O$5:$O$10,MATCH(1,(Assumptions!$P$5:$P$10=$B392)*(Assumptions!$Q$5:$Q$10&lt;=$A392)*(Assumptions!$R$5:$R$10&gt;=$A392),0)),""))</x:f>
      </x:c>
      <x:c r="M392" t="n">
        <x:f>--($A392&lt;&gt;"")</x:f>
        <x:v>1</x:v>
      </x:c>
    </x:row>
    <x:row r="393">
      <x:c r="A393" s="10" t="n">
        <x:f>IF(Assumptions!$B$5+INT((ROW()-2)/Assumptions!$B$7)&gt;Assumptions!$B$6,"",Assumptions!$B$5+INT((ROW()-2)/Assumptions!$B$7))</x:f>
        <x:v>46101</x:v>
      </x:c>
      <x:c r="B393" t="str">
        <x:f>IF($A393="","",INDEX(Assumptions!$D$5:$D$12,MOD(ROW()-2,Assumptions!$B$7)+1))</x:f>
        <x:v>LV-426 North</x:v>
      </x:c>
      <x:c r="C393" s="11" t="n">
        <x:f>IF($A393="","",INDEX(Assumptions!$F$5:$F$12,MATCH($B393,Assumptions!$D$5:$D$12,0)))</x:f>
        <x:v>930</x:v>
      </x:c>
      <x:c r="D393" s="11" t="n">
        <x:f>IF($A393="","",INDEX(Assumptions!$G$5:$G$12,MATCH($B393,Assumptions!$D$5:$D$12,0)))</x:f>
        <x:v>95</x:v>
      </x:c>
      <x:c r="E393" s="11" t="n">
        <x:f>IF($A393="","",INDEX(Assumptions!$M$5:$M$11,WEEKDAY($A393,2)))</x:f>
        <x:v>0.98</x:v>
      </x:c>
      <x:c r="F393" s="11" t="n">
        <x:f>IF($A393="","",Assumptions!$B$15)</x:f>
        <x:v>0.35</x:v>
      </x:c>
      <x:c r="G393" s="11" t="n">
        <x:f>IF($A393="","",MAX(INDEX(Assumptions!$H$5:$H$12,MATCH($B393,Assumptions!$D$5:$D$12,0)),MIN(INDEX(Assumptions!$I$5:$I$12,MATCH($B393,Assumptions!$D$5:$D$12,0)),($C393+$D393*SQRT(-2*LN(RAND()))*COS(2*PI()*RAND()))*$E393*$J393*$K393)))</x:f>
        <x:v>1031.3754044379937</x:v>
      </x:c>
      <x:c r="H393" s="11" t="n">
        <x:f>IF($A393="","",$G393*$F393+$C393*(1-$F393))</x:f>
        <x:v>965.4813915532977</x:v>
      </x:c>
      <x:c r="I393" s="11" t="n">
        <x:f>IF($A393="","",AVERAGE($H393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980.151031831166</x:v>
      </x:c>
      <x:c r="J393" s="12" t="n">
        <x:f>IF($A393="","",1+SUMIFS(Assumptions!$S$5:$S$10,Assumptions!$P$5:$P$10,$B393,Assumptions!$Q$5:$Q$10,"&lt;="&amp;$A393,Assumptions!$R$5:$R$10,"&gt;="&amp;$A393))</x:f>
        <x:v>1.18</x:v>
      </x:c>
      <x:c r="K393" s="12" t="n">
        <x:f>IF($A393="","",1+((($A393-Assumptions!$B$5)/30)*INDEX(Assumptions!$J$5:$J$12,MATCH($B393,Assumptions!$D$5:$D$12,0))))</x:f>
        <x:v>0.9974</x:v>
      </x:c>
      <x:c r="L393" t="str">
        <x:f>IF($A393="","",IFERROR(INDEX(Assumptions!$O$5:$O$10,MATCH(1,(Assumptions!$P$5:$P$10=$B393)*(Assumptions!$Q$5:$Q$10&lt;=$A393)*(Assumptions!$R$5:$R$10&gt;=$A393),0)),""))</x:f>
        <x:v>Ore seam boost</x:v>
      </x:c>
      <x:c r="M393" t="n">
        <x:f>--($A393&lt;&gt;"")</x:f>
        <x:v>1</x:v>
      </x:c>
    </x:row>
    <x:row r="394">
      <x:c r="A394" s="10" t="n">
        <x:f>IF(Assumptions!$B$5+INT((ROW()-2)/Assumptions!$B$7)&gt;Assumptions!$B$6,"",Assumptions!$B$5+INT((ROW()-2)/Assumptions!$B$7))</x:f>
        <x:v>46101</x:v>
      </x:c>
      <x:c r="B394" t="str">
        <x:f>IF($A394="","",INDEX(Assumptions!$D$5:$D$12,MOD(ROW()-2,Assumptions!$B$7)+1))</x:f>
        <x:v>Nostromo Deep</x:v>
      </x:c>
      <x:c r="C394" s="11" t="n">
        <x:f>IF($A394="","",INDEX(Assumptions!$F$5:$F$12,MATCH($B394,Assumptions!$D$5:$D$12,0)))</x:f>
        <x:v>1260</x:v>
      </x:c>
      <x:c r="D394" s="11" t="n">
        <x:f>IF($A394="","",INDEX(Assumptions!$G$5:$G$12,MATCH($B394,Assumptions!$D$5:$D$12,0)))</x:f>
        <x:v>145</x:v>
      </x:c>
      <x:c r="E394" s="11" t="n">
        <x:f>IF($A394="","",INDEX(Assumptions!$M$5:$M$11,WEEKDAY($A394,2)))</x:f>
        <x:v>0.98</x:v>
      </x:c>
      <x:c r="F394" s="11" t="n">
        <x:f>IF($A394="","",Assumptions!$B$15)</x:f>
        <x:v>0.35</x:v>
      </x:c>
      <x:c r="G394" s="11" t="n">
        <x:f>IF($A394="","",MAX(INDEX(Assumptions!$H$5:$H$12,MATCH($B394,Assumptions!$D$5:$D$12,0)),MIN(INDEX(Assumptions!$I$5:$I$12,MATCH($B394,Assumptions!$D$5:$D$12,0)),($C394+$D394*SQRT(-2*LN(RAND()))*COS(2*PI()*RAND()))*$E394*$J394*$K394)))</x:f>
        <x:v>1188.4983878729875</x:v>
      </x:c>
      <x:c r="H394" s="11" t="n">
        <x:f>IF($A394="","",$G394*$F394+$C394*(1-$F394))</x:f>
        <x:v>1234.9744357555455</x:v>
      </x:c>
      <x:c r="I394" s="11" t="n">
        <x:f>IF($A394="","",AVERAGE($H394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1255.8565402455822</x:v>
      </x:c>
      <x:c r="J394" s="12" t="n">
        <x:f>IF($A394="","",1+SUMIFS(Assumptions!$S$5:$S$10,Assumptions!$P$5:$P$10,$B394,Assumptions!$Q$5:$Q$10,"&lt;="&amp;$A394,Assumptions!$R$5:$R$10,"&gt;="&amp;$A394))</x:f>
        <x:v>1</x:v>
      </x:c>
      <x:c r="K394" s="12" t="n">
        <x:f>IF($A394="","",1+((($A394-Assumptions!$B$5)/30)*INDEX(Assumptions!$J$5:$J$12,MATCH($B394,Assumptions!$D$5:$D$12,0))))</x:f>
        <x:v>1.0078</x:v>
      </x:c>
      <x:c r="L394" t="str">
        <x:f>IF($A394="","",IFERROR(INDEX(Assumptions!$O$5:$O$10,MATCH(1,(Assumptions!$P$5:$P$10=$B394)*(Assumptions!$Q$5:$Q$10&lt;=$A394)*(Assumptions!$R$5:$R$10&gt;=$A394),0)),""))</x:f>
      </x:c>
      <x:c r="M394" t="n">
        <x:f>--($A394&lt;&gt;"")</x:f>
        <x:v>1</x:v>
      </x:c>
    </x:row>
    <x:row r="395">
      <x:c r="A395" s="10" t="n">
        <x:f>IF(Assumptions!$B$5+INT((ROW()-2)/Assumptions!$B$7)&gt;Assumptions!$B$6,"",Assumptions!$B$5+INT((ROW()-2)/Assumptions!$B$7))</x:f>
        <x:v>46101</x:v>
      </x:c>
      <x:c r="B395" t="str">
        <x:f>IF($A395="","",INDEX(Assumptions!$D$5:$D$12,MOD(ROW()-2,Assumptions!$B$7)+1))</x:f>
        <x:v>Hadley's Hope</x:v>
      </x:c>
      <x:c r="C395" s="11" t="n">
        <x:f>IF($A395="","",INDEX(Assumptions!$F$5:$F$12,MATCH($B395,Assumptions!$D$5:$D$12,0)))</x:f>
        <x:v>845</x:v>
      </x:c>
      <x:c r="D395" s="11" t="n">
        <x:f>IF($A395="","",INDEX(Assumptions!$G$5:$G$12,MATCH($B395,Assumptions!$D$5:$D$12,0)))</x:f>
        <x:v>80</x:v>
      </x:c>
      <x:c r="E395" s="11" t="n">
        <x:f>IF($A395="","",INDEX(Assumptions!$M$5:$M$11,WEEKDAY($A395,2)))</x:f>
        <x:v>0.98</x:v>
      </x:c>
      <x:c r="F395" s="11" t="n">
        <x:f>IF($A395="","",Assumptions!$B$15)</x:f>
        <x:v>0.35</x:v>
      </x:c>
      <x:c r="G395" s="11" t="n">
        <x:f>IF($A395="","",MAX(INDEX(Assumptions!$H$5:$H$12,MATCH($B395,Assumptions!$D$5:$D$12,0)),MIN(INDEX(Assumptions!$I$5:$I$12,MATCH($B395,Assumptions!$D$5:$D$12,0)),($C395+$D395*SQRT(-2*LN(RAND()))*COS(2*PI()*RAND()))*$E395*$J395*$K395)))</x:f>
        <x:v>763.7476522475171</x:v>
      </x:c>
      <x:c r="H395" s="11" t="n">
        <x:f>IF($A395="","",$G395*$F395+$C395*(1-$F395))</x:f>
        <x:v>816.5616782866309</x:v>
      </x:c>
      <x:c r="I395" s="11" t="n">
        <x:f>IF($A395="","",AVERAGE($H395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836.3294471838814</x:v>
      </x:c>
      <x:c r="J395" s="12" t="n">
        <x:f>IF($A395="","",1+SUMIFS(Assumptions!$S$5:$S$10,Assumptions!$P$5:$P$10,$B395,Assumptions!$Q$5:$Q$10,"&lt;="&amp;$A395,Assumptions!$R$5:$R$10,"&gt;="&amp;$A395))</x:f>
        <x:v>1</x:v>
      </x:c>
      <x:c r="K395" s="12" t="n">
        <x:f>IF($A395="","",1+((($A395-Assumptions!$B$5)/30)*INDEX(Assumptions!$J$5:$J$12,MATCH($B395,Assumptions!$D$5:$D$12,0))))</x:f>
        <x:v>1.0026</x:v>
      </x:c>
      <x:c r="L395" t="str">
        <x:f>IF($A395="","",IFERROR(INDEX(Assumptions!$O$5:$O$10,MATCH(1,(Assumptions!$P$5:$P$10=$B395)*(Assumptions!$Q$5:$Q$10&lt;=$A395)*(Assumptions!$R$5:$R$10&gt;=$A395),0)),""))</x:f>
      </x:c>
      <x:c r="M395" t="n">
        <x:f>--($A395&lt;&gt;"")</x:f>
        <x:v>1</x:v>
      </x:c>
    </x:row>
    <x:row r="396">
      <x:c r="A396" s="10" t="n">
        <x:f>IF(Assumptions!$B$5+INT((ROW()-2)/Assumptions!$B$7)&gt;Assumptions!$B$6,"",Assumptions!$B$5+INT((ROW()-2)/Assumptions!$B$7))</x:f>
        <x:v>46101</x:v>
      </x:c>
      <x:c r="B396" t="str">
        <x:f>IF($A396="","",INDEX(Assumptions!$D$5:$D$12,MOD(ROW()-2,Assumptions!$B$7)+1))</x:f>
        <x:v>Yutani Ridge</x:v>
      </x:c>
      <x:c r="C396" s="11" t="n">
        <x:f>IF($A396="","",INDEX(Assumptions!$F$5:$F$12,MATCH($B396,Assumptions!$D$5:$D$12,0)))</x:f>
        <x:v>1050</x:v>
      </x:c>
      <x:c r="D396" s="11" t="n">
        <x:f>IF($A396="","",INDEX(Assumptions!$G$5:$G$12,MATCH($B396,Assumptions!$D$5:$D$12,0)))</x:f>
        <x:v>125</x:v>
      </x:c>
      <x:c r="E396" s="11" t="n">
        <x:f>IF($A396="","",INDEX(Assumptions!$M$5:$M$11,WEEKDAY($A396,2)))</x:f>
        <x:v>0.98</x:v>
      </x:c>
      <x:c r="F396" s="11" t="n">
        <x:f>IF($A396="","",Assumptions!$B$15)</x:f>
        <x:v>0.35</x:v>
      </x:c>
      <x:c r="G396" s="11" t="n">
        <x:f>IF($A396="","",MAX(INDEX(Assumptions!$H$5:$H$12,MATCH($B396,Assumptions!$D$5:$D$12,0)),MIN(INDEX(Assumptions!$I$5:$I$12,MATCH($B396,Assumptions!$D$5:$D$12,0)),($C396+$D396*SQRT(-2*LN(RAND()))*COS(2*PI()*RAND()))*$E396*$J396*$K396)))</x:f>
        <x:v>946.9196789283859</x:v>
      </x:c>
      <x:c r="H396" s="11" t="n">
        <x:f>IF($A396="","",$G396*$F396+$C396*(1-$F396))</x:f>
        <x:v>1013.921887624935</x:v>
      </x:c>
      <x:c r="I396" s="11" t="n">
        <x:f>IF($A396="","",AVERAGE($H396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1019.1209680332928</x:v>
      </x:c>
      <x:c r="J396" s="12" t="n">
        <x:f>IF($A396="","",1+SUMIFS(Assumptions!$S$5:$S$10,Assumptions!$P$5:$P$10,$B396,Assumptions!$Q$5:$Q$10,"&lt;="&amp;$A396,Assumptions!$R$5:$R$10,"&gt;="&amp;$A396))</x:f>
        <x:v>1</x:v>
      </x:c>
      <x:c r="K396" s="12" t="n">
        <x:f>IF($A396="","",1+((($A396-Assumptions!$B$5)/30)*INDEX(Assumptions!$J$5:$J$12,MATCH($B396,Assumptions!$D$5:$D$12,0))))</x:f>
        <x:v>1.0065</x:v>
      </x:c>
      <x:c r="L396" t="str">
        <x:f>IF($A396="","",IFERROR(INDEX(Assumptions!$O$5:$O$10,MATCH(1,(Assumptions!$P$5:$P$10=$B396)*(Assumptions!$Q$5:$Q$10&lt;=$A396)*(Assumptions!$R$5:$R$10&gt;=$A396),0)),""))</x:f>
      </x:c>
      <x:c r="M396" t="n">
        <x:f>--($A396&lt;&gt;"")</x:f>
        <x:v>1</x:v>
      </x:c>
    </x:row>
    <x:row r="397">
      <x:c r="A397" s="10" t="n">
        <x:f>IF(Assumptions!$B$5+INT((ROW()-2)/Assumptions!$B$7)&gt;Assumptions!$B$6,"",Assumptions!$B$5+INT((ROW()-2)/Assumptions!$B$7))</x:f>
        <x:v>46102</x:v>
      </x:c>
      <x:c r="B397" t="str">
        <x:f>IF($A397="","",INDEX(Assumptions!$D$5:$D$12,MOD(ROW()-2,Assumptions!$B$7)+1))</x:f>
        <x:v>Acheron Prime</x:v>
      </x:c>
      <x:c r="C397" s="11" t="n">
        <x:f>IF($A397="","",INDEX(Assumptions!$F$5:$F$12,MATCH($B397,Assumptions!$D$5:$D$12,0)))</x:f>
        <x:v>1120</x:v>
      </x:c>
      <x:c r="D397" s="11" t="n">
        <x:f>IF($A397="","",INDEX(Assumptions!$G$5:$G$12,MATCH($B397,Assumptions!$D$5:$D$12,0)))</x:f>
        <x:v>115</x:v>
      </x:c>
      <x:c r="E397" s="11" t="n">
        <x:f>IF($A397="","",INDEX(Assumptions!$M$5:$M$11,WEEKDAY($A397,2)))</x:f>
        <x:v>0.91</x:v>
      </x:c>
      <x:c r="F397" s="11" t="n">
        <x:f>IF($A397="","",Assumptions!$B$15)</x:f>
        <x:v>0.35</x:v>
      </x:c>
      <x:c r="G397" s="11" t="n">
        <x:f>IF($A397="","",MAX(INDEX(Assumptions!$H$5:$H$12,MATCH($B397,Assumptions!$D$5:$D$12,0)),MIN(INDEX(Assumptions!$I$5:$I$12,MATCH($B397,Assumptions!$D$5:$D$12,0)),($C397+$D397*SQRT(-2*LN(RAND()))*COS(2*PI()*RAND()))*$E397*$J397*$K397)))</x:f>
        <x:v>917.9881694301943</x:v>
      </x:c>
      <x:c r="H397" s="11" t="n">
        <x:f>IF($A397="","",$G397*$F397+$C397*(1-$F397))</x:f>
        <x:v>1049.295859300568</x:v>
      </x:c>
      <x:c r="I397" s="11" t="n">
        <x:f>IF($A397="","",AVERAGE($H397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1106.638389789073</x:v>
      </x:c>
      <x:c r="J397" s="12" t="n">
        <x:f>IF($A397="","",1+SUMIFS(Assumptions!$S$5:$S$10,Assumptions!$P$5:$P$10,$B397,Assumptions!$Q$5:$Q$10,"&lt;="&amp;$A397,Assumptions!$R$5:$R$10,"&gt;="&amp;$A397))</x:f>
        <x:v>1</x:v>
      </x:c>
      <x:c r="K397" s="12" t="n">
        <x:f>IF($A397="","",1+((($A397-Assumptions!$B$5)/30)*INDEX(Assumptions!$J$5:$J$12,MATCH($B397,Assumptions!$D$5:$D$12,0))))</x:f>
        <x:v>1.0052666666666668</x:v>
      </x:c>
      <x:c r="L397" t="str">
        <x:f>IF($A397="","",IFERROR(INDEX(Assumptions!$O$5:$O$10,MATCH(1,(Assumptions!$P$5:$P$10=$B397)*(Assumptions!$Q$5:$Q$10&lt;=$A397)*(Assumptions!$R$5:$R$10&gt;=$A397),0)),""))</x:f>
      </x:c>
      <x:c r="M397" t="n">
        <x:f>--($A397&lt;&gt;"")</x:f>
        <x:v>1</x:v>
      </x:c>
    </x:row>
    <x:row r="398">
      <x:c r="A398" s="10" t="n">
        <x:f>IF(Assumptions!$B$5+INT((ROW()-2)/Assumptions!$B$7)&gt;Assumptions!$B$6,"",Assumptions!$B$5+INT((ROW()-2)/Assumptions!$B$7))</x:f>
        <x:v>46102</x:v>
      </x:c>
      <x:c r="B398" t="str">
        <x:f>IF($A398="","",INDEX(Assumptions!$D$5:$D$12,MOD(ROW()-2,Assumptions!$B$7)+1))</x:f>
        <x:v>LV-426 North</x:v>
      </x:c>
      <x:c r="C398" s="11" t="n">
        <x:f>IF($A398="","",INDEX(Assumptions!$F$5:$F$12,MATCH($B398,Assumptions!$D$5:$D$12,0)))</x:f>
        <x:v>930</x:v>
      </x:c>
      <x:c r="D398" s="11" t="n">
        <x:f>IF($A398="","",INDEX(Assumptions!$G$5:$G$12,MATCH($B398,Assumptions!$D$5:$D$12,0)))</x:f>
        <x:v>95</x:v>
      </x:c>
      <x:c r="E398" s="11" t="n">
        <x:f>IF($A398="","",INDEX(Assumptions!$M$5:$M$11,WEEKDAY($A398,2)))</x:f>
        <x:v>0.91</x:v>
      </x:c>
      <x:c r="F398" s="11" t="n">
        <x:f>IF($A398="","",Assumptions!$B$15)</x:f>
        <x:v>0.35</x:v>
      </x:c>
      <x:c r="G398" s="11" t="n">
        <x:f>IF($A398="","",MAX(INDEX(Assumptions!$H$5:$H$12,MATCH($B398,Assumptions!$D$5:$D$12,0)),MIN(INDEX(Assumptions!$I$5:$I$12,MATCH($B398,Assumptions!$D$5:$D$12,0)),($C398+$D398*SQRT(-2*LN(RAND()))*COS(2*PI()*RAND()))*$E398*$J398*$K398)))</x:f>
        <x:v>943.5004447662216</x:v>
      </x:c>
      <x:c r="H398" s="11" t="n">
        <x:f>IF($A398="","",$G398*$F398+$C398*(1-$F398))</x:f>
        <x:v>934.7251556681775</x:v>
      </x:c>
      <x:c r="I398" s="11" t="n">
        <x:f>IF($A398="","",AVERAGE($H398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979.2496965917155</x:v>
      </x:c>
      <x:c r="J398" s="12" t="n">
        <x:f>IF($A398="","",1+SUMIFS(Assumptions!$S$5:$S$10,Assumptions!$P$5:$P$10,$B398,Assumptions!$Q$5:$Q$10,"&lt;="&amp;$A398,Assumptions!$R$5:$R$10,"&gt;="&amp;$A398))</x:f>
        <x:v>1.18</x:v>
      </x:c>
      <x:c r="K398" s="12" t="n">
        <x:f>IF($A398="","",1+((($A398-Assumptions!$B$5)/30)*INDEX(Assumptions!$J$5:$J$12,MATCH($B398,Assumptions!$D$5:$D$12,0))))</x:f>
        <x:v>0.9973666666666666</x:v>
      </x:c>
      <x:c r="L398" t="str">
        <x:f>IF($A398="","",IFERROR(INDEX(Assumptions!$O$5:$O$10,MATCH(1,(Assumptions!$P$5:$P$10=$B398)*(Assumptions!$Q$5:$Q$10&lt;=$A398)*(Assumptions!$R$5:$R$10&gt;=$A398),0)),""))</x:f>
        <x:v>Ore seam boost</x:v>
      </x:c>
      <x:c r="M398" t="n">
        <x:f>--($A398&lt;&gt;"")</x:f>
        <x:v>1</x:v>
      </x:c>
    </x:row>
    <x:row r="399">
      <x:c r="A399" s="10" t="n">
        <x:f>IF(Assumptions!$B$5+INT((ROW()-2)/Assumptions!$B$7)&gt;Assumptions!$B$6,"",Assumptions!$B$5+INT((ROW()-2)/Assumptions!$B$7))</x:f>
        <x:v>46102</x:v>
      </x:c>
      <x:c r="B399" t="str">
        <x:f>IF($A399="","",INDEX(Assumptions!$D$5:$D$12,MOD(ROW()-2,Assumptions!$B$7)+1))</x:f>
        <x:v>Nostromo Deep</x:v>
      </x:c>
      <x:c r="C399" s="11" t="n">
        <x:f>IF($A399="","",INDEX(Assumptions!$F$5:$F$12,MATCH($B399,Assumptions!$D$5:$D$12,0)))</x:f>
        <x:v>1260</x:v>
      </x:c>
      <x:c r="D399" s="11" t="n">
        <x:f>IF($A399="","",INDEX(Assumptions!$G$5:$G$12,MATCH($B399,Assumptions!$D$5:$D$12,0)))</x:f>
        <x:v>145</x:v>
      </x:c>
      <x:c r="E399" s="11" t="n">
        <x:f>IF($A399="","",INDEX(Assumptions!$M$5:$M$11,WEEKDAY($A399,2)))</x:f>
        <x:v>0.91</x:v>
      </x:c>
      <x:c r="F399" s="11" t="n">
        <x:f>IF($A399="","",Assumptions!$B$15)</x:f>
        <x:v>0.35</x:v>
      </x:c>
      <x:c r="G399" s="11" t="n">
        <x:f>IF($A399="","",MAX(INDEX(Assumptions!$H$5:$H$12,MATCH($B399,Assumptions!$D$5:$D$12,0)),MIN(INDEX(Assumptions!$I$5:$I$12,MATCH($B399,Assumptions!$D$5:$D$12,0)),($C399+$D399*SQRT(-2*LN(RAND()))*COS(2*PI()*RAND()))*$E399*$J399*$K399)))</x:f>
        <x:v>1052.380414211446</x:v>
      </x:c>
      <x:c r="H399" s="11" t="n">
        <x:f>IF($A399="","",$G399*$F399+$C399*(1-$F399))</x:f>
        <x:v>1187.333144974006</x:v>
      </x:c>
      <x:c r="I399" s="11" t="n">
        <x:f>IF($A399="","",AVERAGE($H399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1257.1451978587459</x:v>
      </x:c>
      <x:c r="J399" s="12" t="n">
        <x:f>IF($A399="","",1+SUMIFS(Assumptions!$S$5:$S$10,Assumptions!$P$5:$P$10,$B399,Assumptions!$Q$5:$Q$10,"&lt;="&amp;$A399,Assumptions!$R$5:$R$10,"&gt;="&amp;$A399))</x:f>
        <x:v>1</x:v>
      </x:c>
      <x:c r="K399" s="12" t="n">
        <x:f>IF($A399="","",1+((($A399-Assumptions!$B$5)/30)*INDEX(Assumptions!$J$5:$J$12,MATCH($B399,Assumptions!$D$5:$D$12,0))))</x:f>
        <x:v>1.0079</x:v>
      </x:c>
      <x:c r="L399" t="str">
        <x:f>IF($A399="","",IFERROR(INDEX(Assumptions!$O$5:$O$10,MATCH(1,(Assumptions!$P$5:$P$10=$B399)*(Assumptions!$Q$5:$Q$10&lt;=$A399)*(Assumptions!$R$5:$R$10&gt;=$A399),0)),""))</x:f>
      </x:c>
      <x:c r="M399" t="n">
        <x:f>--($A399&lt;&gt;"")</x:f>
        <x:v>1</x:v>
      </x:c>
    </x:row>
    <x:row r="400">
      <x:c r="A400" s="10" t="n">
        <x:f>IF(Assumptions!$B$5+INT((ROW()-2)/Assumptions!$B$7)&gt;Assumptions!$B$6,"",Assumptions!$B$5+INT((ROW()-2)/Assumptions!$B$7))</x:f>
        <x:v>46102</x:v>
      </x:c>
      <x:c r="B400" t="str">
        <x:f>IF($A400="","",INDEX(Assumptions!$D$5:$D$12,MOD(ROW()-2,Assumptions!$B$7)+1))</x:f>
        <x:v>Hadley's Hope</x:v>
      </x:c>
      <x:c r="C400" s="11" t="n">
        <x:f>IF($A400="","",INDEX(Assumptions!$F$5:$F$12,MATCH($B400,Assumptions!$D$5:$D$12,0)))</x:f>
        <x:v>845</x:v>
      </x:c>
      <x:c r="D400" s="11" t="n">
        <x:f>IF($A400="","",INDEX(Assumptions!$G$5:$G$12,MATCH($B400,Assumptions!$D$5:$D$12,0)))</x:f>
        <x:v>80</x:v>
      </x:c>
      <x:c r="E400" s="11" t="n">
        <x:f>IF($A400="","",INDEX(Assumptions!$M$5:$M$11,WEEKDAY($A400,2)))</x:f>
        <x:v>0.91</x:v>
      </x:c>
      <x:c r="F400" s="11" t="n">
        <x:f>IF($A400="","",Assumptions!$B$15)</x:f>
        <x:v>0.35</x:v>
      </x:c>
      <x:c r="G400" s="11" t="n">
        <x:f>IF($A400="","",MAX(INDEX(Assumptions!$H$5:$H$12,MATCH($B400,Assumptions!$D$5:$D$12,0)),MIN(INDEX(Assumptions!$I$5:$I$12,MATCH($B400,Assumptions!$D$5:$D$12,0)),($C400+$D400*SQRT(-2*LN(RAND()))*COS(2*PI()*RAND()))*$E400*$J400*$K400)))</x:f>
        <x:v>873.0072445740723</x:v>
      </x:c>
      <x:c r="H400" s="11" t="n">
        <x:f>IF($A400="","",$G400*$F400+$C400*(1-$F400))</x:f>
        <x:v>854.8025356009252</x:v>
      </x:c>
      <x:c r="I400" s="11" t="n">
        <x:f>IF($A400="","",AVERAGE($H400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844.1252802839638</x:v>
      </x:c>
      <x:c r="J400" s="12" t="n">
        <x:f>IF($A400="","",1+SUMIFS(Assumptions!$S$5:$S$10,Assumptions!$P$5:$P$10,$B400,Assumptions!$Q$5:$Q$10,"&lt;="&amp;$A400,Assumptions!$R$5:$R$10,"&gt;="&amp;$A400))</x:f>
        <x:v>1</x:v>
      </x:c>
      <x:c r="K400" s="12" t="n">
        <x:f>IF($A400="","",1+((($A400-Assumptions!$B$5)/30)*INDEX(Assumptions!$J$5:$J$12,MATCH($B400,Assumptions!$D$5:$D$12,0))))</x:f>
        <x:v>1.0026333333333333</x:v>
      </x:c>
      <x:c r="L400" t="str">
        <x:f>IF($A400="","",IFERROR(INDEX(Assumptions!$O$5:$O$10,MATCH(1,(Assumptions!$P$5:$P$10=$B400)*(Assumptions!$Q$5:$Q$10&lt;=$A400)*(Assumptions!$R$5:$R$10&gt;=$A400),0)),""))</x:f>
      </x:c>
      <x:c r="M400" t="n">
        <x:f>--($A400&lt;&gt;"")</x:f>
        <x:v>1</x:v>
      </x:c>
    </x:row>
    <x:row r="401">
      <x:c r="A401" s="10" t="n">
        <x:f>IF(Assumptions!$B$5+INT((ROW()-2)/Assumptions!$B$7)&gt;Assumptions!$B$6,"",Assumptions!$B$5+INT((ROW()-2)/Assumptions!$B$7))</x:f>
        <x:v>46102</x:v>
      </x:c>
      <x:c r="B401" t="str">
        <x:f>IF($A401="","",INDEX(Assumptions!$D$5:$D$12,MOD(ROW()-2,Assumptions!$B$7)+1))</x:f>
        <x:v>Yutani Ridge</x:v>
      </x:c>
      <x:c r="C401" s="11" t="n">
        <x:f>IF($A401="","",INDEX(Assumptions!$F$5:$F$12,MATCH($B401,Assumptions!$D$5:$D$12,0)))</x:f>
        <x:v>1050</x:v>
      </x:c>
      <x:c r="D401" s="11" t="n">
        <x:f>IF($A401="","",INDEX(Assumptions!$G$5:$G$12,MATCH($B401,Assumptions!$D$5:$D$12,0)))</x:f>
        <x:v>125</x:v>
      </x:c>
      <x:c r="E401" s="11" t="n">
        <x:f>IF($A401="","",INDEX(Assumptions!$M$5:$M$11,WEEKDAY($A401,2)))</x:f>
        <x:v>0.91</x:v>
      </x:c>
      <x:c r="F401" s="11" t="n">
        <x:f>IF($A401="","",Assumptions!$B$15)</x:f>
        <x:v>0.35</x:v>
      </x:c>
      <x:c r="G401" s="11" t="n">
        <x:f>IF($A401="","",MAX(INDEX(Assumptions!$H$5:$H$12,MATCH($B401,Assumptions!$D$5:$D$12,0)),MIN(INDEX(Assumptions!$I$5:$I$12,MATCH($B401,Assumptions!$D$5:$D$12,0)),($C401+$D401*SQRT(-2*LN(RAND()))*COS(2*PI()*RAND()))*$E401*$J401*$K401)))</x:f>
        <x:v>837.9084370231226</x:v>
      </x:c>
      <x:c r="H401" s="11" t="n">
        <x:f>IF($A401="","",$G401*$F401+$C401*(1-$F401))</x:f>
        <x:v>975.7679529580929</x:v>
      </x:c>
      <x:c r="I401" s="11" t="n">
        <x:f>IF($A401="","",AVERAGE($H401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1009.2171004436033</x:v>
      </x:c>
      <x:c r="J401" s="12" t="n">
        <x:f>IF($A401="","",1+SUMIFS(Assumptions!$S$5:$S$10,Assumptions!$P$5:$P$10,$B401,Assumptions!$Q$5:$Q$10,"&lt;="&amp;$A401,Assumptions!$R$5:$R$10,"&gt;="&amp;$A401))</x:f>
        <x:v>1</x:v>
      </x:c>
      <x:c r="K401" s="12" t="n">
        <x:f>IF($A401="","",1+((($A401-Assumptions!$B$5)/30)*INDEX(Assumptions!$J$5:$J$12,MATCH($B401,Assumptions!$D$5:$D$12,0))))</x:f>
        <x:v>1.0065833333333334</x:v>
      </x:c>
      <x:c r="L401" t="str">
        <x:f>IF($A401="","",IFERROR(INDEX(Assumptions!$O$5:$O$10,MATCH(1,(Assumptions!$P$5:$P$10=$B401)*(Assumptions!$Q$5:$Q$10&lt;=$A401)*(Assumptions!$R$5:$R$10&gt;=$A401),0)),""))</x:f>
      </x:c>
      <x:c r="M401" t="n">
        <x:f>--($A401&lt;&gt;"")</x:f>
        <x:v>1</x:v>
      </x:c>
    </x:row>
    <x:row r="402">
      <x:c r="A402" s="10" t="n">
        <x:f>IF(Assumptions!$B$5+INT((ROW()-2)/Assumptions!$B$7)&gt;Assumptions!$B$6,"",Assumptions!$B$5+INT((ROW()-2)/Assumptions!$B$7))</x:f>
        <x:v>46103</x:v>
      </x:c>
      <x:c r="B402" t="str">
        <x:f>IF($A402="","",INDEX(Assumptions!$D$5:$D$12,MOD(ROW()-2,Assumptions!$B$7)+1))</x:f>
        <x:v>Acheron Prime</x:v>
      </x:c>
      <x:c r="C402" s="11" t="n">
        <x:f>IF($A402="","",INDEX(Assumptions!$F$5:$F$12,MATCH($B402,Assumptions!$D$5:$D$12,0)))</x:f>
        <x:v>1120</x:v>
      </x:c>
      <x:c r="D402" s="11" t="n">
        <x:f>IF($A402="","",INDEX(Assumptions!$G$5:$G$12,MATCH($B402,Assumptions!$D$5:$D$12,0)))</x:f>
        <x:v>115</x:v>
      </x:c>
      <x:c r="E402" s="11" t="n">
        <x:f>IF($A402="","",INDEX(Assumptions!$M$5:$M$11,WEEKDAY($A402,2)))</x:f>
        <x:v>0.87</x:v>
      </x:c>
      <x:c r="F402" s="11" t="n">
        <x:f>IF($A402="","",Assumptions!$B$15)</x:f>
        <x:v>0.35</x:v>
      </x:c>
      <x:c r="G402" s="11" t="n">
        <x:f>IF($A402="","",MAX(INDEX(Assumptions!$H$5:$H$12,MATCH($B402,Assumptions!$D$5:$D$12,0)),MIN(INDEX(Assumptions!$I$5:$I$12,MATCH($B402,Assumptions!$D$5:$D$12,0)),($C402+$D402*SQRT(-2*LN(RAND()))*COS(2*PI()*RAND()))*$E402*$J402*$K402)))</x:f>
        <x:v>1001.7076483788987</x:v>
      </x:c>
      <x:c r="H402" s="11" t="n">
        <x:f>IF($A402="","",$G402*$F402+$C402*(1-$F402))</x:f>
        <x:v>1078.5976769326146</x:v>
      </x:c>
      <x:c r="I402" s="11" t="n">
        <x:f>IF($A402="","",AVERAGE($H402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1111.8121659717456</x:v>
      </x:c>
      <x:c r="J402" s="12" t="n">
        <x:f>IF($A402="","",1+SUMIFS(Assumptions!$S$5:$S$10,Assumptions!$P$5:$P$10,$B402,Assumptions!$Q$5:$Q$10,"&lt;="&amp;$A402,Assumptions!$R$5:$R$10,"&gt;="&amp;$A402))</x:f>
        <x:v>1</x:v>
      </x:c>
      <x:c r="K402" s="12" t="n">
        <x:f>IF($A402="","",1+((($A402-Assumptions!$B$5)/30)*INDEX(Assumptions!$J$5:$J$12,MATCH($B402,Assumptions!$D$5:$D$12,0))))</x:f>
        <x:v>1.0053333333333334</x:v>
      </x:c>
      <x:c r="L402" t="str">
        <x:f>IF($A402="","",IFERROR(INDEX(Assumptions!$O$5:$O$10,MATCH(1,(Assumptions!$P$5:$P$10=$B402)*(Assumptions!$Q$5:$Q$10&lt;=$A402)*(Assumptions!$R$5:$R$10&gt;=$A402),0)),""))</x:f>
      </x:c>
      <x:c r="M402" t="n">
        <x:f>--($A402&lt;&gt;"")</x:f>
        <x:v>1</x:v>
      </x:c>
    </x:row>
    <x:row r="403">
      <x:c r="A403" s="10" t="n">
        <x:f>IF(Assumptions!$B$5+INT((ROW()-2)/Assumptions!$B$7)&gt;Assumptions!$B$6,"",Assumptions!$B$5+INT((ROW()-2)/Assumptions!$B$7))</x:f>
        <x:v>46103</x:v>
      </x:c>
      <x:c r="B403" t="str">
        <x:f>IF($A403="","",INDEX(Assumptions!$D$5:$D$12,MOD(ROW()-2,Assumptions!$B$7)+1))</x:f>
        <x:v>LV-426 North</x:v>
      </x:c>
      <x:c r="C403" s="11" t="n">
        <x:f>IF($A403="","",INDEX(Assumptions!$F$5:$F$12,MATCH($B403,Assumptions!$D$5:$D$12,0)))</x:f>
        <x:v>930</x:v>
      </x:c>
      <x:c r="D403" s="11" t="n">
        <x:f>IF($A403="","",INDEX(Assumptions!$G$5:$G$12,MATCH($B403,Assumptions!$D$5:$D$12,0)))</x:f>
        <x:v>95</x:v>
      </x:c>
      <x:c r="E403" s="11" t="n">
        <x:f>IF($A403="","",INDEX(Assumptions!$M$5:$M$11,WEEKDAY($A403,2)))</x:f>
        <x:v>0.87</x:v>
      </x:c>
      <x:c r="F403" s="11" t="n">
        <x:f>IF($A403="","",Assumptions!$B$15)</x:f>
        <x:v>0.35</x:v>
      </x:c>
      <x:c r="G403" s="11" t="n">
        <x:f>IF($A403="","",MAX(INDEX(Assumptions!$H$5:$H$12,MATCH($B403,Assumptions!$D$5:$D$12,0)),MIN(INDEX(Assumptions!$I$5:$I$12,MATCH($B403,Assumptions!$D$5:$D$12,0)),($C403+$D403*SQRT(-2*LN(RAND()))*COS(2*PI()*RAND()))*$E403*$J403*$K403)))</x:f>
        <x:v>907.7429475796841</x:v>
      </x:c>
      <x:c r="H403" s="11" t="n">
        <x:f>IF($A403="","",$G403*$F403+$C403*(1-$F403))</x:f>
        <x:v>922.2100316528895</x:v>
      </x:c>
      <x:c r="I403" s="11" t="n">
        <x:f>IF($A403="","",AVERAGE($H403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970.047466448072</x:v>
      </x:c>
      <x:c r="J403" s="12" t="n">
        <x:f>IF($A403="","",1+SUMIFS(Assumptions!$S$5:$S$10,Assumptions!$P$5:$P$10,$B403,Assumptions!$Q$5:$Q$10,"&lt;="&amp;$A403,Assumptions!$R$5:$R$10,"&gt;="&amp;$A403))</x:f>
        <x:v>1.18</x:v>
      </x:c>
      <x:c r="K403" s="12" t="n">
        <x:f>IF($A403="","",1+((($A403-Assumptions!$B$5)/30)*INDEX(Assumptions!$J$5:$J$12,MATCH($B403,Assumptions!$D$5:$D$12,0))))</x:f>
        <x:v>0.9973333333333333</x:v>
      </x:c>
      <x:c r="L403" t="str">
        <x:f>IF($A403="","",IFERROR(INDEX(Assumptions!$O$5:$O$10,MATCH(1,(Assumptions!$P$5:$P$10=$B403)*(Assumptions!$Q$5:$Q$10&lt;=$A403)*(Assumptions!$R$5:$R$10&gt;=$A403),0)),""))</x:f>
        <x:v>Ore seam boost</x:v>
      </x:c>
      <x:c r="M403" t="n">
        <x:f>--($A403&lt;&gt;"")</x:f>
        <x:v>1</x:v>
      </x:c>
    </x:row>
    <x:row r="404">
      <x:c r="A404" s="10" t="n">
        <x:f>IF(Assumptions!$B$5+INT((ROW()-2)/Assumptions!$B$7)&gt;Assumptions!$B$6,"",Assumptions!$B$5+INT((ROW()-2)/Assumptions!$B$7))</x:f>
        <x:v>46103</x:v>
      </x:c>
      <x:c r="B404" t="str">
        <x:f>IF($A404="","",INDEX(Assumptions!$D$5:$D$12,MOD(ROW()-2,Assumptions!$B$7)+1))</x:f>
        <x:v>Nostromo Deep</x:v>
      </x:c>
      <x:c r="C404" s="11" t="n">
        <x:f>IF($A404="","",INDEX(Assumptions!$F$5:$F$12,MATCH($B404,Assumptions!$D$5:$D$12,0)))</x:f>
        <x:v>1260</x:v>
      </x:c>
      <x:c r="D404" s="11" t="n">
        <x:f>IF($A404="","",INDEX(Assumptions!$G$5:$G$12,MATCH($B404,Assumptions!$D$5:$D$12,0)))</x:f>
        <x:v>145</x:v>
      </x:c>
      <x:c r="E404" s="11" t="n">
        <x:f>IF($A404="","",INDEX(Assumptions!$M$5:$M$11,WEEKDAY($A404,2)))</x:f>
        <x:v>0.87</x:v>
      </x:c>
      <x:c r="F404" s="11" t="n">
        <x:f>IF($A404="","",Assumptions!$B$15)</x:f>
        <x:v>0.35</x:v>
      </x:c>
      <x:c r="G404" s="11" t="n">
        <x:f>IF($A404="","",MAX(INDEX(Assumptions!$H$5:$H$12,MATCH($B404,Assumptions!$D$5:$D$12,0)),MIN(INDEX(Assumptions!$I$5:$I$12,MATCH($B404,Assumptions!$D$5:$D$12,0)),($C404+$D404*SQRT(-2*LN(RAND()))*COS(2*PI()*RAND()))*$E404*$J404*$K404)))</x:f>
        <x:v>1293.460906146355</x:v>
      </x:c>
      <x:c r="H404" s="11" t="n">
        <x:f>IF($A404="","",$G404*$F404+$C404*(1-$F404))</x:f>
        <x:v>1271.7113171512242</x:v>
      </x:c>
      <x:c r="I404" s="11" t="n">
        <x:f>IF($A404="","",AVERAGE($H404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1276.8355004709047</x:v>
      </x:c>
      <x:c r="J404" s="12" t="n">
        <x:f>IF($A404="","",1+SUMIFS(Assumptions!$S$5:$S$10,Assumptions!$P$5:$P$10,$B404,Assumptions!$Q$5:$Q$10,"&lt;="&amp;$A404,Assumptions!$R$5:$R$10,"&gt;="&amp;$A404))</x:f>
        <x:v>1</x:v>
      </x:c>
      <x:c r="K404" s="12" t="n">
        <x:f>IF($A404="","",1+((($A404-Assumptions!$B$5)/30)*INDEX(Assumptions!$J$5:$J$12,MATCH($B404,Assumptions!$D$5:$D$12,0))))</x:f>
        <x:v>1.008</x:v>
      </x:c>
      <x:c r="L404" t="str">
        <x:f>IF($A404="","",IFERROR(INDEX(Assumptions!$O$5:$O$10,MATCH(1,(Assumptions!$P$5:$P$10=$B404)*(Assumptions!$Q$5:$Q$10&lt;=$A404)*(Assumptions!$R$5:$R$10&gt;=$A404),0)),""))</x:f>
      </x:c>
      <x:c r="M404" t="n">
        <x:f>--($A404&lt;&gt;"")</x:f>
        <x:v>1</x:v>
      </x:c>
    </x:row>
    <x:row r="405">
      <x:c r="A405" s="10" t="n">
        <x:f>IF(Assumptions!$B$5+INT((ROW()-2)/Assumptions!$B$7)&gt;Assumptions!$B$6,"",Assumptions!$B$5+INT((ROW()-2)/Assumptions!$B$7))</x:f>
        <x:v>46103</x:v>
      </x:c>
      <x:c r="B405" t="str">
        <x:f>IF($A405="","",INDEX(Assumptions!$D$5:$D$12,MOD(ROW()-2,Assumptions!$B$7)+1))</x:f>
        <x:v>Hadley's Hope</x:v>
      </x:c>
      <x:c r="C405" s="11" t="n">
        <x:f>IF($A405="","",INDEX(Assumptions!$F$5:$F$12,MATCH($B405,Assumptions!$D$5:$D$12,0)))</x:f>
        <x:v>845</x:v>
      </x:c>
      <x:c r="D405" s="11" t="n">
        <x:f>IF($A405="","",INDEX(Assumptions!$G$5:$G$12,MATCH($B405,Assumptions!$D$5:$D$12,0)))</x:f>
        <x:v>80</x:v>
      </x:c>
      <x:c r="E405" s="11" t="n">
        <x:f>IF($A405="","",INDEX(Assumptions!$M$5:$M$11,WEEKDAY($A405,2)))</x:f>
        <x:v>0.87</x:v>
      </x:c>
      <x:c r="F405" s="11" t="n">
        <x:f>IF($A405="","",Assumptions!$B$15)</x:f>
        <x:v>0.35</x:v>
      </x:c>
      <x:c r="G405" s="11" t="n">
        <x:f>IF($A405="","",MAX(INDEX(Assumptions!$H$5:$H$12,MATCH($B405,Assumptions!$D$5:$D$12,0)),MIN(INDEX(Assumptions!$I$5:$I$12,MATCH($B405,Assumptions!$D$5:$D$12,0)),($C405+$D405*SQRT(-2*LN(RAND()))*COS(2*PI()*RAND()))*$E405*$J405*$K405)))</x:f>
        <x:v>730.4684407905448</x:v>
      </x:c>
      <x:c r="H405" s="11" t="n">
        <x:f>IF($A405="","",$G405*$F405+$C405*(1-$F405))</x:f>
        <x:v>804.9139542766907</x:v>
      </x:c>
      <x:c r="I405" s="11" t="n">
        <x:f>IF($A405="","",AVERAGE($H405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843.6092472663549</x:v>
      </x:c>
      <x:c r="J405" s="12" t="n">
        <x:f>IF($A405="","",1+SUMIFS(Assumptions!$S$5:$S$10,Assumptions!$P$5:$P$10,$B405,Assumptions!$Q$5:$Q$10,"&lt;="&amp;$A405,Assumptions!$R$5:$R$10,"&gt;="&amp;$A405))</x:f>
        <x:v>1</x:v>
      </x:c>
      <x:c r="K405" s="12" t="n">
        <x:f>IF($A405="","",1+((($A405-Assumptions!$B$5)/30)*INDEX(Assumptions!$J$5:$J$12,MATCH($B405,Assumptions!$D$5:$D$12,0))))</x:f>
        <x:v>1.0026666666666666</x:v>
      </x:c>
      <x:c r="L405" t="str">
        <x:f>IF($A405="","",IFERROR(INDEX(Assumptions!$O$5:$O$10,MATCH(1,(Assumptions!$P$5:$P$10=$B405)*(Assumptions!$Q$5:$Q$10&lt;=$A405)*(Assumptions!$R$5:$R$10&gt;=$A405),0)),""))</x:f>
      </x:c>
      <x:c r="M405" t="n">
        <x:f>--($A405&lt;&gt;"")</x:f>
        <x:v>1</x:v>
      </x:c>
    </x:row>
    <x:row r="406">
      <x:c r="A406" s="10" t="n">
        <x:f>IF(Assumptions!$B$5+INT((ROW()-2)/Assumptions!$B$7)&gt;Assumptions!$B$6,"",Assumptions!$B$5+INT((ROW()-2)/Assumptions!$B$7))</x:f>
        <x:v>46103</x:v>
      </x:c>
      <x:c r="B406" t="str">
        <x:f>IF($A406="","",INDEX(Assumptions!$D$5:$D$12,MOD(ROW()-2,Assumptions!$B$7)+1))</x:f>
        <x:v>Yutani Ridge</x:v>
      </x:c>
      <x:c r="C406" s="11" t="n">
        <x:f>IF($A406="","",INDEX(Assumptions!$F$5:$F$12,MATCH($B406,Assumptions!$D$5:$D$12,0)))</x:f>
        <x:v>1050</x:v>
      </x:c>
      <x:c r="D406" s="11" t="n">
        <x:f>IF($A406="","",INDEX(Assumptions!$G$5:$G$12,MATCH($B406,Assumptions!$D$5:$D$12,0)))</x:f>
        <x:v>125</x:v>
      </x:c>
      <x:c r="E406" s="11" t="n">
        <x:f>IF($A406="","",INDEX(Assumptions!$M$5:$M$11,WEEKDAY($A406,2)))</x:f>
        <x:v>0.87</x:v>
      </x:c>
      <x:c r="F406" s="11" t="n">
        <x:f>IF($A406="","",Assumptions!$B$15)</x:f>
        <x:v>0.35</x:v>
      </x:c>
      <x:c r="G406" s="11" t="n">
        <x:f>IF($A406="","",MAX(INDEX(Assumptions!$H$5:$H$12,MATCH($B406,Assumptions!$D$5:$D$12,0)),MIN(INDEX(Assumptions!$I$5:$I$12,MATCH($B406,Assumptions!$D$5:$D$12,0)),($C406+$D406*SQRT(-2*LN(RAND()))*COS(2*PI()*RAND()))*$E406*$J406*$K406)))</x:f>
        <x:v>972.201823574198</x:v>
      </x:c>
      <x:c r="H406" s="11" t="n">
        <x:f>IF($A406="","",$G406*$F406+$C406*(1-$F406))</x:f>
        <x:v>1022.7706382509693</x:v>
      </x:c>
      <x:c r="I406" s="11" t="n">
        <x:f>IF($A406="","",AVERAGE($H406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1011.2641445417505</x:v>
      </x:c>
      <x:c r="J406" s="12" t="n">
        <x:f>IF($A406="","",1+SUMIFS(Assumptions!$S$5:$S$10,Assumptions!$P$5:$P$10,$B406,Assumptions!$Q$5:$Q$10,"&lt;="&amp;$A406,Assumptions!$R$5:$R$10,"&gt;="&amp;$A406))</x:f>
        <x:v>1</x:v>
      </x:c>
      <x:c r="K406" s="12" t="n">
        <x:f>IF($A406="","",1+((($A406-Assumptions!$B$5)/30)*INDEX(Assumptions!$J$5:$J$12,MATCH($B406,Assumptions!$D$5:$D$12,0))))</x:f>
        <x:v>1.0066666666666666</x:v>
      </x:c>
      <x:c r="L406" t="str">
        <x:f>IF($A406="","",IFERROR(INDEX(Assumptions!$O$5:$O$10,MATCH(1,(Assumptions!$P$5:$P$10=$B406)*(Assumptions!$Q$5:$Q$10&lt;=$A406)*(Assumptions!$R$5:$R$10&gt;=$A406),0)),""))</x:f>
      </x:c>
      <x:c r="M406" t="n">
        <x:f>--($A406&lt;&gt;"")</x:f>
        <x:v>1</x:v>
      </x:c>
    </x:row>
    <x:row r="407">
      <x:c r="A407" s="10" t="n">
        <x:f>IF(Assumptions!$B$5+INT((ROW()-2)/Assumptions!$B$7)&gt;Assumptions!$B$6,"",Assumptions!$B$5+INT((ROW()-2)/Assumptions!$B$7))</x:f>
        <x:v>46104</x:v>
      </x:c>
      <x:c r="B407" t="str">
        <x:f>IF($A407="","",INDEX(Assumptions!$D$5:$D$12,MOD(ROW()-2,Assumptions!$B$7)+1))</x:f>
        <x:v>Acheron Prime</x:v>
      </x:c>
      <x:c r="C407" s="11" t="n">
        <x:f>IF($A407="","",INDEX(Assumptions!$F$5:$F$12,MATCH($B407,Assumptions!$D$5:$D$12,0)))</x:f>
        <x:v>1120</x:v>
      </x:c>
      <x:c r="D407" s="11" t="n">
        <x:f>IF($A407="","",INDEX(Assumptions!$G$5:$G$12,MATCH($B407,Assumptions!$D$5:$D$12,0)))</x:f>
        <x:v>115</x:v>
      </x:c>
      <x:c r="E407" s="11" t="n">
        <x:f>IF($A407="","",INDEX(Assumptions!$M$5:$M$11,WEEKDAY($A407,2)))</x:f>
        <x:v>1.03</x:v>
      </x:c>
      <x:c r="F407" s="11" t="n">
        <x:f>IF($A407="","",Assumptions!$B$15)</x:f>
        <x:v>0.35</x:v>
      </x:c>
      <x:c r="G407" s="11" t="n">
        <x:f>IF($A407="","",MAX(INDEX(Assumptions!$H$5:$H$12,MATCH($B407,Assumptions!$D$5:$D$12,0)),MIN(INDEX(Assumptions!$I$5:$I$12,MATCH($B407,Assumptions!$D$5:$D$12,0)),($C407+$D407*SQRT(-2*LN(RAND()))*COS(2*PI()*RAND()))*$E407*$J407*$K407)))</x:f>
        <x:v>1054.609842115691</x:v>
      </x:c>
      <x:c r="H407" s="11" t="n">
        <x:f>IF($A407="","",$G407*$F407+$C407*(1-$F407))</x:f>
        <x:v>1097.1134447404918</x:v>
      </x:c>
      <x:c r="I407" s="11" t="n">
        <x:f>IF($A407="","",AVERAGE($H407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1118.4681771624532</x:v>
      </x:c>
      <x:c r="J407" s="12" t="n">
        <x:f>IF($A407="","",1+SUMIFS(Assumptions!$S$5:$S$10,Assumptions!$P$5:$P$10,$B407,Assumptions!$Q$5:$Q$10,"&lt;="&amp;$A407,Assumptions!$R$5:$R$10,"&gt;="&amp;$A407))</x:f>
        <x:v>1</x:v>
      </x:c>
      <x:c r="K407" s="12" t="n">
        <x:f>IF($A407="","",1+((($A407-Assumptions!$B$5)/30)*INDEX(Assumptions!$J$5:$J$12,MATCH($B407,Assumptions!$D$5:$D$12,0))))</x:f>
        <x:v>1.0054</x:v>
      </x:c>
      <x:c r="L407" t="str">
        <x:f>IF($A407="","",IFERROR(INDEX(Assumptions!$O$5:$O$10,MATCH(1,(Assumptions!$P$5:$P$10=$B407)*(Assumptions!$Q$5:$Q$10&lt;=$A407)*(Assumptions!$R$5:$R$10&gt;=$A407),0)),""))</x:f>
      </x:c>
      <x:c r="M407" t="n">
        <x:f>--($A407&lt;&gt;"")</x:f>
        <x:v>1</x:v>
      </x:c>
    </x:row>
    <x:row r="408">
      <x:c r="A408" s="10" t="n">
        <x:f>IF(Assumptions!$B$5+INT((ROW()-2)/Assumptions!$B$7)&gt;Assumptions!$B$6,"",Assumptions!$B$5+INT((ROW()-2)/Assumptions!$B$7))</x:f>
        <x:v>46104</x:v>
      </x:c>
      <x:c r="B408" t="str">
        <x:f>IF($A408="","",INDEX(Assumptions!$D$5:$D$12,MOD(ROW()-2,Assumptions!$B$7)+1))</x:f>
        <x:v>LV-426 North</x:v>
      </x:c>
      <x:c r="C408" s="11" t="n">
        <x:f>IF($A408="","",INDEX(Assumptions!$F$5:$F$12,MATCH($B408,Assumptions!$D$5:$D$12,0)))</x:f>
        <x:v>930</x:v>
      </x:c>
      <x:c r="D408" s="11" t="n">
        <x:f>IF($A408="","",INDEX(Assumptions!$G$5:$G$12,MATCH($B408,Assumptions!$D$5:$D$12,0)))</x:f>
        <x:v>95</x:v>
      </x:c>
      <x:c r="E408" s="11" t="n">
        <x:f>IF($A408="","",INDEX(Assumptions!$M$5:$M$11,WEEKDAY($A408,2)))</x:f>
        <x:v>1.03</x:v>
      </x:c>
      <x:c r="F408" s="11" t="n">
        <x:f>IF($A408="","",Assumptions!$B$15)</x:f>
        <x:v>0.35</x:v>
      </x:c>
      <x:c r="G408" s="11" t="n">
        <x:f>IF($A408="","",MAX(INDEX(Assumptions!$H$5:$H$12,MATCH($B408,Assumptions!$D$5:$D$12,0)),MIN(INDEX(Assumptions!$I$5:$I$12,MATCH($B408,Assumptions!$D$5:$D$12,0)),($C408+$D408*SQRT(-2*LN(RAND()))*COS(2*PI()*RAND()))*$E408*$J408*$K408)))</x:f>
        <x:v>1187.7452408164008</x:v>
      </x:c>
      <x:c r="H408" s="11" t="n">
        <x:f>IF($A408="","",$G408*$F408+$C408*(1-$F408))</x:f>
        <x:v>1020.2108342857402</x:v>
      </x:c>
      <x:c r="I408" s="11" t="n">
        <x:f>IF($A408="","",AVERAGE($H408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966.6112711012959</x:v>
      </x:c>
      <x:c r="J408" s="12" t="n">
        <x:f>IF($A408="","",1+SUMIFS(Assumptions!$S$5:$S$10,Assumptions!$P$5:$P$10,$B408,Assumptions!$Q$5:$Q$10,"&lt;="&amp;$A408,Assumptions!$R$5:$R$10,"&gt;="&amp;$A408))</x:f>
        <x:v>1.18</x:v>
      </x:c>
      <x:c r="K408" s="12" t="n">
        <x:f>IF($A408="","",1+((($A408-Assumptions!$B$5)/30)*INDEX(Assumptions!$J$5:$J$12,MATCH($B408,Assumptions!$D$5:$D$12,0))))</x:f>
        <x:v>0.9973</x:v>
      </x:c>
      <x:c r="L408" t="str">
        <x:f>IF($A408="","",IFERROR(INDEX(Assumptions!$O$5:$O$10,MATCH(1,(Assumptions!$P$5:$P$10=$B408)*(Assumptions!$Q$5:$Q$10&lt;=$A408)*(Assumptions!$R$5:$R$10&gt;=$A408),0)),""))</x:f>
        <x:v>Ore seam boost</x:v>
      </x:c>
      <x:c r="M408" t="n">
        <x:f>--($A408&lt;&gt;"")</x:f>
        <x:v>1</x:v>
      </x:c>
    </x:row>
    <x:row r="409">
      <x:c r="A409" s="10" t="n">
        <x:f>IF(Assumptions!$B$5+INT((ROW()-2)/Assumptions!$B$7)&gt;Assumptions!$B$6,"",Assumptions!$B$5+INT((ROW()-2)/Assumptions!$B$7))</x:f>
        <x:v>46104</x:v>
      </x:c>
      <x:c r="B409" t="str">
        <x:f>IF($A409="","",INDEX(Assumptions!$D$5:$D$12,MOD(ROW()-2,Assumptions!$B$7)+1))</x:f>
        <x:v>Nostromo Deep</x:v>
      </x:c>
      <x:c r="C409" s="11" t="n">
        <x:f>IF($A409="","",INDEX(Assumptions!$F$5:$F$12,MATCH($B409,Assumptions!$D$5:$D$12,0)))</x:f>
        <x:v>1260</x:v>
      </x:c>
      <x:c r="D409" s="11" t="n">
        <x:f>IF($A409="","",INDEX(Assumptions!$G$5:$G$12,MATCH($B409,Assumptions!$D$5:$D$12,0)))</x:f>
        <x:v>145</x:v>
      </x:c>
      <x:c r="E409" s="11" t="n">
        <x:f>IF($A409="","",INDEX(Assumptions!$M$5:$M$11,WEEKDAY($A409,2)))</x:f>
        <x:v>1.03</x:v>
      </x:c>
      <x:c r="F409" s="11" t="n">
        <x:f>IF($A409="","",Assumptions!$B$15)</x:f>
        <x:v>0.35</x:v>
      </x:c>
      <x:c r="G409" s="11" t="n">
        <x:f>IF($A409="","",MAX(INDEX(Assumptions!$H$5:$H$12,MATCH($B409,Assumptions!$D$5:$D$12,0)),MIN(INDEX(Assumptions!$I$5:$I$12,MATCH($B409,Assumptions!$D$5:$D$12,0)),($C409+$D409*SQRT(-2*LN(RAND()))*COS(2*PI()*RAND()))*$E409*$J409*$K409)))</x:f>
        <x:v>1281.4716108711395</x:v>
      </x:c>
      <x:c r="H409" s="11" t="n">
        <x:f>IF($A409="","",$G409*$F409+$C409*(1-$F409))</x:f>
        <x:v>1267.5150638048988</x:v>
      </x:c>
      <x:c r="I409" s="11" t="n">
        <x:f>IF($A409="","",AVERAGE($H409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1278.679719911988</x:v>
      </x:c>
      <x:c r="J409" s="12" t="n">
        <x:f>IF($A409="","",1+SUMIFS(Assumptions!$S$5:$S$10,Assumptions!$P$5:$P$10,$B409,Assumptions!$Q$5:$Q$10,"&lt;="&amp;$A409,Assumptions!$R$5:$R$10,"&gt;="&amp;$A409))</x:f>
        <x:v>1</x:v>
      </x:c>
      <x:c r="K409" s="12" t="n">
        <x:f>IF($A409="","",1+((($A409-Assumptions!$B$5)/30)*INDEX(Assumptions!$J$5:$J$12,MATCH($B409,Assumptions!$D$5:$D$12,0))))</x:f>
        <x:v>1.0081</x:v>
      </x:c>
      <x:c r="L409" t="str">
        <x:f>IF($A409="","",IFERROR(INDEX(Assumptions!$O$5:$O$10,MATCH(1,(Assumptions!$P$5:$P$10=$B409)*(Assumptions!$Q$5:$Q$10&lt;=$A409)*(Assumptions!$R$5:$R$10&gt;=$A409),0)),""))</x:f>
      </x:c>
      <x:c r="M409" t="n">
        <x:f>--($A409&lt;&gt;"")</x:f>
        <x:v>1</x:v>
      </x:c>
    </x:row>
    <x:row r="410">
      <x:c r="A410" s="10" t="n">
        <x:f>IF(Assumptions!$B$5+INT((ROW()-2)/Assumptions!$B$7)&gt;Assumptions!$B$6,"",Assumptions!$B$5+INT((ROW()-2)/Assumptions!$B$7))</x:f>
        <x:v>46104</x:v>
      </x:c>
      <x:c r="B410" t="str">
        <x:f>IF($A410="","",INDEX(Assumptions!$D$5:$D$12,MOD(ROW()-2,Assumptions!$B$7)+1))</x:f>
        <x:v>Hadley's Hope</x:v>
      </x:c>
      <x:c r="C410" s="11" t="n">
        <x:f>IF($A410="","",INDEX(Assumptions!$F$5:$F$12,MATCH($B410,Assumptions!$D$5:$D$12,0)))</x:f>
        <x:v>845</x:v>
      </x:c>
      <x:c r="D410" s="11" t="n">
        <x:f>IF($A410="","",INDEX(Assumptions!$G$5:$G$12,MATCH($B410,Assumptions!$D$5:$D$12,0)))</x:f>
        <x:v>80</x:v>
      </x:c>
      <x:c r="E410" s="11" t="n">
        <x:f>IF($A410="","",INDEX(Assumptions!$M$5:$M$11,WEEKDAY($A410,2)))</x:f>
        <x:v>1.03</x:v>
      </x:c>
      <x:c r="F410" s="11" t="n">
        <x:f>IF($A410="","",Assumptions!$B$15)</x:f>
        <x:v>0.35</x:v>
      </x:c>
      <x:c r="G410" s="11" t="n">
        <x:f>IF($A410="","",MAX(INDEX(Assumptions!$H$5:$H$12,MATCH($B410,Assumptions!$D$5:$D$12,0)),MIN(INDEX(Assumptions!$I$5:$I$12,MATCH($B410,Assumptions!$D$5:$D$12,0)),($C410+$D410*SQRT(-2*LN(RAND()))*COS(2*PI()*RAND()))*$E410*$J410*$K410)))</x:f>
        <x:v>796.2416687322974</x:v>
      </x:c>
      <x:c r="H410" s="11" t="n">
        <x:f>IF($A410="","",$G410*$F410+$C410*(1-$F410))</x:f>
        <x:v>827.9345840563041</x:v>
      </x:c>
      <x:c r="I410" s="11" t="n">
        <x:f>IF($A410="","",AVERAGE($H410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839.605700190259</x:v>
      </x:c>
      <x:c r="J410" s="12" t="n">
        <x:f>IF($A410="","",1+SUMIFS(Assumptions!$S$5:$S$10,Assumptions!$P$5:$P$10,$B410,Assumptions!$Q$5:$Q$10,"&lt;="&amp;$A410,Assumptions!$R$5:$R$10,"&gt;="&amp;$A410))</x:f>
        <x:v>1</x:v>
      </x:c>
      <x:c r="K410" s="12" t="n">
        <x:f>IF($A410="","",1+((($A410-Assumptions!$B$5)/30)*INDEX(Assumptions!$J$5:$J$12,MATCH($B410,Assumptions!$D$5:$D$12,0))))</x:f>
        <x:v>1.0027</x:v>
      </x:c>
      <x:c r="L410" t="str">
        <x:f>IF($A410="","",IFERROR(INDEX(Assumptions!$O$5:$O$10,MATCH(1,(Assumptions!$P$5:$P$10=$B410)*(Assumptions!$Q$5:$Q$10&lt;=$A410)*(Assumptions!$R$5:$R$10&gt;=$A410),0)),""))</x:f>
      </x:c>
      <x:c r="M410" t="n">
        <x:f>--($A410&lt;&gt;"")</x:f>
        <x:v>1</x:v>
      </x:c>
    </x:row>
    <x:row r="411">
      <x:c r="A411" s="10" t="n">
        <x:f>IF(Assumptions!$B$5+INT((ROW()-2)/Assumptions!$B$7)&gt;Assumptions!$B$6,"",Assumptions!$B$5+INT((ROW()-2)/Assumptions!$B$7))</x:f>
        <x:v>46104</x:v>
      </x:c>
      <x:c r="B411" t="str">
        <x:f>IF($A411="","",INDEX(Assumptions!$D$5:$D$12,MOD(ROW()-2,Assumptions!$B$7)+1))</x:f>
        <x:v>Yutani Ridge</x:v>
      </x:c>
      <x:c r="C411" s="11" t="n">
        <x:f>IF($A411="","",INDEX(Assumptions!$F$5:$F$12,MATCH($B411,Assumptions!$D$5:$D$12,0)))</x:f>
        <x:v>1050</x:v>
      </x:c>
      <x:c r="D411" s="11" t="n">
        <x:f>IF($A411="","",INDEX(Assumptions!$G$5:$G$12,MATCH($B411,Assumptions!$D$5:$D$12,0)))</x:f>
        <x:v>125</x:v>
      </x:c>
      <x:c r="E411" s="11" t="n">
        <x:f>IF($A411="","",INDEX(Assumptions!$M$5:$M$11,WEEKDAY($A411,2)))</x:f>
        <x:v>1.03</x:v>
      </x:c>
      <x:c r="F411" s="11" t="n">
        <x:f>IF($A411="","",Assumptions!$B$15)</x:f>
        <x:v>0.35</x:v>
      </x:c>
      <x:c r="G411" s="11" t="n">
        <x:f>IF($A411="","",MAX(INDEX(Assumptions!$H$5:$H$12,MATCH($B411,Assumptions!$D$5:$D$12,0)),MIN(INDEX(Assumptions!$I$5:$I$12,MATCH($B411,Assumptions!$D$5:$D$12,0)),($C411+$D411*SQRT(-2*LN(RAND()))*COS(2*PI()*RAND()))*$E411*$J411*$K411)))</x:f>
        <x:v>1170.1401685853823</x:v>
      </x:c>
      <x:c r="H411" s="11" t="n">
        <x:f>IF($A411="","",$G411*$F411+$C411*(1-$F411))</x:f>
        <x:v>1092.0490590048837</x:v>
      </x:c>
      <x:c r="I411" s="11" t="n">
        <x:f>IF($A411="","",AVERAGE($H411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1014.7046844738288</x:v>
      </x:c>
      <x:c r="J411" s="12" t="n">
        <x:f>IF($A411="","",1+SUMIFS(Assumptions!$S$5:$S$10,Assumptions!$P$5:$P$10,$B411,Assumptions!$Q$5:$Q$10,"&lt;="&amp;$A411,Assumptions!$R$5:$R$10,"&gt;="&amp;$A411))</x:f>
        <x:v>1</x:v>
      </x:c>
      <x:c r="K411" s="12" t="n">
        <x:f>IF($A411="","",1+((($A411-Assumptions!$B$5)/30)*INDEX(Assumptions!$J$5:$J$12,MATCH($B411,Assumptions!$D$5:$D$12,0))))</x:f>
        <x:v>1.00675</x:v>
      </x:c>
      <x:c r="L411" t="str">
        <x:f>IF($A411="","",IFERROR(INDEX(Assumptions!$O$5:$O$10,MATCH(1,(Assumptions!$P$5:$P$10=$B411)*(Assumptions!$Q$5:$Q$10&lt;=$A411)*(Assumptions!$R$5:$R$10&gt;=$A411),0)),""))</x:f>
      </x:c>
      <x:c r="M411" t="n">
        <x:f>--($A411&lt;&gt;"")</x:f>
        <x:v>1</x:v>
      </x:c>
    </x:row>
    <x:row r="412">
      <x:c r="A412" s="10" t="n">
        <x:f>IF(Assumptions!$B$5+INT((ROW()-2)/Assumptions!$B$7)&gt;Assumptions!$B$6,"",Assumptions!$B$5+INT((ROW()-2)/Assumptions!$B$7))</x:f>
        <x:v>46105</x:v>
      </x:c>
      <x:c r="B412" t="str">
        <x:f>IF($A412="","",INDEX(Assumptions!$D$5:$D$12,MOD(ROW()-2,Assumptions!$B$7)+1))</x:f>
        <x:v>Acheron Prime</x:v>
      </x:c>
      <x:c r="C412" s="11" t="n">
        <x:f>IF($A412="","",INDEX(Assumptions!$F$5:$F$12,MATCH($B412,Assumptions!$D$5:$D$12,0)))</x:f>
        <x:v>1120</x:v>
      </x:c>
      <x:c r="D412" s="11" t="n">
        <x:f>IF($A412="","",INDEX(Assumptions!$G$5:$G$12,MATCH($B412,Assumptions!$D$5:$D$12,0)))</x:f>
        <x:v>115</x:v>
      </x:c>
      <x:c r="E412" s="11" t="n">
        <x:f>IF($A412="","",INDEX(Assumptions!$M$5:$M$11,WEEKDAY($A412,2)))</x:f>
        <x:v>1.02</x:v>
      </x:c>
      <x:c r="F412" s="11" t="n">
        <x:f>IF($A412="","",Assumptions!$B$15)</x:f>
        <x:v>0.35</x:v>
      </x:c>
      <x:c r="G412" s="11" t="n">
        <x:f>IF($A412="","",MAX(INDEX(Assumptions!$H$5:$H$12,MATCH($B412,Assumptions!$D$5:$D$12,0)),MIN(INDEX(Assumptions!$I$5:$I$12,MATCH($B412,Assumptions!$D$5:$D$12,0)),($C412+$D412*SQRT(-2*LN(RAND()))*COS(2*PI()*RAND()))*$E412*$J412*$K412)))</x:f>
        <x:v>1237.323374394607</x:v>
      </x:c>
      <x:c r="H412" s="11" t="n">
        <x:f>IF($A412="","",$G412*$F412+$C412*(1-$F412))</x:f>
        <x:v>1161.0631810381124</x:v>
      </x:c>
      <x:c r="I412" s="11" t="n">
        <x:f>IF($A412="","",AVERAGE($H412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1127.9659671632396</x:v>
      </x:c>
      <x:c r="J412" s="12" t="n">
        <x:f>IF($A412="","",1+SUMIFS(Assumptions!$S$5:$S$10,Assumptions!$P$5:$P$10,$B412,Assumptions!$Q$5:$Q$10,"&lt;="&amp;$A412,Assumptions!$R$5:$R$10,"&gt;="&amp;$A412))</x:f>
        <x:v>1</x:v>
      </x:c>
      <x:c r="K412" s="12" t="n">
        <x:f>IF($A412="","",1+((($A412-Assumptions!$B$5)/30)*INDEX(Assumptions!$J$5:$J$12,MATCH($B412,Assumptions!$D$5:$D$12,0))))</x:f>
        <x:v>1.0054666666666667</x:v>
      </x:c>
      <x:c r="L412" t="str">
        <x:f>IF($A412="","",IFERROR(INDEX(Assumptions!$O$5:$O$10,MATCH(1,(Assumptions!$P$5:$P$10=$B412)*(Assumptions!$Q$5:$Q$10&lt;=$A412)*(Assumptions!$R$5:$R$10&gt;=$A412),0)),""))</x:f>
      </x:c>
      <x:c r="M412" t="n">
        <x:f>--($A412&lt;&gt;"")</x:f>
        <x:v>1</x:v>
      </x:c>
    </x:row>
    <x:row r="413">
      <x:c r="A413" s="10" t="n">
        <x:f>IF(Assumptions!$B$5+INT((ROW()-2)/Assumptions!$B$7)&gt;Assumptions!$B$6,"",Assumptions!$B$5+INT((ROW()-2)/Assumptions!$B$7))</x:f>
        <x:v>46105</x:v>
      </x:c>
      <x:c r="B413" t="str">
        <x:f>IF($A413="","",INDEX(Assumptions!$D$5:$D$12,MOD(ROW()-2,Assumptions!$B$7)+1))</x:f>
        <x:v>LV-426 North</x:v>
      </x:c>
      <x:c r="C413" s="11" t="n">
        <x:f>IF($A413="","",INDEX(Assumptions!$F$5:$F$12,MATCH($B413,Assumptions!$D$5:$D$12,0)))</x:f>
        <x:v>930</x:v>
      </x:c>
      <x:c r="D413" s="11" t="n">
        <x:f>IF($A413="","",INDEX(Assumptions!$G$5:$G$12,MATCH($B413,Assumptions!$D$5:$D$12,0)))</x:f>
        <x:v>95</x:v>
      </x:c>
      <x:c r="E413" s="11" t="n">
        <x:f>IF($A413="","",INDEX(Assumptions!$M$5:$M$11,WEEKDAY($A413,2)))</x:f>
        <x:v>1.02</x:v>
      </x:c>
      <x:c r="F413" s="11" t="n">
        <x:f>IF($A413="","",Assumptions!$B$15)</x:f>
        <x:v>0.35</x:v>
      </x:c>
      <x:c r="G413" s="11" t="n">
        <x:f>IF($A413="","",MAX(INDEX(Assumptions!$H$5:$H$12,MATCH($B413,Assumptions!$D$5:$D$12,0)),MIN(INDEX(Assumptions!$I$5:$I$12,MATCH($B413,Assumptions!$D$5:$D$12,0)),($C413+$D413*SQRT(-2*LN(RAND()))*COS(2*PI()*RAND()))*$E413*$J413*$K413)))</x:f>
        <x:v>1187.33502872309</x:v>
      </x:c>
      <x:c r="H413" s="11" t="n">
        <x:f>IF($A413="","",$G413*$F413+$C413*(1-$F413))</x:f>
        <x:v>1020.0672600530816</x:v>
      </x:c>
      <x:c r="I413" s="11" t="n">
        <x:f>IF($A413="","",AVERAGE($H413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970.2061766993492</x:v>
      </x:c>
      <x:c r="J413" s="12" t="n">
        <x:f>IF($A413="","",1+SUMIFS(Assumptions!$S$5:$S$10,Assumptions!$P$5:$P$10,$B413,Assumptions!$Q$5:$Q$10,"&lt;="&amp;$A413,Assumptions!$R$5:$R$10,"&gt;="&amp;$A413))</x:f>
        <x:v>1.18</x:v>
      </x:c>
      <x:c r="K413" s="12" t="n">
        <x:f>IF($A413="","",1+((($A413-Assumptions!$B$5)/30)*INDEX(Assumptions!$J$5:$J$12,MATCH($B413,Assumptions!$D$5:$D$12,0))))</x:f>
        <x:v>0.9972666666666666</x:v>
      </x:c>
      <x:c r="L413" t="str">
        <x:f>IF($A413="","",IFERROR(INDEX(Assumptions!$O$5:$O$10,MATCH(1,(Assumptions!$P$5:$P$10=$B413)*(Assumptions!$Q$5:$Q$10&lt;=$A413)*(Assumptions!$R$5:$R$10&gt;=$A413),0)),""))</x:f>
        <x:v>Ore seam boost</x:v>
      </x:c>
      <x:c r="M413" t="n">
        <x:f>--($A413&lt;&gt;"")</x:f>
        <x:v>1</x:v>
      </x:c>
    </x:row>
    <x:row r="414">
      <x:c r="A414" s="10" t="n">
        <x:f>IF(Assumptions!$B$5+INT((ROW()-2)/Assumptions!$B$7)&gt;Assumptions!$B$6,"",Assumptions!$B$5+INT((ROW()-2)/Assumptions!$B$7))</x:f>
        <x:v>46105</x:v>
      </x:c>
      <x:c r="B414" t="str">
        <x:f>IF($A414="","",INDEX(Assumptions!$D$5:$D$12,MOD(ROW()-2,Assumptions!$B$7)+1))</x:f>
        <x:v>Nostromo Deep</x:v>
      </x:c>
      <x:c r="C414" s="11" t="n">
        <x:f>IF($A414="","",INDEX(Assumptions!$F$5:$F$12,MATCH($B414,Assumptions!$D$5:$D$12,0)))</x:f>
        <x:v>1260</x:v>
      </x:c>
      <x:c r="D414" s="11" t="n">
        <x:f>IF($A414="","",INDEX(Assumptions!$G$5:$G$12,MATCH($B414,Assumptions!$D$5:$D$12,0)))</x:f>
        <x:v>145</x:v>
      </x:c>
      <x:c r="E414" s="11" t="n">
        <x:f>IF($A414="","",INDEX(Assumptions!$M$5:$M$11,WEEKDAY($A414,2)))</x:f>
        <x:v>1.02</x:v>
      </x:c>
      <x:c r="F414" s="11" t="n">
        <x:f>IF($A414="","",Assumptions!$B$15)</x:f>
        <x:v>0.35</x:v>
      </x:c>
      <x:c r="G414" s="11" t="n">
        <x:f>IF($A414="","",MAX(INDEX(Assumptions!$H$5:$H$12,MATCH($B414,Assumptions!$D$5:$D$12,0)),MIN(INDEX(Assumptions!$I$5:$I$12,MATCH($B414,Assumptions!$D$5:$D$12,0)),($C414+$D414*SQRT(-2*LN(RAND()))*COS(2*PI()*RAND()))*$E414*$J414*$K414)))</x:f>
        <x:v>1299.792573407693</x:v>
      </x:c>
      <x:c r="H414" s="11" t="n">
        <x:f>IF($A414="","",$G414*$F414+$C414*(1-$F414))</x:f>
        <x:v>1273.9274006926926</x:v>
      </x:c>
      <x:c r="I414" s="11" t="n">
        <x:f>IF($A414="","",AVERAGE($H414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1262.0711573606768</x:v>
      </x:c>
      <x:c r="J414" s="12" t="n">
        <x:f>IF($A414="","",1+SUMIFS(Assumptions!$S$5:$S$10,Assumptions!$P$5:$P$10,$B414,Assumptions!$Q$5:$Q$10,"&lt;="&amp;$A414,Assumptions!$R$5:$R$10,"&gt;="&amp;$A414))</x:f>
        <x:v>1</x:v>
      </x:c>
      <x:c r="K414" s="12" t="n">
        <x:f>IF($A414="","",1+((($A414-Assumptions!$B$5)/30)*INDEX(Assumptions!$J$5:$J$12,MATCH($B414,Assumptions!$D$5:$D$12,0))))</x:f>
        <x:v>1.0082</x:v>
      </x:c>
      <x:c r="L414" t="str">
        <x:f>IF($A414="","",IFERROR(INDEX(Assumptions!$O$5:$O$10,MATCH(1,(Assumptions!$P$5:$P$10=$B414)*(Assumptions!$Q$5:$Q$10&lt;=$A414)*(Assumptions!$R$5:$R$10&gt;=$A414),0)),""))</x:f>
      </x:c>
      <x:c r="M414" t="n">
        <x:f>--($A414&lt;&gt;"")</x:f>
        <x:v>1</x:v>
      </x:c>
    </x:row>
    <x:row r="415">
      <x:c r="A415" s="10" t="n">
        <x:f>IF(Assumptions!$B$5+INT((ROW()-2)/Assumptions!$B$7)&gt;Assumptions!$B$6,"",Assumptions!$B$5+INT((ROW()-2)/Assumptions!$B$7))</x:f>
        <x:v>46105</x:v>
      </x:c>
      <x:c r="B415" t="str">
        <x:f>IF($A415="","",INDEX(Assumptions!$D$5:$D$12,MOD(ROW()-2,Assumptions!$B$7)+1))</x:f>
        <x:v>Hadley's Hope</x:v>
      </x:c>
      <x:c r="C415" s="11" t="n">
        <x:f>IF($A415="","",INDEX(Assumptions!$F$5:$F$12,MATCH($B415,Assumptions!$D$5:$D$12,0)))</x:f>
        <x:v>845</x:v>
      </x:c>
      <x:c r="D415" s="11" t="n">
        <x:f>IF($A415="","",INDEX(Assumptions!$G$5:$G$12,MATCH($B415,Assumptions!$D$5:$D$12,0)))</x:f>
        <x:v>80</x:v>
      </x:c>
      <x:c r="E415" s="11" t="n">
        <x:f>IF($A415="","",INDEX(Assumptions!$M$5:$M$11,WEEKDAY($A415,2)))</x:f>
        <x:v>1.02</x:v>
      </x:c>
      <x:c r="F415" s="11" t="n">
        <x:f>IF($A415="","",Assumptions!$B$15)</x:f>
        <x:v>0.35</x:v>
      </x:c>
      <x:c r="G415" s="11" t="n">
        <x:f>IF($A415="","",MAX(INDEX(Assumptions!$H$5:$H$12,MATCH($B415,Assumptions!$D$5:$D$12,0)),MIN(INDEX(Assumptions!$I$5:$I$12,MATCH($B415,Assumptions!$D$5:$D$12,0)),($C415+$D415*SQRT(-2*LN(RAND()))*COS(2*PI()*RAND()))*$E415*$J415*$K415)))</x:f>
        <x:v>739.6765906494192</x:v>
      </x:c>
      <x:c r="H415" s="11" t="n">
        <x:f>IF($A415="","",$G415*$F415+$C415*(1-$F415))</x:f>
        <x:v>808.1368067272967</x:v>
      </x:c>
      <x:c r="I415" s="11" t="n">
        <x:f>IF($A415="","",AVERAGE($H415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834.1391789003999</x:v>
      </x:c>
      <x:c r="J415" s="12" t="n">
        <x:f>IF($A415="","",1+SUMIFS(Assumptions!$S$5:$S$10,Assumptions!$P$5:$P$10,$B415,Assumptions!$Q$5:$Q$10,"&lt;="&amp;$A415,Assumptions!$R$5:$R$10,"&gt;="&amp;$A415))</x:f>
        <x:v>1</x:v>
      </x:c>
      <x:c r="K415" s="12" t="n">
        <x:f>IF($A415="","",1+((($A415-Assumptions!$B$5)/30)*INDEX(Assumptions!$J$5:$J$12,MATCH($B415,Assumptions!$D$5:$D$12,0))))</x:f>
        <x:v>1.0027333333333333</x:v>
      </x:c>
      <x:c r="L415" t="str">
        <x:f>IF($A415="","",IFERROR(INDEX(Assumptions!$O$5:$O$10,MATCH(1,(Assumptions!$P$5:$P$10=$B415)*(Assumptions!$Q$5:$Q$10&lt;=$A415)*(Assumptions!$R$5:$R$10&gt;=$A415),0)),""))</x:f>
      </x:c>
      <x:c r="M415" t="n">
        <x:f>--($A415&lt;&gt;"")</x:f>
        <x:v>1</x:v>
      </x:c>
    </x:row>
    <x:row r="416">
      <x:c r="A416" s="10" t="n">
        <x:f>IF(Assumptions!$B$5+INT((ROW()-2)/Assumptions!$B$7)&gt;Assumptions!$B$6,"",Assumptions!$B$5+INT((ROW()-2)/Assumptions!$B$7))</x:f>
        <x:v>46105</x:v>
      </x:c>
      <x:c r="B416" t="str">
        <x:f>IF($A416="","",INDEX(Assumptions!$D$5:$D$12,MOD(ROW()-2,Assumptions!$B$7)+1))</x:f>
        <x:v>Yutani Ridge</x:v>
      </x:c>
      <x:c r="C416" s="11" t="n">
        <x:f>IF($A416="","",INDEX(Assumptions!$F$5:$F$12,MATCH($B416,Assumptions!$D$5:$D$12,0)))</x:f>
        <x:v>1050</x:v>
      </x:c>
      <x:c r="D416" s="11" t="n">
        <x:f>IF($A416="","",INDEX(Assumptions!$G$5:$G$12,MATCH($B416,Assumptions!$D$5:$D$12,0)))</x:f>
        <x:v>125</x:v>
      </x:c>
      <x:c r="E416" s="11" t="n">
        <x:f>IF($A416="","",INDEX(Assumptions!$M$5:$M$11,WEEKDAY($A416,2)))</x:f>
        <x:v>1.02</x:v>
      </x:c>
      <x:c r="F416" s="11" t="n">
        <x:f>IF($A416="","",Assumptions!$B$15)</x:f>
        <x:v>0.35</x:v>
      </x:c>
      <x:c r="G416" s="11" t="n">
        <x:f>IF($A416="","",MAX(INDEX(Assumptions!$H$5:$H$12,MATCH($B416,Assumptions!$D$5:$D$12,0)),MIN(INDEX(Assumptions!$I$5:$I$12,MATCH($B416,Assumptions!$D$5:$D$12,0)),($C416+$D416*SQRT(-2*LN(RAND()))*COS(2*PI()*RAND()))*$E416*$J416*$K416)))</x:f>
        <x:v>1379.3328813200299</x:v>
      </x:c>
      <x:c r="H416" s="11" t="n">
        <x:f>IF($A416="","",$G416*$F416+$C416*(1-$F416))</x:f>
        <x:v>1165.2665084620103</x:v>
      </x:c>
      <x:c r="I416" s="11" t="n">
        <x:f>IF($A416="","",AVERAGE($H416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1034.1412779492412</x:v>
      </x:c>
      <x:c r="J416" s="12" t="n">
        <x:f>IF($A416="","",1+SUMIFS(Assumptions!$S$5:$S$10,Assumptions!$P$5:$P$10,$B416,Assumptions!$Q$5:$Q$10,"&lt;="&amp;$A416,Assumptions!$R$5:$R$10,"&gt;="&amp;$A416))</x:f>
        <x:v>1</x:v>
      </x:c>
      <x:c r="K416" s="12" t="n">
        <x:f>IF($A416="","",1+((($A416-Assumptions!$B$5)/30)*INDEX(Assumptions!$J$5:$J$12,MATCH($B416,Assumptions!$D$5:$D$12,0))))</x:f>
        <x:v>1.0068333333333332</x:v>
      </x:c>
      <x:c r="L416" t="str">
        <x:f>IF($A416="","",IFERROR(INDEX(Assumptions!$O$5:$O$10,MATCH(1,(Assumptions!$P$5:$P$10=$B416)*(Assumptions!$Q$5:$Q$10&lt;=$A416)*(Assumptions!$R$5:$R$10&gt;=$A416),0)),""))</x:f>
      </x:c>
      <x:c r="M416" t="n">
        <x:f>--($A416&lt;&gt;"")</x:f>
        <x:v>1</x:v>
      </x:c>
    </x:row>
    <x:row r="417">
      <x:c r="A417" s="10" t="n">
        <x:f>IF(Assumptions!$B$5+INT((ROW()-2)/Assumptions!$B$7)&gt;Assumptions!$B$6,"",Assumptions!$B$5+INT((ROW()-2)/Assumptions!$B$7))</x:f>
        <x:v>46106</x:v>
      </x:c>
      <x:c r="B417" t="str">
        <x:f>IF($A417="","",INDEX(Assumptions!$D$5:$D$12,MOD(ROW()-2,Assumptions!$B$7)+1))</x:f>
        <x:v>Acheron Prime</x:v>
      </x:c>
      <x:c r="C417" s="11" t="n">
        <x:f>IF($A417="","",INDEX(Assumptions!$F$5:$F$12,MATCH($B417,Assumptions!$D$5:$D$12,0)))</x:f>
        <x:v>1120</x:v>
      </x:c>
      <x:c r="D417" s="11" t="n">
        <x:f>IF($A417="","",INDEX(Assumptions!$G$5:$G$12,MATCH($B417,Assumptions!$D$5:$D$12,0)))</x:f>
        <x:v>115</x:v>
      </x:c>
      <x:c r="E417" s="11" t="n">
        <x:f>IF($A417="","",INDEX(Assumptions!$M$5:$M$11,WEEKDAY($A417,2)))</x:f>
        <x:v>1.01</x:v>
      </x:c>
      <x:c r="F417" s="11" t="n">
        <x:f>IF($A417="","",Assumptions!$B$15)</x:f>
        <x:v>0.35</x:v>
      </x:c>
      <x:c r="G417" s="11" t="n">
        <x:f>IF($A417="","",MAX(INDEX(Assumptions!$H$5:$H$12,MATCH($B417,Assumptions!$D$5:$D$12,0)),MIN(INDEX(Assumptions!$I$5:$I$12,MATCH($B417,Assumptions!$D$5:$D$12,0)),($C417+$D417*SQRT(-2*LN(RAND()))*COS(2*PI()*RAND()))*$E417*$J417*$K417)))</x:f>
        <x:v>1315.19827660401</x:v>
      </x:c>
      <x:c r="H417" s="11" t="n">
        <x:f>IF($A417="","",$G417*$F417+$C417*(1-$F417))</x:f>
        <x:v>1188.3193968114035</x:v>
      </x:c>
      <x:c r="I417" s="11" t="n">
        <x:f>IF($A417="","",AVERAGE($H417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1129.392829913554</x:v>
      </x:c>
      <x:c r="J417" s="12" t="n">
        <x:f>IF($A417="","",1+SUMIFS(Assumptions!$S$5:$S$10,Assumptions!$P$5:$P$10,$B417,Assumptions!$Q$5:$Q$10,"&lt;="&amp;$A417,Assumptions!$R$5:$R$10,"&gt;="&amp;$A417))</x:f>
        <x:v>1</x:v>
      </x:c>
      <x:c r="K417" s="12" t="n">
        <x:f>IF($A417="","",1+((($A417-Assumptions!$B$5)/30)*INDEX(Assumptions!$J$5:$J$12,MATCH($B417,Assumptions!$D$5:$D$12,0))))</x:f>
        <x:v>1.0055333333333334</x:v>
      </x:c>
      <x:c r="L417" t="str">
        <x:f>IF($A417="","",IFERROR(INDEX(Assumptions!$O$5:$O$10,MATCH(1,(Assumptions!$P$5:$P$10=$B417)*(Assumptions!$Q$5:$Q$10&lt;=$A417)*(Assumptions!$R$5:$R$10&gt;=$A417),0)),""))</x:f>
      </x:c>
      <x:c r="M417" t="n">
        <x:f>--($A417&lt;&gt;"")</x:f>
        <x:v>1</x:v>
      </x:c>
    </x:row>
    <x:row r="418">
      <x:c r="A418" s="10" t="n">
        <x:f>IF(Assumptions!$B$5+INT((ROW()-2)/Assumptions!$B$7)&gt;Assumptions!$B$6,"",Assumptions!$B$5+INT((ROW()-2)/Assumptions!$B$7))</x:f>
        <x:v>46106</x:v>
      </x:c>
      <x:c r="B418" t="str">
        <x:f>IF($A418="","",INDEX(Assumptions!$D$5:$D$12,MOD(ROW()-2,Assumptions!$B$7)+1))</x:f>
        <x:v>LV-426 North</x:v>
      </x:c>
      <x:c r="C418" s="11" t="n">
        <x:f>IF($A418="","",INDEX(Assumptions!$F$5:$F$12,MATCH($B418,Assumptions!$D$5:$D$12,0)))</x:f>
        <x:v>930</x:v>
      </x:c>
      <x:c r="D418" s="11" t="n">
        <x:f>IF($A418="","",INDEX(Assumptions!$G$5:$G$12,MATCH($B418,Assumptions!$D$5:$D$12,0)))</x:f>
        <x:v>95</x:v>
      </x:c>
      <x:c r="E418" s="11" t="n">
        <x:f>IF($A418="","",INDEX(Assumptions!$M$5:$M$11,WEEKDAY($A418,2)))</x:f>
        <x:v>1.01</x:v>
      </x:c>
      <x:c r="F418" s="11" t="n">
        <x:f>IF($A418="","",Assumptions!$B$15)</x:f>
        <x:v>0.35</x:v>
      </x:c>
      <x:c r="G418" s="11" t="n">
        <x:f>IF($A418="","",MAX(INDEX(Assumptions!$H$5:$H$12,MATCH($B418,Assumptions!$D$5:$D$12,0)),MIN(INDEX(Assumptions!$I$5:$I$12,MATCH($B418,Assumptions!$D$5:$D$12,0)),($C418+$D418*SQRT(-2*LN(RAND()))*COS(2*PI()*RAND()))*$E418*$J418*$K418)))</x:f>
        <x:v>1067.4754026901567</x:v>
      </x:c>
      <x:c r="H418" s="11" t="n">
        <x:f>IF($A418="","",$G418*$F418+$C418*(1-$F418))</x:f>
        <x:v>978.1163909415548</x:v>
      </x:c>
      <x:c r="I418" s="11" t="n">
        <x:f>IF($A418="","",AVERAGE($H418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966.2360961310717</x:v>
      </x:c>
      <x:c r="J418" s="12" t="n">
        <x:f>IF($A418="","",1+SUMIFS(Assumptions!$S$5:$S$10,Assumptions!$P$5:$P$10,$B418,Assumptions!$Q$5:$Q$10,"&lt;="&amp;$A418,Assumptions!$R$5:$R$10,"&gt;="&amp;$A418))</x:f>
        <x:v>1.18</x:v>
      </x:c>
      <x:c r="K418" s="12" t="n">
        <x:f>IF($A418="","",1+((($A418-Assumptions!$B$5)/30)*INDEX(Assumptions!$J$5:$J$12,MATCH($B418,Assumptions!$D$5:$D$12,0))))</x:f>
        <x:v>0.9972333333333333</x:v>
      </x:c>
      <x:c r="L418" t="str">
        <x:f>IF($A418="","",IFERROR(INDEX(Assumptions!$O$5:$O$10,MATCH(1,(Assumptions!$P$5:$P$10=$B418)*(Assumptions!$Q$5:$Q$10&lt;=$A418)*(Assumptions!$R$5:$R$10&gt;=$A418),0)),""))</x:f>
        <x:v>Ore seam boost</x:v>
      </x:c>
      <x:c r="M418" t="n">
        <x:f>--($A418&lt;&gt;"")</x:f>
        <x:v>1</x:v>
      </x:c>
    </x:row>
    <x:row r="419">
      <x:c r="A419" s="10" t="n">
        <x:f>IF(Assumptions!$B$5+INT((ROW()-2)/Assumptions!$B$7)&gt;Assumptions!$B$6,"",Assumptions!$B$5+INT((ROW()-2)/Assumptions!$B$7))</x:f>
        <x:v>46106</x:v>
      </x:c>
      <x:c r="B419" t="str">
        <x:f>IF($A419="","",INDEX(Assumptions!$D$5:$D$12,MOD(ROW()-2,Assumptions!$B$7)+1))</x:f>
        <x:v>Nostromo Deep</x:v>
      </x:c>
      <x:c r="C419" s="11" t="n">
        <x:f>IF($A419="","",INDEX(Assumptions!$F$5:$F$12,MATCH($B419,Assumptions!$D$5:$D$12,0)))</x:f>
        <x:v>1260</x:v>
      </x:c>
      <x:c r="D419" s="11" t="n">
        <x:f>IF($A419="","",INDEX(Assumptions!$G$5:$G$12,MATCH($B419,Assumptions!$D$5:$D$12,0)))</x:f>
        <x:v>145</x:v>
      </x:c>
      <x:c r="E419" s="11" t="n">
        <x:f>IF($A419="","",INDEX(Assumptions!$M$5:$M$11,WEEKDAY($A419,2)))</x:f>
        <x:v>1.01</x:v>
      </x:c>
      <x:c r="F419" s="11" t="n">
        <x:f>IF($A419="","",Assumptions!$B$15)</x:f>
        <x:v>0.35</x:v>
      </x:c>
      <x:c r="G419" s="11" t="n">
        <x:f>IF($A419="","",MAX(INDEX(Assumptions!$H$5:$H$12,MATCH($B419,Assumptions!$D$5:$D$12,0)),MIN(INDEX(Assumptions!$I$5:$I$12,MATCH($B419,Assumptions!$D$5:$D$12,0)),($C419+$D419*SQRT(-2*LN(RAND()))*COS(2*PI()*RAND()))*$E419*$J419*$K419)))</x:f>
        <x:v>1140.6364929399876</x:v>
      </x:c>
      <x:c r="H419" s="11" t="n">
        <x:f>IF($A419="","",$G419*$F419+$C419*(1-$F419))</x:f>
        <x:v>1218.2227725289956</x:v>
      </x:c>
      <x:c r="I419" s="11" t="n">
        <x:f>IF($A419="","",AVERAGE($H419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1253.5158734969277</x:v>
      </x:c>
      <x:c r="J419" s="12" t="n">
        <x:f>IF($A419="","",1+SUMIFS(Assumptions!$S$5:$S$10,Assumptions!$P$5:$P$10,$B419,Assumptions!$Q$5:$Q$10,"&lt;="&amp;$A419,Assumptions!$R$5:$R$10,"&gt;="&amp;$A419))</x:f>
        <x:v>1</x:v>
      </x:c>
      <x:c r="K419" s="12" t="n">
        <x:f>IF($A419="","",1+((($A419-Assumptions!$B$5)/30)*INDEX(Assumptions!$J$5:$J$12,MATCH($B419,Assumptions!$D$5:$D$12,0))))</x:f>
        <x:v>1.0083</x:v>
      </x:c>
      <x:c r="L419" t="str">
        <x:f>IF($A419="","",IFERROR(INDEX(Assumptions!$O$5:$O$10,MATCH(1,(Assumptions!$P$5:$P$10=$B419)*(Assumptions!$Q$5:$Q$10&lt;=$A419)*(Assumptions!$R$5:$R$10&gt;=$A419),0)),""))</x:f>
      </x:c>
      <x:c r="M419" t="n">
        <x:f>--($A419&lt;&gt;"")</x:f>
        <x:v>1</x:v>
      </x:c>
    </x:row>
    <x:row r="420">
      <x:c r="A420" s="10" t="n">
        <x:f>IF(Assumptions!$B$5+INT((ROW()-2)/Assumptions!$B$7)&gt;Assumptions!$B$6,"",Assumptions!$B$5+INT((ROW()-2)/Assumptions!$B$7))</x:f>
        <x:v>46106</x:v>
      </x:c>
      <x:c r="B420" t="str">
        <x:f>IF($A420="","",INDEX(Assumptions!$D$5:$D$12,MOD(ROW()-2,Assumptions!$B$7)+1))</x:f>
        <x:v>Hadley's Hope</x:v>
      </x:c>
      <x:c r="C420" s="11" t="n">
        <x:f>IF($A420="","",INDEX(Assumptions!$F$5:$F$12,MATCH($B420,Assumptions!$D$5:$D$12,0)))</x:f>
        <x:v>845</x:v>
      </x:c>
      <x:c r="D420" s="11" t="n">
        <x:f>IF($A420="","",INDEX(Assumptions!$G$5:$G$12,MATCH($B420,Assumptions!$D$5:$D$12,0)))</x:f>
        <x:v>80</x:v>
      </x:c>
      <x:c r="E420" s="11" t="n">
        <x:f>IF($A420="","",INDEX(Assumptions!$M$5:$M$11,WEEKDAY($A420,2)))</x:f>
        <x:v>1.01</x:v>
      </x:c>
      <x:c r="F420" s="11" t="n">
        <x:f>IF($A420="","",Assumptions!$B$15)</x:f>
        <x:v>0.35</x:v>
      </x:c>
      <x:c r="G420" s="11" t="n">
        <x:f>IF($A420="","",MAX(INDEX(Assumptions!$H$5:$H$12,MATCH($B420,Assumptions!$D$5:$D$12,0)),MIN(INDEX(Assumptions!$I$5:$I$12,MATCH($B420,Assumptions!$D$5:$D$12,0)),($C420+$D420*SQRT(-2*LN(RAND()))*COS(2*PI()*RAND()))*$E420*$J420*$K420)))</x:f>
        <x:v>842.2248951414398</x:v>
      </x:c>
      <x:c r="H420" s="11" t="n">
        <x:f>IF($A420="","",$G420*$F420+$C420*(1-$F420))</x:f>
        <x:v>844.0287132995039</x:v>
      </x:c>
      <x:c r="I420" s="11" t="n">
        <x:f>IF($A420="","",AVERAGE($H420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827.840526979034</x:v>
      </x:c>
      <x:c r="J420" s="12" t="n">
        <x:f>IF($A420="","",1+SUMIFS(Assumptions!$S$5:$S$10,Assumptions!$P$5:$P$10,$B420,Assumptions!$Q$5:$Q$10,"&lt;="&amp;$A420,Assumptions!$R$5:$R$10,"&gt;="&amp;$A420))</x:f>
        <x:v>1</x:v>
      </x:c>
      <x:c r="K420" s="12" t="n">
        <x:f>IF($A420="","",1+((($A420-Assumptions!$B$5)/30)*INDEX(Assumptions!$J$5:$J$12,MATCH($B420,Assumptions!$D$5:$D$12,0))))</x:f>
        <x:v>1.0027666666666666</x:v>
      </x:c>
      <x:c r="L420" t="str">
        <x:f>IF($A420="","",IFERROR(INDEX(Assumptions!$O$5:$O$10,MATCH(1,(Assumptions!$P$5:$P$10=$B420)*(Assumptions!$Q$5:$Q$10&lt;=$A420)*(Assumptions!$R$5:$R$10&gt;=$A420),0)),""))</x:f>
      </x:c>
      <x:c r="M420" t="n">
        <x:f>--($A420&lt;&gt;"")</x:f>
        <x:v>1</x:v>
      </x:c>
    </x:row>
    <x:row r="421">
      <x:c r="A421" s="10" t="n">
        <x:f>IF(Assumptions!$B$5+INT((ROW()-2)/Assumptions!$B$7)&gt;Assumptions!$B$6,"",Assumptions!$B$5+INT((ROW()-2)/Assumptions!$B$7))</x:f>
        <x:v>46106</x:v>
      </x:c>
      <x:c r="B421" t="str">
        <x:f>IF($A421="","",INDEX(Assumptions!$D$5:$D$12,MOD(ROW()-2,Assumptions!$B$7)+1))</x:f>
        <x:v>Yutani Ridge</x:v>
      </x:c>
      <x:c r="C421" s="11" t="n">
        <x:f>IF($A421="","",INDEX(Assumptions!$F$5:$F$12,MATCH($B421,Assumptions!$D$5:$D$12,0)))</x:f>
        <x:v>1050</x:v>
      </x:c>
      <x:c r="D421" s="11" t="n">
        <x:f>IF($A421="","",INDEX(Assumptions!$G$5:$G$12,MATCH($B421,Assumptions!$D$5:$D$12,0)))</x:f>
        <x:v>125</x:v>
      </x:c>
      <x:c r="E421" s="11" t="n">
        <x:f>IF($A421="","",INDEX(Assumptions!$M$5:$M$11,WEEKDAY($A421,2)))</x:f>
        <x:v>1.01</x:v>
      </x:c>
      <x:c r="F421" s="11" t="n">
        <x:f>IF($A421="","",Assumptions!$B$15)</x:f>
        <x:v>0.35</x:v>
      </x:c>
      <x:c r="G421" s="11" t="n">
        <x:f>IF($A421="","",MAX(INDEX(Assumptions!$H$5:$H$12,MATCH($B421,Assumptions!$D$5:$D$12,0)),MIN(INDEX(Assumptions!$I$5:$I$12,MATCH($B421,Assumptions!$D$5:$D$12,0)),($C421+$D421*SQRT(-2*LN(RAND()))*COS(2*PI()*RAND()))*$E421*$J421*$K421)))</x:f>
        <x:v>939.5778169352623</x:v>
      </x:c>
      <x:c r="H421" s="11" t="n">
        <x:f>IF($A421="","",$G421*$F421+$C421*(1-$F421))</x:f>
        <x:v>1011.3522359273418</x:v>
      </x:c>
      <x:c r="I421" s="11" t="n">
        <x:f>IF($A421="","",AVERAGE($H421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1032.4073157128012</x:v>
      </x:c>
      <x:c r="J421" s="12" t="n">
        <x:f>IF($A421="","",1+SUMIFS(Assumptions!$S$5:$S$10,Assumptions!$P$5:$P$10,$B421,Assumptions!$Q$5:$Q$10,"&lt;="&amp;$A421,Assumptions!$R$5:$R$10,"&gt;="&amp;$A421))</x:f>
        <x:v>1</x:v>
      </x:c>
      <x:c r="K421" s="12" t="n">
        <x:f>IF($A421="","",1+((($A421-Assumptions!$B$5)/30)*INDEX(Assumptions!$J$5:$J$12,MATCH($B421,Assumptions!$D$5:$D$12,0))))</x:f>
        <x:v>1.0069166666666667</x:v>
      </x:c>
      <x:c r="L421" t="str">
        <x:f>IF($A421="","",IFERROR(INDEX(Assumptions!$O$5:$O$10,MATCH(1,(Assumptions!$P$5:$P$10=$B421)*(Assumptions!$Q$5:$Q$10&lt;=$A421)*(Assumptions!$R$5:$R$10&gt;=$A421),0)),""))</x:f>
      </x:c>
      <x:c r="M421" t="n">
        <x:f>--($A421&lt;&gt;"")</x:f>
        <x:v>1</x:v>
      </x:c>
    </x:row>
    <x:row r="422">
      <x:c r="A422" s="10" t="n">
        <x:f>IF(Assumptions!$B$5+INT((ROW()-2)/Assumptions!$B$7)&gt;Assumptions!$B$6,"",Assumptions!$B$5+INT((ROW()-2)/Assumptions!$B$7))</x:f>
        <x:v>46107</x:v>
      </x:c>
      <x:c r="B422" t="str">
        <x:f>IF($A422="","",INDEX(Assumptions!$D$5:$D$12,MOD(ROW()-2,Assumptions!$B$7)+1))</x:f>
        <x:v>Acheron Prime</x:v>
      </x:c>
      <x:c r="C422" s="11" t="n">
        <x:f>IF($A422="","",INDEX(Assumptions!$F$5:$F$12,MATCH($B422,Assumptions!$D$5:$D$12,0)))</x:f>
        <x:v>1120</x:v>
      </x:c>
      <x:c r="D422" s="11" t="n">
        <x:f>IF($A422="","",INDEX(Assumptions!$G$5:$G$12,MATCH($B422,Assumptions!$D$5:$D$12,0)))</x:f>
        <x:v>115</x:v>
      </x:c>
      <x:c r="E422" s="11" t="n">
        <x:f>IF($A422="","",INDEX(Assumptions!$M$5:$M$11,WEEKDAY($A422,2)))</x:f>
        <x:v>1</x:v>
      </x:c>
      <x:c r="F422" s="11" t="n">
        <x:f>IF($A422="","",Assumptions!$B$15)</x:f>
        <x:v>0.35</x:v>
      </x:c>
      <x:c r="G422" s="11" t="n">
        <x:f>IF($A422="","",MAX(INDEX(Assumptions!$H$5:$H$12,MATCH($B422,Assumptions!$D$5:$D$12,0)),MIN(INDEX(Assumptions!$I$5:$I$12,MATCH($B422,Assumptions!$D$5:$D$12,0)),($C422+$D422*SQRT(-2*LN(RAND()))*COS(2*PI()*RAND()))*$E422*$J422*$K422)))</x:f>
        <x:v>1525.8569363393221</x:v>
      </x:c>
      <x:c r="H422" s="11" t="n">
        <x:f>IF($A422="","",$G422*$F422+$C422*(1-$F422))</x:f>
        <x:v>1262.0499277187628</x:v>
      </x:c>
      <x:c r="I422" s="11" t="n">
        <x:f>IF($A422="","",AVERAGE($H422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1140.0906664601173</x:v>
      </x:c>
      <x:c r="J422" s="12" t="n">
        <x:f>IF($A422="","",1+SUMIFS(Assumptions!$S$5:$S$10,Assumptions!$P$5:$P$10,$B422,Assumptions!$Q$5:$Q$10,"&lt;="&amp;$A422,Assumptions!$R$5:$R$10,"&gt;="&amp;$A422))</x:f>
        <x:v>1</x:v>
      </x:c>
      <x:c r="K422" s="12" t="n">
        <x:f>IF($A422="","",1+((($A422-Assumptions!$B$5)/30)*INDEX(Assumptions!$J$5:$J$12,MATCH($B422,Assumptions!$D$5:$D$12,0))))</x:f>
        <x:v>1.0056</x:v>
      </x:c>
      <x:c r="L422" t="str">
        <x:f>IF($A422="","",IFERROR(INDEX(Assumptions!$O$5:$O$10,MATCH(1,(Assumptions!$P$5:$P$10=$B422)*(Assumptions!$Q$5:$Q$10&lt;=$A422)*(Assumptions!$R$5:$R$10&gt;=$A422),0)),""))</x:f>
      </x:c>
      <x:c r="M422" t="n">
        <x:f>--($A422&lt;&gt;"")</x:f>
        <x:v>1</x:v>
      </x:c>
    </x:row>
    <x:row r="423">
      <x:c r="A423" s="10" t="n">
        <x:f>IF(Assumptions!$B$5+INT((ROW()-2)/Assumptions!$B$7)&gt;Assumptions!$B$6,"",Assumptions!$B$5+INT((ROW()-2)/Assumptions!$B$7))</x:f>
        <x:v>46107</x:v>
      </x:c>
      <x:c r="B423" t="str">
        <x:f>IF($A423="","",INDEX(Assumptions!$D$5:$D$12,MOD(ROW()-2,Assumptions!$B$7)+1))</x:f>
        <x:v>LV-426 North</x:v>
      </x:c>
      <x:c r="C423" s="11" t="n">
        <x:f>IF($A423="","",INDEX(Assumptions!$F$5:$F$12,MATCH($B423,Assumptions!$D$5:$D$12,0)))</x:f>
        <x:v>930</x:v>
      </x:c>
      <x:c r="D423" s="11" t="n">
        <x:f>IF($A423="","",INDEX(Assumptions!$G$5:$G$12,MATCH($B423,Assumptions!$D$5:$D$12,0)))</x:f>
        <x:v>95</x:v>
      </x:c>
      <x:c r="E423" s="11" t="n">
        <x:f>IF($A423="","",INDEX(Assumptions!$M$5:$M$11,WEEKDAY($A423,2)))</x:f>
        <x:v>1</x:v>
      </x:c>
      <x:c r="F423" s="11" t="n">
        <x:f>IF($A423="","",Assumptions!$B$15)</x:f>
        <x:v>0.35</x:v>
      </x:c>
      <x:c r="G423" s="11" t="n">
        <x:f>IF($A423="","",MAX(INDEX(Assumptions!$H$5:$H$12,MATCH($B423,Assumptions!$D$5:$D$12,0)),MIN(INDEX(Assumptions!$I$5:$I$12,MATCH($B423,Assumptions!$D$5:$D$12,0)),($C423+$D423*SQRT(-2*LN(RAND()))*COS(2*PI()*RAND()))*$E423*$J423*$K423)))</x:f>
        <x:v>918.3059997968617</x:v>
      </x:c>
      <x:c r="H423" s="11" t="n">
        <x:f>IF($A423="","",$G423*$F423+$C423*(1-$F423))</x:f>
        <x:v>925.9070999289015</x:v>
      </x:c>
      <x:c r="I423" s="11" t="n">
        <x:f>IF($A423="","",AVERAGE($H423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966.6740234405204</x:v>
      </x:c>
      <x:c r="J423" s="12" t="n">
        <x:f>IF($A423="","",1+SUMIFS(Assumptions!$S$5:$S$10,Assumptions!$P$5:$P$10,$B423,Assumptions!$Q$5:$Q$10,"&lt;="&amp;$A423,Assumptions!$R$5:$R$10,"&gt;="&amp;$A423))</x:f>
        <x:v>1</x:v>
      </x:c>
      <x:c r="K423" s="12" t="n">
        <x:f>IF($A423="","",1+((($A423-Assumptions!$B$5)/30)*INDEX(Assumptions!$J$5:$J$12,MATCH($B423,Assumptions!$D$5:$D$12,0))))</x:f>
        <x:v>0.9972</x:v>
      </x:c>
      <x:c r="L423" t="str">
        <x:f>IF($A423="","",IFERROR(INDEX(Assumptions!$O$5:$O$10,MATCH(1,(Assumptions!$P$5:$P$10=$B423)*(Assumptions!$Q$5:$Q$10&lt;=$A423)*(Assumptions!$R$5:$R$10&gt;=$A423),0)),""))</x:f>
      </x:c>
      <x:c r="M423" t="n">
        <x:f>--($A423&lt;&gt;"")</x:f>
        <x:v>1</x:v>
      </x:c>
    </x:row>
    <x:row r="424">
      <x:c r="A424" s="10" t="n">
        <x:f>IF(Assumptions!$B$5+INT((ROW()-2)/Assumptions!$B$7)&gt;Assumptions!$B$6,"",Assumptions!$B$5+INT((ROW()-2)/Assumptions!$B$7))</x:f>
        <x:v>46107</x:v>
      </x:c>
      <x:c r="B424" t="str">
        <x:f>IF($A424="","",INDEX(Assumptions!$D$5:$D$12,MOD(ROW()-2,Assumptions!$B$7)+1))</x:f>
        <x:v>Nostromo Deep</x:v>
      </x:c>
      <x:c r="C424" s="11" t="n">
        <x:f>IF($A424="","",INDEX(Assumptions!$F$5:$F$12,MATCH($B424,Assumptions!$D$5:$D$12,0)))</x:f>
        <x:v>1260</x:v>
      </x:c>
      <x:c r="D424" s="11" t="n">
        <x:f>IF($A424="","",INDEX(Assumptions!$G$5:$G$12,MATCH($B424,Assumptions!$D$5:$D$12,0)))</x:f>
        <x:v>145</x:v>
      </x:c>
      <x:c r="E424" s="11" t="n">
        <x:f>IF($A424="","",INDEX(Assumptions!$M$5:$M$11,WEEKDAY($A424,2)))</x:f>
        <x:v>1</x:v>
      </x:c>
      <x:c r="F424" s="11" t="n">
        <x:f>IF($A424="","",Assumptions!$B$15)</x:f>
        <x:v>0.35</x:v>
      </x:c>
      <x:c r="G424" s="11" t="n">
        <x:f>IF($A424="","",MAX(INDEX(Assumptions!$H$5:$H$12,MATCH($B424,Assumptions!$D$5:$D$12,0)),MIN(INDEX(Assumptions!$I$5:$I$12,MATCH($B424,Assumptions!$D$5:$D$12,0)),($C424+$D424*SQRT(-2*LN(RAND()))*COS(2*PI()*RAND()))*$E424*$J424*$K424)))</x:f>
        <x:v>1231.988536732204</x:v>
      </x:c>
      <x:c r="H424" s="11" t="n">
        <x:f>IF($A424="","",$G424*$F424+$C424*(1-$F424))</x:f>
        <x:v>1250.1959878562714</x:v>
      </x:c>
      <x:c r="I424" s="11" t="n">
        <x:f>IF($A424="","",AVERAGE($H424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1243.4114461090905</x:v>
      </x:c>
      <x:c r="J424" s="12" t="n">
        <x:f>IF($A424="","",1+SUMIFS(Assumptions!$S$5:$S$10,Assumptions!$P$5:$P$10,$B424,Assumptions!$Q$5:$Q$10,"&lt;="&amp;$A424,Assumptions!$R$5:$R$10,"&gt;="&amp;$A424))</x:f>
        <x:v>1</x:v>
      </x:c>
      <x:c r="K424" s="12" t="n">
        <x:f>IF($A424="","",1+((($A424-Assumptions!$B$5)/30)*INDEX(Assumptions!$J$5:$J$12,MATCH($B424,Assumptions!$D$5:$D$12,0))))</x:f>
        <x:v>1.0084</x:v>
      </x:c>
      <x:c r="L424" t="str">
        <x:f>IF($A424="","",IFERROR(INDEX(Assumptions!$O$5:$O$10,MATCH(1,(Assumptions!$P$5:$P$10=$B424)*(Assumptions!$Q$5:$Q$10&lt;=$A424)*(Assumptions!$R$5:$R$10&gt;=$A424),0)),""))</x:f>
      </x:c>
      <x:c r="M424" t="n">
        <x:f>--($A424&lt;&gt;"")</x:f>
        <x:v>1</x:v>
      </x:c>
    </x:row>
    <x:row r="425">
      <x:c r="A425" s="10" t="n">
        <x:f>IF(Assumptions!$B$5+INT((ROW()-2)/Assumptions!$B$7)&gt;Assumptions!$B$6,"",Assumptions!$B$5+INT((ROW()-2)/Assumptions!$B$7))</x:f>
        <x:v>46107</x:v>
      </x:c>
      <x:c r="B425" t="str">
        <x:f>IF($A425="","",INDEX(Assumptions!$D$5:$D$12,MOD(ROW()-2,Assumptions!$B$7)+1))</x:f>
        <x:v>Hadley's Hope</x:v>
      </x:c>
      <x:c r="C425" s="11" t="n">
        <x:f>IF($A425="","",INDEX(Assumptions!$F$5:$F$12,MATCH($B425,Assumptions!$D$5:$D$12,0)))</x:f>
        <x:v>845</x:v>
      </x:c>
      <x:c r="D425" s="11" t="n">
        <x:f>IF($A425="","",INDEX(Assumptions!$G$5:$G$12,MATCH($B425,Assumptions!$D$5:$D$12,0)))</x:f>
        <x:v>80</x:v>
      </x:c>
      <x:c r="E425" s="11" t="n">
        <x:f>IF($A425="","",INDEX(Assumptions!$M$5:$M$11,WEEKDAY($A425,2)))</x:f>
        <x:v>1</x:v>
      </x:c>
      <x:c r="F425" s="11" t="n">
        <x:f>IF($A425="","",Assumptions!$B$15)</x:f>
        <x:v>0.35</x:v>
      </x:c>
      <x:c r="G425" s="11" t="n">
        <x:f>IF($A425="","",MAX(INDEX(Assumptions!$H$5:$H$12,MATCH($B425,Assumptions!$D$5:$D$12,0)),MIN(INDEX(Assumptions!$I$5:$I$12,MATCH($B425,Assumptions!$D$5:$D$12,0)),($C425+$D425*SQRT(-2*LN(RAND()))*COS(2*PI()*RAND()))*$E425*$J425*$K425)))</x:f>
        <x:v>826.7160233170066</x:v>
      </x:c>
      <x:c r="H425" s="11" t="n">
        <x:f>IF($A425="","",$G425*$F425+$C425*(1-$F425))</x:f>
        <x:v>838.6006081609523</x:v>
      </x:c>
      <x:c r="I425" s="11" t="n">
        <x:f>IF($A425="","",AVERAGE($H425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827.8541257726148</x:v>
      </x:c>
      <x:c r="J425" s="12" t="n">
        <x:f>IF($A425="","",1+SUMIFS(Assumptions!$S$5:$S$10,Assumptions!$P$5:$P$10,$B425,Assumptions!$Q$5:$Q$10,"&lt;="&amp;$A425,Assumptions!$R$5:$R$10,"&gt;="&amp;$A425))</x:f>
        <x:v>1</x:v>
      </x:c>
      <x:c r="K425" s="12" t="n">
        <x:f>IF($A425="","",1+((($A425-Assumptions!$B$5)/30)*INDEX(Assumptions!$J$5:$J$12,MATCH($B425,Assumptions!$D$5:$D$12,0))))</x:f>
        <x:v>1.0028</x:v>
      </x:c>
      <x:c r="L425" t="str">
        <x:f>IF($A425="","",IFERROR(INDEX(Assumptions!$O$5:$O$10,MATCH(1,(Assumptions!$P$5:$P$10=$B425)*(Assumptions!$Q$5:$Q$10&lt;=$A425)*(Assumptions!$R$5:$R$10&gt;=$A425),0)),""))</x:f>
      </x:c>
      <x:c r="M425" t="n">
        <x:f>--($A425&lt;&gt;"")</x:f>
        <x:v>1</x:v>
      </x:c>
    </x:row>
    <x:row r="426">
      <x:c r="A426" s="10" t="n">
        <x:f>IF(Assumptions!$B$5+INT((ROW()-2)/Assumptions!$B$7)&gt;Assumptions!$B$6,"",Assumptions!$B$5+INT((ROW()-2)/Assumptions!$B$7))</x:f>
        <x:v>46107</x:v>
      </x:c>
      <x:c r="B426" t="str">
        <x:f>IF($A426="","",INDEX(Assumptions!$D$5:$D$12,MOD(ROW()-2,Assumptions!$B$7)+1))</x:f>
        <x:v>Yutani Ridge</x:v>
      </x:c>
      <x:c r="C426" s="11" t="n">
        <x:f>IF($A426="","",INDEX(Assumptions!$F$5:$F$12,MATCH($B426,Assumptions!$D$5:$D$12,0)))</x:f>
        <x:v>1050</x:v>
      </x:c>
      <x:c r="D426" s="11" t="n">
        <x:f>IF($A426="","",INDEX(Assumptions!$G$5:$G$12,MATCH($B426,Assumptions!$D$5:$D$12,0)))</x:f>
        <x:v>125</x:v>
      </x:c>
      <x:c r="E426" s="11" t="n">
        <x:f>IF($A426="","",INDEX(Assumptions!$M$5:$M$11,WEEKDAY($A426,2)))</x:f>
        <x:v>1</x:v>
      </x:c>
      <x:c r="F426" s="11" t="n">
        <x:f>IF($A426="","",Assumptions!$B$15)</x:f>
        <x:v>0.35</x:v>
      </x:c>
      <x:c r="G426" s="11" t="n">
        <x:f>IF($A426="","",MAX(INDEX(Assumptions!$H$5:$H$12,MATCH($B426,Assumptions!$D$5:$D$12,0)),MIN(INDEX(Assumptions!$I$5:$I$12,MATCH($B426,Assumptions!$D$5:$D$12,0)),($C426+$D426*SQRT(-2*LN(RAND()))*COS(2*PI()*RAND()))*$E426*$J426*$K426)))</x:f>
        <x:v>1087.1534670015888</x:v>
      </x:c>
      <x:c r="H426" s="11" t="n">
        <x:f>IF($A426="","",$G426*$F426+$C426*(1-$F426))</x:f>
        <x:v>1063.003713450556</x:v>
      </x:c>
      <x:c r="I426" s="11" t="n">
        <x:f>IF($A426="","",AVERAGE($H426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1049.1617136683985</x:v>
      </x:c>
      <x:c r="J426" s="12" t="n">
        <x:f>IF($A426="","",1+SUMIFS(Assumptions!$S$5:$S$10,Assumptions!$P$5:$P$10,$B426,Assumptions!$Q$5:$Q$10,"&lt;="&amp;$A426,Assumptions!$R$5:$R$10,"&gt;="&amp;$A426))</x:f>
        <x:v>1</x:v>
      </x:c>
      <x:c r="K426" s="12" t="n">
        <x:f>IF($A426="","",1+((($A426-Assumptions!$B$5)/30)*INDEX(Assumptions!$J$5:$J$12,MATCH($B426,Assumptions!$D$5:$D$12,0))))</x:f>
        <x:v>1.007</x:v>
      </x:c>
      <x:c r="L426" t="str">
        <x:f>IF($A426="","",IFERROR(INDEX(Assumptions!$O$5:$O$10,MATCH(1,(Assumptions!$P$5:$P$10=$B426)*(Assumptions!$Q$5:$Q$10&lt;=$A426)*(Assumptions!$R$5:$R$10&gt;=$A426),0)),""))</x:f>
      </x:c>
      <x:c r="M426" t="n">
        <x:f>--($A426&lt;&gt;"")</x:f>
        <x:v>1</x:v>
      </x:c>
    </x:row>
    <x:row r="427">
      <x:c r="A427" s="10" t="n">
        <x:f>IF(Assumptions!$B$5+INT((ROW()-2)/Assumptions!$B$7)&gt;Assumptions!$B$6,"",Assumptions!$B$5+INT((ROW()-2)/Assumptions!$B$7))</x:f>
        <x:v>46108</x:v>
      </x:c>
      <x:c r="B427" t="str">
        <x:f>IF($A427="","",INDEX(Assumptions!$D$5:$D$12,MOD(ROW()-2,Assumptions!$B$7)+1))</x:f>
        <x:v>Acheron Prime</x:v>
      </x:c>
      <x:c r="C427" s="11" t="n">
        <x:f>IF($A427="","",INDEX(Assumptions!$F$5:$F$12,MATCH($B427,Assumptions!$D$5:$D$12,0)))</x:f>
        <x:v>1120</x:v>
      </x:c>
      <x:c r="D427" s="11" t="n">
        <x:f>IF($A427="","",INDEX(Assumptions!$G$5:$G$12,MATCH($B427,Assumptions!$D$5:$D$12,0)))</x:f>
        <x:v>115</x:v>
      </x:c>
      <x:c r="E427" s="11" t="n">
        <x:f>IF($A427="","",INDEX(Assumptions!$M$5:$M$11,WEEKDAY($A427,2)))</x:f>
        <x:v>0.98</x:v>
      </x:c>
      <x:c r="F427" s="11" t="n">
        <x:f>IF($A427="","",Assumptions!$B$15)</x:f>
        <x:v>0.35</x:v>
      </x:c>
      <x:c r="G427" s="11" t="n">
        <x:f>IF($A427="","",MAX(INDEX(Assumptions!$H$5:$H$12,MATCH($B427,Assumptions!$D$5:$D$12,0)),MIN(INDEX(Assumptions!$I$5:$I$12,MATCH($B427,Assumptions!$D$5:$D$12,0)),($C427+$D427*SQRT(-2*LN(RAND()))*COS(2*PI()*RAND()))*$E427*$J427*$K427)))</x:f>
        <x:v>774.2005559843069</x:v>
      </x:c>
      <x:c r="H427" s="11" t="n">
        <x:f>IF($A427="","",$G427*$F427+$C427*(1-$F427))</x:f>
        <x:v>998.9701945945073</x:v>
      </x:c>
      <x:c r="I427" s="11" t="n">
        <x:f>IF($A427="","",AVERAGE($H427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1119.3442401623513</x:v>
      </x:c>
      <x:c r="J427" s="12" t="n">
        <x:f>IF($A427="","",1+SUMIFS(Assumptions!$S$5:$S$10,Assumptions!$P$5:$P$10,$B427,Assumptions!$Q$5:$Q$10,"&lt;="&amp;$A427,Assumptions!$R$5:$R$10,"&gt;="&amp;$A427))</x:f>
        <x:v>1</x:v>
      </x:c>
      <x:c r="K427" s="12" t="n">
        <x:f>IF($A427="","",1+((($A427-Assumptions!$B$5)/30)*INDEX(Assumptions!$J$5:$J$12,MATCH($B427,Assumptions!$D$5:$D$12,0))))</x:f>
        <x:v>1.0056666666666667</x:v>
      </x:c>
      <x:c r="L427" t="str">
        <x:f>IF($A427="","",IFERROR(INDEX(Assumptions!$O$5:$O$10,MATCH(1,(Assumptions!$P$5:$P$10=$B427)*(Assumptions!$Q$5:$Q$10&lt;=$A427)*(Assumptions!$R$5:$R$10&gt;=$A427),0)),""))</x:f>
      </x:c>
      <x:c r="M427" t="n">
        <x:f>--($A427&lt;&gt;"")</x:f>
        <x:v>1</x:v>
      </x:c>
    </x:row>
    <x:row r="428">
      <x:c r="A428" s="10" t="n">
        <x:f>IF(Assumptions!$B$5+INT((ROW()-2)/Assumptions!$B$7)&gt;Assumptions!$B$6,"",Assumptions!$B$5+INT((ROW()-2)/Assumptions!$B$7))</x:f>
        <x:v>46108</x:v>
      </x:c>
      <x:c r="B428" t="str">
        <x:f>IF($A428="","",INDEX(Assumptions!$D$5:$D$12,MOD(ROW()-2,Assumptions!$B$7)+1))</x:f>
        <x:v>LV-426 North</x:v>
      </x:c>
      <x:c r="C428" s="11" t="n">
        <x:f>IF($A428="","",INDEX(Assumptions!$F$5:$F$12,MATCH($B428,Assumptions!$D$5:$D$12,0)))</x:f>
        <x:v>930</x:v>
      </x:c>
      <x:c r="D428" s="11" t="n">
        <x:f>IF($A428="","",INDEX(Assumptions!$G$5:$G$12,MATCH($B428,Assumptions!$D$5:$D$12,0)))</x:f>
        <x:v>95</x:v>
      </x:c>
      <x:c r="E428" s="11" t="n">
        <x:f>IF($A428="","",INDEX(Assumptions!$M$5:$M$11,WEEKDAY($A428,2)))</x:f>
        <x:v>0.98</x:v>
      </x:c>
      <x:c r="F428" s="11" t="n">
        <x:f>IF($A428="","",Assumptions!$B$15)</x:f>
        <x:v>0.35</x:v>
      </x:c>
      <x:c r="G428" s="11" t="n">
        <x:f>IF($A428="","",MAX(INDEX(Assumptions!$H$5:$H$12,MATCH($B428,Assumptions!$D$5:$D$12,0)),MIN(INDEX(Assumptions!$I$5:$I$12,MATCH($B428,Assumptions!$D$5:$D$12,0)),($C428+$D428*SQRT(-2*LN(RAND()))*COS(2*PI()*RAND()))*$E428*$J428*$K428)))</x:f>
        <x:v>1002.8451589806505</x:v>
      </x:c>
      <x:c r="H428" s="11" t="n">
        <x:f>IF($A428="","",$G428*$F428+$C428*(1-$F428))</x:f>
        <x:v>955.4958056432276</x:v>
      </x:c>
      <x:c r="I428" s="11" t="n">
        <x:f>IF($A428="","",AVERAGE($H428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965.2475111676532</x:v>
      </x:c>
      <x:c r="J428" s="12" t="n">
        <x:f>IF($A428="","",1+SUMIFS(Assumptions!$S$5:$S$10,Assumptions!$P$5:$P$10,$B428,Assumptions!$Q$5:$Q$10,"&lt;="&amp;$A428,Assumptions!$R$5:$R$10,"&gt;="&amp;$A428))</x:f>
        <x:v>1</x:v>
      </x:c>
      <x:c r="K428" s="12" t="n">
        <x:f>IF($A428="","",1+((($A428-Assumptions!$B$5)/30)*INDEX(Assumptions!$J$5:$J$12,MATCH($B428,Assumptions!$D$5:$D$12,0))))</x:f>
        <x:v>0.9971666666666666</x:v>
      </x:c>
      <x:c r="L428" t="str">
        <x:f>IF($A428="","",IFERROR(INDEX(Assumptions!$O$5:$O$10,MATCH(1,(Assumptions!$P$5:$P$10=$B428)*(Assumptions!$Q$5:$Q$10&lt;=$A428)*(Assumptions!$R$5:$R$10&gt;=$A428),0)),""))</x:f>
      </x:c>
      <x:c r="M428" t="n">
        <x:f>--($A428&lt;&gt;"")</x:f>
        <x:v>1</x:v>
      </x:c>
    </x:row>
    <x:row r="429">
      <x:c r="A429" s="10" t="n">
        <x:f>IF(Assumptions!$B$5+INT((ROW()-2)/Assumptions!$B$7)&gt;Assumptions!$B$6,"",Assumptions!$B$5+INT((ROW()-2)/Assumptions!$B$7))</x:f>
        <x:v>46108</x:v>
      </x:c>
      <x:c r="B429" t="str">
        <x:f>IF($A429="","",INDEX(Assumptions!$D$5:$D$12,MOD(ROW()-2,Assumptions!$B$7)+1))</x:f>
        <x:v>Nostromo Deep</x:v>
      </x:c>
      <x:c r="C429" s="11" t="n">
        <x:f>IF($A429="","",INDEX(Assumptions!$F$5:$F$12,MATCH($B429,Assumptions!$D$5:$D$12,0)))</x:f>
        <x:v>1260</x:v>
      </x:c>
      <x:c r="D429" s="11" t="n">
        <x:f>IF($A429="","",INDEX(Assumptions!$G$5:$G$12,MATCH($B429,Assumptions!$D$5:$D$12,0)))</x:f>
        <x:v>145</x:v>
      </x:c>
      <x:c r="E429" s="11" t="n">
        <x:f>IF($A429="","",INDEX(Assumptions!$M$5:$M$11,WEEKDAY($A429,2)))</x:f>
        <x:v>0.98</x:v>
      </x:c>
      <x:c r="F429" s="11" t="n">
        <x:f>IF($A429="","",Assumptions!$B$15)</x:f>
        <x:v>0.35</x:v>
      </x:c>
      <x:c r="G429" s="11" t="n">
        <x:f>IF($A429="","",MAX(INDEX(Assumptions!$H$5:$H$12,MATCH($B429,Assumptions!$D$5:$D$12,0)),MIN(INDEX(Assumptions!$I$5:$I$12,MATCH($B429,Assumptions!$D$5:$D$12,0)),($C429+$D429*SQRT(-2*LN(RAND()))*COS(2*PI()*RAND()))*$E429*$J429*$K429)))</x:f>
        <x:v>1139.9524101351979</x:v>
      </x:c>
      <x:c r="H429" s="11" t="n">
        <x:f>IF($A429="","",$G429*$F429+$C429*(1-$F429))</x:f>
        <x:v>1217.9833435473192</x:v>
      </x:c>
      <x:c r="I429" s="11" t="n">
        <x:f>IF($A429="","",AVERAGE($H429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1240.984147222201</x:v>
      </x:c>
      <x:c r="J429" s="12" t="n">
        <x:f>IF($A429="","",1+SUMIFS(Assumptions!$S$5:$S$10,Assumptions!$P$5:$P$10,$B429,Assumptions!$Q$5:$Q$10,"&lt;="&amp;$A429,Assumptions!$R$5:$R$10,"&gt;="&amp;$A429))</x:f>
        <x:v>1</x:v>
      </x:c>
      <x:c r="K429" s="12" t="n">
        <x:f>IF($A429="","",1+((($A429-Assumptions!$B$5)/30)*INDEX(Assumptions!$J$5:$J$12,MATCH($B429,Assumptions!$D$5:$D$12,0))))</x:f>
        <x:v>1.0085</x:v>
      </x:c>
      <x:c r="L429" t="str">
        <x:f>IF($A429="","",IFERROR(INDEX(Assumptions!$O$5:$O$10,MATCH(1,(Assumptions!$P$5:$P$10=$B429)*(Assumptions!$Q$5:$Q$10&lt;=$A429)*(Assumptions!$R$5:$R$10&gt;=$A429),0)),""))</x:f>
      </x:c>
      <x:c r="M429" t="n">
        <x:f>--($A429&lt;&gt;"")</x:f>
        <x:v>1</x:v>
      </x:c>
    </x:row>
    <x:row r="430">
      <x:c r="A430" s="10" t="n">
        <x:f>IF(Assumptions!$B$5+INT((ROW()-2)/Assumptions!$B$7)&gt;Assumptions!$B$6,"",Assumptions!$B$5+INT((ROW()-2)/Assumptions!$B$7))</x:f>
        <x:v>46108</x:v>
      </x:c>
      <x:c r="B430" t="str">
        <x:f>IF($A430="","",INDEX(Assumptions!$D$5:$D$12,MOD(ROW()-2,Assumptions!$B$7)+1))</x:f>
        <x:v>Hadley's Hope</x:v>
      </x:c>
      <x:c r="C430" s="11" t="n">
        <x:f>IF($A430="","",INDEX(Assumptions!$F$5:$F$12,MATCH($B430,Assumptions!$D$5:$D$12,0)))</x:f>
        <x:v>845</x:v>
      </x:c>
      <x:c r="D430" s="11" t="n">
        <x:f>IF($A430="","",INDEX(Assumptions!$G$5:$G$12,MATCH($B430,Assumptions!$D$5:$D$12,0)))</x:f>
        <x:v>80</x:v>
      </x:c>
      <x:c r="E430" s="11" t="n">
        <x:f>IF($A430="","",INDEX(Assumptions!$M$5:$M$11,WEEKDAY($A430,2)))</x:f>
        <x:v>0.98</x:v>
      </x:c>
      <x:c r="F430" s="11" t="n">
        <x:f>IF($A430="","",Assumptions!$B$15)</x:f>
        <x:v>0.35</x:v>
      </x:c>
      <x:c r="G430" s="11" t="n">
        <x:f>IF($A430="","",MAX(INDEX(Assumptions!$H$5:$H$12,MATCH($B430,Assumptions!$D$5:$D$12,0)),MIN(INDEX(Assumptions!$I$5:$I$12,MATCH($B430,Assumptions!$D$5:$D$12,0)),($C430+$D430*SQRT(-2*LN(RAND()))*COS(2*PI()*RAND()))*$E430*$J430*$K430)))</x:f>
        <x:v>863.109220757731</x:v>
      </x:c>
      <x:c r="H430" s="11" t="n">
        <x:f>IF($A430="","",$G430*$F430+$C430*(1-$F430))</x:f>
        <x:v>851.3382272652059</x:v>
      </x:c>
      <x:c r="I430" s="11" t="n">
        <x:f>IF($A430="","",AVERAGE($H430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832.8222041981254</x:v>
      </x:c>
      <x:c r="J430" s="12" t="n">
        <x:f>IF($A430="","",1+SUMIFS(Assumptions!$S$5:$S$10,Assumptions!$P$5:$P$10,$B430,Assumptions!$Q$5:$Q$10,"&lt;="&amp;$A430,Assumptions!$R$5:$R$10,"&gt;="&amp;$A430))</x:f>
        <x:v>1</x:v>
      </x:c>
      <x:c r="K430" s="12" t="n">
        <x:f>IF($A430="","",1+((($A430-Assumptions!$B$5)/30)*INDEX(Assumptions!$J$5:$J$12,MATCH($B430,Assumptions!$D$5:$D$12,0))))</x:f>
        <x:v>1.0028333333333332</x:v>
      </x:c>
      <x:c r="L430" t="str">
        <x:f>IF($A430="","",IFERROR(INDEX(Assumptions!$O$5:$O$10,MATCH(1,(Assumptions!$P$5:$P$10=$B430)*(Assumptions!$Q$5:$Q$10&lt;=$A430)*(Assumptions!$R$5:$R$10&gt;=$A430),0)),""))</x:f>
      </x:c>
      <x:c r="M430" t="n">
        <x:f>--($A430&lt;&gt;"")</x:f>
        <x:v>1</x:v>
      </x:c>
    </x:row>
    <x:row r="431">
      <x:c r="A431" s="10" t="n">
        <x:f>IF(Assumptions!$B$5+INT((ROW()-2)/Assumptions!$B$7)&gt;Assumptions!$B$6,"",Assumptions!$B$5+INT((ROW()-2)/Assumptions!$B$7))</x:f>
        <x:v>46108</x:v>
      </x:c>
      <x:c r="B431" t="str">
        <x:f>IF($A431="","",INDEX(Assumptions!$D$5:$D$12,MOD(ROW()-2,Assumptions!$B$7)+1))</x:f>
        <x:v>Yutani Ridge</x:v>
      </x:c>
      <x:c r="C431" s="11" t="n">
        <x:f>IF($A431="","",INDEX(Assumptions!$F$5:$F$12,MATCH($B431,Assumptions!$D$5:$D$12,0)))</x:f>
        <x:v>1050</x:v>
      </x:c>
      <x:c r="D431" s="11" t="n">
        <x:f>IF($A431="","",INDEX(Assumptions!$G$5:$G$12,MATCH($B431,Assumptions!$D$5:$D$12,0)))</x:f>
        <x:v>125</x:v>
      </x:c>
      <x:c r="E431" s="11" t="n">
        <x:f>IF($A431="","",INDEX(Assumptions!$M$5:$M$11,WEEKDAY($A431,2)))</x:f>
        <x:v>0.98</x:v>
      </x:c>
      <x:c r="F431" s="11" t="n">
        <x:f>IF($A431="","",Assumptions!$B$15)</x:f>
        <x:v>0.35</x:v>
      </x:c>
      <x:c r="G431" s="11" t="n">
        <x:f>IF($A431="","",MAX(INDEX(Assumptions!$H$5:$H$12,MATCH($B431,Assumptions!$D$5:$D$12,0)),MIN(INDEX(Assumptions!$I$5:$I$12,MATCH($B431,Assumptions!$D$5:$D$12,0)),($C431+$D431*SQRT(-2*LN(RAND()))*COS(2*PI()*RAND()))*$E431*$J431*$K431)))</x:f>
        <x:v>791.6040418008178</x:v>
      </x:c>
      <x:c r="H431" s="11" t="n">
        <x:f>IF($A431="","",$G431*$F431+$C431*(1-$F431))</x:f>
        <x:v>959.5614146302862</x:v>
      </x:c>
      <x:c r="I431" s="11" t="n">
        <x:f>IF($A431="","",AVERAGE($H431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1041.39593181202</x:v>
      </x:c>
      <x:c r="J431" s="12" t="n">
        <x:f>IF($A431="","",1+SUMIFS(Assumptions!$S$5:$S$10,Assumptions!$P$5:$P$10,$B431,Assumptions!$Q$5:$Q$10,"&lt;="&amp;$A431,Assumptions!$R$5:$R$10,"&gt;="&amp;$A431))</x:f>
        <x:v>1</x:v>
      </x:c>
      <x:c r="K431" s="12" t="n">
        <x:f>IF($A431="","",1+((($A431-Assumptions!$B$5)/30)*INDEX(Assumptions!$J$5:$J$12,MATCH($B431,Assumptions!$D$5:$D$12,0))))</x:f>
        <x:v>1.0070833333333333</x:v>
      </x:c>
      <x:c r="L431" t="str">
        <x:f>IF($A431="","",IFERROR(INDEX(Assumptions!$O$5:$O$10,MATCH(1,(Assumptions!$P$5:$P$10=$B431)*(Assumptions!$Q$5:$Q$10&lt;=$A431)*(Assumptions!$R$5:$R$10&gt;=$A431),0)),""))</x:f>
      </x:c>
      <x:c r="M431" t="n">
        <x:f>--($A431&lt;&gt;"")</x:f>
        <x:v>1</x:v>
      </x:c>
    </x:row>
    <x:row r="432">
      <x:c r="A432" s="10" t="n">
        <x:f>IF(Assumptions!$B$5+INT((ROW()-2)/Assumptions!$B$7)&gt;Assumptions!$B$6,"",Assumptions!$B$5+INT((ROW()-2)/Assumptions!$B$7))</x:f>
        <x:v>46109</x:v>
      </x:c>
      <x:c r="B432" t="str">
        <x:f>IF($A432="","",INDEX(Assumptions!$D$5:$D$12,MOD(ROW()-2,Assumptions!$B$7)+1))</x:f>
        <x:v>Acheron Prime</x:v>
      </x:c>
      <x:c r="C432" s="11" t="n">
        <x:f>IF($A432="","",INDEX(Assumptions!$F$5:$F$12,MATCH($B432,Assumptions!$D$5:$D$12,0)))</x:f>
        <x:v>1120</x:v>
      </x:c>
      <x:c r="D432" s="11" t="n">
        <x:f>IF($A432="","",INDEX(Assumptions!$G$5:$G$12,MATCH($B432,Assumptions!$D$5:$D$12,0)))</x:f>
        <x:v>115</x:v>
      </x:c>
      <x:c r="E432" s="11" t="n">
        <x:f>IF($A432="","",INDEX(Assumptions!$M$5:$M$11,WEEKDAY($A432,2)))</x:f>
        <x:v>0.91</x:v>
      </x:c>
      <x:c r="F432" s="11" t="n">
        <x:f>IF($A432="","",Assumptions!$B$15)</x:f>
        <x:v>0.35</x:v>
      </x:c>
      <x:c r="G432" s="11" t="n">
        <x:f>IF($A432="","",MAX(INDEX(Assumptions!$H$5:$H$12,MATCH($B432,Assumptions!$D$5:$D$12,0)),MIN(INDEX(Assumptions!$I$5:$I$12,MATCH($B432,Assumptions!$D$5:$D$12,0)),($C432+$D432*SQRT(-2*LN(RAND()))*COS(2*PI()*RAND()))*$E432*$J432*$K432)))</x:f>
        <x:v>1142.3712177993264</x:v>
      </x:c>
      <x:c r="H432" s="11" t="n">
        <x:f>IF($A432="","",$G432*$F432+$C432*(1-$F432))</x:f>
        <x:v>1127.8299262297642</x:v>
      </x:c>
      <x:c r="I432" s="11" t="n">
        <x:f>IF($A432="","",AVERAGE($H432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1130.563392580808</x:v>
      </x:c>
      <x:c r="J432" s="12" t="n">
        <x:f>IF($A432="","",1+SUMIFS(Assumptions!$S$5:$S$10,Assumptions!$P$5:$P$10,$B432,Assumptions!$Q$5:$Q$10,"&lt;="&amp;$A432,Assumptions!$R$5:$R$10,"&gt;="&amp;$A432))</x:f>
        <x:v>1</x:v>
      </x:c>
      <x:c r="K432" s="12" t="n">
        <x:f>IF($A432="","",1+((($A432-Assumptions!$B$5)/30)*INDEX(Assumptions!$J$5:$J$12,MATCH($B432,Assumptions!$D$5:$D$12,0))))</x:f>
        <x:v>1.0057333333333334</x:v>
      </x:c>
      <x:c r="L432" t="str">
        <x:f>IF($A432="","",IFERROR(INDEX(Assumptions!$O$5:$O$10,MATCH(1,(Assumptions!$P$5:$P$10=$B432)*(Assumptions!$Q$5:$Q$10&lt;=$A432)*(Assumptions!$R$5:$R$10&gt;=$A432),0)),""))</x:f>
      </x:c>
      <x:c r="M432" t="n">
        <x:f>--($A432&lt;&gt;"")</x:f>
        <x:v>1</x:v>
      </x:c>
    </x:row>
    <x:row r="433">
      <x:c r="A433" s="10" t="n">
        <x:f>IF(Assumptions!$B$5+INT((ROW()-2)/Assumptions!$B$7)&gt;Assumptions!$B$6,"",Assumptions!$B$5+INT((ROW()-2)/Assumptions!$B$7))</x:f>
        <x:v>46109</x:v>
      </x:c>
      <x:c r="B433" t="str">
        <x:f>IF($A433="","",INDEX(Assumptions!$D$5:$D$12,MOD(ROW()-2,Assumptions!$B$7)+1))</x:f>
        <x:v>LV-426 North</x:v>
      </x:c>
      <x:c r="C433" s="11" t="n">
        <x:f>IF($A433="","",INDEX(Assumptions!$F$5:$F$12,MATCH($B433,Assumptions!$D$5:$D$12,0)))</x:f>
        <x:v>930</x:v>
      </x:c>
      <x:c r="D433" s="11" t="n">
        <x:f>IF($A433="","",INDEX(Assumptions!$G$5:$G$12,MATCH($B433,Assumptions!$D$5:$D$12,0)))</x:f>
        <x:v>95</x:v>
      </x:c>
      <x:c r="E433" s="11" t="n">
        <x:f>IF($A433="","",INDEX(Assumptions!$M$5:$M$11,WEEKDAY($A433,2)))</x:f>
        <x:v>0.91</x:v>
      </x:c>
      <x:c r="F433" s="11" t="n">
        <x:f>IF($A433="","",Assumptions!$B$15)</x:f>
        <x:v>0.35</x:v>
      </x:c>
      <x:c r="G433" s="11" t="n">
        <x:f>IF($A433="","",MAX(INDEX(Assumptions!$H$5:$H$12,MATCH($B433,Assumptions!$D$5:$D$12,0)),MIN(INDEX(Assumptions!$I$5:$I$12,MATCH($B433,Assumptions!$D$5:$D$12,0)),($C433+$D433*SQRT(-2*LN(RAND()))*COS(2*PI()*RAND()))*$E433*$J433*$K433)))</x:f>
        <x:v>733.5026018165704</x:v>
      </x:c>
      <x:c r="H433" s="11" t="n">
        <x:f>IF($A433="","",$G433*$F433+$C433*(1-$F433))</x:f>
        <x:v>861.2259106357997</x:v>
      </x:c>
      <x:c r="I433" s="11" t="n">
        <x:f>IF($A433="","",AVERAGE($H433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954.7476190201706</x:v>
      </x:c>
      <x:c r="J433" s="12" t="n">
        <x:f>IF($A433="","",1+SUMIFS(Assumptions!$S$5:$S$10,Assumptions!$P$5:$P$10,$B433,Assumptions!$Q$5:$Q$10,"&lt;="&amp;$A433,Assumptions!$R$5:$R$10,"&gt;="&amp;$A433))</x:f>
        <x:v>1</x:v>
      </x:c>
      <x:c r="K433" s="12" t="n">
        <x:f>IF($A433="","",1+((($A433-Assumptions!$B$5)/30)*INDEX(Assumptions!$J$5:$J$12,MATCH($B433,Assumptions!$D$5:$D$12,0))))</x:f>
        <x:v>0.9971333333333333</x:v>
      </x:c>
      <x:c r="L433" t="str">
        <x:f>IF($A433="","",IFERROR(INDEX(Assumptions!$O$5:$O$10,MATCH(1,(Assumptions!$P$5:$P$10=$B433)*(Assumptions!$Q$5:$Q$10&lt;=$A433)*(Assumptions!$R$5:$R$10&gt;=$A433),0)),""))</x:f>
      </x:c>
      <x:c r="M433" t="n">
        <x:f>--($A433&lt;&gt;"")</x:f>
        <x:v>1</x:v>
      </x:c>
    </x:row>
    <x:row r="434">
      <x:c r="A434" s="10" t="n">
        <x:f>IF(Assumptions!$B$5+INT((ROW()-2)/Assumptions!$B$7)&gt;Assumptions!$B$6,"",Assumptions!$B$5+INT((ROW()-2)/Assumptions!$B$7))</x:f>
        <x:v>46109</x:v>
      </x:c>
      <x:c r="B434" t="str">
        <x:f>IF($A434="","",INDEX(Assumptions!$D$5:$D$12,MOD(ROW()-2,Assumptions!$B$7)+1))</x:f>
        <x:v>Nostromo Deep</x:v>
      </x:c>
      <x:c r="C434" s="11" t="n">
        <x:f>IF($A434="","",INDEX(Assumptions!$F$5:$F$12,MATCH($B434,Assumptions!$D$5:$D$12,0)))</x:f>
        <x:v>1260</x:v>
      </x:c>
      <x:c r="D434" s="11" t="n">
        <x:f>IF($A434="","",INDEX(Assumptions!$G$5:$G$12,MATCH($B434,Assumptions!$D$5:$D$12,0)))</x:f>
        <x:v>145</x:v>
      </x:c>
      <x:c r="E434" s="11" t="n">
        <x:f>IF($A434="","",INDEX(Assumptions!$M$5:$M$11,WEEKDAY($A434,2)))</x:f>
        <x:v>0.91</x:v>
      </x:c>
      <x:c r="F434" s="11" t="n">
        <x:f>IF($A434="","",Assumptions!$B$15)</x:f>
        <x:v>0.35</x:v>
      </x:c>
      <x:c r="G434" s="11" t="n">
        <x:f>IF($A434="","",MAX(INDEX(Assumptions!$H$5:$H$12,MATCH($B434,Assumptions!$D$5:$D$12,0)),MIN(INDEX(Assumptions!$I$5:$I$12,MATCH($B434,Assumptions!$D$5:$D$12,0)),($C434+$D434*SQRT(-2*LN(RAND()))*COS(2*PI()*RAND()))*$E434*$J434*$K434)))</x:f>
        <x:v>1048.4595827049352</x:v>
      </x:c>
      <x:c r="H434" s="11" t="n">
        <x:f>IF($A434="","",$G434*$F434+$C434*(1-$F434))</x:f>
        <x:v>1185.9608539467272</x:v>
      </x:c>
      <x:c r="I434" s="11" t="n">
        <x:f>IF($A434="","",AVERAGE($H434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1240.7881056468757</x:v>
      </x:c>
      <x:c r="J434" s="12" t="n">
        <x:f>IF($A434="","",1+SUMIFS(Assumptions!$S$5:$S$10,Assumptions!$P$5:$P$10,$B434,Assumptions!$Q$5:$Q$10,"&lt;="&amp;$A434,Assumptions!$R$5:$R$10,"&gt;="&amp;$A434))</x:f>
        <x:v>1</x:v>
      </x:c>
      <x:c r="K434" s="12" t="n">
        <x:f>IF($A434="","",1+((($A434-Assumptions!$B$5)/30)*INDEX(Assumptions!$J$5:$J$12,MATCH($B434,Assumptions!$D$5:$D$12,0))))</x:f>
        <x:v>1.0086</x:v>
      </x:c>
      <x:c r="L434" t="str">
        <x:f>IF($A434="","",IFERROR(INDEX(Assumptions!$O$5:$O$10,MATCH(1,(Assumptions!$P$5:$P$10=$B434)*(Assumptions!$Q$5:$Q$10&lt;=$A434)*(Assumptions!$R$5:$R$10&gt;=$A434),0)),""))</x:f>
      </x:c>
      <x:c r="M434" t="n">
        <x:f>--($A434&lt;&gt;"")</x:f>
        <x:v>1</x:v>
      </x:c>
    </x:row>
    <x:row r="435">
      <x:c r="A435" s="10" t="n">
        <x:f>IF(Assumptions!$B$5+INT((ROW()-2)/Assumptions!$B$7)&gt;Assumptions!$B$6,"",Assumptions!$B$5+INT((ROW()-2)/Assumptions!$B$7))</x:f>
        <x:v>46109</x:v>
      </x:c>
      <x:c r="B435" t="str">
        <x:f>IF($A435="","",INDEX(Assumptions!$D$5:$D$12,MOD(ROW()-2,Assumptions!$B$7)+1))</x:f>
        <x:v>Hadley's Hope</x:v>
      </x:c>
      <x:c r="C435" s="11" t="n">
        <x:f>IF($A435="","",INDEX(Assumptions!$F$5:$F$12,MATCH($B435,Assumptions!$D$5:$D$12,0)))</x:f>
        <x:v>845</x:v>
      </x:c>
      <x:c r="D435" s="11" t="n">
        <x:f>IF($A435="","",INDEX(Assumptions!$G$5:$G$12,MATCH($B435,Assumptions!$D$5:$D$12,0)))</x:f>
        <x:v>80</x:v>
      </x:c>
      <x:c r="E435" s="11" t="n">
        <x:f>IF($A435="","",INDEX(Assumptions!$M$5:$M$11,WEEKDAY($A435,2)))</x:f>
        <x:v>0.91</x:v>
      </x:c>
      <x:c r="F435" s="11" t="n">
        <x:f>IF($A435="","",Assumptions!$B$15)</x:f>
        <x:v>0.35</x:v>
      </x:c>
      <x:c r="G435" s="11" t="n">
        <x:f>IF($A435="","",MAX(INDEX(Assumptions!$H$5:$H$12,MATCH($B435,Assumptions!$D$5:$D$12,0)),MIN(INDEX(Assumptions!$I$5:$I$12,MATCH($B435,Assumptions!$D$5:$D$12,0)),($C435+$D435*SQRT(-2*LN(RAND()))*COS(2*PI()*RAND()))*$E435*$J435*$K435)))</x:f>
        <x:v>829.5455745859214</x:v>
      </x:c>
      <x:c r="H435" s="11" t="n">
        <x:f>IF($A435="","",$G435*$F435+$C435*(1-$F435))</x:f>
        <x:v>839.5909511050725</x:v>
      </x:c>
      <x:c r="I435" s="11" t="n">
        <x:f>IF($A435="","",AVERAGE($H435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830.6491206987179</x:v>
      </x:c>
      <x:c r="J435" s="12" t="n">
        <x:f>IF($A435="","",1+SUMIFS(Assumptions!$S$5:$S$10,Assumptions!$P$5:$P$10,$B435,Assumptions!$Q$5:$Q$10,"&lt;="&amp;$A435,Assumptions!$R$5:$R$10,"&gt;="&amp;$A435))</x:f>
        <x:v>1</x:v>
      </x:c>
      <x:c r="K435" s="12" t="n">
        <x:f>IF($A435="","",1+((($A435-Assumptions!$B$5)/30)*INDEX(Assumptions!$J$5:$J$12,MATCH($B435,Assumptions!$D$5:$D$12,0))))</x:f>
        <x:v>1.0028666666666666</x:v>
      </x:c>
      <x:c r="L435" t="str">
        <x:f>IF($A435="","",IFERROR(INDEX(Assumptions!$O$5:$O$10,MATCH(1,(Assumptions!$P$5:$P$10=$B435)*(Assumptions!$Q$5:$Q$10&lt;=$A435)*(Assumptions!$R$5:$R$10&gt;=$A435),0)),""))</x:f>
      </x:c>
      <x:c r="M435" t="n">
        <x:f>--($A435&lt;&gt;"")</x:f>
        <x:v>1</x:v>
      </x:c>
    </x:row>
    <x:row r="436">
      <x:c r="A436" s="10" t="n">
        <x:f>IF(Assumptions!$B$5+INT((ROW()-2)/Assumptions!$B$7)&gt;Assumptions!$B$6,"",Assumptions!$B$5+INT((ROW()-2)/Assumptions!$B$7))</x:f>
        <x:v>46109</x:v>
      </x:c>
      <x:c r="B436" t="str">
        <x:f>IF($A436="","",INDEX(Assumptions!$D$5:$D$12,MOD(ROW()-2,Assumptions!$B$7)+1))</x:f>
        <x:v>Yutani Ridge</x:v>
      </x:c>
      <x:c r="C436" s="11" t="n">
        <x:f>IF($A436="","",INDEX(Assumptions!$F$5:$F$12,MATCH($B436,Assumptions!$D$5:$D$12,0)))</x:f>
        <x:v>1050</x:v>
      </x:c>
      <x:c r="D436" s="11" t="n">
        <x:f>IF($A436="","",INDEX(Assumptions!$G$5:$G$12,MATCH($B436,Assumptions!$D$5:$D$12,0)))</x:f>
        <x:v>125</x:v>
      </x:c>
      <x:c r="E436" s="11" t="n">
        <x:f>IF($A436="","",INDEX(Assumptions!$M$5:$M$11,WEEKDAY($A436,2)))</x:f>
        <x:v>0.91</x:v>
      </x:c>
      <x:c r="F436" s="11" t="n">
        <x:f>IF($A436="","",Assumptions!$B$15)</x:f>
        <x:v>0.35</x:v>
      </x:c>
      <x:c r="G436" s="11" t="n">
        <x:f>IF($A436="","",MAX(INDEX(Assumptions!$H$5:$H$12,MATCH($B436,Assumptions!$D$5:$D$12,0)),MIN(INDEX(Assumptions!$I$5:$I$12,MATCH($B436,Assumptions!$D$5:$D$12,0)),($C436+$D436*SQRT(-2*LN(RAND()))*COS(2*PI()*RAND()))*$E436*$J436*$K436)))</x:f>
        <x:v>932.8638422702228</x:v>
      </x:c>
      <x:c r="H436" s="11" t="n">
        <x:f>IF($A436="","",$G436*$F436+$C436*(1-$F436))</x:f>
        <x:v>1009.002344794578</x:v>
      </x:c>
      <x:c r="I436" s="11" t="n">
        <x:f>IF($A436="","",AVERAGE($H436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1046.1437020743751</x:v>
      </x:c>
      <x:c r="J436" s="12" t="n">
        <x:f>IF($A436="","",1+SUMIFS(Assumptions!$S$5:$S$10,Assumptions!$P$5:$P$10,$B436,Assumptions!$Q$5:$Q$10,"&lt;="&amp;$A436,Assumptions!$R$5:$R$10,"&gt;="&amp;$A436))</x:f>
        <x:v>1</x:v>
      </x:c>
      <x:c r="K436" s="12" t="n">
        <x:f>IF($A436="","",1+((($A436-Assumptions!$B$5)/30)*INDEX(Assumptions!$J$5:$J$12,MATCH($B436,Assumptions!$D$5:$D$12,0))))</x:f>
        <x:v>1.0071666666666668</x:v>
      </x:c>
      <x:c r="L436" t="str">
        <x:f>IF($A436="","",IFERROR(INDEX(Assumptions!$O$5:$O$10,MATCH(1,(Assumptions!$P$5:$P$10=$B436)*(Assumptions!$Q$5:$Q$10&lt;=$A436)*(Assumptions!$R$5:$R$10&gt;=$A436),0)),""))</x:f>
      </x:c>
      <x:c r="M436" t="n">
        <x:f>--($A436&lt;&gt;"")</x:f>
        <x:v>1</x:v>
      </x:c>
    </x:row>
    <x:row r="437">
      <x:c r="A437" s="10" t="n">
        <x:f>IF(Assumptions!$B$5+INT((ROW()-2)/Assumptions!$B$7)&gt;Assumptions!$B$6,"",Assumptions!$B$5+INT((ROW()-2)/Assumptions!$B$7))</x:f>
        <x:v>46110</x:v>
      </x:c>
      <x:c r="B437" t="str">
        <x:f>IF($A437="","",INDEX(Assumptions!$D$5:$D$12,MOD(ROW()-2,Assumptions!$B$7)+1))</x:f>
        <x:v>Acheron Prime</x:v>
      </x:c>
      <x:c r="C437" s="11" t="n">
        <x:f>IF($A437="","",INDEX(Assumptions!$F$5:$F$12,MATCH($B437,Assumptions!$D$5:$D$12,0)))</x:f>
        <x:v>1120</x:v>
      </x:c>
      <x:c r="D437" s="11" t="n">
        <x:f>IF($A437="","",INDEX(Assumptions!$G$5:$G$12,MATCH($B437,Assumptions!$D$5:$D$12,0)))</x:f>
        <x:v>115</x:v>
      </x:c>
      <x:c r="E437" s="11" t="n">
        <x:f>IF($A437="","",INDEX(Assumptions!$M$5:$M$11,WEEKDAY($A437,2)))</x:f>
        <x:v>0.87</x:v>
      </x:c>
      <x:c r="F437" s="11" t="n">
        <x:f>IF($A437="","",Assumptions!$B$15)</x:f>
        <x:v>0.35</x:v>
      </x:c>
      <x:c r="G437" s="11" t="n">
        <x:f>IF($A437="","",MAX(INDEX(Assumptions!$H$5:$H$12,MATCH($B437,Assumptions!$D$5:$D$12,0)),MIN(INDEX(Assumptions!$I$5:$I$12,MATCH($B437,Assumptions!$D$5:$D$12,0)),($C437+$D437*SQRT(-2*LN(RAND()))*COS(2*PI()*RAND()))*$E437*$J437*$K437)))</x:f>
        <x:v>1024.3381979220765</x:v>
      </x:c>
      <x:c r="H437" s="11" t="n">
        <x:f>IF($A437="","",$G437*$F437+$C437*(1-$F437))</x:f>
        <x:v>1086.5183692727267</x:v>
      </x:c>
      <x:c r="I437" s="11" t="n">
        <x:f>IF($A437="","",AVERAGE($H437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1131.694920057967</x:v>
      </x:c>
      <x:c r="J437" s="12" t="n">
        <x:f>IF($A437="","",1+SUMIFS(Assumptions!$S$5:$S$10,Assumptions!$P$5:$P$10,$B437,Assumptions!$Q$5:$Q$10,"&lt;="&amp;$A437,Assumptions!$R$5:$R$10,"&gt;="&amp;$A437))</x:f>
        <x:v>1</x:v>
      </x:c>
      <x:c r="K437" s="12" t="n">
        <x:f>IF($A437="","",1+((($A437-Assumptions!$B$5)/30)*INDEX(Assumptions!$J$5:$J$12,MATCH($B437,Assumptions!$D$5:$D$12,0))))</x:f>
        <x:v>1.0058</x:v>
      </x:c>
      <x:c r="L437" t="str">
        <x:f>IF($A437="","",IFERROR(INDEX(Assumptions!$O$5:$O$10,MATCH(1,(Assumptions!$P$5:$P$10=$B437)*(Assumptions!$Q$5:$Q$10&lt;=$A437)*(Assumptions!$R$5:$R$10&gt;=$A437),0)),""))</x:f>
      </x:c>
      <x:c r="M437" t="n">
        <x:f>--($A437&lt;&gt;"")</x:f>
        <x:v>1</x:v>
      </x:c>
    </x:row>
    <x:row r="438">
      <x:c r="A438" s="10" t="n">
        <x:f>IF(Assumptions!$B$5+INT((ROW()-2)/Assumptions!$B$7)&gt;Assumptions!$B$6,"",Assumptions!$B$5+INT((ROW()-2)/Assumptions!$B$7))</x:f>
        <x:v>46110</x:v>
      </x:c>
      <x:c r="B438" t="str">
        <x:f>IF($A438="","",INDEX(Assumptions!$D$5:$D$12,MOD(ROW()-2,Assumptions!$B$7)+1))</x:f>
        <x:v>LV-426 North</x:v>
      </x:c>
      <x:c r="C438" s="11" t="n">
        <x:f>IF($A438="","",INDEX(Assumptions!$F$5:$F$12,MATCH($B438,Assumptions!$D$5:$D$12,0)))</x:f>
        <x:v>930</x:v>
      </x:c>
      <x:c r="D438" s="11" t="n">
        <x:f>IF($A438="","",INDEX(Assumptions!$G$5:$G$12,MATCH($B438,Assumptions!$D$5:$D$12,0)))</x:f>
        <x:v>95</x:v>
      </x:c>
      <x:c r="E438" s="11" t="n">
        <x:f>IF($A438="","",INDEX(Assumptions!$M$5:$M$11,WEEKDAY($A438,2)))</x:f>
        <x:v>0.87</x:v>
      </x:c>
      <x:c r="F438" s="11" t="n">
        <x:f>IF($A438="","",Assumptions!$B$15)</x:f>
        <x:v>0.35</x:v>
      </x:c>
      <x:c r="G438" s="11" t="n">
        <x:f>IF($A438="","",MAX(INDEX(Assumptions!$H$5:$H$12,MATCH($B438,Assumptions!$D$5:$D$12,0)),MIN(INDEX(Assumptions!$I$5:$I$12,MATCH($B438,Assumptions!$D$5:$D$12,0)),($C438+$D438*SQRT(-2*LN(RAND()))*COS(2*PI()*RAND()))*$E438*$J438*$K438)))</x:f>
        <x:v>840.8091690065834</x:v>
      </x:c>
      <x:c r="H438" s="11" t="n">
        <x:f>IF($A438="","",$G438*$F438+$C438*(1-$F438))</x:f>
        <x:v>898.7832091523042</x:v>
      </x:c>
      <x:c r="I438" s="11" t="n">
        <x:f>IF($A438="","",AVERAGE($H438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951.4009300915156</x:v>
      </x:c>
      <x:c r="J438" s="12" t="n">
        <x:f>IF($A438="","",1+SUMIFS(Assumptions!$S$5:$S$10,Assumptions!$P$5:$P$10,$B438,Assumptions!$Q$5:$Q$10,"&lt;="&amp;$A438,Assumptions!$R$5:$R$10,"&gt;="&amp;$A438))</x:f>
        <x:v>1</x:v>
      </x:c>
      <x:c r="K438" s="12" t="n">
        <x:f>IF($A438="","",1+((($A438-Assumptions!$B$5)/30)*INDEX(Assumptions!$J$5:$J$12,MATCH($B438,Assumptions!$D$5:$D$12,0))))</x:f>
        <x:v>0.9971</x:v>
      </x:c>
      <x:c r="L438" t="str">
        <x:f>IF($A438="","",IFERROR(INDEX(Assumptions!$O$5:$O$10,MATCH(1,(Assumptions!$P$5:$P$10=$B438)*(Assumptions!$Q$5:$Q$10&lt;=$A438)*(Assumptions!$R$5:$R$10&gt;=$A438),0)),""))</x:f>
      </x:c>
      <x:c r="M438" t="n">
        <x:f>--($A438&lt;&gt;"")</x:f>
        <x:v>1</x:v>
      </x:c>
    </x:row>
    <x:row r="439">
      <x:c r="A439" s="10" t="n">
        <x:f>IF(Assumptions!$B$5+INT((ROW()-2)/Assumptions!$B$7)&gt;Assumptions!$B$6,"",Assumptions!$B$5+INT((ROW()-2)/Assumptions!$B$7))</x:f>
        <x:v>46110</x:v>
      </x:c>
      <x:c r="B439" t="str">
        <x:f>IF($A439="","",INDEX(Assumptions!$D$5:$D$12,MOD(ROW()-2,Assumptions!$B$7)+1))</x:f>
        <x:v>Nostromo Deep</x:v>
      </x:c>
      <x:c r="C439" s="11" t="n">
        <x:f>IF($A439="","",INDEX(Assumptions!$F$5:$F$12,MATCH($B439,Assumptions!$D$5:$D$12,0)))</x:f>
        <x:v>1260</x:v>
      </x:c>
      <x:c r="D439" s="11" t="n">
        <x:f>IF($A439="","",INDEX(Assumptions!$G$5:$G$12,MATCH($B439,Assumptions!$D$5:$D$12,0)))</x:f>
        <x:v>145</x:v>
      </x:c>
      <x:c r="E439" s="11" t="n">
        <x:f>IF($A439="","",INDEX(Assumptions!$M$5:$M$11,WEEKDAY($A439,2)))</x:f>
        <x:v>0.87</x:v>
      </x:c>
      <x:c r="F439" s="11" t="n">
        <x:f>IF($A439="","",Assumptions!$B$15)</x:f>
        <x:v>0.35</x:v>
      </x:c>
      <x:c r="G439" s="11" t="n">
        <x:f>IF($A439="","",MAX(INDEX(Assumptions!$H$5:$H$12,MATCH($B439,Assumptions!$D$5:$D$12,0)),MIN(INDEX(Assumptions!$I$5:$I$12,MATCH($B439,Assumptions!$D$5:$D$12,0)),($C439+$D439*SQRT(-2*LN(RAND()))*COS(2*PI()*RAND()))*$E439*$J439*$K439)))</x:f>
        <x:v>1203.1636122029029</x:v>
      </x:c>
      <x:c r="H439" s="11" t="n">
        <x:f>IF($A439="","",$G439*$F439+$C439*(1-$F439))</x:f>
        <x:v>1240.107264271016</x:v>
      </x:c>
      <x:c r="I439" s="11" t="n">
        <x:f>IF($A439="","",AVERAGE($H439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1236.2732409497028</x:v>
      </x:c>
      <x:c r="J439" s="12" t="n">
        <x:f>IF($A439="","",1+SUMIFS(Assumptions!$S$5:$S$10,Assumptions!$P$5:$P$10,$B439,Assumptions!$Q$5:$Q$10,"&lt;="&amp;$A439,Assumptions!$R$5:$R$10,"&gt;="&amp;$A439))</x:f>
        <x:v>1</x:v>
      </x:c>
      <x:c r="K439" s="12" t="n">
        <x:f>IF($A439="","",1+((($A439-Assumptions!$B$5)/30)*INDEX(Assumptions!$J$5:$J$12,MATCH($B439,Assumptions!$D$5:$D$12,0))))</x:f>
        <x:v>1.0087</x:v>
      </x:c>
      <x:c r="L439" t="str">
        <x:f>IF($A439="","",IFERROR(INDEX(Assumptions!$O$5:$O$10,MATCH(1,(Assumptions!$P$5:$P$10=$B439)*(Assumptions!$Q$5:$Q$10&lt;=$A439)*(Assumptions!$R$5:$R$10&gt;=$A439),0)),""))</x:f>
      </x:c>
      <x:c r="M439" t="n">
        <x:f>--($A439&lt;&gt;"")</x:f>
        <x:v>1</x:v>
      </x:c>
    </x:row>
    <x:row r="440">
      <x:c r="A440" s="10" t="n">
        <x:f>IF(Assumptions!$B$5+INT((ROW()-2)/Assumptions!$B$7)&gt;Assumptions!$B$6,"",Assumptions!$B$5+INT((ROW()-2)/Assumptions!$B$7))</x:f>
        <x:v>46110</x:v>
      </x:c>
      <x:c r="B440" t="str">
        <x:f>IF($A440="","",INDEX(Assumptions!$D$5:$D$12,MOD(ROW()-2,Assumptions!$B$7)+1))</x:f>
        <x:v>Hadley's Hope</x:v>
      </x:c>
      <x:c r="C440" s="11" t="n">
        <x:f>IF($A440="","",INDEX(Assumptions!$F$5:$F$12,MATCH($B440,Assumptions!$D$5:$D$12,0)))</x:f>
        <x:v>845</x:v>
      </x:c>
      <x:c r="D440" s="11" t="n">
        <x:f>IF($A440="","",INDEX(Assumptions!$G$5:$G$12,MATCH($B440,Assumptions!$D$5:$D$12,0)))</x:f>
        <x:v>80</x:v>
      </x:c>
      <x:c r="E440" s="11" t="n">
        <x:f>IF($A440="","",INDEX(Assumptions!$M$5:$M$11,WEEKDAY($A440,2)))</x:f>
        <x:v>0.87</x:v>
      </x:c>
      <x:c r="F440" s="11" t="n">
        <x:f>IF($A440="","",Assumptions!$B$15)</x:f>
        <x:v>0.35</x:v>
      </x:c>
      <x:c r="G440" s="11" t="n">
        <x:f>IF($A440="","",MAX(INDEX(Assumptions!$H$5:$H$12,MATCH($B440,Assumptions!$D$5:$D$12,0)),MIN(INDEX(Assumptions!$I$5:$I$12,MATCH($B440,Assumptions!$D$5:$D$12,0)),($C440+$D440*SQRT(-2*LN(RAND()))*COS(2*PI()*RAND()))*$E440*$J440*$K440)))</x:f>
        <x:v>821.6547495716956</x:v>
      </x:c>
      <x:c r="H440" s="11" t="n">
        <x:f>IF($A440="","",$G440*$F440+$C440*(1-$F440))</x:f>
        <x:v>836.8291623500934</x:v>
      </x:c>
      <x:c r="I440" s="11" t="n">
        <x:f>IF($A440="","",AVERAGE($H440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835.2084361377755</x:v>
      </x:c>
      <x:c r="J440" s="12" t="n">
        <x:f>IF($A440="","",1+SUMIFS(Assumptions!$S$5:$S$10,Assumptions!$P$5:$P$10,$B440,Assumptions!$Q$5:$Q$10,"&lt;="&amp;$A440,Assumptions!$R$5:$R$10,"&gt;="&amp;$A440))</x:f>
        <x:v>1</x:v>
      </x:c>
      <x:c r="K440" s="12" t="n">
        <x:f>IF($A440="","",1+((($A440-Assumptions!$B$5)/30)*INDEX(Assumptions!$J$5:$J$12,MATCH($B440,Assumptions!$D$5:$D$12,0))))</x:f>
        <x:v>1.0029</x:v>
      </x:c>
      <x:c r="L440" t="str">
        <x:f>IF($A440="","",IFERROR(INDEX(Assumptions!$O$5:$O$10,MATCH(1,(Assumptions!$P$5:$P$10=$B440)*(Assumptions!$Q$5:$Q$10&lt;=$A440)*(Assumptions!$R$5:$R$10&gt;=$A440),0)),""))</x:f>
      </x:c>
      <x:c r="M440" t="n">
        <x:f>--($A440&lt;&gt;"")</x:f>
        <x:v>1</x:v>
      </x:c>
    </x:row>
    <x:row r="441">
      <x:c r="A441" s="10" t="n">
        <x:f>IF(Assumptions!$B$5+INT((ROW()-2)/Assumptions!$B$7)&gt;Assumptions!$B$6,"",Assumptions!$B$5+INT((ROW()-2)/Assumptions!$B$7))</x:f>
        <x:v>46110</x:v>
      </x:c>
      <x:c r="B441" t="str">
        <x:f>IF($A441="","",INDEX(Assumptions!$D$5:$D$12,MOD(ROW()-2,Assumptions!$B$7)+1))</x:f>
        <x:v>Yutani Ridge</x:v>
      </x:c>
      <x:c r="C441" s="11" t="n">
        <x:f>IF($A441="","",INDEX(Assumptions!$F$5:$F$12,MATCH($B441,Assumptions!$D$5:$D$12,0)))</x:f>
        <x:v>1050</x:v>
      </x:c>
      <x:c r="D441" s="11" t="n">
        <x:f>IF($A441="","",INDEX(Assumptions!$G$5:$G$12,MATCH($B441,Assumptions!$D$5:$D$12,0)))</x:f>
        <x:v>125</x:v>
      </x:c>
      <x:c r="E441" s="11" t="n">
        <x:f>IF($A441="","",INDEX(Assumptions!$M$5:$M$11,WEEKDAY($A441,2)))</x:f>
        <x:v>0.87</x:v>
      </x:c>
      <x:c r="F441" s="11" t="n">
        <x:f>IF($A441="","",Assumptions!$B$15)</x:f>
        <x:v>0.35</x:v>
      </x:c>
      <x:c r="G441" s="11" t="n">
        <x:f>IF($A441="","",MAX(INDEX(Assumptions!$H$5:$H$12,MATCH($B441,Assumptions!$D$5:$D$12,0)),MIN(INDEX(Assumptions!$I$5:$I$12,MATCH($B441,Assumptions!$D$5:$D$12,0)),($C441+$D441*SQRT(-2*LN(RAND()))*COS(2*PI()*RAND()))*$E441*$J441*$K441)))</x:f>
        <x:v>892.372809955189</x:v>
      </x:c>
      <x:c r="H441" s="11" t="n">
        <x:f>IF($A441="","",$G441*$F441+$C441*(1-$F441))</x:f>
        <x:v>994.8304834843161</x:v>
      </x:c>
      <x:c r="I441" s="11" t="n">
        <x:f>IF($A441="","",AVERAGE($H441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1042.1522513934246</x:v>
      </x:c>
      <x:c r="J441" s="12" t="n">
        <x:f>IF($A441="","",1+SUMIFS(Assumptions!$S$5:$S$10,Assumptions!$P$5:$P$10,$B441,Assumptions!$Q$5:$Q$10,"&lt;="&amp;$A441,Assumptions!$R$5:$R$10,"&gt;="&amp;$A441))</x:f>
        <x:v>1</x:v>
      </x:c>
      <x:c r="K441" s="12" t="n">
        <x:f>IF($A441="","",1+((($A441-Assumptions!$B$5)/30)*INDEX(Assumptions!$J$5:$J$12,MATCH($B441,Assumptions!$D$5:$D$12,0))))</x:f>
        <x:v>1.00725</x:v>
      </x:c>
      <x:c r="L441" t="str">
        <x:f>IF($A441="","",IFERROR(INDEX(Assumptions!$O$5:$O$10,MATCH(1,(Assumptions!$P$5:$P$10=$B441)*(Assumptions!$Q$5:$Q$10&lt;=$A441)*(Assumptions!$R$5:$R$10&gt;=$A441),0)),""))</x:f>
      </x:c>
      <x:c r="M441" t="n">
        <x:f>--($A441&lt;&gt;"")</x:f>
        <x:v>1</x:v>
      </x:c>
    </x:row>
    <x:row r="442">
      <x:c r="A442" s="10" t="n">
        <x:f>IF(Assumptions!$B$5+INT((ROW()-2)/Assumptions!$B$7)&gt;Assumptions!$B$6,"",Assumptions!$B$5+INT((ROW()-2)/Assumptions!$B$7))</x:f>
        <x:v>46111</x:v>
      </x:c>
      <x:c r="B442" t="str">
        <x:f>IF($A442="","",INDEX(Assumptions!$D$5:$D$12,MOD(ROW()-2,Assumptions!$B$7)+1))</x:f>
        <x:v>Acheron Prime</x:v>
      </x:c>
      <x:c r="C442" s="11" t="n">
        <x:f>IF($A442="","",INDEX(Assumptions!$F$5:$F$12,MATCH($B442,Assumptions!$D$5:$D$12,0)))</x:f>
        <x:v>1120</x:v>
      </x:c>
      <x:c r="D442" s="11" t="n">
        <x:f>IF($A442="","",INDEX(Assumptions!$G$5:$G$12,MATCH($B442,Assumptions!$D$5:$D$12,0)))</x:f>
        <x:v>115</x:v>
      </x:c>
      <x:c r="E442" s="11" t="n">
        <x:f>IF($A442="","",INDEX(Assumptions!$M$5:$M$11,WEEKDAY($A442,2)))</x:f>
        <x:v>1.03</x:v>
      </x:c>
      <x:c r="F442" s="11" t="n">
        <x:f>IF($A442="","",Assumptions!$B$15)</x:f>
        <x:v>0.35</x:v>
      </x:c>
      <x:c r="G442" s="11" t="n">
        <x:f>IF($A442="","",MAX(INDEX(Assumptions!$H$5:$H$12,MATCH($B442,Assumptions!$D$5:$D$12,0)),MIN(INDEX(Assumptions!$I$5:$I$12,MATCH($B442,Assumptions!$D$5:$D$12,0)),($C442+$D442*SQRT(-2*LN(RAND()))*COS(2*PI()*RAND()))*$E442*$J442*$K442)))</x:f>
        <x:v>1357.0541753615537</x:v>
      </x:c>
      <x:c r="H442" s="11" t="n">
        <x:f>IF($A442="","",$G442*$F442+$C442*(1-$F442))</x:f>
        <x:v>1202.9689613765438</x:v>
      </x:c>
      <x:c r="I442" s="11" t="n">
        <x:f>IF($A442="","",AVERAGE($H442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1146.8171367202601</x:v>
      </x:c>
      <x:c r="J442" s="12" t="n">
        <x:f>IF($A442="","",1+SUMIFS(Assumptions!$S$5:$S$10,Assumptions!$P$5:$P$10,$B442,Assumptions!$Q$5:$Q$10,"&lt;="&amp;$A442,Assumptions!$R$5:$R$10,"&gt;="&amp;$A442))</x:f>
        <x:v>1</x:v>
      </x:c>
      <x:c r="K442" s="12" t="n">
        <x:f>IF($A442="","",1+((($A442-Assumptions!$B$5)/30)*INDEX(Assumptions!$J$5:$J$12,MATCH($B442,Assumptions!$D$5:$D$12,0))))</x:f>
        <x:v>1.0058666666666667</x:v>
      </x:c>
      <x:c r="L442" t="str">
        <x:f>IF($A442="","",IFERROR(INDEX(Assumptions!$O$5:$O$10,MATCH(1,(Assumptions!$P$5:$P$10=$B442)*(Assumptions!$Q$5:$Q$10&lt;=$A442)*(Assumptions!$R$5:$R$10&gt;=$A442),0)),""))</x:f>
      </x:c>
      <x:c r="M442" t="n">
        <x:f>--($A442&lt;&gt;"")</x:f>
        <x:v>1</x:v>
      </x:c>
    </x:row>
    <x:row r="443">
      <x:c r="A443" s="10" t="n">
        <x:f>IF(Assumptions!$B$5+INT((ROW()-2)/Assumptions!$B$7)&gt;Assumptions!$B$6,"",Assumptions!$B$5+INT((ROW()-2)/Assumptions!$B$7))</x:f>
        <x:v>46111</x:v>
      </x:c>
      <x:c r="B443" t="str">
        <x:f>IF($A443="","",INDEX(Assumptions!$D$5:$D$12,MOD(ROW()-2,Assumptions!$B$7)+1))</x:f>
        <x:v>LV-426 North</x:v>
      </x:c>
      <x:c r="C443" s="11" t="n">
        <x:f>IF($A443="","",INDEX(Assumptions!$F$5:$F$12,MATCH($B443,Assumptions!$D$5:$D$12,0)))</x:f>
        <x:v>930</x:v>
      </x:c>
      <x:c r="D443" s="11" t="n">
        <x:f>IF($A443="","",INDEX(Assumptions!$G$5:$G$12,MATCH($B443,Assumptions!$D$5:$D$12,0)))</x:f>
        <x:v>95</x:v>
      </x:c>
      <x:c r="E443" s="11" t="n">
        <x:f>IF($A443="","",INDEX(Assumptions!$M$5:$M$11,WEEKDAY($A443,2)))</x:f>
        <x:v>1.03</x:v>
      </x:c>
      <x:c r="F443" s="11" t="n">
        <x:f>IF($A443="","",Assumptions!$B$15)</x:f>
        <x:v>0.35</x:v>
      </x:c>
      <x:c r="G443" s="11" t="n">
        <x:f>IF($A443="","",MAX(INDEX(Assumptions!$H$5:$H$12,MATCH($B443,Assumptions!$D$5:$D$12,0)),MIN(INDEX(Assumptions!$I$5:$I$12,MATCH($B443,Assumptions!$D$5:$D$12,0)),($C443+$D443*SQRT(-2*LN(RAND()))*COS(2*PI()*RAND()))*$E443*$J443*$K443)))</x:f>
        <x:v>997.2318281541144</x:v>
      </x:c>
      <x:c r="H443" s="11" t="n">
        <x:f>IF($A443="","",$G443*$F443+$C443*(1-$F443))</x:f>
        <x:v>953.53113985394</x:v>
      </x:c>
      <x:c r="I443" s="11" t="n">
        <x:f>IF($A443="","",AVERAGE($H443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941.8752594584013</x:v>
      </x:c>
      <x:c r="J443" s="12" t="n">
        <x:f>IF($A443="","",1+SUMIFS(Assumptions!$S$5:$S$10,Assumptions!$P$5:$P$10,$B443,Assumptions!$Q$5:$Q$10,"&lt;="&amp;$A443,Assumptions!$R$5:$R$10,"&gt;="&amp;$A443))</x:f>
        <x:v>1</x:v>
      </x:c>
      <x:c r="K443" s="12" t="n">
        <x:f>IF($A443="","",1+((($A443-Assumptions!$B$5)/30)*INDEX(Assumptions!$J$5:$J$12,MATCH($B443,Assumptions!$D$5:$D$12,0))))</x:f>
        <x:v>0.9970666666666667</x:v>
      </x:c>
      <x:c r="L443" t="str">
        <x:f>IF($A443="","",IFERROR(INDEX(Assumptions!$O$5:$O$10,MATCH(1,(Assumptions!$P$5:$P$10=$B443)*(Assumptions!$Q$5:$Q$10&lt;=$A443)*(Assumptions!$R$5:$R$10&gt;=$A443),0)),""))</x:f>
      </x:c>
      <x:c r="M443" t="n">
        <x:f>--($A443&lt;&gt;"")</x:f>
        <x:v>1</x:v>
      </x:c>
    </x:row>
    <x:row r="444">
      <x:c r="A444" s="10" t="n">
        <x:f>IF(Assumptions!$B$5+INT((ROW()-2)/Assumptions!$B$7)&gt;Assumptions!$B$6,"",Assumptions!$B$5+INT((ROW()-2)/Assumptions!$B$7))</x:f>
        <x:v>46111</x:v>
      </x:c>
      <x:c r="B444" t="str">
        <x:f>IF($A444="","",INDEX(Assumptions!$D$5:$D$12,MOD(ROW()-2,Assumptions!$B$7)+1))</x:f>
        <x:v>Nostromo Deep</x:v>
      </x:c>
      <x:c r="C444" s="11" t="n">
        <x:f>IF($A444="","",INDEX(Assumptions!$F$5:$F$12,MATCH($B444,Assumptions!$D$5:$D$12,0)))</x:f>
        <x:v>1260</x:v>
      </x:c>
      <x:c r="D444" s="11" t="n">
        <x:f>IF($A444="","",INDEX(Assumptions!$G$5:$G$12,MATCH($B444,Assumptions!$D$5:$D$12,0)))</x:f>
        <x:v>145</x:v>
      </x:c>
      <x:c r="E444" s="11" t="n">
        <x:f>IF($A444="","",INDEX(Assumptions!$M$5:$M$11,WEEKDAY($A444,2)))</x:f>
        <x:v>1.03</x:v>
      </x:c>
      <x:c r="F444" s="11" t="n">
        <x:f>IF($A444="","",Assumptions!$B$15)</x:f>
        <x:v>0.35</x:v>
      </x:c>
      <x:c r="G444" s="11" t="n">
        <x:f>IF($A444="","",MAX(INDEX(Assumptions!$H$5:$H$12,MATCH($B444,Assumptions!$D$5:$D$12,0)),MIN(INDEX(Assumptions!$I$5:$I$12,MATCH($B444,Assumptions!$D$5:$D$12,0)),($C444+$D444*SQRT(-2*LN(RAND()))*COS(2*PI()*RAND()))*$E444*$J444*$K444)))</x:f>
        <x:v>1143.1719125563905</x:v>
      </x:c>
      <x:c r="H444" s="11" t="n">
        <x:f>IF($A444="","",$G444*$F444+$C444*(1-$F444))</x:f>
        <x:v>1219.1101693947367</x:v>
      </x:c>
      <x:c r="I444" s="11" t="n">
        <x:f>IF($A444="","",AVERAGE($H444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1229.3582560339655</x:v>
      </x:c>
      <x:c r="J444" s="12" t="n">
        <x:f>IF($A444="","",1+SUMIFS(Assumptions!$S$5:$S$10,Assumptions!$P$5:$P$10,$B444,Assumptions!$Q$5:$Q$10,"&lt;="&amp;$A444,Assumptions!$R$5:$R$10,"&gt;="&amp;$A444))</x:f>
        <x:v>1</x:v>
      </x:c>
      <x:c r="K444" s="12" t="n">
        <x:f>IF($A444="","",1+((($A444-Assumptions!$B$5)/30)*INDEX(Assumptions!$J$5:$J$12,MATCH($B444,Assumptions!$D$5:$D$12,0))))</x:f>
        <x:v>1.0088</x:v>
      </x:c>
      <x:c r="L444" t="str">
        <x:f>IF($A444="","",IFERROR(INDEX(Assumptions!$O$5:$O$10,MATCH(1,(Assumptions!$P$5:$P$10=$B444)*(Assumptions!$Q$5:$Q$10&lt;=$A444)*(Assumptions!$R$5:$R$10&gt;=$A444),0)),""))</x:f>
      </x:c>
      <x:c r="M444" t="n">
        <x:f>--($A444&lt;&gt;"")</x:f>
        <x:v>1</x:v>
      </x:c>
    </x:row>
    <x:row r="445">
      <x:c r="A445" s="10" t="n">
        <x:f>IF(Assumptions!$B$5+INT((ROW()-2)/Assumptions!$B$7)&gt;Assumptions!$B$6,"",Assumptions!$B$5+INT((ROW()-2)/Assumptions!$B$7))</x:f>
        <x:v>46111</x:v>
      </x:c>
      <x:c r="B445" t="str">
        <x:f>IF($A445="","",INDEX(Assumptions!$D$5:$D$12,MOD(ROW()-2,Assumptions!$B$7)+1))</x:f>
        <x:v>Hadley's Hope</x:v>
      </x:c>
      <x:c r="C445" s="11" t="n">
        <x:f>IF($A445="","",INDEX(Assumptions!$F$5:$F$12,MATCH($B445,Assumptions!$D$5:$D$12,0)))</x:f>
        <x:v>845</x:v>
      </x:c>
      <x:c r="D445" s="11" t="n">
        <x:f>IF($A445="","",INDEX(Assumptions!$G$5:$G$12,MATCH($B445,Assumptions!$D$5:$D$12,0)))</x:f>
        <x:v>80</x:v>
      </x:c>
      <x:c r="E445" s="11" t="n">
        <x:f>IF($A445="","",INDEX(Assumptions!$M$5:$M$11,WEEKDAY($A445,2)))</x:f>
        <x:v>1.03</x:v>
      </x:c>
      <x:c r="F445" s="11" t="n">
        <x:f>IF($A445="","",Assumptions!$B$15)</x:f>
        <x:v>0.35</x:v>
      </x:c>
      <x:c r="G445" s="11" t="n">
        <x:f>IF($A445="","",MAX(INDEX(Assumptions!$H$5:$H$12,MATCH($B445,Assumptions!$D$5:$D$12,0)),MIN(INDEX(Assumptions!$I$5:$I$12,MATCH($B445,Assumptions!$D$5:$D$12,0)),($C445+$D445*SQRT(-2*LN(RAND()))*COS(2*PI()*RAND()))*$E445*$J445*$K445)))</x:f>
        <x:v>845.555861427394</x:v>
      </x:c>
      <x:c r="H445" s="11" t="n">
        <x:f>IF($A445="","",$G445*$F445+$C445*(1-$F445))</x:f>
        <x:v>845.1945514995879</x:v>
      </x:c>
      <x:c r="I445" s="11" t="n">
        <x:f>IF($A445="","",AVERAGE($H445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837.6741457725303</x:v>
      </x:c>
      <x:c r="J445" s="12" t="n">
        <x:f>IF($A445="","",1+SUMIFS(Assumptions!$S$5:$S$10,Assumptions!$P$5:$P$10,$B445,Assumptions!$Q$5:$Q$10,"&lt;="&amp;$A445,Assumptions!$R$5:$R$10,"&gt;="&amp;$A445))</x:f>
        <x:v>1</x:v>
      </x:c>
      <x:c r="K445" s="12" t="n">
        <x:f>IF($A445="","",1+((($A445-Assumptions!$B$5)/30)*INDEX(Assumptions!$J$5:$J$12,MATCH($B445,Assumptions!$D$5:$D$12,0))))</x:f>
        <x:v>1.0029333333333332</x:v>
      </x:c>
      <x:c r="L445" t="str">
        <x:f>IF($A445="","",IFERROR(INDEX(Assumptions!$O$5:$O$10,MATCH(1,(Assumptions!$P$5:$P$10=$B445)*(Assumptions!$Q$5:$Q$10&lt;=$A445)*(Assumptions!$R$5:$R$10&gt;=$A445),0)),""))</x:f>
      </x:c>
      <x:c r="M445" t="n">
        <x:f>--($A445&lt;&gt;"")</x:f>
        <x:v>1</x:v>
      </x:c>
    </x:row>
    <x:row r="446">
      <x:c r="A446" s="10" t="n">
        <x:f>IF(Assumptions!$B$5+INT((ROW()-2)/Assumptions!$B$7)&gt;Assumptions!$B$6,"",Assumptions!$B$5+INT((ROW()-2)/Assumptions!$B$7))</x:f>
        <x:v>46111</x:v>
      </x:c>
      <x:c r="B446" t="str">
        <x:f>IF($A446="","",INDEX(Assumptions!$D$5:$D$12,MOD(ROW()-2,Assumptions!$B$7)+1))</x:f>
        <x:v>Yutani Ridge</x:v>
      </x:c>
      <x:c r="C446" s="11" t="n">
        <x:f>IF($A446="","",INDEX(Assumptions!$F$5:$F$12,MATCH($B446,Assumptions!$D$5:$D$12,0)))</x:f>
        <x:v>1050</x:v>
      </x:c>
      <x:c r="D446" s="11" t="n">
        <x:f>IF($A446="","",INDEX(Assumptions!$G$5:$G$12,MATCH($B446,Assumptions!$D$5:$D$12,0)))</x:f>
        <x:v>125</x:v>
      </x:c>
      <x:c r="E446" s="11" t="n">
        <x:f>IF($A446="","",INDEX(Assumptions!$M$5:$M$11,WEEKDAY($A446,2)))</x:f>
        <x:v>1.03</x:v>
      </x:c>
      <x:c r="F446" s="11" t="n">
        <x:f>IF($A446="","",Assumptions!$B$15)</x:f>
        <x:v>0.35</x:v>
      </x:c>
      <x:c r="G446" s="11" t="n">
        <x:f>IF($A446="","",MAX(INDEX(Assumptions!$H$5:$H$12,MATCH($B446,Assumptions!$D$5:$D$12,0)),MIN(INDEX(Assumptions!$I$5:$I$12,MATCH($B446,Assumptions!$D$5:$D$12,0)),($C446+$D446*SQRT(-2*LN(RAND()))*COS(2*PI()*RAND()))*$E446*$J446*$K446)))</x:f>
        <x:v>1087.4551053738878</x:v>
      </x:c>
      <x:c r="H446" s="11" t="n">
        <x:f>IF($A446="","",$G446*$F446+$C446*(1-$F446))</x:f>
        <x:v>1063.1092868808607</x:v>
      </x:c>
      <x:c r="I446" s="11" t="n">
        <x:f>IF($A446="","",AVERAGE($H446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1038.0179982328498</x:v>
      </x:c>
      <x:c r="J446" s="12" t="n">
        <x:f>IF($A446="","",1+SUMIFS(Assumptions!$S$5:$S$10,Assumptions!$P$5:$P$10,$B446,Assumptions!$Q$5:$Q$10,"&lt;="&amp;$A446,Assumptions!$R$5:$R$10,"&gt;="&amp;$A446))</x:f>
        <x:v>1</x:v>
      </x:c>
      <x:c r="K446" s="12" t="n">
        <x:f>IF($A446="","",1+((($A446-Assumptions!$B$5)/30)*INDEX(Assumptions!$J$5:$J$12,MATCH($B446,Assumptions!$D$5:$D$12,0))))</x:f>
        <x:v>1.0073333333333334</x:v>
      </x:c>
      <x:c r="L446" t="str">
        <x:f>IF($A446="","",IFERROR(INDEX(Assumptions!$O$5:$O$10,MATCH(1,(Assumptions!$P$5:$P$10=$B446)*(Assumptions!$Q$5:$Q$10&lt;=$A446)*(Assumptions!$R$5:$R$10&gt;=$A446),0)),""))</x:f>
      </x:c>
      <x:c r="M446" t="n">
        <x:f>--($A446&lt;&gt;"")</x:f>
        <x:v>1</x:v>
      </x:c>
    </x:row>
    <x:row r="447">
      <x:c r="A447" s="10" t="n">
        <x:f>IF(Assumptions!$B$5+INT((ROW()-2)/Assumptions!$B$7)&gt;Assumptions!$B$6,"",Assumptions!$B$5+INT((ROW()-2)/Assumptions!$B$7))</x:f>
        <x:v>46112</x:v>
      </x:c>
      <x:c r="B447" t="str">
        <x:f>IF($A447="","",INDEX(Assumptions!$D$5:$D$12,MOD(ROW()-2,Assumptions!$B$7)+1))</x:f>
        <x:v>Acheron Prime</x:v>
      </x:c>
      <x:c r="C447" s="11" t="n">
        <x:f>IF($A447="","",INDEX(Assumptions!$F$5:$F$12,MATCH($B447,Assumptions!$D$5:$D$12,0)))</x:f>
        <x:v>1120</x:v>
      </x:c>
      <x:c r="D447" s="11" t="n">
        <x:f>IF($A447="","",INDEX(Assumptions!$G$5:$G$12,MATCH($B447,Assumptions!$D$5:$D$12,0)))</x:f>
        <x:v>115</x:v>
      </x:c>
      <x:c r="E447" s="11" t="n">
        <x:f>IF($A447="","",INDEX(Assumptions!$M$5:$M$11,WEEKDAY($A447,2)))</x:f>
        <x:v>1.02</x:v>
      </x:c>
      <x:c r="F447" s="11" t="n">
        <x:f>IF($A447="","",Assumptions!$B$15)</x:f>
        <x:v>0.35</x:v>
      </x:c>
      <x:c r="G447" s="11" t="n">
        <x:f>IF($A447="","",MAX(INDEX(Assumptions!$H$5:$H$12,MATCH($B447,Assumptions!$D$5:$D$12,0)),MIN(INDEX(Assumptions!$I$5:$I$12,MATCH($B447,Assumptions!$D$5:$D$12,0)),($C447+$D447*SQRT(-2*LN(RAND()))*COS(2*PI()*RAND()))*$E447*$J447*$K447)))</x:f>
        <x:v>1220.6574490488026</x:v>
      </x:c>
      <x:c r="H447" s="11" t="n">
        <x:f>IF($A447="","",$G447*$F447+$C447*(1-$F447))</x:f>
        <x:v>1155.2301071670809</x:v>
      </x:c>
      <x:c r="I447" s="11" t="n">
        <x:f>IF($A447="","",AVERAGE($H447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1145.9838404529698</x:v>
      </x:c>
      <x:c r="J447" s="12" t="n">
        <x:f>IF($A447="","",1+SUMIFS(Assumptions!$S$5:$S$10,Assumptions!$P$5:$P$10,$B447,Assumptions!$Q$5:$Q$10,"&lt;="&amp;$A447,Assumptions!$R$5:$R$10,"&gt;="&amp;$A447))</x:f>
        <x:v>1</x:v>
      </x:c>
      <x:c r="K447" s="12" t="n">
        <x:f>IF($A447="","",1+((($A447-Assumptions!$B$5)/30)*INDEX(Assumptions!$J$5:$J$12,MATCH($B447,Assumptions!$D$5:$D$12,0))))</x:f>
        <x:v>1.0059333333333333</x:v>
      </x:c>
      <x:c r="L447" t="str">
        <x:f>IF($A447="","",IFERROR(INDEX(Assumptions!$O$5:$O$10,MATCH(1,(Assumptions!$P$5:$P$10=$B447)*(Assumptions!$Q$5:$Q$10&lt;=$A447)*(Assumptions!$R$5:$R$10&gt;=$A447),0)),""))</x:f>
      </x:c>
      <x:c r="M447" t="n">
        <x:f>--($A447&lt;&gt;"")</x:f>
        <x:v>1</x:v>
      </x:c>
    </x:row>
    <x:row r="448">
      <x:c r="A448" s="10" t="n">
        <x:f>IF(Assumptions!$B$5+INT((ROW()-2)/Assumptions!$B$7)&gt;Assumptions!$B$6,"",Assumptions!$B$5+INT((ROW()-2)/Assumptions!$B$7))</x:f>
        <x:v>46112</x:v>
      </x:c>
      <x:c r="B448" t="str">
        <x:f>IF($A448="","",INDEX(Assumptions!$D$5:$D$12,MOD(ROW()-2,Assumptions!$B$7)+1))</x:f>
        <x:v>LV-426 North</x:v>
      </x:c>
      <x:c r="C448" s="11" t="n">
        <x:f>IF($A448="","",INDEX(Assumptions!$F$5:$F$12,MATCH($B448,Assumptions!$D$5:$D$12,0)))</x:f>
        <x:v>930</x:v>
      </x:c>
      <x:c r="D448" s="11" t="n">
        <x:f>IF($A448="","",INDEX(Assumptions!$G$5:$G$12,MATCH($B448,Assumptions!$D$5:$D$12,0)))</x:f>
        <x:v>95</x:v>
      </x:c>
      <x:c r="E448" s="11" t="n">
        <x:f>IF($A448="","",INDEX(Assumptions!$M$5:$M$11,WEEKDAY($A448,2)))</x:f>
        <x:v>1.02</x:v>
      </x:c>
      <x:c r="F448" s="11" t="n">
        <x:f>IF($A448="","",Assumptions!$B$15)</x:f>
        <x:v>0.35</x:v>
      </x:c>
      <x:c r="G448" s="11" t="n">
        <x:f>IF($A448="","",MAX(INDEX(Assumptions!$H$5:$H$12,MATCH($B448,Assumptions!$D$5:$D$12,0)),MIN(INDEX(Assumptions!$I$5:$I$12,MATCH($B448,Assumptions!$D$5:$D$12,0)),($C448+$D448*SQRT(-2*LN(RAND()))*COS(2*PI()*RAND()))*$E448*$J448*$K448)))</x:f>
        <x:v>803.8002089538293</x:v>
      </x:c>
      <x:c r="H448" s="11" t="n">
        <x:f>IF($A448="","",$G448*$F448+$C448*(1-$F448))</x:f>
        <x:v>885.8300731338402</x:v>
      </x:c>
      <x:c r="I448" s="11" t="n">
        <x:f>IF($A448="","",AVERAGE($H448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922.6985184699382</x:v>
      </x:c>
      <x:c r="J448" s="12" t="n">
        <x:f>IF($A448="","",1+SUMIFS(Assumptions!$S$5:$S$10,Assumptions!$P$5:$P$10,$B448,Assumptions!$Q$5:$Q$10,"&lt;="&amp;$A448,Assumptions!$R$5:$R$10,"&gt;="&amp;$A448))</x:f>
        <x:v>1</x:v>
      </x:c>
      <x:c r="K448" s="12" t="n">
        <x:f>IF($A448="","",1+((($A448-Assumptions!$B$5)/30)*INDEX(Assumptions!$J$5:$J$12,MATCH($B448,Assumptions!$D$5:$D$12,0))))</x:f>
        <x:v>0.9970333333333333</x:v>
      </x:c>
      <x:c r="L448" t="str">
        <x:f>IF($A448="","",IFERROR(INDEX(Assumptions!$O$5:$O$10,MATCH(1,(Assumptions!$P$5:$P$10=$B448)*(Assumptions!$Q$5:$Q$10&lt;=$A448)*(Assumptions!$R$5:$R$10&gt;=$A448),0)),""))</x:f>
      </x:c>
      <x:c r="M448" t="n">
        <x:f>--($A448&lt;&gt;"")</x:f>
        <x:v>1</x:v>
      </x:c>
    </x:row>
    <x:row r="449">
      <x:c r="A449" s="10" t="n">
        <x:f>IF(Assumptions!$B$5+INT((ROW()-2)/Assumptions!$B$7)&gt;Assumptions!$B$6,"",Assumptions!$B$5+INT((ROW()-2)/Assumptions!$B$7))</x:f>
        <x:v>46112</x:v>
      </x:c>
      <x:c r="B449" t="str">
        <x:f>IF($A449="","",INDEX(Assumptions!$D$5:$D$12,MOD(ROW()-2,Assumptions!$B$7)+1))</x:f>
        <x:v>Nostromo Deep</x:v>
      </x:c>
      <x:c r="C449" s="11" t="n">
        <x:f>IF($A449="","",INDEX(Assumptions!$F$5:$F$12,MATCH($B449,Assumptions!$D$5:$D$12,0)))</x:f>
        <x:v>1260</x:v>
      </x:c>
      <x:c r="D449" s="11" t="n">
        <x:f>IF($A449="","",INDEX(Assumptions!$G$5:$G$12,MATCH($B449,Assumptions!$D$5:$D$12,0)))</x:f>
        <x:v>145</x:v>
      </x:c>
      <x:c r="E449" s="11" t="n">
        <x:f>IF($A449="","",INDEX(Assumptions!$M$5:$M$11,WEEKDAY($A449,2)))</x:f>
        <x:v>1.02</x:v>
      </x:c>
      <x:c r="F449" s="11" t="n">
        <x:f>IF($A449="","",Assumptions!$B$15)</x:f>
        <x:v>0.35</x:v>
      </x:c>
      <x:c r="G449" s="11" t="n">
        <x:f>IF($A449="","",MAX(INDEX(Assumptions!$H$5:$H$12,MATCH($B449,Assumptions!$D$5:$D$12,0)),MIN(INDEX(Assumptions!$I$5:$I$12,MATCH($B449,Assumptions!$D$5:$D$12,0)),($C449+$D449*SQRT(-2*LN(RAND()))*COS(2*PI()*RAND()))*$E449*$J449*$K449)))</x:f>
        <x:v>1257.9590382641543</x:v>
      </x:c>
      <x:c r="H449" s="11" t="n">
        <x:f>IF($A449="","",$G449*$F449+$C449*(1-$F449))</x:f>
        <x:v>1259.285663392454</x:v>
      </x:c>
      <x:c r="I449" s="11" t="n">
        <x:f>IF($A449="","",AVERAGE($H449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1227.2665792767887</x:v>
      </x:c>
      <x:c r="J449" s="12" t="n">
        <x:f>IF($A449="","",1+SUMIFS(Assumptions!$S$5:$S$10,Assumptions!$P$5:$P$10,$B449,Assumptions!$Q$5:$Q$10,"&lt;="&amp;$A449,Assumptions!$R$5:$R$10,"&gt;="&amp;$A449))</x:f>
        <x:v>1</x:v>
      </x:c>
      <x:c r="K449" s="12" t="n">
        <x:f>IF($A449="","",1+((($A449-Assumptions!$B$5)/30)*INDEX(Assumptions!$J$5:$J$12,MATCH($B449,Assumptions!$D$5:$D$12,0))))</x:f>
        <x:v>1.0089</x:v>
      </x:c>
      <x:c r="L449" t="str">
        <x:f>IF($A449="","",IFERROR(INDEX(Assumptions!$O$5:$O$10,MATCH(1,(Assumptions!$P$5:$P$10=$B449)*(Assumptions!$Q$5:$Q$10&lt;=$A449)*(Assumptions!$R$5:$R$10&gt;=$A449),0)),""))</x:f>
      </x:c>
      <x:c r="M449" t="n">
        <x:f>--($A449&lt;&gt;"")</x:f>
        <x:v>1</x:v>
      </x:c>
    </x:row>
    <x:row r="450">
      <x:c r="A450" s="10" t="n">
        <x:f>IF(Assumptions!$B$5+INT((ROW()-2)/Assumptions!$B$7)&gt;Assumptions!$B$6,"",Assumptions!$B$5+INT((ROW()-2)/Assumptions!$B$7))</x:f>
        <x:v>46112</x:v>
      </x:c>
      <x:c r="B450" t="str">
        <x:f>IF($A450="","",INDEX(Assumptions!$D$5:$D$12,MOD(ROW()-2,Assumptions!$B$7)+1))</x:f>
        <x:v>Hadley's Hope</x:v>
      </x:c>
      <x:c r="C450" s="11" t="n">
        <x:f>IF($A450="","",INDEX(Assumptions!$F$5:$F$12,MATCH($B450,Assumptions!$D$5:$D$12,0)))</x:f>
        <x:v>845</x:v>
      </x:c>
      <x:c r="D450" s="11" t="n">
        <x:f>IF($A450="","",INDEX(Assumptions!$G$5:$G$12,MATCH($B450,Assumptions!$D$5:$D$12,0)))</x:f>
        <x:v>80</x:v>
      </x:c>
      <x:c r="E450" s="11" t="n">
        <x:f>IF($A450="","",INDEX(Assumptions!$M$5:$M$11,WEEKDAY($A450,2)))</x:f>
        <x:v>1.02</x:v>
      </x:c>
      <x:c r="F450" s="11" t="n">
        <x:f>IF($A450="","",Assumptions!$B$15)</x:f>
        <x:v>0.35</x:v>
      </x:c>
      <x:c r="G450" s="11" t="n">
        <x:f>IF($A450="","",MAX(INDEX(Assumptions!$H$5:$H$12,MATCH($B450,Assumptions!$D$5:$D$12,0)),MIN(INDEX(Assumptions!$I$5:$I$12,MATCH($B450,Assumptions!$D$5:$D$12,0)),($C450+$D450*SQRT(-2*LN(RAND()))*COS(2*PI()*RAND()))*$E450*$J450*$K450)))</x:f>
        <x:v>742.2670056217391</x:v>
      </x:c>
      <x:c r="H450" s="11" t="n">
        <x:f>IF($A450="","",$G450*$F450+$C450*(1-$F450))</x:f>
        <x:v>809.0434519676087</x:v>
      </x:c>
      <x:c r="I450" s="11" t="n">
        <x:f>IF($A450="","",AVERAGE($H450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837.8036665211463</x:v>
      </x:c>
      <x:c r="J450" s="12" t="n">
        <x:f>IF($A450="","",1+SUMIFS(Assumptions!$S$5:$S$10,Assumptions!$P$5:$P$10,$B450,Assumptions!$Q$5:$Q$10,"&lt;="&amp;$A450,Assumptions!$R$5:$R$10,"&gt;="&amp;$A450))</x:f>
        <x:v>1</x:v>
      </x:c>
      <x:c r="K450" s="12" t="n">
        <x:f>IF($A450="","",1+((($A450-Assumptions!$B$5)/30)*INDEX(Assumptions!$J$5:$J$12,MATCH($B450,Assumptions!$D$5:$D$12,0))))</x:f>
        <x:v>1.0029666666666666</x:v>
      </x:c>
      <x:c r="L450" t="str">
        <x:f>IF($A450="","",IFERROR(INDEX(Assumptions!$O$5:$O$10,MATCH(1,(Assumptions!$P$5:$P$10=$B450)*(Assumptions!$Q$5:$Q$10&lt;=$A450)*(Assumptions!$R$5:$R$10&gt;=$A450),0)),""))</x:f>
      </x:c>
      <x:c r="M450" t="n">
        <x:f>--($A450&lt;&gt;"")</x:f>
        <x:v>1</x:v>
      </x:c>
    </x:row>
    <x:row r="451">
      <x:c r="A451" s="10" t="n">
        <x:f>IF(Assumptions!$B$5+INT((ROW()-2)/Assumptions!$B$7)&gt;Assumptions!$B$6,"",Assumptions!$B$5+INT((ROW()-2)/Assumptions!$B$7))</x:f>
        <x:v>46112</x:v>
      </x:c>
      <x:c r="B451" t="str">
        <x:f>IF($A451="","",INDEX(Assumptions!$D$5:$D$12,MOD(ROW()-2,Assumptions!$B$7)+1))</x:f>
        <x:v>Yutani Ridge</x:v>
      </x:c>
      <x:c r="C451" s="11" t="n">
        <x:f>IF($A451="","",INDEX(Assumptions!$F$5:$F$12,MATCH($B451,Assumptions!$D$5:$D$12,0)))</x:f>
        <x:v>1050</x:v>
      </x:c>
      <x:c r="D451" s="11" t="n">
        <x:f>IF($A451="","",INDEX(Assumptions!$G$5:$G$12,MATCH($B451,Assumptions!$D$5:$D$12,0)))</x:f>
        <x:v>125</x:v>
      </x:c>
      <x:c r="E451" s="11" t="n">
        <x:f>IF($A451="","",INDEX(Assumptions!$M$5:$M$11,WEEKDAY($A451,2)))</x:f>
        <x:v>1.02</x:v>
      </x:c>
      <x:c r="F451" s="11" t="n">
        <x:f>IF($A451="","",Assumptions!$B$15)</x:f>
        <x:v>0.35</x:v>
      </x:c>
      <x:c r="G451" s="11" t="n">
        <x:f>IF($A451="","",MAX(INDEX(Assumptions!$H$5:$H$12,MATCH($B451,Assumptions!$D$5:$D$12,0)),MIN(INDEX(Assumptions!$I$5:$I$12,MATCH($B451,Assumptions!$D$5:$D$12,0)),($C451+$D451*SQRT(-2*LN(RAND()))*COS(2*PI()*RAND()))*$E451*$J451*$K451)))</x:f>
        <x:v>832.4232389720387</x:v>
      </x:c>
      <x:c r="H451" s="11" t="n">
        <x:f>IF($A451="","",$G451*$F451+$C451*(1-$F451))</x:f>
        <x:v>973.8481336402135</x:v>
      </x:c>
      <x:c r="I451" s="11" t="n">
        <x:f>IF($A451="","",AVERAGE($H451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1010.6725161154503</x:v>
      </x:c>
      <x:c r="J451" s="12" t="n">
        <x:f>IF($A451="","",1+SUMIFS(Assumptions!$S$5:$S$10,Assumptions!$P$5:$P$10,$B451,Assumptions!$Q$5:$Q$10,"&lt;="&amp;$A451,Assumptions!$R$5:$R$10,"&gt;="&amp;$A451))</x:f>
        <x:v>1</x:v>
      </x:c>
      <x:c r="K451" s="12" t="n">
        <x:f>IF($A451="","",1+((($A451-Assumptions!$B$5)/30)*INDEX(Assumptions!$J$5:$J$12,MATCH($B451,Assumptions!$D$5:$D$12,0))))</x:f>
        <x:v>1.0074166666666666</x:v>
      </x:c>
      <x:c r="L451" t="str">
        <x:f>IF($A451="","",IFERROR(INDEX(Assumptions!$O$5:$O$10,MATCH(1,(Assumptions!$P$5:$P$10=$B451)*(Assumptions!$Q$5:$Q$10&lt;=$A451)*(Assumptions!$R$5:$R$10&gt;=$A451),0)),""))</x:f>
      </x:c>
      <x:c r="M451" t="n">
        <x:f>--($A451&lt;&gt;"")</x:f>
        <x:v>1</x:v>
      </x:c>
    </x:row>
    <x:row r="452">
      <x:c r="A452" s="10" t="n">
        <x:f>IF(Assumptions!$B$5+INT((ROW()-2)/Assumptions!$B$7)&gt;Assumptions!$B$6,"",Assumptions!$B$5+INT((ROW()-2)/Assumptions!$B$7))</x:f>
        <x:v>46113</x:v>
      </x:c>
      <x:c r="B452" t="str">
        <x:f>IF($A452="","",INDEX(Assumptions!$D$5:$D$12,MOD(ROW()-2,Assumptions!$B$7)+1))</x:f>
        <x:v>Acheron Prime</x:v>
      </x:c>
      <x:c r="C452" s="11" t="n">
        <x:f>IF($A452="","",INDEX(Assumptions!$F$5:$F$12,MATCH($B452,Assumptions!$D$5:$D$12,0)))</x:f>
        <x:v>1120</x:v>
      </x:c>
      <x:c r="D452" s="11" t="n">
        <x:f>IF($A452="","",INDEX(Assumptions!$G$5:$G$12,MATCH($B452,Assumptions!$D$5:$D$12,0)))</x:f>
        <x:v>115</x:v>
      </x:c>
      <x:c r="E452" s="11" t="n">
        <x:f>IF($A452="","",INDEX(Assumptions!$M$5:$M$11,WEEKDAY($A452,2)))</x:f>
        <x:v>1.01</x:v>
      </x:c>
      <x:c r="F452" s="11" t="n">
        <x:f>IF($A452="","",Assumptions!$B$15)</x:f>
        <x:v>0.35</x:v>
      </x:c>
      <x:c r="G452" s="11" t="n">
        <x:f>IF($A452="","",MAX(INDEX(Assumptions!$H$5:$H$12,MATCH($B452,Assumptions!$D$5:$D$12,0)),MIN(INDEX(Assumptions!$I$5:$I$12,MATCH($B452,Assumptions!$D$5:$D$12,0)),($C452+$D452*SQRT(-2*LN(RAND()))*COS(2*PI()*RAND()))*$E452*$J452*$K452)))</x:f>
        <x:v>1044.8561678640149</x:v>
      </x:c>
      <x:c r="H452" s="11" t="n">
        <x:f>IF($A452="","",$G452*$F452+$C452*(1-$F452))</x:f>
        <x:v>1093.6996587524052</x:v>
      </x:c>
      <x:c r="I452" s="11" t="n">
        <x:f>IF($A452="","",AVERAGE($H452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1132.4667350159702</x:v>
      </x:c>
      <x:c r="J452" s="12" t="n">
        <x:f>IF($A452="","",1+SUMIFS(Assumptions!$S$5:$S$10,Assumptions!$P$5:$P$10,$B452,Assumptions!$Q$5:$Q$10,"&lt;="&amp;$A452,Assumptions!$R$5:$R$10,"&gt;="&amp;$A452))</x:f>
        <x:v>1</x:v>
      </x:c>
      <x:c r="K452" s="12" t="n">
        <x:f>IF($A452="","",1+((($A452-Assumptions!$B$5)/30)*INDEX(Assumptions!$J$5:$J$12,MATCH($B452,Assumptions!$D$5:$D$12,0))))</x:f>
        <x:v>1.006</x:v>
      </x:c>
      <x:c r="L452" t="str">
        <x:f>IF($A452="","",IFERROR(INDEX(Assumptions!$O$5:$O$10,MATCH(1,(Assumptions!$P$5:$P$10=$B452)*(Assumptions!$Q$5:$Q$10&lt;=$A452)*(Assumptions!$R$5:$R$10&gt;=$A452),0)),""))</x:f>
      </x:c>
      <x:c r="M452" t="n">
        <x:f>--($A452&lt;&gt;"")</x:f>
        <x:v>1</x:v>
      </x:c>
    </x:row>
    <x:row r="453">
      <x:c r="A453" s="10" t="n">
        <x:f>IF(Assumptions!$B$5+INT((ROW()-2)/Assumptions!$B$7)&gt;Assumptions!$B$6,"",Assumptions!$B$5+INT((ROW()-2)/Assumptions!$B$7))</x:f>
        <x:v>46113</x:v>
      </x:c>
      <x:c r="B453" t="str">
        <x:f>IF($A453="","",INDEX(Assumptions!$D$5:$D$12,MOD(ROW()-2,Assumptions!$B$7)+1))</x:f>
        <x:v>LV-426 North</x:v>
      </x:c>
      <x:c r="C453" s="11" t="n">
        <x:f>IF($A453="","",INDEX(Assumptions!$F$5:$F$12,MATCH($B453,Assumptions!$D$5:$D$12,0)))</x:f>
        <x:v>930</x:v>
      </x:c>
      <x:c r="D453" s="11" t="n">
        <x:f>IF($A453="","",INDEX(Assumptions!$G$5:$G$12,MATCH($B453,Assumptions!$D$5:$D$12,0)))</x:f>
        <x:v>95</x:v>
      </x:c>
      <x:c r="E453" s="11" t="n">
        <x:f>IF($A453="","",INDEX(Assumptions!$M$5:$M$11,WEEKDAY($A453,2)))</x:f>
        <x:v>1.01</x:v>
      </x:c>
      <x:c r="F453" s="11" t="n">
        <x:f>IF($A453="","",Assumptions!$B$15)</x:f>
        <x:v>0.35</x:v>
      </x:c>
      <x:c r="G453" s="11" t="n">
        <x:f>IF($A453="","",MAX(INDEX(Assumptions!$H$5:$H$12,MATCH($B453,Assumptions!$D$5:$D$12,0)),MIN(INDEX(Assumptions!$I$5:$I$12,MATCH($B453,Assumptions!$D$5:$D$12,0)),($C453+$D453*SQRT(-2*LN(RAND()))*COS(2*PI()*RAND()))*$E453*$J453*$K453)))</x:f>
        <x:v>985.7181580397778</x:v>
      </x:c>
      <x:c r="H453" s="11" t="n">
        <x:f>IF($A453="","",$G453*$F453+$C453*(1-$F453))</x:f>
        <x:v>949.5013553139222</x:v>
      </x:c>
      <x:c r="I453" s="11" t="n">
        <x:f>IF($A453="","",AVERAGE($H453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918.6106562374194</x:v>
      </x:c>
      <x:c r="J453" s="12" t="n">
        <x:f>IF($A453="","",1+SUMIFS(Assumptions!$S$5:$S$10,Assumptions!$P$5:$P$10,$B453,Assumptions!$Q$5:$Q$10,"&lt;="&amp;$A453,Assumptions!$R$5:$R$10,"&gt;="&amp;$A453))</x:f>
        <x:v>1</x:v>
      </x:c>
      <x:c r="K453" s="12" t="n">
        <x:f>IF($A453="","",1+((($A453-Assumptions!$B$5)/30)*INDEX(Assumptions!$J$5:$J$12,MATCH($B453,Assumptions!$D$5:$D$12,0))))</x:f>
        <x:v>0.997</x:v>
      </x:c>
      <x:c r="L453" t="str">
        <x:f>IF($A453="","",IFERROR(INDEX(Assumptions!$O$5:$O$10,MATCH(1,(Assumptions!$P$5:$P$10=$B453)*(Assumptions!$Q$5:$Q$10&lt;=$A453)*(Assumptions!$R$5:$R$10&gt;=$A453),0)),""))</x:f>
      </x:c>
      <x:c r="M453" t="n">
        <x:f>--($A453&lt;&gt;"")</x:f>
        <x:v>1</x:v>
      </x:c>
    </x:row>
    <x:row r="454">
      <x:c r="A454" s="10" t="n">
        <x:f>IF(Assumptions!$B$5+INT((ROW()-2)/Assumptions!$B$7)&gt;Assumptions!$B$6,"",Assumptions!$B$5+INT((ROW()-2)/Assumptions!$B$7))</x:f>
        <x:v>46113</x:v>
      </x:c>
      <x:c r="B454" t="str">
        <x:f>IF($A454="","",INDEX(Assumptions!$D$5:$D$12,MOD(ROW()-2,Assumptions!$B$7)+1))</x:f>
        <x:v>Nostromo Deep</x:v>
      </x:c>
      <x:c r="C454" s="11" t="n">
        <x:f>IF($A454="","",INDEX(Assumptions!$F$5:$F$12,MATCH($B454,Assumptions!$D$5:$D$12,0)))</x:f>
        <x:v>1260</x:v>
      </x:c>
      <x:c r="D454" s="11" t="n">
        <x:f>IF($A454="","",INDEX(Assumptions!$G$5:$G$12,MATCH($B454,Assumptions!$D$5:$D$12,0)))</x:f>
        <x:v>145</x:v>
      </x:c>
      <x:c r="E454" s="11" t="n">
        <x:f>IF($A454="","",INDEX(Assumptions!$M$5:$M$11,WEEKDAY($A454,2)))</x:f>
        <x:v>1.01</x:v>
      </x:c>
      <x:c r="F454" s="11" t="n">
        <x:f>IF($A454="","",Assumptions!$B$15)</x:f>
        <x:v>0.35</x:v>
      </x:c>
      <x:c r="G454" s="11" t="n">
        <x:f>IF($A454="","",MAX(INDEX(Assumptions!$H$5:$H$12,MATCH($B454,Assumptions!$D$5:$D$12,0)),MIN(INDEX(Assumptions!$I$5:$I$12,MATCH($B454,Assumptions!$D$5:$D$12,0)),($C454+$D454*SQRT(-2*LN(RAND()))*COS(2*PI()*RAND()))*$E454*$J454*$K454)))</x:f>
        <x:v>1040.2930348603209</x:v>
      </x:c>
      <x:c r="H454" s="11" t="n">
        <x:f>IF($A454="","",$G454*$F454+$C454*(1-$F454))</x:f>
        <x:v>1183.1025622011123</x:v>
      </x:c>
      <x:c r="I454" s="11" t="n">
        <x:f>IF($A454="","",AVERAGE($H454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1222.2494063728052</x:v>
      </x:c>
      <x:c r="J454" s="12" t="n">
        <x:f>IF($A454="","",1+SUMIFS(Assumptions!$S$5:$S$10,Assumptions!$P$5:$P$10,$B454,Assumptions!$Q$5:$Q$10,"&lt;="&amp;$A454,Assumptions!$R$5:$R$10,"&gt;="&amp;$A454))</x:f>
        <x:v>1</x:v>
      </x:c>
      <x:c r="K454" s="12" t="n">
        <x:f>IF($A454="","",1+((($A454-Assumptions!$B$5)/30)*INDEX(Assumptions!$J$5:$J$12,MATCH($B454,Assumptions!$D$5:$D$12,0))))</x:f>
        <x:v>1.009</x:v>
      </x:c>
      <x:c r="L454" t="str">
        <x:f>IF($A454="","",IFERROR(INDEX(Assumptions!$O$5:$O$10,MATCH(1,(Assumptions!$P$5:$P$10=$B454)*(Assumptions!$Q$5:$Q$10&lt;=$A454)*(Assumptions!$R$5:$R$10&gt;=$A454),0)),""))</x:f>
      </x:c>
      <x:c r="M454" t="n">
        <x:f>--($A454&lt;&gt;"")</x:f>
        <x:v>1</x:v>
      </x:c>
    </x:row>
    <x:row r="455">
      <x:c r="A455" s="10" t="n">
        <x:f>IF(Assumptions!$B$5+INT((ROW()-2)/Assumptions!$B$7)&gt;Assumptions!$B$6,"",Assumptions!$B$5+INT((ROW()-2)/Assumptions!$B$7))</x:f>
        <x:v>46113</x:v>
      </x:c>
      <x:c r="B455" t="str">
        <x:f>IF($A455="","",INDEX(Assumptions!$D$5:$D$12,MOD(ROW()-2,Assumptions!$B$7)+1))</x:f>
        <x:v>Hadley's Hope</x:v>
      </x:c>
      <x:c r="C455" s="11" t="n">
        <x:f>IF($A455="","",INDEX(Assumptions!$F$5:$F$12,MATCH($B455,Assumptions!$D$5:$D$12,0)))</x:f>
        <x:v>845</x:v>
      </x:c>
      <x:c r="D455" s="11" t="n">
        <x:f>IF($A455="","",INDEX(Assumptions!$G$5:$G$12,MATCH($B455,Assumptions!$D$5:$D$12,0)))</x:f>
        <x:v>80</x:v>
      </x:c>
      <x:c r="E455" s="11" t="n">
        <x:f>IF($A455="","",INDEX(Assumptions!$M$5:$M$11,WEEKDAY($A455,2)))</x:f>
        <x:v>1.01</x:v>
      </x:c>
      <x:c r="F455" s="11" t="n">
        <x:f>IF($A455="","",Assumptions!$B$15)</x:f>
        <x:v>0.35</x:v>
      </x:c>
      <x:c r="G455" s="11" t="n">
        <x:f>IF($A455="","",MAX(INDEX(Assumptions!$H$5:$H$12,MATCH($B455,Assumptions!$D$5:$D$12,0)),MIN(INDEX(Assumptions!$I$5:$I$12,MATCH($B455,Assumptions!$D$5:$D$12,0)),($C455+$D455*SQRT(-2*LN(RAND()))*COS(2*PI()*RAND()))*$E455*$J455*$K455)))</x:f>
        <x:v>913.6314286169727</x:v>
      </x:c>
      <x:c r="H455" s="11" t="n">
        <x:f>IF($A455="","",$G455*$F455+$C455*(1-$F455))</x:f>
        <x:v>869.0210000159404</x:v>
      </x:c>
      <x:c r="I455" s="11" t="n">
        <x:f>IF($A455="","",AVERAGE($H455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841.373993194923</x:v>
      </x:c>
      <x:c r="J455" s="12" t="n">
        <x:f>IF($A455="","",1+SUMIFS(Assumptions!$S$5:$S$10,Assumptions!$P$5:$P$10,$B455,Assumptions!$Q$5:$Q$10,"&lt;="&amp;$A455,Assumptions!$R$5:$R$10,"&gt;="&amp;$A455))</x:f>
        <x:v>1</x:v>
      </x:c>
      <x:c r="K455" s="12" t="n">
        <x:f>IF($A455="","",1+((($A455-Assumptions!$B$5)/30)*INDEX(Assumptions!$J$5:$J$12,MATCH($B455,Assumptions!$D$5:$D$12,0))))</x:f>
        <x:v>1.003</x:v>
      </x:c>
      <x:c r="L455" t="str">
        <x:f>IF($A455="","",IFERROR(INDEX(Assumptions!$O$5:$O$10,MATCH(1,(Assumptions!$P$5:$P$10=$B455)*(Assumptions!$Q$5:$Q$10&lt;=$A455)*(Assumptions!$R$5:$R$10&gt;=$A455),0)),""))</x:f>
      </x:c>
      <x:c r="M455" t="n">
        <x:f>--($A455&lt;&gt;"")</x:f>
        <x:v>1</x:v>
      </x:c>
    </x:row>
    <x:row r="456">
      <x:c r="A456" s="10" t="n">
        <x:f>IF(Assumptions!$B$5+INT((ROW()-2)/Assumptions!$B$7)&gt;Assumptions!$B$6,"",Assumptions!$B$5+INT((ROW()-2)/Assumptions!$B$7))</x:f>
        <x:v>46113</x:v>
      </x:c>
      <x:c r="B456" t="str">
        <x:f>IF($A456="","",INDEX(Assumptions!$D$5:$D$12,MOD(ROW()-2,Assumptions!$B$7)+1))</x:f>
        <x:v>Yutani Ridge</x:v>
      </x:c>
      <x:c r="C456" s="11" t="n">
        <x:f>IF($A456="","",INDEX(Assumptions!$F$5:$F$12,MATCH($B456,Assumptions!$D$5:$D$12,0)))</x:f>
        <x:v>1050</x:v>
      </x:c>
      <x:c r="D456" s="11" t="n">
        <x:f>IF($A456="","",INDEX(Assumptions!$G$5:$G$12,MATCH($B456,Assumptions!$D$5:$D$12,0)))</x:f>
        <x:v>125</x:v>
      </x:c>
      <x:c r="E456" s="11" t="n">
        <x:f>IF($A456="","",INDEX(Assumptions!$M$5:$M$11,WEEKDAY($A456,2)))</x:f>
        <x:v>1.01</x:v>
      </x:c>
      <x:c r="F456" s="11" t="n">
        <x:f>IF($A456="","",Assumptions!$B$15)</x:f>
        <x:v>0.35</x:v>
      </x:c>
      <x:c r="G456" s="11" t="n">
        <x:f>IF($A456="","",MAX(INDEX(Assumptions!$H$5:$H$12,MATCH($B456,Assumptions!$D$5:$D$12,0)),MIN(INDEX(Assumptions!$I$5:$I$12,MATCH($B456,Assumptions!$D$5:$D$12,0)),($C456+$D456*SQRT(-2*LN(RAND()))*COS(2*PI()*RAND()))*$E456*$J456*$K456)))</x:f>
        <x:v>1019.3405899854765</x:v>
      </x:c>
      <x:c r="H456" s="11" t="n">
        <x:f>IF($A456="","",$G456*$F456+$C456*(1-$F456))</x:f>
        <x:v>1039.2692064949167</x:v>
      </x:c>
      <x:c r="I456" s="11" t="n">
        <x:f>IF($A456="","",AVERAGE($H456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1014.6606547679611</x:v>
      </x:c>
      <x:c r="J456" s="12" t="n">
        <x:f>IF($A456="","",1+SUMIFS(Assumptions!$S$5:$S$10,Assumptions!$P$5:$P$10,$B456,Assumptions!$Q$5:$Q$10,"&lt;="&amp;$A456,Assumptions!$R$5:$R$10,"&gt;="&amp;$A456))</x:f>
        <x:v>1</x:v>
      </x:c>
      <x:c r="K456" s="12" t="n">
        <x:f>IF($A456="","",1+((($A456-Assumptions!$B$5)/30)*INDEX(Assumptions!$J$5:$J$12,MATCH($B456,Assumptions!$D$5:$D$12,0))))</x:f>
        <x:v>1.0075</x:v>
      </x:c>
      <x:c r="L456" t="str">
        <x:f>IF($A456="","",IFERROR(INDEX(Assumptions!$O$5:$O$10,MATCH(1,(Assumptions!$P$5:$P$10=$B456)*(Assumptions!$Q$5:$Q$10&lt;=$A456)*(Assumptions!$R$5:$R$10&gt;=$A456),0)),""))</x:f>
      </x:c>
      <x:c r="M456" t="n">
        <x:f>--($A456&lt;&gt;"")</x:f>
        <x:v>1</x:v>
      </x:c>
    </x:row>
    <x:row r="457">
      <x:c r="A457" s="10" t="n">
        <x:f>IF(Assumptions!$B$5+INT((ROW()-2)/Assumptions!$B$7)&gt;Assumptions!$B$6,"",Assumptions!$B$5+INT((ROW()-2)/Assumptions!$B$7))</x:f>
        <x:v>46114</x:v>
      </x:c>
      <x:c r="B457" t="str">
        <x:f>IF($A457="","",INDEX(Assumptions!$D$5:$D$12,MOD(ROW()-2,Assumptions!$B$7)+1))</x:f>
        <x:v>Acheron Prime</x:v>
      </x:c>
      <x:c r="C457" s="11" t="n">
        <x:f>IF($A457="","",INDEX(Assumptions!$F$5:$F$12,MATCH($B457,Assumptions!$D$5:$D$12,0)))</x:f>
        <x:v>1120</x:v>
      </x:c>
      <x:c r="D457" s="11" t="n">
        <x:f>IF($A457="","",INDEX(Assumptions!$G$5:$G$12,MATCH($B457,Assumptions!$D$5:$D$12,0)))</x:f>
        <x:v>115</x:v>
      </x:c>
      <x:c r="E457" s="11" t="n">
        <x:f>IF($A457="","",INDEX(Assumptions!$M$5:$M$11,WEEKDAY($A457,2)))</x:f>
        <x:v>1</x:v>
      </x:c>
      <x:c r="F457" s="11" t="n">
        <x:f>IF($A457="","",Assumptions!$B$15)</x:f>
        <x:v>0.35</x:v>
      </x:c>
      <x:c r="G457" s="11" t="n">
        <x:f>IF($A457="","",MAX(INDEX(Assumptions!$H$5:$H$12,MATCH($B457,Assumptions!$D$5:$D$12,0)),MIN(INDEX(Assumptions!$I$5:$I$12,MATCH($B457,Assumptions!$D$5:$D$12,0)),($C457+$D457*SQRT(-2*LN(RAND()))*COS(2*PI()*RAND()))*$E457*$J457*$K457)))</x:f>
        <x:v>1166.0988453429488</x:v>
      </x:c>
      <x:c r="H457" s="11" t="n">
        <x:f>IF($A457="","",$G457*$F457+$C457*(1-$F457))</x:f>
        <x:v>1136.1345958700322</x:v>
      </x:c>
      <x:c r="I457" s="11" t="n">
        <x:f>IF($A457="","",AVERAGE($H457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1114.4788304661515</x:v>
      </x:c>
      <x:c r="J457" s="12" t="n">
        <x:f>IF($A457="","",1+SUMIFS(Assumptions!$S$5:$S$10,Assumptions!$P$5:$P$10,$B457,Assumptions!$Q$5:$Q$10,"&lt;="&amp;$A457,Assumptions!$R$5:$R$10,"&gt;="&amp;$A457))</x:f>
        <x:v>1</x:v>
      </x:c>
      <x:c r="K457" s="12" t="n">
        <x:f>IF($A457="","",1+((($A457-Assumptions!$B$5)/30)*INDEX(Assumptions!$J$5:$J$12,MATCH($B457,Assumptions!$D$5:$D$12,0))))</x:f>
        <x:v>1.0060666666666667</x:v>
      </x:c>
      <x:c r="L457" t="str">
        <x:f>IF($A457="","",IFERROR(INDEX(Assumptions!$O$5:$O$10,MATCH(1,(Assumptions!$P$5:$P$10=$B457)*(Assumptions!$Q$5:$Q$10&lt;=$A457)*(Assumptions!$R$5:$R$10&gt;=$A457),0)),""))</x:f>
      </x:c>
      <x:c r="M457" t="n">
        <x:f>--($A457&lt;&gt;"")</x:f>
        <x:v>1</x:v>
      </x:c>
    </x:row>
    <x:row r="458">
      <x:c r="A458" s="10" t="n">
        <x:f>IF(Assumptions!$B$5+INT((ROW()-2)/Assumptions!$B$7)&gt;Assumptions!$B$6,"",Assumptions!$B$5+INT((ROW()-2)/Assumptions!$B$7))</x:f>
        <x:v>46114</x:v>
      </x:c>
      <x:c r="B458" t="str">
        <x:f>IF($A458="","",INDEX(Assumptions!$D$5:$D$12,MOD(ROW()-2,Assumptions!$B$7)+1))</x:f>
        <x:v>LV-426 North</x:v>
      </x:c>
      <x:c r="C458" s="11" t="n">
        <x:f>IF($A458="","",INDEX(Assumptions!$F$5:$F$12,MATCH($B458,Assumptions!$D$5:$D$12,0)))</x:f>
        <x:v>930</x:v>
      </x:c>
      <x:c r="D458" s="11" t="n">
        <x:f>IF($A458="","",INDEX(Assumptions!$G$5:$G$12,MATCH($B458,Assumptions!$D$5:$D$12,0)))</x:f>
        <x:v>95</x:v>
      </x:c>
      <x:c r="E458" s="11" t="n">
        <x:f>IF($A458="","",INDEX(Assumptions!$M$5:$M$11,WEEKDAY($A458,2)))</x:f>
        <x:v>1</x:v>
      </x:c>
      <x:c r="F458" s="11" t="n">
        <x:f>IF($A458="","",Assumptions!$B$15)</x:f>
        <x:v>0.35</x:v>
      </x:c>
      <x:c r="G458" s="11" t="n">
        <x:f>IF($A458="","",MAX(INDEX(Assumptions!$H$5:$H$12,MATCH($B458,Assumptions!$D$5:$D$12,0)),MIN(INDEX(Assumptions!$I$5:$I$12,MATCH($B458,Assumptions!$D$5:$D$12,0)),($C458+$D458*SQRT(-2*LN(RAND()))*COS(2*PI()*RAND()))*$E458*$J458*$K458)))</x:f>
        <x:v>997.0708973863105</x:v>
      </x:c>
      <x:c r="H458" s="11" t="n">
        <x:f>IF($A458="","",$G458*$F458+$C458*(1-$F458))</x:f>
        <x:v>953.4748140852087</x:v>
      </x:c>
      <x:c r="I458" s="11" t="n">
        <x:f>IF($A458="","",AVERAGE($H458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922.5489011168918</x:v>
      </x:c>
      <x:c r="J458" s="12" t="n">
        <x:f>IF($A458="","",1+SUMIFS(Assumptions!$S$5:$S$10,Assumptions!$P$5:$P$10,$B458,Assumptions!$Q$5:$Q$10,"&lt;="&amp;$A458,Assumptions!$R$5:$R$10,"&gt;="&amp;$A458))</x:f>
        <x:v>1</x:v>
      </x:c>
      <x:c r="K458" s="12" t="n">
        <x:f>IF($A458="","",1+((($A458-Assumptions!$B$5)/30)*INDEX(Assumptions!$J$5:$J$12,MATCH($B458,Assumptions!$D$5:$D$12,0))))</x:f>
        <x:v>0.9969666666666667</x:v>
      </x:c>
      <x:c r="L458" t="str">
        <x:f>IF($A458="","",IFERROR(INDEX(Assumptions!$O$5:$O$10,MATCH(1,(Assumptions!$P$5:$P$10=$B458)*(Assumptions!$Q$5:$Q$10&lt;=$A458)*(Assumptions!$R$5:$R$10&gt;=$A458),0)),""))</x:f>
      </x:c>
      <x:c r="M458" t="n">
        <x:f>--($A458&lt;&gt;"")</x:f>
        <x:v>1</x:v>
      </x:c>
    </x:row>
    <x:row r="459">
      <x:c r="A459" s="10" t="n">
        <x:f>IF(Assumptions!$B$5+INT((ROW()-2)/Assumptions!$B$7)&gt;Assumptions!$B$6,"",Assumptions!$B$5+INT((ROW()-2)/Assumptions!$B$7))</x:f>
        <x:v>46114</x:v>
      </x:c>
      <x:c r="B459" t="str">
        <x:f>IF($A459="","",INDEX(Assumptions!$D$5:$D$12,MOD(ROW()-2,Assumptions!$B$7)+1))</x:f>
        <x:v>Nostromo Deep</x:v>
      </x:c>
      <x:c r="C459" s="11" t="n">
        <x:f>IF($A459="","",INDEX(Assumptions!$F$5:$F$12,MATCH($B459,Assumptions!$D$5:$D$12,0)))</x:f>
        <x:v>1260</x:v>
      </x:c>
      <x:c r="D459" s="11" t="n">
        <x:f>IF($A459="","",INDEX(Assumptions!$G$5:$G$12,MATCH($B459,Assumptions!$D$5:$D$12,0)))</x:f>
        <x:v>145</x:v>
      </x:c>
      <x:c r="E459" s="11" t="n">
        <x:f>IF($A459="","",INDEX(Assumptions!$M$5:$M$11,WEEKDAY($A459,2)))</x:f>
        <x:v>1</x:v>
      </x:c>
      <x:c r="F459" s="11" t="n">
        <x:f>IF($A459="","",Assumptions!$B$15)</x:f>
        <x:v>0.35</x:v>
      </x:c>
      <x:c r="G459" s="11" t="n">
        <x:f>IF($A459="","",MAX(INDEX(Assumptions!$H$5:$H$12,MATCH($B459,Assumptions!$D$5:$D$12,0)),MIN(INDEX(Assumptions!$I$5:$I$12,MATCH($B459,Assumptions!$D$5:$D$12,0)),($C459+$D459*SQRT(-2*LN(RAND()))*COS(2*PI()*RAND()))*$E459*$J459*$K459)))</x:f>
        <x:v>1097.5457314298978</x:v>
      </x:c>
      <x:c r="H459" s="11" t="n">
        <x:f>IF($A459="","",$G459*$F459+$C459*(1-$F459))</x:f>
        <x:v>1203.1410060004641</x:v>
      </x:c>
      <x:c r="I459" s="11" t="n">
        <x:f>IF($A459="","",AVERAGE($H459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1215.52726610769</x:v>
      </x:c>
      <x:c r="J459" s="12" t="n">
        <x:f>IF($A459="","",1+SUMIFS(Assumptions!$S$5:$S$10,Assumptions!$P$5:$P$10,$B459,Assumptions!$Q$5:$Q$10,"&lt;="&amp;$A459,Assumptions!$R$5:$R$10,"&gt;="&amp;$A459))</x:f>
        <x:v>1</x:v>
      </x:c>
      <x:c r="K459" s="12" t="n">
        <x:f>IF($A459="","",1+((($A459-Assumptions!$B$5)/30)*INDEX(Assumptions!$J$5:$J$12,MATCH($B459,Assumptions!$D$5:$D$12,0))))</x:f>
        <x:v>1.0091</x:v>
      </x:c>
      <x:c r="L459" t="str">
        <x:f>IF($A459="","",IFERROR(INDEX(Assumptions!$O$5:$O$10,MATCH(1,(Assumptions!$P$5:$P$10=$B459)*(Assumptions!$Q$5:$Q$10&lt;=$A459)*(Assumptions!$R$5:$R$10&gt;=$A459),0)),""))</x:f>
      </x:c>
      <x:c r="M459" t="n">
        <x:f>--($A459&lt;&gt;"")</x:f>
        <x:v>1</x:v>
      </x:c>
    </x:row>
    <x:row r="460">
      <x:c r="A460" s="10" t="n">
        <x:f>IF(Assumptions!$B$5+INT((ROW()-2)/Assumptions!$B$7)&gt;Assumptions!$B$6,"",Assumptions!$B$5+INT((ROW()-2)/Assumptions!$B$7))</x:f>
        <x:v>46114</x:v>
      </x:c>
      <x:c r="B460" t="str">
        <x:f>IF($A460="","",INDEX(Assumptions!$D$5:$D$12,MOD(ROW()-2,Assumptions!$B$7)+1))</x:f>
        <x:v>Hadley's Hope</x:v>
      </x:c>
      <x:c r="C460" s="11" t="n">
        <x:f>IF($A460="","",INDEX(Assumptions!$F$5:$F$12,MATCH($B460,Assumptions!$D$5:$D$12,0)))</x:f>
        <x:v>845</x:v>
      </x:c>
      <x:c r="D460" s="11" t="n">
        <x:f>IF($A460="","",INDEX(Assumptions!$G$5:$G$12,MATCH($B460,Assumptions!$D$5:$D$12,0)))</x:f>
        <x:v>80</x:v>
      </x:c>
      <x:c r="E460" s="11" t="n">
        <x:f>IF($A460="","",INDEX(Assumptions!$M$5:$M$11,WEEKDAY($A460,2)))</x:f>
        <x:v>1</x:v>
      </x:c>
      <x:c r="F460" s="11" t="n">
        <x:f>IF($A460="","",Assumptions!$B$15)</x:f>
        <x:v>0.35</x:v>
      </x:c>
      <x:c r="G460" s="11" t="n">
        <x:f>IF($A460="","",MAX(INDEX(Assumptions!$H$5:$H$12,MATCH($B460,Assumptions!$D$5:$D$12,0)),MIN(INDEX(Assumptions!$I$5:$I$12,MATCH($B460,Assumptions!$D$5:$D$12,0)),($C460+$D460*SQRT(-2*LN(RAND()))*COS(2*PI()*RAND()))*$E460*$J460*$K460)))</x:f>
        <x:v>750.8204528542832</x:v>
      </x:c>
      <x:c r="H460" s="11" t="n">
        <x:f>IF($A460="","",$G460*$F460+$C460*(1-$F460))</x:f>
        <x:v>812.0371584989991</x:v>
      </x:c>
      <x:c r="I460" s="11" t="n">
        <x:f>IF($A460="","",AVERAGE($H460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837.5792146717869</x:v>
      </x:c>
      <x:c r="J460" s="12" t="n">
        <x:f>IF($A460="","",1+SUMIFS(Assumptions!$S$5:$S$10,Assumptions!$P$5:$P$10,$B460,Assumptions!$Q$5:$Q$10,"&lt;="&amp;$A460,Assumptions!$R$5:$R$10,"&gt;="&amp;$A460))</x:f>
        <x:v>1</x:v>
      </x:c>
      <x:c r="K460" s="12" t="n">
        <x:f>IF($A460="","",1+((($A460-Assumptions!$B$5)/30)*INDEX(Assumptions!$J$5:$J$12,MATCH($B460,Assumptions!$D$5:$D$12,0))))</x:f>
        <x:v>1.0030333333333334</x:v>
      </x:c>
      <x:c r="L460" t="str">
        <x:f>IF($A460="","",IFERROR(INDEX(Assumptions!$O$5:$O$10,MATCH(1,(Assumptions!$P$5:$P$10=$B460)*(Assumptions!$Q$5:$Q$10&lt;=$A460)*(Assumptions!$R$5:$R$10&gt;=$A460),0)),""))</x:f>
      </x:c>
      <x:c r="M460" t="n">
        <x:f>--($A460&lt;&gt;"")</x:f>
        <x:v>1</x:v>
      </x:c>
    </x:row>
    <x:row r="461">
      <x:c r="A461" s="10" t="n">
        <x:f>IF(Assumptions!$B$5+INT((ROW()-2)/Assumptions!$B$7)&gt;Assumptions!$B$6,"",Assumptions!$B$5+INT((ROW()-2)/Assumptions!$B$7))</x:f>
        <x:v>46114</x:v>
      </x:c>
      <x:c r="B461" t="str">
        <x:f>IF($A461="","",INDEX(Assumptions!$D$5:$D$12,MOD(ROW()-2,Assumptions!$B$7)+1))</x:f>
        <x:v>Yutani Ridge</x:v>
      </x:c>
      <x:c r="C461" s="11" t="n">
        <x:f>IF($A461="","",INDEX(Assumptions!$F$5:$F$12,MATCH($B461,Assumptions!$D$5:$D$12,0)))</x:f>
        <x:v>1050</x:v>
      </x:c>
      <x:c r="D461" s="11" t="n">
        <x:f>IF($A461="","",INDEX(Assumptions!$G$5:$G$12,MATCH($B461,Assumptions!$D$5:$D$12,0)))</x:f>
        <x:v>125</x:v>
      </x:c>
      <x:c r="E461" s="11" t="n">
        <x:f>IF($A461="","",INDEX(Assumptions!$M$5:$M$11,WEEKDAY($A461,2)))</x:f>
        <x:v>1</x:v>
      </x:c>
      <x:c r="F461" s="11" t="n">
        <x:f>IF($A461="","",Assumptions!$B$15)</x:f>
        <x:v>0.35</x:v>
      </x:c>
      <x:c r="G461" s="11" t="n">
        <x:f>IF($A461="","",MAX(INDEX(Assumptions!$H$5:$H$12,MATCH($B461,Assumptions!$D$5:$D$12,0)),MIN(INDEX(Assumptions!$I$5:$I$12,MATCH($B461,Assumptions!$D$5:$D$12,0)),($C461+$D461*SQRT(-2*LN(RAND()))*COS(2*PI()*RAND()))*$E461*$J461*$K461)))</x:f>
        <x:v>925.0500291294584</x:v>
      </x:c>
      <x:c r="H461" s="11" t="n">
        <x:f>IF($A461="","",$G461*$F461+$C461*(1-$F461))</x:f>
        <x:v>1006.2675101953105</x:v>
      </x:c>
      <x:c r="I461" s="11" t="n">
        <x:f>IF($A461="","",AVERAGE($H461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1006.5554828743544</x:v>
      </x:c>
      <x:c r="J461" s="12" t="n">
        <x:f>IF($A461="","",1+SUMIFS(Assumptions!$S$5:$S$10,Assumptions!$P$5:$P$10,$B461,Assumptions!$Q$5:$Q$10,"&lt;="&amp;$A461,Assumptions!$R$5:$R$10,"&gt;="&amp;$A461))</x:f>
        <x:v>1</x:v>
      </x:c>
      <x:c r="K461" s="12" t="n">
        <x:f>IF($A461="","",1+((($A461-Assumptions!$B$5)/30)*INDEX(Assumptions!$J$5:$J$12,MATCH($B461,Assumptions!$D$5:$D$12,0))))</x:f>
        <x:v>1.0075833333333333</x:v>
      </x:c>
      <x:c r="L461" t="str">
        <x:f>IF($A461="","",IFERROR(INDEX(Assumptions!$O$5:$O$10,MATCH(1,(Assumptions!$P$5:$P$10=$B461)*(Assumptions!$Q$5:$Q$10&lt;=$A461)*(Assumptions!$R$5:$R$10&gt;=$A461),0)),""))</x:f>
      </x:c>
      <x:c r="M461" t="n">
        <x:f>--($A461&lt;&gt;"")</x:f>
        <x:v>1</x:v>
      </x:c>
    </x:row>
    <x:row r="462">
      <x:c r="A462" s="10" t="n">
        <x:f>IF(Assumptions!$B$5+INT((ROW()-2)/Assumptions!$B$7)&gt;Assumptions!$B$6,"",Assumptions!$B$5+INT((ROW()-2)/Assumptions!$B$7))</x:f>
        <x:v>46115</x:v>
      </x:c>
      <x:c r="B462" t="str">
        <x:f>IF($A462="","",INDEX(Assumptions!$D$5:$D$12,MOD(ROW()-2,Assumptions!$B$7)+1))</x:f>
        <x:v>Acheron Prime</x:v>
      </x:c>
      <x:c r="C462" s="11" t="n">
        <x:f>IF($A462="","",INDEX(Assumptions!$F$5:$F$12,MATCH($B462,Assumptions!$D$5:$D$12,0)))</x:f>
        <x:v>1120</x:v>
      </x:c>
      <x:c r="D462" s="11" t="n">
        <x:f>IF($A462="","",INDEX(Assumptions!$G$5:$G$12,MATCH($B462,Assumptions!$D$5:$D$12,0)))</x:f>
        <x:v>115</x:v>
      </x:c>
      <x:c r="E462" s="11" t="n">
        <x:f>IF($A462="","",INDEX(Assumptions!$M$5:$M$11,WEEKDAY($A462,2)))</x:f>
        <x:v>0.98</x:v>
      </x:c>
      <x:c r="F462" s="11" t="n">
        <x:f>IF($A462="","",Assumptions!$B$15)</x:f>
        <x:v>0.35</x:v>
      </x:c>
      <x:c r="G462" s="11" t="n">
        <x:f>IF($A462="","",MAX(INDEX(Assumptions!$H$5:$H$12,MATCH($B462,Assumptions!$D$5:$D$12,0)),MIN(INDEX(Assumptions!$I$5:$I$12,MATCH($B462,Assumptions!$D$5:$D$12,0)),($C462+$D462*SQRT(-2*LN(RAND()))*COS(2*PI()*RAND()))*$E462*$J462*$K462)))</x:f>
        <x:v>1153.0947095472332</x:v>
      </x:c>
      <x:c r="H462" s="11" t="n">
        <x:f>IF($A462="","",$G462*$F462+$C462*(1-$F462))</x:f>
        <x:v>1131.5831483415316</x:v>
      </x:c>
      <x:c r="I462" s="11" t="n">
        <x:f>IF($A462="","",AVERAGE($H462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1133.423538144298</x:v>
      </x:c>
      <x:c r="J462" s="12" t="n">
        <x:f>IF($A462="","",1+SUMIFS(Assumptions!$S$5:$S$10,Assumptions!$P$5:$P$10,$B462,Assumptions!$Q$5:$Q$10,"&lt;="&amp;$A462,Assumptions!$R$5:$R$10,"&gt;="&amp;$A462))</x:f>
        <x:v>1</x:v>
      </x:c>
      <x:c r="K462" s="12" t="n">
        <x:f>IF($A462="","",1+((($A462-Assumptions!$B$5)/30)*INDEX(Assumptions!$J$5:$J$12,MATCH($B462,Assumptions!$D$5:$D$12,0))))</x:f>
        <x:v>1.0061333333333333</x:v>
      </x:c>
      <x:c r="L462" t="str">
        <x:f>IF($A462="","",IFERROR(INDEX(Assumptions!$O$5:$O$10,MATCH(1,(Assumptions!$P$5:$P$10=$B462)*(Assumptions!$Q$5:$Q$10&lt;=$A462)*(Assumptions!$R$5:$R$10&gt;=$A462),0)),""))</x:f>
      </x:c>
      <x:c r="M462" t="n">
        <x:f>--($A462&lt;&gt;"")</x:f>
        <x:v>1</x:v>
      </x:c>
    </x:row>
    <x:row r="463">
      <x:c r="A463" s="10" t="n">
        <x:f>IF(Assumptions!$B$5+INT((ROW()-2)/Assumptions!$B$7)&gt;Assumptions!$B$6,"",Assumptions!$B$5+INT((ROW()-2)/Assumptions!$B$7))</x:f>
        <x:v>46115</x:v>
      </x:c>
      <x:c r="B463" t="str">
        <x:f>IF($A463="","",INDEX(Assumptions!$D$5:$D$12,MOD(ROW()-2,Assumptions!$B$7)+1))</x:f>
        <x:v>LV-426 North</x:v>
      </x:c>
      <x:c r="C463" s="11" t="n">
        <x:f>IF($A463="","",INDEX(Assumptions!$F$5:$F$12,MATCH($B463,Assumptions!$D$5:$D$12,0)))</x:f>
        <x:v>930</x:v>
      </x:c>
      <x:c r="D463" s="11" t="n">
        <x:f>IF($A463="","",INDEX(Assumptions!$G$5:$G$12,MATCH($B463,Assumptions!$D$5:$D$12,0)))</x:f>
        <x:v>95</x:v>
      </x:c>
      <x:c r="E463" s="11" t="n">
        <x:f>IF($A463="","",INDEX(Assumptions!$M$5:$M$11,WEEKDAY($A463,2)))</x:f>
        <x:v>0.98</x:v>
      </x:c>
      <x:c r="F463" s="11" t="n">
        <x:f>IF($A463="","",Assumptions!$B$15)</x:f>
        <x:v>0.35</x:v>
      </x:c>
      <x:c r="G463" s="11" t="n">
        <x:f>IF($A463="","",MAX(INDEX(Assumptions!$H$5:$H$12,MATCH($B463,Assumptions!$D$5:$D$12,0)),MIN(INDEX(Assumptions!$I$5:$I$12,MATCH($B463,Assumptions!$D$5:$D$12,0)),($C463+$D463*SQRT(-2*LN(RAND()))*COS(2*PI()*RAND()))*$E463*$J463*$K463)))</x:f>
        <x:v>863.9712526327482</x:v>
      </x:c>
      <x:c r="H463" s="11" t="n">
        <x:f>IF($A463="","",$G463*$F463+$C463*(1-$F463))</x:f>
        <x:v>906.8899384214619</x:v>
      </x:c>
      <x:c r="I463" s="11" t="n">
        <x:f>IF($A463="","",AVERAGE($H463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915.6052057994966</x:v>
      </x:c>
      <x:c r="J463" s="12" t="n">
        <x:f>IF($A463="","",1+SUMIFS(Assumptions!$S$5:$S$10,Assumptions!$P$5:$P$10,$B463,Assumptions!$Q$5:$Q$10,"&lt;="&amp;$A463,Assumptions!$R$5:$R$10,"&gt;="&amp;$A463))</x:f>
        <x:v>1</x:v>
      </x:c>
      <x:c r="K463" s="12" t="n">
        <x:f>IF($A463="","",1+((($A463-Assumptions!$B$5)/30)*INDEX(Assumptions!$J$5:$J$12,MATCH($B463,Assumptions!$D$5:$D$12,0))))</x:f>
        <x:v>0.9969333333333333</x:v>
      </x:c>
      <x:c r="L463" t="str">
        <x:f>IF($A463="","",IFERROR(INDEX(Assumptions!$O$5:$O$10,MATCH(1,(Assumptions!$P$5:$P$10=$B463)*(Assumptions!$Q$5:$Q$10&lt;=$A463)*(Assumptions!$R$5:$R$10&gt;=$A463),0)),""))</x:f>
      </x:c>
      <x:c r="M463" t="n">
        <x:f>--($A463&lt;&gt;"")</x:f>
        <x:v>1</x:v>
      </x:c>
    </x:row>
    <x:row r="464">
      <x:c r="A464" s="10" t="n">
        <x:f>IF(Assumptions!$B$5+INT((ROW()-2)/Assumptions!$B$7)&gt;Assumptions!$B$6,"",Assumptions!$B$5+INT((ROW()-2)/Assumptions!$B$7))</x:f>
        <x:v>46115</x:v>
      </x:c>
      <x:c r="B464" t="str">
        <x:f>IF($A464="","",INDEX(Assumptions!$D$5:$D$12,MOD(ROW()-2,Assumptions!$B$7)+1))</x:f>
        <x:v>Nostromo Deep</x:v>
      </x:c>
      <x:c r="C464" s="11" t="n">
        <x:f>IF($A464="","",INDEX(Assumptions!$F$5:$F$12,MATCH($B464,Assumptions!$D$5:$D$12,0)))</x:f>
        <x:v>1260</x:v>
      </x:c>
      <x:c r="D464" s="11" t="n">
        <x:f>IF($A464="","",INDEX(Assumptions!$G$5:$G$12,MATCH($B464,Assumptions!$D$5:$D$12,0)))</x:f>
        <x:v>145</x:v>
      </x:c>
      <x:c r="E464" s="11" t="n">
        <x:f>IF($A464="","",INDEX(Assumptions!$M$5:$M$11,WEEKDAY($A464,2)))</x:f>
        <x:v>0.98</x:v>
      </x:c>
      <x:c r="F464" s="11" t="n">
        <x:f>IF($A464="","",Assumptions!$B$15)</x:f>
        <x:v>0.35</x:v>
      </x:c>
      <x:c r="G464" s="11" t="n">
        <x:f>IF($A464="","",MAX(INDEX(Assumptions!$H$5:$H$12,MATCH($B464,Assumptions!$D$5:$D$12,0)),MIN(INDEX(Assumptions!$I$5:$I$12,MATCH($B464,Assumptions!$D$5:$D$12,0)),($C464+$D464*SQRT(-2*LN(RAND()))*COS(2*PI()*RAND()))*$E464*$J464*$K464)))</x:f>
        <x:v>1237.2205874009592</x:v>
      </x:c>
      <x:c r="H464" s="11" t="n">
        <x:f>IF($A464="","",$G464*$F464+$C464*(1-$F464))</x:f>
        <x:v>1252.0272055903356</x:v>
      </x:c>
      <x:c r="I464" s="11" t="n">
        <x:f>IF($A464="","",AVERAGE($H464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1220.3906749709781</x:v>
      </x:c>
      <x:c r="J464" s="12" t="n">
        <x:f>IF($A464="","",1+SUMIFS(Assumptions!$S$5:$S$10,Assumptions!$P$5:$P$10,$B464,Assumptions!$Q$5:$Q$10,"&lt;="&amp;$A464,Assumptions!$R$5:$R$10,"&gt;="&amp;$A464))</x:f>
        <x:v>1</x:v>
      </x:c>
      <x:c r="K464" s="12" t="n">
        <x:f>IF($A464="","",1+((($A464-Assumptions!$B$5)/30)*INDEX(Assumptions!$J$5:$J$12,MATCH($B464,Assumptions!$D$5:$D$12,0))))</x:f>
        <x:v>1.0092</x:v>
      </x:c>
      <x:c r="L464" t="str">
        <x:f>IF($A464="","",IFERROR(INDEX(Assumptions!$O$5:$O$10,MATCH(1,(Assumptions!$P$5:$P$10=$B464)*(Assumptions!$Q$5:$Q$10&lt;=$A464)*(Assumptions!$R$5:$R$10&gt;=$A464),0)),""))</x:f>
      </x:c>
      <x:c r="M464" t="n">
        <x:f>--($A464&lt;&gt;"")</x:f>
        <x:v>1</x:v>
      </x:c>
    </x:row>
    <x:row r="465">
      <x:c r="A465" s="10" t="n">
        <x:f>IF(Assumptions!$B$5+INT((ROW()-2)/Assumptions!$B$7)&gt;Assumptions!$B$6,"",Assumptions!$B$5+INT((ROW()-2)/Assumptions!$B$7))</x:f>
        <x:v>46115</x:v>
      </x:c>
      <x:c r="B465" t="str">
        <x:f>IF($A465="","",INDEX(Assumptions!$D$5:$D$12,MOD(ROW()-2,Assumptions!$B$7)+1))</x:f>
        <x:v>Hadley's Hope</x:v>
      </x:c>
      <x:c r="C465" s="11" t="n">
        <x:f>IF($A465="","",INDEX(Assumptions!$F$5:$F$12,MATCH($B465,Assumptions!$D$5:$D$12,0)))</x:f>
        <x:v>845</x:v>
      </x:c>
      <x:c r="D465" s="11" t="n">
        <x:f>IF($A465="","",INDEX(Assumptions!$G$5:$G$12,MATCH($B465,Assumptions!$D$5:$D$12,0)))</x:f>
        <x:v>80</x:v>
      </x:c>
      <x:c r="E465" s="11" t="n">
        <x:f>IF($A465="","",INDEX(Assumptions!$M$5:$M$11,WEEKDAY($A465,2)))</x:f>
        <x:v>0.98</x:v>
      </x:c>
      <x:c r="F465" s="11" t="n">
        <x:f>IF($A465="","",Assumptions!$B$15)</x:f>
        <x:v>0.35</x:v>
      </x:c>
      <x:c r="G465" s="11" t="n">
        <x:f>IF($A465="","",MAX(INDEX(Assumptions!$H$5:$H$12,MATCH($B465,Assumptions!$D$5:$D$12,0)),MIN(INDEX(Assumptions!$I$5:$I$12,MATCH($B465,Assumptions!$D$5:$D$12,0)),($C465+$D465*SQRT(-2*LN(RAND()))*COS(2*PI()*RAND()))*$E465*$J465*$K465)))</x:f>
        <x:v>941.5288814942639</x:v>
      </x:c>
      <x:c r="H465" s="11" t="n">
        <x:f>IF($A465="","",$G465*$F465+$C465*(1-$F465))</x:f>
        <x:v>878.7851085229923</x:v>
      </x:c>
      <x:c r="I465" s="11" t="n">
        <x:f>IF($A465="","",AVERAGE($H465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841.5001977086134</x:v>
      </x:c>
      <x:c r="J465" s="12" t="n">
        <x:f>IF($A465="","",1+SUMIFS(Assumptions!$S$5:$S$10,Assumptions!$P$5:$P$10,$B465,Assumptions!$Q$5:$Q$10,"&lt;="&amp;$A465,Assumptions!$R$5:$R$10,"&gt;="&amp;$A465))</x:f>
        <x:v>1</x:v>
      </x:c>
      <x:c r="K465" s="12" t="n">
        <x:f>IF($A465="","",1+((($A465-Assumptions!$B$5)/30)*INDEX(Assumptions!$J$5:$J$12,MATCH($B465,Assumptions!$D$5:$D$12,0))))</x:f>
        <x:v>1.0030666666666668</x:v>
      </x:c>
      <x:c r="L465" t="str">
        <x:f>IF($A465="","",IFERROR(INDEX(Assumptions!$O$5:$O$10,MATCH(1,(Assumptions!$P$5:$P$10=$B465)*(Assumptions!$Q$5:$Q$10&lt;=$A465)*(Assumptions!$R$5:$R$10&gt;=$A465),0)),""))</x:f>
      </x:c>
      <x:c r="M465" t="n">
        <x:f>--($A465&lt;&gt;"")</x:f>
        <x:v>1</x:v>
      </x:c>
    </x:row>
    <x:row r="466">
      <x:c r="A466" s="10" t="n">
        <x:f>IF(Assumptions!$B$5+INT((ROW()-2)/Assumptions!$B$7)&gt;Assumptions!$B$6,"",Assumptions!$B$5+INT((ROW()-2)/Assumptions!$B$7))</x:f>
        <x:v>46115</x:v>
      </x:c>
      <x:c r="B466" t="str">
        <x:f>IF($A466="","",INDEX(Assumptions!$D$5:$D$12,MOD(ROW()-2,Assumptions!$B$7)+1))</x:f>
        <x:v>Yutani Ridge</x:v>
      </x:c>
      <x:c r="C466" s="11" t="n">
        <x:f>IF($A466="","",INDEX(Assumptions!$F$5:$F$12,MATCH($B466,Assumptions!$D$5:$D$12,0)))</x:f>
        <x:v>1050</x:v>
      </x:c>
      <x:c r="D466" s="11" t="n">
        <x:f>IF($A466="","",INDEX(Assumptions!$G$5:$G$12,MATCH($B466,Assumptions!$D$5:$D$12,0)))</x:f>
        <x:v>125</x:v>
      </x:c>
      <x:c r="E466" s="11" t="n">
        <x:f>IF($A466="","",INDEX(Assumptions!$M$5:$M$11,WEEKDAY($A466,2)))</x:f>
        <x:v>0.98</x:v>
      </x:c>
      <x:c r="F466" s="11" t="n">
        <x:f>IF($A466="","",Assumptions!$B$15)</x:f>
        <x:v>0.35</x:v>
      </x:c>
      <x:c r="G466" s="11" t="n">
        <x:f>IF($A466="","",MAX(INDEX(Assumptions!$H$5:$H$12,MATCH($B466,Assumptions!$D$5:$D$12,0)),MIN(INDEX(Assumptions!$I$5:$I$12,MATCH($B466,Assumptions!$D$5:$D$12,0)),($C466+$D466*SQRT(-2*LN(RAND()))*COS(2*PI()*RAND()))*$E466*$J466*$K466)))</x:f>
        <x:v>1112.7301676413488</x:v>
      </x:c>
      <x:c r="H466" s="11" t="n">
        <x:f>IF($A466="","",$G466*$F466+$C466*(1-$F466))</x:f>
        <x:v>1071.955558674472</x:v>
      </x:c>
      <x:c r="I466" s="11" t="n">
        <x:f>IF($A466="","",AVERAGE($H466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1022.6117891663813</x:v>
      </x:c>
      <x:c r="J466" s="12" t="n">
        <x:f>IF($A466="","",1+SUMIFS(Assumptions!$S$5:$S$10,Assumptions!$P$5:$P$10,$B466,Assumptions!$Q$5:$Q$10,"&lt;="&amp;$A466,Assumptions!$R$5:$R$10,"&gt;="&amp;$A466))</x:f>
        <x:v>1</x:v>
      </x:c>
      <x:c r="K466" s="12" t="n">
        <x:f>IF($A466="","",1+((($A466-Assumptions!$B$5)/30)*INDEX(Assumptions!$J$5:$J$12,MATCH($B466,Assumptions!$D$5:$D$12,0))))</x:f>
        <x:v>1.0076666666666667</x:v>
      </x:c>
      <x:c r="L466" t="str">
        <x:f>IF($A466="","",IFERROR(INDEX(Assumptions!$O$5:$O$10,MATCH(1,(Assumptions!$P$5:$P$10=$B466)*(Assumptions!$Q$5:$Q$10&lt;=$A466)*(Assumptions!$R$5:$R$10&gt;=$A466),0)),""))</x:f>
      </x:c>
      <x:c r="M466" t="n">
        <x:f>--($A466&lt;&gt;"")</x:f>
        <x:v>1</x:v>
      </x:c>
    </x:row>
    <x:row r="467">
      <x:c r="A467" s="10" t="n">
        <x:f>IF(Assumptions!$B$5+INT((ROW()-2)/Assumptions!$B$7)&gt;Assumptions!$B$6,"",Assumptions!$B$5+INT((ROW()-2)/Assumptions!$B$7))</x:f>
        <x:v>46116</x:v>
      </x:c>
      <x:c r="B467" t="str">
        <x:f>IF($A467="","",INDEX(Assumptions!$D$5:$D$12,MOD(ROW()-2,Assumptions!$B$7)+1))</x:f>
        <x:v>Acheron Prime</x:v>
      </x:c>
      <x:c r="C467" s="11" t="n">
        <x:f>IF($A467="","",INDEX(Assumptions!$F$5:$F$12,MATCH($B467,Assumptions!$D$5:$D$12,0)))</x:f>
        <x:v>1120</x:v>
      </x:c>
      <x:c r="D467" s="11" t="n">
        <x:f>IF($A467="","",INDEX(Assumptions!$G$5:$G$12,MATCH($B467,Assumptions!$D$5:$D$12,0)))</x:f>
        <x:v>115</x:v>
      </x:c>
      <x:c r="E467" s="11" t="n">
        <x:f>IF($A467="","",INDEX(Assumptions!$M$5:$M$11,WEEKDAY($A467,2)))</x:f>
        <x:v>0.91</x:v>
      </x:c>
      <x:c r="F467" s="11" t="n">
        <x:f>IF($A467="","",Assumptions!$B$15)</x:f>
        <x:v>0.35</x:v>
      </x:c>
      <x:c r="G467" s="11" t="n">
        <x:f>IF($A467="","",MAX(INDEX(Assumptions!$H$5:$H$12,MATCH($B467,Assumptions!$D$5:$D$12,0)),MIN(INDEX(Assumptions!$I$5:$I$12,MATCH($B467,Assumptions!$D$5:$D$12,0)),($C467+$D467*SQRT(-2*LN(RAND()))*COS(2*PI()*RAND()))*$E467*$J467*$K467)))</x:f>
        <x:v>1003.2851798560417</x:v>
      </x:c>
      <x:c r="H467" s="11" t="n">
        <x:f>IF($A467="","",$G467*$F467+$C467*(1-$F467))</x:f>
        <x:v>1079.1498129496147</x:v>
      </x:c>
      <x:c r="I467" s="11" t="n">
        <x:f>IF($A467="","",AVERAGE($H467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1126.4692362471337</x:v>
      </x:c>
      <x:c r="J467" s="12" t="n">
        <x:f>IF($A467="","",1+SUMIFS(Assumptions!$S$5:$S$10,Assumptions!$P$5:$P$10,$B467,Assumptions!$Q$5:$Q$10,"&lt;="&amp;$A467,Assumptions!$R$5:$R$10,"&gt;="&amp;$A467))</x:f>
        <x:v>1</x:v>
      </x:c>
      <x:c r="K467" s="12" t="n">
        <x:f>IF($A467="","",1+((($A467-Assumptions!$B$5)/30)*INDEX(Assumptions!$J$5:$J$12,MATCH($B467,Assumptions!$D$5:$D$12,0))))</x:f>
        <x:v>1.0062</x:v>
      </x:c>
      <x:c r="L467" t="str">
        <x:f>IF($A467="","",IFERROR(INDEX(Assumptions!$O$5:$O$10,MATCH(1,(Assumptions!$P$5:$P$10=$B467)*(Assumptions!$Q$5:$Q$10&lt;=$A467)*(Assumptions!$R$5:$R$10&gt;=$A467),0)),""))</x:f>
      </x:c>
      <x:c r="M467" t="n">
        <x:f>--($A467&lt;&gt;"")</x:f>
        <x:v>1</x:v>
      </x:c>
    </x:row>
    <x:row r="468">
      <x:c r="A468" s="10" t="n">
        <x:f>IF(Assumptions!$B$5+INT((ROW()-2)/Assumptions!$B$7)&gt;Assumptions!$B$6,"",Assumptions!$B$5+INT((ROW()-2)/Assumptions!$B$7))</x:f>
        <x:v>46116</x:v>
      </x:c>
      <x:c r="B468" t="str">
        <x:f>IF($A468="","",INDEX(Assumptions!$D$5:$D$12,MOD(ROW()-2,Assumptions!$B$7)+1))</x:f>
        <x:v>LV-426 North</x:v>
      </x:c>
      <x:c r="C468" s="11" t="n">
        <x:f>IF($A468="","",INDEX(Assumptions!$F$5:$F$12,MATCH($B468,Assumptions!$D$5:$D$12,0)))</x:f>
        <x:v>930</x:v>
      </x:c>
      <x:c r="D468" s="11" t="n">
        <x:f>IF($A468="","",INDEX(Assumptions!$G$5:$G$12,MATCH($B468,Assumptions!$D$5:$D$12,0)))</x:f>
        <x:v>95</x:v>
      </x:c>
      <x:c r="E468" s="11" t="n">
        <x:f>IF($A468="","",INDEX(Assumptions!$M$5:$M$11,WEEKDAY($A468,2)))</x:f>
        <x:v>0.91</x:v>
      </x:c>
      <x:c r="F468" s="11" t="n">
        <x:f>IF($A468="","",Assumptions!$B$15)</x:f>
        <x:v>0.35</x:v>
      </x:c>
      <x:c r="G468" s="11" t="n">
        <x:f>IF($A468="","",MAX(INDEX(Assumptions!$H$5:$H$12,MATCH($B468,Assumptions!$D$5:$D$12,0)),MIN(INDEX(Assumptions!$I$5:$I$12,MATCH($B468,Assumptions!$D$5:$D$12,0)),($C468+$D468*SQRT(-2*LN(RAND()))*COS(2*PI()*RAND()))*$E468*$J468*$K468)))</x:f>
        <x:v>784.6834355341056</x:v>
      </x:c>
      <x:c r="H468" s="11" t="n">
        <x:f>IF($A468="","",$G468*$F468+$C468*(1-$F468))</x:f>
        <x:v>879.139202436937</x:v>
      </x:c>
      <x:c r="I468" s="11" t="n">
        <x:f>IF($A468="","",AVERAGE($H468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918.1642474853735</x:v>
      </x:c>
      <x:c r="J468" s="12" t="n">
        <x:f>IF($A468="","",1+SUMIFS(Assumptions!$S$5:$S$10,Assumptions!$P$5:$P$10,$B468,Assumptions!$Q$5:$Q$10,"&lt;="&amp;$A468,Assumptions!$R$5:$R$10,"&gt;="&amp;$A468))</x:f>
        <x:v>1</x:v>
      </x:c>
      <x:c r="K468" s="12" t="n">
        <x:f>IF($A468="","",1+((($A468-Assumptions!$B$5)/30)*INDEX(Assumptions!$J$5:$J$12,MATCH($B468,Assumptions!$D$5:$D$12,0))))</x:f>
        <x:v>0.9969</x:v>
      </x:c>
      <x:c r="L468" t="str">
        <x:f>IF($A468="","",IFERROR(INDEX(Assumptions!$O$5:$O$10,MATCH(1,(Assumptions!$P$5:$P$10=$B468)*(Assumptions!$Q$5:$Q$10&lt;=$A468)*(Assumptions!$R$5:$R$10&gt;=$A468),0)),""))</x:f>
      </x:c>
      <x:c r="M468" t="n">
        <x:f>--($A468&lt;&gt;"")</x:f>
        <x:v>1</x:v>
      </x:c>
    </x:row>
    <x:row r="469">
      <x:c r="A469" s="10" t="n">
        <x:f>IF(Assumptions!$B$5+INT((ROW()-2)/Assumptions!$B$7)&gt;Assumptions!$B$6,"",Assumptions!$B$5+INT((ROW()-2)/Assumptions!$B$7))</x:f>
        <x:v>46116</x:v>
      </x:c>
      <x:c r="B469" t="str">
        <x:f>IF($A469="","",INDEX(Assumptions!$D$5:$D$12,MOD(ROW()-2,Assumptions!$B$7)+1))</x:f>
        <x:v>Nostromo Deep</x:v>
      </x:c>
      <x:c r="C469" s="11" t="n">
        <x:f>IF($A469="","",INDEX(Assumptions!$F$5:$F$12,MATCH($B469,Assumptions!$D$5:$D$12,0)))</x:f>
        <x:v>1260</x:v>
      </x:c>
      <x:c r="D469" s="11" t="n">
        <x:f>IF($A469="","",INDEX(Assumptions!$G$5:$G$12,MATCH($B469,Assumptions!$D$5:$D$12,0)))</x:f>
        <x:v>145</x:v>
      </x:c>
      <x:c r="E469" s="11" t="n">
        <x:f>IF($A469="","",INDEX(Assumptions!$M$5:$M$11,WEEKDAY($A469,2)))</x:f>
        <x:v>0.91</x:v>
      </x:c>
      <x:c r="F469" s="11" t="n">
        <x:f>IF($A469="","",Assumptions!$B$15)</x:f>
        <x:v>0.35</x:v>
      </x:c>
      <x:c r="G469" s="11" t="n">
        <x:f>IF($A469="","",MAX(INDEX(Assumptions!$H$5:$H$12,MATCH($B469,Assumptions!$D$5:$D$12,0)),MIN(INDEX(Assumptions!$I$5:$I$12,MATCH($B469,Assumptions!$D$5:$D$12,0)),($C469+$D469*SQRT(-2*LN(RAND()))*COS(2*PI()*RAND()))*$E469*$J469*$K469)))</x:f>
        <x:v>1008.5319420197059</x:v>
      </x:c>
      <x:c r="H469" s="11" t="n">
        <x:f>IF($A469="","",$G469*$F469+$C469*(1-$F469))</x:f>
        <x:v>1171.986179706897</x:v>
      </x:c>
      <x:c r="I469" s="11" t="n">
        <x:f>IF($A469="","",AVERAGE($H469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1218.3942929367165</x:v>
      </x:c>
      <x:c r="J469" s="12" t="n">
        <x:f>IF($A469="","",1+SUMIFS(Assumptions!$S$5:$S$10,Assumptions!$P$5:$P$10,$B469,Assumptions!$Q$5:$Q$10,"&lt;="&amp;$A469,Assumptions!$R$5:$R$10,"&gt;="&amp;$A469))</x:f>
        <x:v>1</x:v>
      </x:c>
      <x:c r="K469" s="12" t="n">
        <x:f>IF($A469="","",1+((($A469-Assumptions!$B$5)/30)*INDEX(Assumptions!$J$5:$J$12,MATCH($B469,Assumptions!$D$5:$D$12,0))))</x:f>
        <x:v>1.0093</x:v>
      </x:c>
      <x:c r="L469" t="str">
        <x:f>IF($A469="","",IFERROR(INDEX(Assumptions!$O$5:$O$10,MATCH(1,(Assumptions!$P$5:$P$10=$B469)*(Assumptions!$Q$5:$Q$10&lt;=$A469)*(Assumptions!$R$5:$R$10&gt;=$A469),0)),""))</x:f>
      </x:c>
      <x:c r="M469" t="n">
        <x:f>--($A469&lt;&gt;"")</x:f>
        <x:v>1</x:v>
      </x:c>
    </x:row>
    <x:row r="470">
      <x:c r="A470" s="10" t="n">
        <x:f>IF(Assumptions!$B$5+INT((ROW()-2)/Assumptions!$B$7)&gt;Assumptions!$B$6,"",Assumptions!$B$5+INT((ROW()-2)/Assumptions!$B$7))</x:f>
        <x:v>46116</x:v>
      </x:c>
      <x:c r="B470" t="str">
        <x:f>IF($A470="","",INDEX(Assumptions!$D$5:$D$12,MOD(ROW()-2,Assumptions!$B$7)+1))</x:f>
        <x:v>Hadley's Hope</x:v>
      </x:c>
      <x:c r="C470" s="11" t="n">
        <x:f>IF($A470="","",INDEX(Assumptions!$F$5:$F$12,MATCH($B470,Assumptions!$D$5:$D$12,0)))</x:f>
        <x:v>845</x:v>
      </x:c>
      <x:c r="D470" s="11" t="n">
        <x:f>IF($A470="","",INDEX(Assumptions!$G$5:$G$12,MATCH($B470,Assumptions!$D$5:$D$12,0)))</x:f>
        <x:v>80</x:v>
      </x:c>
      <x:c r="E470" s="11" t="n">
        <x:f>IF($A470="","",INDEX(Assumptions!$M$5:$M$11,WEEKDAY($A470,2)))</x:f>
        <x:v>0.91</x:v>
      </x:c>
      <x:c r="F470" s="11" t="n">
        <x:f>IF($A470="","",Assumptions!$B$15)</x:f>
        <x:v>0.35</x:v>
      </x:c>
      <x:c r="G470" s="11" t="n">
        <x:f>IF($A470="","",MAX(INDEX(Assumptions!$H$5:$H$12,MATCH($B470,Assumptions!$D$5:$D$12,0)),MIN(INDEX(Assumptions!$I$5:$I$12,MATCH($B470,Assumptions!$D$5:$D$12,0)),($C470+$D470*SQRT(-2*LN(RAND()))*COS(2*PI()*RAND()))*$E470*$J470*$K470)))</x:f>
        <x:v>750.0094914312194</x:v>
      </x:c>
      <x:c r="H470" s="11" t="n">
        <x:f>IF($A470="","",$G470*$F470+$C470*(1-$F470))</x:f>
        <x:v>811.7533220009268</x:v>
      </x:c>
      <x:c r="I470" s="11" t="n">
        <x:f>IF($A470="","",AVERAGE($H470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837.5233935508784</x:v>
      </x:c>
      <x:c r="J470" s="12" t="n">
        <x:f>IF($A470="","",1+SUMIFS(Assumptions!$S$5:$S$10,Assumptions!$P$5:$P$10,$B470,Assumptions!$Q$5:$Q$10,"&lt;="&amp;$A470,Assumptions!$R$5:$R$10,"&gt;="&amp;$A470))</x:f>
        <x:v>1</x:v>
      </x:c>
      <x:c r="K470" s="12" t="n">
        <x:f>IF($A470="","",1+((($A470-Assumptions!$B$5)/30)*INDEX(Assumptions!$J$5:$J$12,MATCH($B470,Assumptions!$D$5:$D$12,0))))</x:f>
        <x:v>1.0031</x:v>
      </x:c>
      <x:c r="L470" t="str">
        <x:f>IF($A470="","",IFERROR(INDEX(Assumptions!$O$5:$O$10,MATCH(1,(Assumptions!$P$5:$P$10=$B470)*(Assumptions!$Q$5:$Q$10&lt;=$A470)*(Assumptions!$R$5:$R$10&gt;=$A470),0)),""))</x:f>
      </x:c>
      <x:c r="M470" t="n">
        <x:f>--($A470&lt;&gt;"")</x:f>
        <x:v>1</x:v>
      </x:c>
    </x:row>
    <x:row r="471">
      <x:c r="A471" s="10" t="n">
        <x:f>IF(Assumptions!$B$5+INT((ROW()-2)/Assumptions!$B$7)&gt;Assumptions!$B$6,"",Assumptions!$B$5+INT((ROW()-2)/Assumptions!$B$7))</x:f>
        <x:v>46116</x:v>
      </x:c>
      <x:c r="B471" t="str">
        <x:f>IF($A471="","",INDEX(Assumptions!$D$5:$D$12,MOD(ROW()-2,Assumptions!$B$7)+1))</x:f>
        <x:v>Yutani Ridge</x:v>
      </x:c>
      <x:c r="C471" s="11" t="n">
        <x:f>IF($A471="","",INDEX(Assumptions!$F$5:$F$12,MATCH($B471,Assumptions!$D$5:$D$12,0)))</x:f>
        <x:v>1050</x:v>
      </x:c>
      <x:c r="D471" s="11" t="n">
        <x:f>IF($A471="","",INDEX(Assumptions!$G$5:$G$12,MATCH($B471,Assumptions!$D$5:$D$12,0)))</x:f>
        <x:v>125</x:v>
      </x:c>
      <x:c r="E471" s="11" t="n">
        <x:f>IF($A471="","",INDEX(Assumptions!$M$5:$M$11,WEEKDAY($A471,2)))</x:f>
        <x:v>0.91</x:v>
      </x:c>
      <x:c r="F471" s="11" t="n">
        <x:f>IF($A471="","",Assumptions!$B$15)</x:f>
        <x:v>0.35</x:v>
      </x:c>
      <x:c r="G471" s="11" t="n">
        <x:f>IF($A471="","",MAX(INDEX(Assumptions!$H$5:$H$12,MATCH($B471,Assumptions!$D$5:$D$12,0)),MIN(INDEX(Assumptions!$I$5:$I$12,MATCH($B471,Assumptions!$D$5:$D$12,0)),($C471+$D471*SQRT(-2*LN(RAND()))*COS(2*PI()*RAND()))*$E471*$J471*$K471)))</x:f>
        <x:v>953.9398880894132</x:v>
      </x:c>
      <x:c r="H471" s="11" t="n">
        <x:f>IF($A471="","",$G471*$F471+$C471*(1-$F471))</x:f>
        <x:v>1016.3789608312945</x:v>
      </x:c>
      <x:c r="I471" s="11" t="n">
        <x:f>IF($A471="","",AVERAGE($H471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1023.6655914573405</x:v>
      </x:c>
      <x:c r="J471" s="12" t="n">
        <x:f>IF($A471="","",1+SUMIFS(Assumptions!$S$5:$S$10,Assumptions!$P$5:$P$10,$B471,Assumptions!$Q$5:$Q$10,"&lt;="&amp;$A471,Assumptions!$R$5:$R$10,"&gt;="&amp;$A471))</x:f>
        <x:v>1</x:v>
      </x:c>
      <x:c r="K471" s="12" t="n">
        <x:f>IF($A471="","",1+((($A471-Assumptions!$B$5)/30)*INDEX(Assumptions!$J$5:$J$12,MATCH($B471,Assumptions!$D$5:$D$12,0))))</x:f>
        <x:v>1.00775</x:v>
      </x:c>
      <x:c r="L471" t="str">
        <x:f>IF($A471="","",IFERROR(INDEX(Assumptions!$O$5:$O$10,MATCH(1,(Assumptions!$P$5:$P$10=$B471)*(Assumptions!$Q$5:$Q$10&lt;=$A471)*(Assumptions!$R$5:$R$10&gt;=$A471),0)),""))</x:f>
      </x:c>
      <x:c r="M471" t="n">
        <x:f>--($A471&lt;&gt;"")</x:f>
        <x:v>1</x:v>
      </x:c>
    </x:row>
    <x:row r="472">
      <x:c r="A472" s="10" t="n">
        <x:f>IF(Assumptions!$B$5+INT((ROW()-2)/Assumptions!$B$7)&gt;Assumptions!$B$6,"",Assumptions!$B$5+INT((ROW()-2)/Assumptions!$B$7))</x:f>
        <x:v>46117</x:v>
      </x:c>
      <x:c r="B472" t="str">
        <x:f>IF($A472="","",INDEX(Assumptions!$D$5:$D$12,MOD(ROW()-2,Assumptions!$B$7)+1))</x:f>
        <x:v>Acheron Prime</x:v>
      </x:c>
      <x:c r="C472" s="11" t="n">
        <x:f>IF($A472="","",INDEX(Assumptions!$F$5:$F$12,MATCH($B472,Assumptions!$D$5:$D$12,0)))</x:f>
        <x:v>1120</x:v>
      </x:c>
      <x:c r="D472" s="11" t="n">
        <x:f>IF($A472="","",INDEX(Assumptions!$G$5:$G$12,MATCH($B472,Assumptions!$D$5:$D$12,0)))</x:f>
        <x:v>115</x:v>
      </x:c>
      <x:c r="E472" s="11" t="n">
        <x:f>IF($A472="","",INDEX(Assumptions!$M$5:$M$11,WEEKDAY($A472,2)))</x:f>
        <x:v>0.87</x:v>
      </x:c>
      <x:c r="F472" s="11" t="n">
        <x:f>IF($A472="","",Assumptions!$B$15)</x:f>
        <x:v>0.35</x:v>
      </x:c>
      <x:c r="G472" s="11" t="n">
        <x:f>IF($A472="","",MAX(INDEX(Assumptions!$H$5:$H$12,MATCH($B472,Assumptions!$D$5:$D$12,0)),MIN(INDEX(Assumptions!$I$5:$I$12,MATCH($B472,Assumptions!$D$5:$D$12,0)),($C472+$D472*SQRT(-2*LN(RAND()))*COS(2*PI()*RAND()))*$E472*$J472*$K472)))</x:f>
        <x:v>1050.7030533825373</x:v>
      </x:c>
      <x:c r="H472" s="11" t="n">
        <x:f>IF($A472="","",$G472*$F472+$C472*(1-$F472))</x:f>
        <x:v>1095.746068683888</x:v>
      </x:c>
      <x:c r="I472" s="11" t="n">
        <x:f>IF($A472="","",AVERAGE($H472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1127.7874790201565</x:v>
      </x:c>
      <x:c r="J472" s="12" t="n">
        <x:f>IF($A472="","",1+SUMIFS(Assumptions!$S$5:$S$10,Assumptions!$P$5:$P$10,$B472,Assumptions!$Q$5:$Q$10,"&lt;="&amp;$A472,Assumptions!$R$5:$R$10,"&gt;="&amp;$A472))</x:f>
        <x:v>1</x:v>
      </x:c>
      <x:c r="K472" s="12" t="n">
        <x:f>IF($A472="","",1+((($A472-Assumptions!$B$5)/30)*INDEX(Assumptions!$J$5:$J$12,MATCH($B472,Assumptions!$D$5:$D$12,0))))</x:f>
        <x:v>1.0062666666666666</x:v>
      </x:c>
      <x:c r="L472" t="str">
        <x:f>IF($A472="","",IFERROR(INDEX(Assumptions!$O$5:$O$10,MATCH(1,(Assumptions!$P$5:$P$10=$B472)*(Assumptions!$Q$5:$Q$10&lt;=$A472)*(Assumptions!$R$5:$R$10&gt;=$A472),0)),""))</x:f>
      </x:c>
      <x:c r="M472" t="n">
        <x:f>--($A472&lt;&gt;"")</x:f>
        <x:v>1</x:v>
      </x:c>
    </x:row>
    <x:row r="473">
      <x:c r="A473" s="10" t="n">
        <x:f>IF(Assumptions!$B$5+INT((ROW()-2)/Assumptions!$B$7)&gt;Assumptions!$B$6,"",Assumptions!$B$5+INT((ROW()-2)/Assumptions!$B$7))</x:f>
        <x:v>46117</x:v>
      </x:c>
      <x:c r="B473" t="str">
        <x:f>IF($A473="","",INDEX(Assumptions!$D$5:$D$12,MOD(ROW()-2,Assumptions!$B$7)+1))</x:f>
        <x:v>LV-426 North</x:v>
      </x:c>
      <x:c r="C473" s="11" t="n">
        <x:f>IF($A473="","",INDEX(Assumptions!$F$5:$F$12,MATCH($B473,Assumptions!$D$5:$D$12,0)))</x:f>
        <x:v>930</x:v>
      </x:c>
      <x:c r="D473" s="11" t="n">
        <x:f>IF($A473="","",INDEX(Assumptions!$G$5:$G$12,MATCH($B473,Assumptions!$D$5:$D$12,0)))</x:f>
        <x:v>95</x:v>
      </x:c>
      <x:c r="E473" s="11" t="n">
        <x:f>IF($A473="","",INDEX(Assumptions!$M$5:$M$11,WEEKDAY($A473,2)))</x:f>
        <x:v>0.87</x:v>
      </x:c>
      <x:c r="F473" s="11" t="n">
        <x:f>IF($A473="","",Assumptions!$B$15)</x:f>
        <x:v>0.35</x:v>
      </x:c>
      <x:c r="G473" s="11" t="n">
        <x:f>IF($A473="","",MAX(INDEX(Assumptions!$H$5:$H$12,MATCH($B473,Assumptions!$D$5:$D$12,0)),MIN(INDEX(Assumptions!$I$5:$I$12,MATCH($B473,Assumptions!$D$5:$D$12,0)),($C473+$D473*SQRT(-2*LN(RAND()))*COS(2*PI()*RAND()))*$E473*$J473*$K473)))</x:f>
        <x:v>733.5866396044025</x:v>
      </x:c>
      <x:c r="H473" s="11" t="n">
        <x:f>IF($A473="","",$G473*$F473+$C473*(1-$F473))</x:f>
        <x:v>861.2553238615409</x:v>
      </x:c>
      <x:c r="I473" s="11" t="n">
        <x:f>IF($A473="","",AVERAGE($H473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912.8031210152645</x:v>
      </x:c>
      <x:c r="J473" s="12" t="n">
        <x:f>IF($A473="","",1+SUMIFS(Assumptions!$S$5:$S$10,Assumptions!$P$5:$P$10,$B473,Assumptions!$Q$5:$Q$10,"&lt;="&amp;$A473,Assumptions!$R$5:$R$10,"&gt;="&amp;$A473))</x:f>
        <x:v>1</x:v>
      </x:c>
      <x:c r="K473" s="12" t="n">
        <x:f>IF($A473="","",1+((($A473-Assumptions!$B$5)/30)*INDEX(Assumptions!$J$5:$J$12,MATCH($B473,Assumptions!$D$5:$D$12,0))))</x:f>
        <x:v>0.9968666666666667</x:v>
      </x:c>
      <x:c r="L473" t="str">
        <x:f>IF($A473="","",IFERROR(INDEX(Assumptions!$O$5:$O$10,MATCH(1,(Assumptions!$P$5:$P$10=$B473)*(Assumptions!$Q$5:$Q$10&lt;=$A473)*(Assumptions!$R$5:$R$10&gt;=$A473),0)),""))</x:f>
      </x:c>
      <x:c r="M473" t="n">
        <x:f>--($A473&lt;&gt;"")</x:f>
        <x:v>1</x:v>
      </x:c>
    </x:row>
    <x:row r="474">
      <x:c r="A474" s="10" t="n">
        <x:f>IF(Assumptions!$B$5+INT((ROW()-2)/Assumptions!$B$7)&gt;Assumptions!$B$6,"",Assumptions!$B$5+INT((ROW()-2)/Assumptions!$B$7))</x:f>
        <x:v>46117</x:v>
      </x:c>
      <x:c r="B474" t="str">
        <x:f>IF($A474="","",INDEX(Assumptions!$D$5:$D$12,MOD(ROW()-2,Assumptions!$B$7)+1))</x:f>
        <x:v>Nostromo Deep</x:v>
      </x:c>
      <x:c r="C474" s="11" t="n">
        <x:f>IF($A474="","",INDEX(Assumptions!$F$5:$F$12,MATCH($B474,Assumptions!$D$5:$D$12,0)))</x:f>
        <x:v>1260</x:v>
      </x:c>
      <x:c r="D474" s="11" t="n">
        <x:f>IF($A474="","",INDEX(Assumptions!$G$5:$G$12,MATCH($B474,Assumptions!$D$5:$D$12,0)))</x:f>
        <x:v>145</x:v>
      </x:c>
      <x:c r="E474" s="11" t="n">
        <x:f>IF($A474="","",INDEX(Assumptions!$M$5:$M$11,WEEKDAY($A474,2)))</x:f>
        <x:v>0.87</x:v>
      </x:c>
      <x:c r="F474" s="11" t="n">
        <x:f>IF($A474="","",Assumptions!$B$15)</x:f>
        <x:v>0.35</x:v>
      </x:c>
      <x:c r="G474" s="11" t="n">
        <x:f>IF($A474="","",MAX(INDEX(Assumptions!$H$5:$H$12,MATCH($B474,Assumptions!$D$5:$D$12,0)),MIN(INDEX(Assumptions!$I$5:$I$12,MATCH($B474,Assumptions!$D$5:$D$12,0)),($C474+$D474*SQRT(-2*LN(RAND()))*COS(2*PI()*RAND()))*$E474*$J474*$K474)))</x:f>
        <x:v>1324.9018680962113</x:v>
      </x:c>
      <x:c r="H474" s="11" t="n">
        <x:f>IF($A474="","",$G474*$F474+$C474*(1-$F474))</x:f>
        <x:v>1282.715653833674</x:v>
      </x:c>
      <x:c r="I474" s="11" t="n">
        <x:f>IF($A474="","",AVERAGE($H474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1224.4812057313818</x:v>
      </x:c>
      <x:c r="J474" s="12" t="n">
        <x:f>IF($A474="","",1+SUMIFS(Assumptions!$S$5:$S$10,Assumptions!$P$5:$P$10,$B474,Assumptions!$Q$5:$Q$10,"&lt;="&amp;$A474,Assumptions!$R$5:$R$10,"&gt;="&amp;$A474))</x:f>
        <x:v>1</x:v>
      </x:c>
      <x:c r="K474" s="12" t="n">
        <x:f>IF($A474="","",1+((($A474-Assumptions!$B$5)/30)*INDEX(Assumptions!$J$5:$J$12,MATCH($B474,Assumptions!$D$5:$D$12,0))))</x:f>
        <x:v>1.0094</x:v>
      </x:c>
      <x:c r="L474" t="str">
        <x:f>IF($A474="","",IFERROR(INDEX(Assumptions!$O$5:$O$10,MATCH(1,(Assumptions!$P$5:$P$10=$B474)*(Assumptions!$Q$5:$Q$10&lt;=$A474)*(Assumptions!$R$5:$R$10&gt;=$A474),0)),""))</x:f>
      </x:c>
      <x:c r="M474" t="n">
        <x:f>--($A474&lt;&gt;"")</x:f>
        <x:v>1</x:v>
      </x:c>
    </x:row>
    <x:row r="475">
      <x:c r="A475" s="10" t="n">
        <x:f>IF(Assumptions!$B$5+INT((ROW()-2)/Assumptions!$B$7)&gt;Assumptions!$B$6,"",Assumptions!$B$5+INT((ROW()-2)/Assumptions!$B$7))</x:f>
        <x:v>46117</x:v>
      </x:c>
      <x:c r="B475" t="str">
        <x:f>IF($A475="","",INDEX(Assumptions!$D$5:$D$12,MOD(ROW()-2,Assumptions!$B$7)+1))</x:f>
        <x:v>Hadley's Hope</x:v>
      </x:c>
      <x:c r="C475" s="11" t="n">
        <x:f>IF($A475="","",INDEX(Assumptions!$F$5:$F$12,MATCH($B475,Assumptions!$D$5:$D$12,0)))</x:f>
        <x:v>845</x:v>
      </x:c>
      <x:c r="D475" s="11" t="n">
        <x:f>IF($A475="","",INDEX(Assumptions!$G$5:$G$12,MATCH($B475,Assumptions!$D$5:$D$12,0)))</x:f>
        <x:v>80</x:v>
      </x:c>
      <x:c r="E475" s="11" t="n">
        <x:f>IF($A475="","",INDEX(Assumptions!$M$5:$M$11,WEEKDAY($A475,2)))</x:f>
        <x:v>0.87</x:v>
      </x:c>
      <x:c r="F475" s="11" t="n">
        <x:f>IF($A475="","",Assumptions!$B$15)</x:f>
        <x:v>0.35</x:v>
      </x:c>
      <x:c r="G475" s="11" t="n">
        <x:f>IF($A475="","",MAX(INDEX(Assumptions!$H$5:$H$12,MATCH($B475,Assumptions!$D$5:$D$12,0)),MIN(INDEX(Assumptions!$I$5:$I$12,MATCH($B475,Assumptions!$D$5:$D$12,0)),($C475+$D475*SQRT(-2*LN(RAND()))*COS(2*PI()*RAND()))*$E475*$J475*$K475)))</x:f>
        <x:v>707.3367450741811</x:v>
      </x:c>
      <x:c r="H475" s="11" t="n">
        <x:f>IF($A475="","",$G475*$F475+$C475*(1-$F475))</x:f>
        <x:v>796.8178607759634</x:v>
      </x:c>
      <x:c r="I475" s="11" t="n">
        <x:f>IF($A475="","",AVERAGE($H475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831.8074933260026</x:v>
      </x:c>
      <x:c r="J475" s="12" t="n">
        <x:f>IF($A475="","",1+SUMIFS(Assumptions!$S$5:$S$10,Assumptions!$P$5:$P$10,$B475,Assumptions!$Q$5:$Q$10,"&lt;="&amp;$A475,Assumptions!$R$5:$R$10,"&gt;="&amp;$A475))</x:f>
        <x:v>1</x:v>
      </x:c>
      <x:c r="K475" s="12" t="n">
        <x:f>IF($A475="","",1+((($A475-Assumptions!$B$5)/30)*INDEX(Assumptions!$J$5:$J$12,MATCH($B475,Assumptions!$D$5:$D$12,0))))</x:f>
        <x:v>1.0031333333333334</x:v>
      </x:c>
      <x:c r="L475" t="str">
        <x:f>IF($A475="","",IFERROR(INDEX(Assumptions!$O$5:$O$10,MATCH(1,(Assumptions!$P$5:$P$10=$B475)*(Assumptions!$Q$5:$Q$10&lt;=$A475)*(Assumptions!$R$5:$R$10&gt;=$A475),0)),""))</x:f>
      </x:c>
      <x:c r="M475" t="n">
        <x:f>--($A475&lt;&gt;"")</x:f>
        <x:v>1</x:v>
      </x:c>
    </x:row>
    <x:row r="476">
      <x:c r="A476" s="10" t="n">
        <x:f>IF(Assumptions!$B$5+INT((ROW()-2)/Assumptions!$B$7)&gt;Assumptions!$B$6,"",Assumptions!$B$5+INT((ROW()-2)/Assumptions!$B$7))</x:f>
        <x:v>46117</x:v>
      </x:c>
      <x:c r="B476" t="str">
        <x:f>IF($A476="","",INDEX(Assumptions!$D$5:$D$12,MOD(ROW()-2,Assumptions!$B$7)+1))</x:f>
        <x:v>Yutani Ridge</x:v>
      </x:c>
      <x:c r="C476" s="11" t="n">
        <x:f>IF($A476="","",INDEX(Assumptions!$F$5:$F$12,MATCH($B476,Assumptions!$D$5:$D$12,0)))</x:f>
        <x:v>1050</x:v>
      </x:c>
      <x:c r="D476" s="11" t="n">
        <x:f>IF($A476="","",INDEX(Assumptions!$G$5:$G$12,MATCH($B476,Assumptions!$D$5:$D$12,0)))</x:f>
        <x:v>125</x:v>
      </x:c>
      <x:c r="E476" s="11" t="n">
        <x:f>IF($A476="","",INDEX(Assumptions!$M$5:$M$11,WEEKDAY($A476,2)))</x:f>
        <x:v>0.87</x:v>
      </x:c>
      <x:c r="F476" s="11" t="n">
        <x:f>IF($A476="","",Assumptions!$B$15)</x:f>
        <x:v>0.35</x:v>
      </x:c>
      <x:c r="G476" s="11" t="n">
        <x:f>IF($A476="","",MAX(INDEX(Assumptions!$H$5:$H$12,MATCH($B476,Assumptions!$D$5:$D$12,0)),MIN(INDEX(Assumptions!$I$5:$I$12,MATCH($B476,Assumptions!$D$5:$D$12,0)),($C476+$D476*SQRT(-2*LN(RAND()))*COS(2*PI()*RAND()))*$E476*$J476*$K476)))</x:f>
        <x:v>700</x:v>
      </x:c>
      <x:c r="H476" s="11" t="n">
        <x:f>IF($A476="","",$G476*$F476+$C476*(1-$F476))</x:f>
        <x:v>927.5</x:v>
      </x:c>
      <x:c r="I476" s="11" t="n">
        <x:f>IF($A476="","",AVERAGE($H476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1014.0469509595812</x:v>
      </x:c>
      <x:c r="J476" s="12" t="n">
        <x:f>IF($A476="","",1+SUMIFS(Assumptions!$S$5:$S$10,Assumptions!$P$5:$P$10,$B476,Assumptions!$Q$5:$Q$10,"&lt;="&amp;$A476,Assumptions!$R$5:$R$10,"&gt;="&amp;$A476))</x:f>
        <x:v>1</x:v>
      </x:c>
      <x:c r="K476" s="12" t="n">
        <x:f>IF($A476="","",1+((($A476-Assumptions!$B$5)/30)*INDEX(Assumptions!$J$5:$J$12,MATCH($B476,Assumptions!$D$5:$D$12,0))))</x:f>
        <x:v>1.0078333333333334</x:v>
      </x:c>
      <x:c r="L476" t="str">
        <x:f>IF($A476="","",IFERROR(INDEX(Assumptions!$O$5:$O$10,MATCH(1,(Assumptions!$P$5:$P$10=$B476)*(Assumptions!$Q$5:$Q$10&lt;=$A476)*(Assumptions!$R$5:$R$10&gt;=$A476),0)),""))</x:f>
      </x:c>
      <x:c r="M476" t="n">
        <x:f>--($A476&lt;&gt;"")</x:f>
        <x:v>1</x:v>
      </x:c>
    </x:row>
    <x:row r="477">
      <x:c r="A477" s="10" t="n">
        <x:f>IF(Assumptions!$B$5+INT((ROW()-2)/Assumptions!$B$7)&gt;Assumptions!$B$6,"",Assumptions!$B$5+INT((ROW()-2)/Assumptions!$B$7))</x:f>
        <x:v>46118</x:v>
      </x:c>
      <x:c r="B477" t="str">
        <x:f>IF($A477="","",INDEX(Assumptions!$D$5:$D$12,MOD(ROW()-2,Assumptions!$B$7)+1))</x:f>
        <x:v>Acheron Prime</x:v>
      </x:c>
      <x:c r="C477" s="11" t="n">
        <x:f>IF($A477="","",INDEX(Assumptions!$F$5:$F$12,MATCH($B477,Assumptions!$D$5:$D$12,0)))</x:f>
        <x:v>1120</x:v>
      </x:c>
      <x:c r="D477" s="11" t="n">
        <x:f>IF($A477="","",INDEX(Assumptions!$G$5:$G$12,MATCH($B477,Assumptions!$D$5:$D$12,0)))</x:f>
        <x:v>115</x:v>
      </x:c>
      <x:c r="E477" s="11" t="n">
        <x:f>IF($A477="","",INDEX(Assumptions!$M$5:$M$11,WEEKDAY($A477,2)))</x:f>
        <x:v>1.03</x:v>
      </x:c>
      <x:c r="F477" s="11" t="n">
        <x:f>IF($A477="","",Assumptions!$B$15)</x:f>
        <x:v>0.35</x:v>
      </x:c>
      <x:c r="G477" s="11" t="n">
        <x:f>IF($A477="","",MAX(INDEX(Assumptions!$H$5:$H$12,MATCH($B477,Assumptions!$D$5:$D$12,0)),MIN(INDEX(Assumptions!$I$5:$I$12,MATCH($B477,Assumptions!$D$5:$D$12,0)),($C477+$D477*SQRT(-2*LN(RAND()))*COS(2*PI()*RAND()))*$E477*$J477*$K477)))</x:f>
        <x:v>839.226259040141</x:v>
      </x:c>
      <x:c r="H477" s="11" t="n">
        <x:f>IF($A477="","",$G477*$F477+$C477*(1-$F477))</x:f>
        <x:v>1021.7291906640494</x:v>
      </x:c>
      <x:c r="I477" s="11" t="n">
        <x:f>IF($A477="","",AVERAGE($H477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1101.896083204086</x:v>
      </x:c>
      <x:c r="J477" s="12" t="n">
        <x:f>IF($A477="","",1+SUMIFS(Assumptions!$S$5:$S$10,Assumptions!$P$5:$P$10,$B477,Assumptions!$Q$5:$Q$10,"&lt;="&amp;$A477,Assumptions!$R$5:$R$10,"&gt;="&amp;$A477))</x:f>
        <x:v>1</x:v>
      </x:c>
      <x:c r="K477" s="12" t="n">
        <x:f>IF($A477="","",1+((($A477-Assumptions!$B$5)/30)*INDEX(Assumptions!$J$5:$J$12,MATCH($B477,Assumptions!$D$5:$D$12,0))))</x:f>
        <x:v>1.0063333333333333</x:v>
      </x:c>
      <x:c r="L477" t="str">
        <x:f>IF($A477="","",IFERROR(INDEX(Assumptions!$O$5:$O$10,MATCH(1,(Assumptions!$P$5:$P$10=$B477)*(Assumptions!$Q$5:$Q$10&lt;=$A477)*(Assumptions!$R$5:$R$10&gt;=$A477),0)),""))</x:f>
      </x:c>
      <x:c r="M477" t="n">
        <x:f>--($A477&lt;&gt;"")</x:f>
        <x:v>1</x:v>
      </x:c>
    </x:row>
    <x:row r="478">
      <x:c r="A478" s="10" t="n">
        <x:f>IF(Assumptions!$B$5+INT((ROW()-2)/Assumptions!$B$7)&gt;Assumptions!$B$6,"",Assumptions!$B$5+INT((ROW()-2)/Assumptions!$B$7))</x:f>
        <x:v>46118</x:v>
      </x:c>
      <x:c r="B478" t="str">
        <x:f>IF($A478="","",INDEX(Assumptions!$D$5:$D$12,MOD(ROW()-2,Assumptions!$B$7)+1))</x:f>
        <x:v>LV-426 North</x:v>
      </x:c>
      <x:c r="C478" s="11" t="n">
        <x:f>IF($A478="","",INDEX(Assumptions!$F$5:$F$12,MATCH($B478,Assumptions!$D$5:$D$12,0)))</x:f>
        <x:v>930</x:v>
      </x:c>
      <x:c r="D478" s="11" t="n">
        <x:f>IF($A478="","",INDEX(Assumptions!$G$5:$G$12,MATCH($B478,Assumptions!$D$5:$D$12,0)))</x:f>
        <x:v>95</x:v>
      </x:c>
      <x:c r="E478" s="11" t="n">
        <x:f>IF($A478="","",INDEX(Assumptions!$M$5:$M$11,WEEKDAY($A478,2)))</x:f>
        <x:v>1.03</x:v>
      </x:c>
      <x:c r="F478" s="11" t="n">
        <x:f>IF($A478="","",Assumptions!$B$15)</x:f>
        <x:v>0.35</x:v>
      </x:c>
      <x:c r="G478" s="11" t="n">
        <x:f>IF($A478="","",MAX(INDEX(Assumptions!$H$5:$H$12,MATCH($B478,Assumptions!$D$5:$D$12,0)),MIN(INDEX(Assumptions!$I$5:$I$12,MATCH($B478,Assumptions!$D$5:$D$12,0)),($C478+$D478*SQRT(-2*LN(RAND()))*COS(2*PI()*RAND()))*$E478*$J478*$K478)))</x:f>
        <x:v>1023.9090112848228</x:v>
      </x:c>
      <x:c r="H478" s="11" t="n">
        <x:f>IF($A478="","",$G478*$F478+$C478*(1-$F478))</x:f>
        <x:v>962.8681539496879</x:v>
      </x:c>
      <x:c r="I478" s="11" t="n">
        <x:f>IF($A478="","",AVERAGE($H478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914.1369801717999</x:v>
      </x:c>
      <x:c r="J478" s="12" t="n">
        <x:f>IF($A478="","",1+SUMIFS(Assumptions!$S$5:$S$10,Assumptions!$P$5:$P$10,$B478,Assumptions!$Q$5:$Q$10,"&lt;="&amp;$A478,Assumptions!$R$5:$R$10,"&gt;="&amp;$A478))</x:f>
        <x:v>1</x:v>
      </x:c>
      <x:c r="K478" s="12" t="n">
        <x:f>IF($A478="","",1+((($A478-Assumptions!$B$5)/30)*INDEX(Assumptions!$J$5:$J$12,MATCH($B478,Assumptions!$D$5:$D$12,0))))</x:f>
        <x:v>0.9968333333333333</x:v>
      </x:c>
      <x:c r="L478" t="str">
        <x:f>IF($A478="","",IFERROR(INDEX(Assumptions!$O$5:$O$10,MATCH(1,(Assumptions!$P$5:$P$10=$B478)*(Assumptions!$Q$5:$Q$10&lt;=$A478)*(Assumptions!$R$5:$R$10&gt;=$A478),0)),""))</x:f>
      </x:c>
      <x:c r="M478" t="n">
        <x:f>--($A478&lt;&gt;"")</x:f>
        <x:v>1</x:v>
      </x:c>
    </x:row>
    <x:row r="479">
      <x:c r="A479" s="10" t="n">
        <x:f>IF(Assumptions!$B$5+INT((ROW()-2)/Assumptions!$B$7)&gt;Assumptions!$B$6,"",Assumptions!$B$5+INT((ROW()-2)/Assumptions!$B$7))</x:f>
        <x:v>46118</x:v>
      </x:c>
      <x:c r="B479" t="str">
        <x:f>IF($A479="","",INDEX(Assumptions!$D$5:$D$12,MOD(ROW()-2,Assumptions!$B$7)+1))</x:f>
        <x:v>Nostromo Deep</x:v>
      </x:c>
      <x:c r="C479" s="11" t="n">
        <x:f>IF($A479="","",INDEX(Assumptions!$F$5:$F$12,MATCH($B479,Assumptions!$D$5:$D$12,0)))</x:f>
        <x:v>1260</x:v>
      </x:c>
      <x:c r="D479" s="11" t="n">
        <x:f>IF($A479="","",INDEX(Assumptions!$G$5:$G$12,MATCH($B479,Assumptions!$D$5:$D$12,0)))</x:f>
        <x:v>145</x:v>
      </x:c>
      <x:c r="E479" s="11" t="n">
        <x:f>IF($A479="","",INDEX(Assumptions!$M$5:$M$11,WEEKDAY($A479,2)))</x:f>
        <x:v>1.03</x:v>
      </x:c>
      <x:c r="F479" s="11" t="n">
        <x:f>IF($A479="","",Assumptions!$B$15)</x:f>
        <x:v>0.35</x:v>
      </x:c>
      <x:c r="G479" s="11" t="n">
        <x:f>IF($A479="","",MAX(INDEX(Assumptions!$H$5:$H$12,MATCH($B479,Assumptions!$D$5:$D$12,0)),MIN(INDEX(Assumptions!$I$5:$I$12,MATCH($B479,Assumptions!$D$5:$D$12,0)),($C479+$D479*SQRT(-2*LN(RAND()))*COS(2*PI()*RAND()))*$E479*$J479*$K479)))</x:f>
        <x:v>1328.4523074980689</x:v>
      </x:c>
      <x:c r="H479" s="11" t="n">
        <x:f>IF($A479="","",$G479*$F479+$C479*(1-$F479))</x:f>
        <x:v>1283.958307624324</x:v>
      </x:c>
      <x:c r="I479" s="11" t="n">
        <x:f>IF($A479="","",AVERAGE($H479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1233.7452254784657</x:v>
      </x:c>
      <x:c r="J479" s="12" t="n">
        <x:f>IF($A479="","",1+SUMIFS(Assumptions!$S$5:$S$10,Assumptions!$P$5:$P$10,$B479,Assumptions!$Q$5:$Q$10,"&lt;="&amp;$A479,Assumptions!$R$5:$R$10,"&gt;="&amp;$A479))</x:f>
        <x:v>1</x:v>
      </x:c>
      <x:c r="K479" s="12" t="n">
        <x:f>IF($A479="","",1+((($A479-Assumptions!$B$5)/30)*INDEX(Assumptions!$J$5:$J$12,MATCH($B479,Assumptions!$D$5:$D$12,0))))</x:f>
        <x:v>1.0095</x:v>
      </x:c>
      <x:c r="L479" t="str">
        <x:f>IF($A479="","",IFERROR(INDEX(Assumptions!$O$5:$O$10,MATCH(1,(Assumptions!$P$5:$P$10=$B479)*(Assumptions!$Q$5:$Q$10&lt;=$A479)*(Assumptions!$R$5:$R$10&gt;=$A479),0)),""))</x:f>
      </x:c>
      <x:c r="M479" t="n">
        <x:f>--($A479&lt;&gt;"")</x:f>
        <x:v>1</x:v>
      </x:c>
    </x:row>
    <x:row r="480">
      <x:c r="A480" s="10" t="n">
        <x:f>IF(Assumptions!$B$5+INT((ROW()-2)/Assumptions!$B$7)&gt;Assumptions!$B$6,"",Assumptions!$B$5+INT((ROW()-2)/Assumptions!$B$7))</x:f>
        <x:v>46118</x:v>
      </x:c>
      <x:c r="B480" t="str">
        <x:f>IF($A480="","",INDEX(Assumptions!$D$5:$D$12,MOD(ROW()-2,Assumptions!$B$7)+1))</x:f>
        <x:v>Hadley's Hope</x:v>
      </x:c>
      <x:c r="C480" s="11" t="n">
        <x:f>IF($A480="","",INDEX(Assumptions!$F$5:$F$12,MATCH($B480,Assumptions!$D$5:$D$12,0)))</x:f>
        <x:v>845</x:v>
      </x:c>
      <x:c r="D480" s="11" t="n">
        <x:f>IF($A480="","",INDEX(Assumptions!$G$5:$G$12,MATCH($B480,Assumptions!$D$5:$D$12,0)))</x:f>
        <x:v>80</x:v>
      </x:c>
      <x:c r="E480" s="11" t="n">
        <x:f>IF($A480="","",INDEX(Assumptions!$M$5:$M$11,WEEKDAY($A480,2)))</x:f>
        <x:v>1.03</x:v>
      </x:c>
      <x:c r="F480" s="11" t="n">
        <x:f>IF($A480="","",Assumptions!$B$15)</x:f>
        <x:v>0.35</x:v>
      </x:c>
      <x:c r="G480" s="11" t="n">
        <x:f>IF($A480="","",MAX(INDEX(Assumptions!$H$5:$H$12,MATCH($B480,Assumptions!$D$5:$D$12,0)),MIN(INDEX(Assumptions!$I$5:$I$12,MATCH($B480,Assumptions!$D$5:$D$12,0)),($C480+$D480*SQRT(-2*LN(RAND()))*COS(2*PI()*RAND()))*$E480*$J480*$K480)))</x:f>
        <x:v>944.1849068493749</x:v>
      </x:c>
      <x:c r="H480" s="11" t="n">
        <x:f>IF($A480="","",$G480*$F480+$C480*(1-$F480))</x:f>
        <x:v>879.7147173972812</x:v>
      </x:c>
      <x:c r="I480" s="11" t="n">
        <x:f>IF($A480="","",AVERAGE($H480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836.7389455971016</x:v>
      </x:c>
      <x:c r="J480" s="12" t="n">
        <x:f>IF($A480="","",1+SUMIFS(Assumptions!$S$5:$S$10,Assumptions!$P$5:$P$10,$B480,Assumptions!$Q$5:$Q$10,"&lt;="&amp;$A480,Assumptions!$R$5:$R$10,"&gt;="&amp;$A480))</x:f>
        <x:v>1</x:v>
      </x:c>
      <x:c r="K480" s="12" t="n">
        <x:f>IF($A480="","",1+((($A480-Assumptions!$B$5)/30)*INDEX(Assumptions!$J$5:$J$12,MATCH($B480,Assumptions!$D$5:$D$12,0))))</x:f>
        <x:v>1.0031666666666668</x:v>
      </x:c>
      <x:c r="L480" t="str">
        <x:f>IF($A480="","",IFERROR(INDEX(Assumptions!$O$5:$O$10,MATCH(1,(Assumptions!$P$5:$P$10=$B480)*(Assumptions!$Q$5:$Q$10&lt;=$A480)*(Assumptions!$R$5:$R$10&gt;=$A480),0)),""))</x:f>
      </x:c>
      <x:c r="M480" t="n">
        <x:f>--($A480&lt;&gt;"")</x:f>
        <x:v>1</x:v>
      </x:c>
    </x:row>
    <x:row r="481">
      <x:c r="A481" s="10" t="n">
        <x:f>IF(Assumptions!$B$5+INT((ROW()-2)/Assumptions!$B$7)&gt;Assumptions!$B$6,"",Assumptions!$B$5+INT((ROW()-2)/Assumptions!$B$7))</x:f>
        <x:v>46118</x:v>
      </x:c>
      <x:c r="B481" t="str">
        <x:f>IF($A481="","",INDEX(Assumptions!$D$5:$D$12,MOD(ROW()-2,Assumptions!$B$7)+1))</x:f>
        <x:v>Yutani Ridge</x:v>
      </x:c>
      <x:c r="C481" s="11" t="n">
        <x:f>IF($A481="","",INDEX(Assumptions!$F$5:$F$12,MATCH($B481,Assumptions!$D$5:$D$12,0)))</x:f>
        <x:v>1050</x:v>
      </x:c>
      <x:c r="D481" s="11" t="n">
        <x:f>IF($A481="","",INDEX(Assumptions!$G$5:$G$12,MATCH($B481,Assumptions!$D$5:$D$12,0)))</x:f>
        <x:v>125</x:v>
      </x:c>
      <x:c r="E481" s="11" t="n">
        <x:f>IF($A481="","",INDEX(Assumptions!$M$5:$M$11,WEEKDAY($A481,2)))</x:f>
        <x:v>1.03</x:v>
      </x:c>
      <x:c r="F481" s="11" t="n">
        <x:f>IF($A481="","",Assumptions!$B$15)</x:f>
        <x:v>0.35</x:v>
      </x:c>
      <x:c r="G481" s="11" t="n">
        <x:f>IF($A481="","",MAX(INDEX(Assumptions!$H$5:$H$12,MATCH($B481,Assumptions!$D$5:$D$12,0)),MIN(INDEX(Assumptions!$I$5:$I$12,MATCH($B481,Assumptions!$D$5:$D$12,0)),($C481+$D481*SQRT(-2*LN(RAND()))*COS(2*PI()*RAND()))*$E481*$J481*$K481)))</x:f>
        <x:v>1125.4861690519756</x:v>
      </x:c>
      <x:c r="H481" s="11" t="n">
        <x:f>IF($A481="","",$G481*$F481+$C481*(1-$F481))</x:f>
        <x:v>1076.4201591681915</x:v>
      </x:c>
      <x:c r="I481" s="11" t="n">
        <x:f>IF($A481="","",AVERAGE($H481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1015.9485041434856</x:v>
      </x:c>
      <x:c r="J481" s="12" t="n">
        <x:f>IF($A481="","",1+SUMIFS(Assumptions!$S$5:$S$10,Assumptions!$P$5:$P$10,$B481,Assumptions!$Q$5:$Q$10,"&lt;="&amp;$A481,Assumptions!$R$5:$R$10,"&gt;="&amp;$A481))</x:f>
        <x:v>1</x:v>
      </x:c>
      <x:c r="K481" s="12" t="n">
        <x:f>IF($A481="","",1+((($A481-Assumptions!$B$5)/30)*INDEX(Assumptions!$J$5:$J$12,MATCH($B481,Assumptions!$D$5:$D$12,0))))</x:f>
        <x:v>1.0079166666666666</x:v>
      </x:c>
      <x:c r="L481" t="str">
        <x:f>IF($A481="","",IFERROR(INDEX(Assumptions!$O$5:$O$10,MATCH(1,(Assumptions!$P$5:$P$10=$B481)*(Assumptions!$Q$5:$Q$10&lt;=$A481)*(Assumptions!$R$5:$R$10&gt;=$A481),0)),""))</x:f>
      </x:c>
      <x:c r="M481" t="n">
        <x:f>--($A481&lt;&gt;"")</x:f>
        <x:v>1</x:v>
      </x:c>
    </x:row>
    <x:row r="482">
      <x:c r="A482" s="10" t="n">
        <x:f>IF(Assumptions!$B$5+INT((ROW()-2)/Assumptions!$B$7)&gt;Assumptions!$B$6,"",Assumptions!$B$5+INT((ROW()-2)/Assumptions!$B$7))</x:f>
        <x:v>46119</x:v>
      </x:c>
      <x:c r="B482" t="str">
        <x:f>IF($A482="","",INDEX(Assumptions!$D$5:$D$12,MOD(ROW()-2,Assumptions!$B$7)+1))</x:f>
        <x:v>Acheron Prime</x:v>
      </x:c>
      <x:c r="C482" s="11" t="n">
        <x:f>IF($A482="","",INDEX(Assumptions!$F$5:$F$12,MATCH($B482,Assumptions!$D$5:$D$12,0)))</x:f>
        <x:v>1120</x:v>
      </x:c>
      <x:c r="D482" s="11" t="n">
        <x:f>IF($A482="","",INDEX(Assumptions!$G$5:$G$12,MATCH($B482,Assumptions!$D$5:$D$12,0)))</x:f>
        <x:v>115</x:v>
      </x:c>
      <x:c r="E482" s="11" t="n">
        <x:f>IF($A482="","",INDEX(Assumptions!$M$5:$M$11,WEEKDAY($A482,2)))</x:f>
        <x:v>1.02</x:v>
      </x:c>
      <x:c r="F482" s="11" t="n">
        <x:f>IF($A482="","",Assumptions!$B$15)</x:f>
        <x:v>0.35</x:v>
      </x:c>
      <x:c r="G482" s="11" t="n">
        <x:f>IF($A482="","",MAX(INDEX(Assumptions!$H$5:$H$12,MATCH($B482,Assumptions!$D$5:$D$12,0)),MIN(INDEX(Assumptions!$I$5:$I$12,MATCH($B482,Assumptions!$D$5:$D$12,0)),($C482+$D482*SQRT(-2*LN(RAND()))*COS(2*PI()*RAND()))*$E482*$J482*$K482)))</x:f>
        <x:v>1058.3563691141615</x:v>
      </x:c>
      <x:c r="H482" s="11" t="n">
        <x:f>IF($A482="","",$G482*$F482+$C482*(1-$F482))</x:f>
        <x:v>1098.4247291899565</x:v>
      </x:c>
      <x:c r="I482" s="11" t="n">
        <x:f>IF($A482="","",AVERAGE($H482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1093.7810292073539</x:v>
      </x:c>
      <x:c r="J482" s="12" t="n">
        <x:f>IF($A482="","",1+SUMIFS(Assumptions!$S$5:$S$10,Assumptions!$P$5:$P$10,$B482,Assumptions!$Q$5:$Q$10,"&lt;="&amp;$A482,Assumptions!$R$5:$R$10,"&gt;="&amp;$A482))</x:f>
        <x:v>1</x:v>
      </x:c>
      <x:c r="K482" s="12" t="n">
        <x:f>IF($A482="","",1+((($A482-Assumptions!$B$5)/30)*INDEX(Assumptions!$J$5:$J$12,MATCH($B482,Assumptions!$D$5:$D$12,0))))</x:f>
        <x:v>1.0064</x:v>
      </x:c>
      <x:c r="L482" t="str">
        <x:f>IF($A482="","",IFERROR(INDEX(Assumptions!$O$5:$O$10,MATCH(1,(Assumptions!$P$5:$P$10=$B482)*(Assumptions!$Q$5:$Q$10&lt;=$A482)*(Assumptions!$R$5:$R$10&gt;=$A482),0)),""))</x:f>
      </x:c>
      <x:c r="M482" t="n">
        <x:f>--($A482&lt;&gt;"")</x:f>
        <x:v>1</x:v>
      </x:c>
    </x:row>
    <x:row r="483">
      <x:c r="A483" s="10" t="n">
        <x:f>IF(Assumptions!$B$5+INT((ROW()-2)/Assumptions!$B$7)&gt;Assumptions!$B$6,"",Assumptions!$B$5+INT((ROW()-2)/Assumptions!$B$7))</x:f>
        <x:v>46119</x:v>
      </x:c>
      <x:c r="B483" t="str">
        <x:f>IF($A483="","",INDEX(Assumptions!$D$5:$D$12,MOD(ROW()-2,Assumptions!$B$7)+1))</x:f>
        <x:v>LV-426 North</x:v>
      </x:c>
      <x:c r="C483" s="11" t="n">
        <x:f>IF($A483="","",INDEX(Assumptions!$F$5:$F$12,MATCH($B483,Assumptions!$D$5:$D$12,0)))</x:f>
        <x:v>930</x:v>
      </x:c>
      <x:c r="D483" s="11" t="n">
        <x:f>IF($A483="","",INDEX(Assumptions!$G$5:$G$12,MATCH($B483,Assumptions!$D$5:$D$12,0)))</x:f>
        <x:v>95</x:v>
      </x:c>
      <x:c r="E483" s="11" t="n">
        <x:f>IF($A483="","",INDEX(Assumptions!$M$5:$M$11,WEEKDAY($A483,2)))</x:f>
        <x:v>1.02</x:v>
      </x:c>
      <x:c r="F483" s="11" t="n">
        <x:f>IF($A483="","",Assumptions!$B$15)</x:f>
        <x:v>0.35</x:v>
      </x:c>
      <x:c r="G483" s="11" t="n">
        <x:f>IF($A483="","",MAX(INDEX(Assumptions!$H$5:$H$12,MATCH($B483,Assumptions!$D$5:$D$12,0)),MIN(INDEX(Assumptions!$I$5:$I$12,MATCH($B483,Assumptions!$D$5:$D$12,0)),($C483+$D483*SQRT(-2*LN(RAND()))*COS(2*PI()*RAND()))*$E483*$J483*$K483)))</x:f>
        <x:v>958.433332808608</x:v>
      </x:c>
      <x:c r="H483" s="11" t="n">
        <x:f>IF($A483="","",$G483*$F483+$C483*(1-$F483))</x:f>
        <x:v>939.9516664830128</x:v>
      </x:c>
      <x:c r="I483" s="11" t="n">
        <x:f>IF($A483="","",AVERAGE($H483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921.8686363645387</x:v>
      </x:c>
      <x:c r="J483" s="12" t="n">
        <x:f>IF($A483="","",1+SUMIFS(Assumptions!$S$5:$S$10,Assumptions!$P$5:$P$10,$B483,Assumptions!$Q$5:$Q$10,"&lt;="&amp;$A483,Assumptions!$R$5:$R$10,"&gt;="&amp;$A483))</x:f>
        <x:v>1</x:v>
      </x:c>
      <x:c r="K483" s="12" t="n">
        <x:f>IF($A483="","",1+((($A483-Assumptions!$B$5)/30)*INDEX(Assumptions!$J$5:$J$12,MATCH($B483,Assumptions!$D$5:$D$12,0))))</x:f>
        <x:v>0.9968</x:v>
      </x:c>
      <x:c r="L483" t="str">
        <x:f>IF($A483="","",IFERROR(INDEX(Assumptions!$O$5:$O$10,MATCH(1,(Assumptions!$P$5:$P$10=$B483)*(Assumptions!$Q$5:$Q$10&lt;=$A483)*(Assumptions!$R$5:$R$10&gt;=$A483),0)),""))</x:f>
      </x:c>
      <x:c r="M483" t="n">
        <x:f>--($A483&lt;&gt;"")</x:f>
        <x:v>1</x:v>
      </x:c>
    </x:row>
    <x:row r="484">
      <x:c r="A484" s="10" t="n">
        <x:f>IF(Assumptions!$B$5+INT((ROW()-2)/Assumptions!$B$7)&gt;Assumptions!$B$6,"",Assumptions!$B$5+INT((ROW()-2)/Assumptions!$B$7))</x:f>
        <x:v>46119</x:v>
      </x:c>
      <x:c r="B484" t="str">
        <x:f>IF($A484="","",INDEX(Assumptions!$D$5:$D$12,MOD(ROW()-2,Assumptions!$B$7)+1))</x:f>
        <x:v>Nostromo Deep</x:v>
      </x:c>
      <x:c r="C484" s="11" t="n">
        <x:f>IF($A484="","",INDEX(Assumptions!$F$5:$F$12,MATCH($B484,Assumptions!$D$5:$D$12,0)))</x:f>
        <x:v>1260</x:v>
      </x:c>
      <x:c r="D484" s="11" t="n">
        <x:f>IF($A484="","",INDEX(Assumptions!$G$5:$G$12,MATCH($B484,Assumptions!$D$5:$D$12,0)))</x:f>
        <x:v>145</x:v>
      </x:c>
      <x:c r="E484" s="11" t="n">
        <x:f>IF($A484="","",INDEX(Assumptions!$M$5:$M$11,WEEKDAY($A484,2)))</x:f>
        <x:v>1.02</x:v>
      </x:c>
      <x:c r="F484" s="11" t="n">
        <x:f>IF($A484="","",Assumptions!$B$15)</x:f>
        <x:v>0.35</x:v>
      </x:c>
      <x:c r="G484" s="11" t="n">
        <x:f>IF($A484="","",MAX(INDEX(Assumptions!$H$5:$H$12,MATCH($B484,Assumptions!$D$5:$D$12,0)),MIN(INDEX(Assumptions!$I$5:$I$12,MATCH($B484,Assumptions!$D$5:$D$12,0)),($C484+$D484*SQRT(-2*LN(RAND()))*COS(2*PI()*RAND()))*$E484*$J484*$K484)))</x:f>
        <x:v>1473.9031984287737</x:v>
      </x:c>
      <x:c r="H484" s="11" t="n">
        <x:f>IF($A484="","",$G484*$F484+$C484*(1-$F484))</x:f>
        <x:v>1334.8661194500708</x:v>
      </x:c>
      <x:c r="I484" s="11" t="n">
        <x:f>IF($A484="","",AVERAGE($H484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1244.5424334866968</x:v>
      </x:c>
      <x:c r="J484" s="12" t="n">
        <x:f>IF($A484="","",1+SUMIFS(Assumptions!$S$5:$S$10,Assumptions!$P$5:$P$10,$B484,Assumptions!$Q$5:$Q$10,"&lt;="&amp;$A484,Assumptions!$R$5:$R$10,"&gt;="&amp;$A484))</x:f>
        <x:v>1</x:v>
      </x:c>
      <x:c r="K484" s="12" t="n">
        <x:f>IF($A484="","",1+((($A484-Assumptions!$B$5)/30)*INDEX(Assumptions!$J$5:$J$12,MATCH($B484,Assumptions!$D$5:$D$12,0))))</x:f>
        <x:v>1.0096</x:v>
      </x:c>
      <x:c r="L484" t="str">
        <x:f>IF($A484="","",IFERROR(INDEX(Assumptions!$O$5:$O$10,MATCH(1,(Assumptions!$P$5:$P$10=$B484)*(Assumptions!$Q$5:$Q$10&lt;=$A484)*(Assumptions!$R$5:$R$10&gt;=$A484),0)),""))</x:f>
      </x:c>
      <x:c r="M484" t="n">
        <x:f>--($A484&lt;&gt;"")</x:f>
        <x:v>1</x:v>
      </x:c>
    </x:row>
    <x:row r="485">
      <x:c r="A485" s="10" t="n">
        <x:f>IF(Assumptions!$B$5+INT((ROW()-2)/Assumptions!$B$7)&gt;Assumptions!$B$6,"",Assumptions!$B$5+INT((ROW()-2)/Assumptions!$B$7))</x:f>
        <x:v>46119</x:v>
      </x:c>
      <x:c r="B485" t="str">
        <x:f>IF($A485="","",INDEX(Assumptions!$D$5:$D$12,MOD(ROW()-2,Assumptions!$B$7)+1))</x:f>
        <x:v>Hadley's Hope</x:v>
      </x:c>
      <x:c r="C485" s="11" t="n">
        <x:f>IF($A485="","",INDEX(Assumptions!$F$5:$F$12,MATCH($B485,Assumptions!$D$5:$D$12,0)))</x:f>
        <x:v>845</x:v>
      </x:c>
      <x:c r="D485" s="11" t="n">
        <x:f>IF($A485="","",INDEX(Assumptions!$G$5:$G$12,MATCH($B485,Assumptions!$D$5:$D$12,0)))</x:f>
        <x:v>80</x:v>
      </x:c>
      <x:c r="E485" s="11" t="n">
        <x:f>IF($A485="","",INDEX(Assumptions!$M$5:$M$11,WEEKDAY($A485,2)))</x:f>
        <x:v>1.02</x:v>
      </x:c>
      <x:c r="F485" s="11" t="n">
        <x:f>IF($A485="","",Assumptions!$B$15)</x:f>
        <x:v>0.35</x:v>
      </x:c>
      <x:c r="G485" s="11" t="n">
        <x:f>IF($A485="","",MAX(INDEX(Assumptions!$H$5:$H$12,MATCH($B485,Assumptions!$D$5:$D$12,0)),MIN(INDEX(Assumptions!$I$5:$I$12,MATCH($B485,Assumptions!$D$5:$D$12,0)),($C485+$D485*SQRT(-2*LN(RAND()))*COS(2*PI()*RAND()))*$E485*$J485*$K485)))</x:f>
        <x:v>948.5538986639536</x:v>
      </x:c>
      <x:c r="H485" s="11" t="n">
        <x:f>IF($A485="","",$G485*$F485+$C485*(1-$F485))</x:f>
        <x:v>881.2438645323838</x:v>
      </x:c>
      <x:c r="I485" s="11" t="n">
        <x:f>IF($A485="","",AVERAGE($H485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847.0532902492124</x:v>
      </x:c>
      <x:c r="J485" s="12" t="n">
        <x:f>IF($A485="","",1+SUMIFS(Assumptions!$S$5:$S$10,Assumptions!$P$5:$P$10,$B485,Assumptions!$Q$5:$Q$10,"&lt;="&amp;$A485,Assumptions!$R$5:$R$10,"&gt;="&amp;$A485))</x:f>
        <x:v>1</x:v>
      </x:c>
      <x:c r="K485" s="12" t="n">
        <x:f>IF($A485="","",1+((($A485-Assumptions!$B$5)/30)*INDEX(Assumptions!$J$5:$J$12,MATCH($B485,Assumptions!$D$5:$D$12,0))))</x:f>
        <x:v>1.0032</x:v>
      </x:c>
      <x:c r="L485" t="str">
        <x:f>IF($A485="","",IFERROR(INDEX(Assumptions!$O$5:$O$10,MATCH(1,(Assumptions!$P$5:$P$10=$B485)*(Assumptions!$Q$5:$Q$10&lt;=$A485)*(Assumptions!$R$5:$R$10&gt;=$A485),0)),""))</x:f>
      </x:c>
      <x:c r="M485" t="n">
        <x:f>--($A485&lt;&gt;"")</x:f>
        <x:v>1</x:v>
      </x:c>
    </x:row>
    <x:row r="486">
      <x:c r="A486" s="10" t="n">
        <x:f>IF(Assumptions!$B$5+INT((ROW()-2)/Assumptions!$B$7)&gt;Assumptions!$B$6,"",Assumptions!$B$5+INT((ROW()-2)/Assumptions!$B$7))</x:f>
        <x:v>46119</x:v>
      </x:c>
      <x:c r="B486" t="str">
        <x:f>IF($A486="","",INDEX(Assumptions!$D$5:$D$12,MOD(ROW()-2,Assumptions!$B$7)+1))</x:f>
        <x:v>Yutani Ridge</x:v>
      </x:c>
      <x:c r="C486" s="11" t="n">
        <x:f>IF($A486="","",INDEX(Assumptions!$F$5:$F$12,MATCH($B486,Assumptions!$D$5:$D$12,0)))</x:f>
        <x:v>1050</x:v>
      </x:c>
      <x:c r="D486" s="11" t="n">
        <x:f>IF($A486="","",INDEX(Assumptions!$G$5:$G$12,MATCH($B486,Assumptions!$D$5:$D$12,0)))</x:f>
        <x:v>125</x:v>
      </x:c>
      <x:c r="E486" s="11" t="n">
        <x:f>IF($A486="","",INDEX(Assumptions!$M$5:$M$11,WEEKDAY($A486,2)))</x:f>
        <x:v>1.02</x:v>
      </x:c>
      <x:c r="F486" s="11" t="n">
        <x:f>IF($A486="","",Assumptions!$B$15)</x:f>
        <x:v>0.35</x:v>
      </x:c>
      <x:c r="G486" s="11" t="n">
        <x:f>IF($A486="","",MAX(INDEX(Assumptions!$H$5:$H$12,MATCH($B486,Assumptions!$D$5:$D$12,0)),MIN(INDEX(Assumptions!$I$5:$I$12,MATCH($B486,Assumptions!$D$5:$D$12,0)),($C486+$D486*SQRT(-2*LN(RAND()))*COS(2*PI()*RAND()))*$E486*$J486*$K486)))</x:f>
        <x:v>1023.5159735090484</x:v>
      </x:c>
      <x:c r="H486" s="11" t="n">
        <x:f>IF($A486="","",$G486*$F486+$C486*(1-$F486))</x:f>
        <x:v>1040.730590728167</x:v>
      </x:c>
      <x:c r="I486" s="11" t="n">
        <x:f>IF($A486="","",AVERAGE($H486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1025.503140870336</x:v>
      </x:c>
      <x:c r="J486" s="12" t="n">
        <x:f>IF($A486="","",1+SUMIFS(Assumptions!$S$5:$S$10,Assumptions!$P$5:$P$10,$B486,Assumptions!$Q$5:$Q$10,"&lt;="&amp;$A486,Assumptions!$R$5:$R$10,"&gt;="&amp;$A486))</x:f>
        <x:v>1</x:v>
      </x:c>
      <x:c r="K486" s="12" t="n">
        <x:f>IF($A486="","",1+((($A486-Assumptions!$B$5)/30)*INDEX(Assumptions!$J$5:$J$12,MATCH($B486,Assumptions!$D$5:$D$12,0))))</x:f>
        <x:v>1.008</x:v>
      </x:c>
      <x:c r="L486" t="str">
        <x:f>IF($A486="","",IFERROR(INDEX(Assumptions!$O$5:$O$10,MATCH(1,(Assumptions!$P$5:$P$10=$B486)*(Assumptions!$Q$5:$Q$10&lt;=$A486)*(Assumptions!$R$5:$R$10&gt;=$A486),0)),""))</x:f>
      </x:c>
      <x:c r="M486" t="n">
        <x:f>--($A486&lt;&gt;"")</x:f>
        <x:v>1</x:v>
      </x:c>
    </x:row>
    <x:row r="487">
      <x:c r="A487" s="10" t="n">
        <x:f>IF(Assumptions!$B$5+INT((ROW()-2)/Assumptions!$B$7)&gt;Assumptions!$B$6,"",Assumptions!$B$5+INT((ROW()-2)/Assumptions!$B$7))</x:f>
        <x:v>46120</x:v>
      </x:c>
      <x:c r="B487" t="str">
        <x:f>IF($A487="","",INDEX(Assumptions!$D$5:$D$12,MOD(ROW()-2,Assumptions!$B$7)+1))</x:f>
        <x:v>Acheron Prime</x:v>
      </x:c>
      <x:c r="C487" s="11" t="n">
        <x:f>IF($A487="","",INDEX(Assumptions!$F$5:$F$12,MATCH($B487,Assumptions!$D$5:$D$12,0)))</x:f>
        <x:v>1120</x:v>
      </x:c>
      <x:c r="D487" s="11" t="n">
        <x:f>IF($A487="","",INDEX(Assumptions!$G$5:$G$12,MATCH($B487,Assumptions!$D$5:$D$12,0)))</x:f>
        <x:v>115</x:v>
      </x:c>
      <x:c r="E487" s="11" t="n">
        <x:f>IF($A487="","",INDEX(Assumptions!$M$5:$M$11,WEEKDAY($A487,2)))</x:f>
        <x:v>1.01</x:v>
      </x:c>
      <x:c r="F487" s="11" t="n">
        <x:f>IF($A487="","",Assumptions!$B$15)</x:f>
        <x:v>0.35</x:v>
      </x:c>
      <x:c r="G487" s="11" t="n">
        <x:f>IF($A487="","",MAX(INDEX(Assumptions!$H$5:$H$12,MATCH($B487,Assumptions!$D$5:$D$12,0)),MIN(INDEX(Assumptions!$I$5:$I$12,MATCH($B487,Assumptions!$D$5:$D$12,0)),($C487+$D487*SQRT(-2*LN(RAND()))*COS(2*PI()*RAND()))*$E487*$J487*$K487)))</x:f>
        <x:v>883.2556490063853</x:v>
      </x:c>
      <x:c r="H487" s="11" t="n">
        <x:f>IF($A487="","",$G487*$F487+$C487*(1-$F487))</x:f>
        <x:v>1037.1394771522348</x:v>
      </x:c>
      <x:c r="I487" s="11" t="n">
        <x:f>IF($A487="","",AVERAGE($H487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1085.7010032644723</x:v>
      </x:c>
      <x:c r="J487" s="12" t="n">
        <x:f>IF($A487="","",1+SUMIFS(Assumptions!$S$5:$S$10,Assumptions!$P$5:$P$10,$B487,Assumptions!$Q$5:$Q$10,"&lt;="&amp;$A487,Assumptions!$R$5:$R$10,"&gt;="&amp;$A487))</x:f>
        <x:v>1</x:v>
      </x:c>
      <x:c r="K487" s="12" t="n">
        <x:f>IF($A487="","",1+((($A487-Assumptions!$B$5)/30)*INDEX(Assumptions!$J$5:$J$12,MATCH($B487,Assumptions!$D$5:$D$12,0))))</x:f>
        <x:v>1.0064666666666666</x:v>
      </x:c>
      <x:c r="L487" t="str">
        <x:f>IF($A487="","",IFERROR(INDEX(Assumptions!$O$5:$O$10,MATCH(1,(Assumptions!$P$5:$P$10=$B487)*(Assumptions!$Q$5:$Q$10&lt;=$A487)*(Assumptions!$R$5:$R$10&gt;=$A487),0)),""))</x:f>
      </x:c>
      <x:c r="M487" t="n">
        <x:f>--($A487&lt;&gt;"")</x:f>
        <x:v>1</x:v>
      </x:c>
    </x:row>
    <x:row r="488">
      <x:c r="A488" s="10" t="n">
        <x:f>IF(Assumptions!$B$5+INT((ROW()-2)/Assumptions!$B$7)&gt;Assumptions!$B$6,"",Assumptions!$B$5+INT((ROW()-2)/Assumptions!$B$7))</x:f>
        <x:v>46120</x:v>
      </x:c>
      <x:c r="B488" t="str">
        <x:f>IF($A488="","",INDEX(Assumptions!$D$5:$D$12,MOD(ROW()-2,Assumptions!$B$7)+1))</x:f>
        <x:v>LV-426 North</x:v>
      </x:c>
      <x:c r="C488" s="11" t="n">
        <x:f>IF($A488="","",INDEX(Assumptions!$F$5:$F$12,MATCH($B488,Assumptions!$D$5:$D$12,0)))</x:f>
        <x:v>930</x:v>
      </x:c>
      <x:c r="D488" s="11" t="n">
        <x:f>IF($A488="","",INDEX(Assumptions!$G$5:$G$12,MATCH($B488,Assumptions!$D$5:$D$12,0)))</x:f>
        <x:v>95</x:v>
      </x:c>
      <x:c r="E488" s="11" t="n">
        <x:f>IF($A488="","",INDEX(Assumptions!$M$5:$M$11,WEEKDAY($A488,2)))</x:f>
        <x:v>1.01</x:v>
      </x:c>
      <x:c r="F488" s="11" t="n">
        <x:f>IF($A488="","",Assumptions!$B$15)</x:f>
        <x:v>0.35</x:v>
      </x:c>
      <x:c r="G488" s="11" t="n">
        <x:f>IF($A488="","",MAX(INDEX(Assumptions!$H$5:$H$12,MATCH($B488,Assumptions!$D$5:$D$12,0)),MIN(INDEX(Assumptions!$I$5:$I$12,MATCH($B488,Assumptions!$D$5:$D$12,0)),($C488+$D488*SQRT(-2*LN(RAND()))*COS(2*PI()*RAND()))*$E488*$J488*$K488)))</x:f>
        <x:v>953.1685503560255</x:v>
      </x:c>
      <x:c r="H488" s="11" t="n">
        <x:f>IF($A488="","",$G488*$F488+$C488*(1-$F488))</x:f>
        <x:v>938.1089926246088</x:v>
      </x:c>
      <x:c r="I488" s="11" t="n">
        <x:f>IF($A488="","",AVERAGE($H488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920.2411559803512</x:v>
      </x:c>
      <x:c r="J488" s="12" t="n">
        <x:f>IF($A488="","",1+SUMIFS(Assumptions!$S$5:$S$10,Assumptions!$P$5:$P$10,$B488,Assumptions!$Q$5:$Q$10,"&lt;="&amp;$A488,Assumptions!$R$5:$R$10,"&gt;="&amp;$A488))</x:f>
        <x:v>1</x:v>
      </x:c>
      <x:c r="K488" s="12" t="n">
        <x:f>IF($A488="","",1+((($A488-Assumptions!$B$5)/30)*INDEX(Assumptions!$J$5:$J$12,MATCH($B488,Assumptions!$D$5:$D$12,0))))</x:f>
        <x:v>0.9967666666666667</x:v>
      </x:c>
      <x:c r="L488" t="str">
        <x:f>IF($A488="","",IFERROR(INDEX(Assumptions!$O$5:$O$10,MATCH(1,(Assumptions!$P$5:$P$10=$B488)*(Assumptions!$Q$5:$Q$10&lt;=$A488)*(Assumptions!$R$5:$R$10&gt;=$A488),0)),""))</x:f>
      </x:c>
      <x:c r="M488" t="n">
        <x:f>--($A488&lt;&gt;"")</x:f>
        <x:v>1</x:v>
      </x:c>
    </x:row>
    <x:row r="489">
      <x:c r="A489" s="10" t="n">
        <x:f>IF(Assumptions!$B$5+INT((ROW()-2)/Assumptions!$B$7)&gt;Assumptions!$B$6,"",Assumptions!$B$5+INT((ROW()-2)/Assumptions!$B$7))</x:f>
        <x:v>46120</x:v>
      </x:c>
      <x:c r="B489" t="str">
        <x:f>IF($A489="","",INDEX(Assumptions!$D$5:$D$12,MOD(ROW()-2,Assumptions!$B$7)+1))</x:f>
        <x:v>Nostromo Deep</x:v>
      </x:c>
      <x:c r="C489" s="11" t="n">
        <x:f>IF($A489="","",INDEX(Assumptions!$F$5:$F$12,MATCH($B489,Assumptions!$D$5:$D$12,0)))</x:f>
        <x:v>1260</x:v>
      </x:c>
      <x:c r="D489" s="11" t="n">
        <x:f>IF($A489="","",INDEX(Assumptions!$G$5:$G$12,MATCH($B489,Assumptions!$D$5:$D$12,0)))</x:f>
        <x:v>145</x:v>
      </x:c>
      <x:c r="E489" s="11" t="n">
        <x:f>IF($A489="","",INDEX(Assumptions!$M$5:$M$11,WEEKDAY($A489,2)))</x:f>
        <x:v>1.01</x:v>
      </x:c>
      <x:c r="F489" s="11" t="n">
        <x:f>IF($A489="","",Assumptions!$B$15)</x:f>
        <x:v>0.35</x:v>
      </x:c>
      <x:c r="G489" s="11" t="n">
        <x:f>IF($A489="","",MAX(INDEX(Assumptions!$H$5:$H$12,MATCH($B489,Assumptions!$D$5:$D$12,0)),MIN(INDEX(Assumptions!$I$5:$I$12,MATCH($B489,Assumptions!$D$5:$D$12,0)),($C489+$D489*SQRT(-2*LN(RAND()))*COS(2*PI()*RAND()))*$E489*$J489*$K489)))</x:f>
        <x:v>1400.8759796359432</x:v>
      </x:c>
      <x:c r="H489" s="11" t="n">
        <x:f>IF($A489="","",$G489*$F489+$C489*(1-$F489))</x:f>
        <x:v>1309.30659287258</x:v>
      </x:c>
      <x:c r="I489" s="11" t="n">
        <x:f>IF($A489="","",AVERAGE($H489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1262.571580725478</x:v>
      </x:c>
      <x:c r="J489" s="12" t="n">
        <x:f>IF($A489="","",1+SUMIFS(Assumptions!$S$5:$S$10,Assumptions!$P$5:$P$10,$B489,Assumptions!$Q$5:$Q$10,"&lt;="&amp;$A489,Assumptions!$R$5:$R$10,"&gt;="&amp;$A489))</x:f>
        <x:v>1</x:v>
      </x:c>
      <x:c r="K489" s="12" t="n">
        <x:f>IF($A489="","",1+((($A489-Assumptions!$B$5)/30)*INDEX(Assumptions!$J$5:$J$12,MATCH($B489,Assumptions!$D$5:$D$12,0))))</x:f>
        <x:v>1.0097</x:v>
      </x:c>
      <x:c r="L489" t="str">
        <x:f>IF($A489="","",IFERROR(INDEX(Assumptions!$O$5:$O$10,MATCH(1,(Assumptions!$P$5:$P$10=$B489)*(Assumptions!$Q$5:$Q$10&lt;=$A489)*(Assumptions!$R$5:$R$10&gt;=$A489),0)),""))</x:f>
      </x:c>
      <x:c r="M489" t="n">
        <x:f>--($A489&lt;&gt;"")</x:f>
        <x:v>1</x:v>
      </x:c>
    </x:row>
    <x:row r="490">
      <x:c r="A490" s="10" t="n">
        <x:f>IF(Assumptions!$B$5+INT((ROW()-2)/Assumptions!$B$7)&gt;Assumptions!$B$6,"",Assumptions!$B$5+INT((ROW()-2)/Assumptions!$B$7))</x:f>
        <x:v>46120</x:v>
      </x:c>
      <x:c r="B490" t="str">
        <x:f>IF($A490="","",INDEX(Assumptions!$D$5:$D$12,MOD(ROW()-2,Assumptions!$B$7)+1))</x:f>
        <x:v>Hadley's Hope</x:v>
      </x:c>
      <x:c r="C490" s="11" t="n">
        <x:f>IF($A490="","",INDEX(Assumptions!$F$5:$F$12,MATCH($B490,Assumptions!$D$5:$D$12,0)))</x:f>
        <x:v>845</x:v>
      </x:c>
      <x:c r="D490" s="11" t="n">
        <x:f>IF($A490="","",INDEX(Assumptions!$G$5:$G$12,MATCH($B490,Assumptions!$D$5:$D$12,0)))</x:f>
        <x:v>80</x:v>
      </x:c>
      <x:c r="E490" s="11" t="n">
        <x:f>IF($A490="","",INDEX(Assumptions!$M$5:$M$11,WEEKDAY($A490,2)))</x:f>
        <x:v>1.01</x:v>
      </x:c>
      <x:c r="F490" s="11" t="n">
        <x:f>IF($A490="","",Assumptions!$B$15)</x:f>
        <x:v>0.35</x:v>
      </x:c>
      <x:c r="G490" s="11" t="n">
        <x:f>IF($A490="","",MAX(INDEX(Assumptions!$H$5:$H$12,MATCH($B490,Assumptions!$D$5:$D$12,0)),MIN(INDEX(Assumptions!$I$5:$I$12,MATCH($B490,Assumptions!$D$5:$D$12,0)),($C490+$D490*SQRT(-2*LN(RAND()))*COS(2*PI()*RAND()))*$E490*$J490*$K490)))</x:f>
        <x:v>922.3306841741392</x:v>
      </x:c>
      <x:c r="H490" s="11" t="n">
        <x:f>IF($A490="","",$G490*$F490+$C490*(1-$F490))</x:f>
        <x:v>872.0657394609486</x:v>
      </x:c>
      <x:c r="I490" s="11" t="n">
        <x:f>IF($A490="","",AVERAGE($H490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847.4882530270708</x:v>
      </x:c>
      <x:c r="J490" s="12" t="n">
        <x:f>IF($A490="","",1+SUMIFS(Assumptions!$S$5:$S$10,Assumptions!$P$5:$P$10,$B490,Assumptions!$Q$5:$Q$10,"&lt;="&amp;$A490,Assumptions!$R$5:$R$10,"&gt;="&amp;$A490))</x:f>
        <x:v>1</x:v>
      </x:c>
      <x:c r="K490" s="12" t="n">
        <x:f>IF($A490="","",1+((($A490-Assumptions!$B$5)/30)*INDEX(Assumptions!$J$5:$J$12,MATCH($B490,Assumptions!$D$5:$D$12,0))))</x:f>
        <x:v>1.0032333333333334</x:v>
      </x:c>
      <x:c r="L490" t="str">
        <x:f>IF($A490="","",IFERROR(INDEX(Assumptions!$O$5:$O$10,MATCH(1,(Assumptions!$P$5:$P$10=$B490)*(Assumptions!$Q$5:$Q$10&lt;=$A490)*(Assumptions!$R$5:$R$10&gt;=$A490),0)),""))</x:f>
      </x:c>
      <x:c r="M490" t="n">
        <x:f>--($A490&lt;&gt;"")</x:f>
        <x:v>1</x:v>
      </x:c>
    </x:row>
    <x:row r="491">
      <x:c r="A491" s="10" t="n">
        <x:f>IF(Assumptions!$B$5+INT((ROW()-2)/Assumptions!$B$7)&gt;Assumptions!$B$6,"",Assumptions!$B$5+INT((ROW()-2)/Assumptions!$B$7))</x:f>
        <x:v>46120</x:v>
      </x:c>
      <x:c r="B491" t="str">
        <x:f>IF($A491="","",INDEX(Assumptions!$D$5:$D$12,MOD(ROW()-2,Assumptions!$B$7)+1))</x:f>
        <x:v>Yutani Ridge</x:v>
      </x:c>
      <x:c r="C491" s="11" t="n">
        <x:f>IF($A491="","",INDEX(Assumptions!$F$5:$F$12,MATCH($B491,Assumptions!$D$5:$D$12,0)))</x:f>
        <x:v>1050</x:v>
      </x:c>
      <x:c r="D491" s="11" t="n">
        <x:f>IF($A491="","",INDEX(Assumptions!$G$5:$G$12,MATCH($B491,Assumptions!$D$5:$D$12,0)))</x:f>
        <x:v>125</x:v>
      </x:c>
      <x:c r="E491" s="11" t="n">
        <x:f>IF($A491="","",INDEX(Assumptions!$M$5:$M$11,WEEKDAY($A491,2)))</x:f>
        <x:v>1.01</x:v>
      </x:c>
      <x:c r="F491" s="11" t="n">
        <x:f>IF($A491="","",Assumptions!$B$15)</x:f>
        <x:v>0.35</x:v>
      </x:c>
      <x:c r="G491" s="11" t="n">
        <x:f>IF($A491="","",MAX(INDEX(Assumptions!$H$5:$H$12,MATCH($B491,Assumptions!$D$5:$D$12,0)),MIN(INDEX(Assumptions!$I$5:$I$12,MATCH($B491,Assumptions!$D$5:$D$12,0)),($C491+$D491*SQRT(-2*LN(RAND()))*COS(2*PI()*RAND()))*$E491*$J491*$K491)))</x:f>
        <x:v>957.1117303791735</x:v>
      </x:c>
      <x:c r="H491" s="11" t="n">
        <x:f>IF($A491="","",$G491*$F491+$C491*(1-$F491))</x:f>
        <x:v>1017.4891056327108</x:v>
      </x:c>
      <x:c r="I491" s="11" t="n">
        <x:f>IF($A491="","",AVERAGE($H491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1022.3916978900207</x:v>
      </x:c>
      <x:c r="J491" s="12" t="n">
        <x:f>IF($A491="","",1+SUMIFS(Assumptions!$S$5:$S$10,Assumptions!$P$5:$P$10,$B491,Assumptions!$Q$5:$Q$10,"&lt;="&amp;$A491,Assumptions!$R$5:$R$10,"&gt;="&amp;$A491))</x:f>
        <x:v>1</x:v>
      </x:c>
      <x:c r="K491" s="12" t="n">
        <x:f>IF($A491="","",1+((($A491-Assumptions!$B$5)/30)*INDEX(Assumptions!$J$5:$J$12,MATCH($B491,Assumptions!$D$5:$D$12,0))))</x:f>
        <x:v>1.0080833333333334</x:v>
      </x:c>
      <x:c r="L491" t="str">
        <x:f>IF($A491="","",IFERROR(INDEX(Assumptions!$O$5:$O$10,MATCH(1,(Assumptions!$P$5:$P$10=$B491)*(Assumptions!$Q$5:$Q$10&lt;=$A491)*(Assumptions!$R$5:$R$10&gt;=$A491),0)),""))</x:f>
      </x:c>
      <x:c r="M491" t="n">
        <x:f>--($A491&lt;&gt;"")</x:f>
        <x:v>1</x:v>
      </x:c>
    </x:row>
    <x:row r="492">
      <x:c r="A492" s="10" t="n">
        <x:f>IF(Assumptions!$B$5+INT((ROW()-2)/Assumptions!$B$7)&gt;Assumptions!$B$6,"",Assumptions!$B$5+INT((ROW()-2)/Assumptions!$B$7))</x:f>
        <x:v>46121</x:v>
      </x:c>
      <x:c r="B492" t="str">
        <x:f>IF($A492="","",INDEX(Assumptions!$D$5:$D$12,MOD(ROW()-2,Assumptions!$B$7)+1))</x:f>
        <x:v>Acheron Prime</x:v>
      </x:c>
      <x:c r="C492" s="11" t="n">
        <x:f>IF($A492="","",INDEX(Assumptions!$F$5:$F$12,MATCH($B492,Assumptions!$D$5:$D$12,0)))</x:f>
        <x:v>1120</x:v>
      </x:c>
      <x:c r="D492" s="11" t="n">
        <x:f>IF($A492="","",INDEX(Assumptions!$G$5:$G$12,MATCH($B492,Assumptions!$D$5:$D$12,0)))</x:f>
        <x:v>115</x:v>
      </x:c>
      <x:c r="E492" s="11" t="n">
        <x:f>IF($A492="","",INDEX(Assumptions!$M$5:$M$11,WEEKDAY($A492,2)))</x:f>
        <x:v>1</x:v>
      </x:c>
      <x:c r="F492" s="11" t="n">
        <x:f>IF($A492="","",Assumptions!$B$15)</x:f>
        <x:v>0.35</x:v>
      </x:c>
      <x:c r="G492" s="11" t="n">
        <x:f>IF($A492="","",MAX(INDEX(Assumptions!$H$5:$H$12,MATCH($B492,Assumptions!$D$5:$D$12,0)),MIN(INDEX(Assumptions!$I$5:$I$12,MATCH($B492,Assumptions!$D$5:$D$12,0)),($C492+$D492*SQRT(-2*LN(RAND()))*COS(2*PI()*RAND()))*$E492*$J492*$K492)))</x:f>
        <x:v>938.3684502669093</x:v>
      </x:c>
      <x:c r="H492" s="11" t="n">
        <x:f>IF($A492="","",$G492*$F492+$C492*(1-$F492))</x:f>
        <x:v>1056.4289575934183</x:v>
      </x:c>
      <x:c r="I492" s="11" t="n">
        <x:f>IF($A492="","",AVERAGE($H492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1074.3144835106702</x:v>
      </x:c>
      <x:c r="J492" s="12" t="n">
        <x:f>IF($A492="","",1+SUMIFS(Assumptions!$S$5:$S$10,Assumptions!$P$5:$P$10,$B492,Assumptions!$Q$5:$Q$10,"&lt;="&amp;$A492,Assumptions!$R$5:$R$10,"&gt;="&amp;$A492))</x:f>
        <x:v>1</x:v>
      </x:c>
      <x:c r="K492" s="12" t="n">
        <x:f>IF($A492="","",1+((($A492-Assumptions!$B$5)/30)*INDEX(Assumptions!$J$5:$J$12,MATCH($B492,Assumptions!$D$5:$D$12,0))))</x:f>
        <x:v>1.0065333333333333</x:v>
      </x:c>
      <x:c r="L492" t="str">
        <x:f>IF($A492="","",IFERROR(INDEX(Assumptions!$O$5:$O$10,MATCH(1,(Assumptions!$P$5:$P$10=$B492)*(Assumptions!$Q$5:$Q$10&lt;=$A492)*(Assumptions!$R$5:$R$10&gt;=$A492),0)),""))</x:f>
      </x:c>
      <x:c r="M492" t="n">
        <x:f>--($A492&lt;&gt;"")</x:f>
        <x:v>1</x:v>
      </x:c>
    </x:row>
    <x:row r="493">
      <x:c r="A493" s="10" t="n">
        <x:f>IF(Assumptions!$B$5+INT((ROW()-2)/Assumptions!$B$7)&gt;Assumptions!$B$6,"",Assumptions!$B$5+INT((ROW()-2)/Assumptions!$B$7))</x:f>
        <x:v>46121</x:v>
      </x:c>
      <x:c r="B493" t="str">
        <x:f>IF($A493="","",INDEX(Assumptions!$D$5:$D$12,MOD(ROW()-2,Assumptions!$B$7)+1))</x:f>
        <x:v>LV-426 North</x:v>
      </x:c>
      <x:c r="C493" s="11" t="n">
        <x:f>IF($A493="","",INDEX(Assumptions!$F$5:$F$12,MATCH($B493,Assumptions!$D$5:$D$12,0)))</x:f>
        <x:v>930</x:v>
      </x:c>
      <x:c r="D493" s="11" t="n">
        <x:f>IF($A493="","",INDEX(Assumptions!$G$5:$G$12,MATCH($B493,Assumptions!$D$5:$D$12,0)))</x:f>
        <x:v>95</x:v>
      </x:c>
      <x:c r="E493" s="11" t="n">
        <x:f>IF($A493="","",INDEX(Assumptions!$M$5:$M$11,WEEKDAY($A493,2)))</x:f>
        <x:v>1</x:v>
      </x:c>
      <x:c r="F493" s="11" t="n">
        <x:f>IF($A493="","",Assumptions!$B$15)</x:f>
        <x:v>0.35</x:v>
      </x:c>
      <x:c r="G493" s="11" t="n">
        <x:f>IF($A493="","",MAX(INDEX(Assumptions!$H$5:$H$12,MATCH($B493,Assumptions!$D$5:$D$12,0)),MIN(INDEX(Assumptions!$I$5:$I$12,MATCH($B493,Assumptions!$D$5:$D$12,0)),($C493+$D493*SQRT(-2*LN(RAND()))*COS(2*PI()*RAND()))*$E493*$J493*$K493)))</x:f>
        <x:v>917.9760311340779</x:v>
      </x:c>
      <x:c r="H493" s="11" t="n">
        <x:f>IF($A493="","",$G493*$F493+$C493*(1-$F493))</x:f>
        <x:v>925.7916108969273</x:v>
      </x:c>
      <x:c r="I493" s="11" t="n">
        <x:f>IF($A493="","",AVERAGE($H493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916.2864126677395</x:v>
      </x:c>
      <x:c r="J493" s="12" t="n">
        <x:f>IF($A493="","",1+SUMIFS(Assumptions!$S$5:$S$10,Assumptions!$P$5:$P$10,$B493,Assumptions!$Q$5:$Q$10,"&lt;="&amp;$A493,Assumptions!$R$5:$R$10,"&gt;="&amp;$A493))</x:f>
        <x:v>1</x:v>
      </x:c>
      <x:c r="K493" s="12" t="n">
        <x:f>IF($A493="","",1+((($A493-Assumptions!$B$5)/30)*INDEX(Assumptions!$J$5:$J$12,MATCH($B493,Assumptions!$D$5:$D$12,0))))</x:f>
        <x:v>0.9967333333333334</x:v>
      </x:c>
      <x:c r="L493" t="str">
        <x:f>IF($A493="","",IFERROR(INDEX(Assumptions!$O$5:$O$10,MATCH(1,(Assumptions!$P$5:$P$10=$B493)*(Assumptions!$Q$5:$Q$10&lt;=$A493)*(Assumptions!$R$5:$R$10&gt;=$A493),0)),""))</x:f>
      </x:c>
      <x:c r="M493" t="n">
        <x:f>--($A493&lt;&gt;"")</x:f>
        <x:v>1</x:v>
      </x:c>
    </x:row>
    <x:row r="494">
      <x:c r="A494" s="10" t="n">
        <x:f>IF(Assumptions!$B$5+INT((ROW()-2)/Assumptions!$B$7)&gt;Assumptions!$B$6,"",Assumptions!$B$5+INT((ROW()-2)/Assumptions!$B$7))</x:f>
        <x:v>46121</x:v>
      </x:c>
      <x:c r="B494" t="str">
        <x:f>IF($A494="","",INDEX(Assumptions!$D$5:$D$12,MOD(ROW()-2,Assumptions!$B$7)+1))</x:f>
        <x:v>Nostromo Deep</x:v>
      </x:c>
      <x:c r="C494" s="11" t="n">
        <x:f>IF($A494="","",INDEX(Assumptions!$F$5:$F$12,MATCH($B494,Assumptions!$D$5:$D$12,0)))</x:f>
        <x:v>1260</x:v>
      </x:c>
      <x:c r="D494" s="11" t="n">
        <x:f>IF($A494="","",INDEX(Assumptions!$G$5:$G$12,MATCH($B494,Assumptions!$D$5:$D$12,0)))</x:f>
        <x:v>145</x:v>
      </x:c>
      <x:c r="E494" s="11" t="n">
        <x:f>IF($A494="","",INDEX(Assumptions!$M$5:$M$11,WEEKDAY($A494,2)))</x:f>
        <x:v>1</x:v>
      </x:c>
      <x:c r="F494" s="11" t="n">
        <x:f>IF($A494="","",Assumptions!$B$15)</x:f>
        <x:v>0.35</x:v>
      </x:c>
      <x:c r="G494" s="11" t="n">
        <x:f>IF($A494="","",MAX(INDEX(Assumptions!$H$5:$H$12,MATCH($B494,Assumptions!$D$5:$D$12,0)),MIN(INDEX(Assumptions!$I$5:$I$12,MATCH($B494,Assumptions!$D$5:$D$12,0)),($C494+$D494*SQRT(-2*LN(RAND()))*COS(2*PI()*RAND()))*$E494*$J494*$K494)))</x:f>
        <x:v>1000.883043461738</x:v>
      </x:c>
      <x:c r="H494" s="11" t="n">
        <x:f>IF($A494="","",$G494*$F494+$C494*(1-$F494))</x:f>
        <x:v>1169.3090652116084</x:v>
      </x:c>
      <x:c r="I494" s="11" t="n">
        <x:f>IF($A494="","",AVERAGE($H494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1257.73844632707</x:v>
      </x:c>
      <x:c r="J494" s="12" t="n">
        <x:f>IF($A494="","",1+SUMIFS(Assumptions!$S$5:$S$10,Assumptions!$P$5:$P$10,$B494,Assumptions!$Q$5:$Q$10,"&lt;="&amp;$A494,Assumptions!$R$5:$R$10,"&gt;="&amp;$A494))</x:f>
        <x:v>1</x:v>
      </x:c>
      <x:c r="K494" s="12" t="n">
        <x:f>IF($A494="","",1+((($A494-Assumptions!$B$5)/30)*INDEX(Assumptions!$J$5:$J$12,MATCH($B494,Assumptions!$D$5:$D$12,0))))</x:f>
        <x:v>1.0098</x:v>
      </x:c>
      <x:c r="L494" t="str">
        <x:f>IF($A494="","",IFERROR(INDEX(Assumptions!$O$5:$O$10,MATCH(1,(Assumptions!$P$5:$P$10=$B494)*(Assumptions!$Q$5:$Q$10&lt;=$A494)*(Assumptions!$R$5:$R$10&gt;=$A494),0)),""))</x:f>
      </x:c>
      <x:c r="M494" t="n">
        <x:f>--($A494&lt;&gt;"")</x:f>
        <x:v>1</x:v>
      </x:c>
    </x:row>
    <x:row r="495">
      <x:c r="A495" s="10" t="n">
        <x:f>IF(Assumptions!$B$5+INT((ROW()-2)/Assumptions!$B$7)&gt;Assumptions!$B$6,"",Assumptions!$B$5+INT((ROW()-2)/Assumptions!$B$7))</x:f>
        <x:v>46121</x:v>
      </x:c>
      <x:c r="B495" t="str">
        <x:f>IF($A495="","",INDEX(Assumptions!$D$5:$D$12,MOD(ROW()-2,Assumptions!$B$7)+1))</x:f>
        <x:v>Hadley's Hope</x:v>
      </x:c>
      <x:c r="C495" s="11" t="n">
        <x:f>IF($A495="","",INDEX(Assumptions!$F$5:$F$12,MATCH($B495,Assumptions!$D$5:$D$12,0)))</x:f>
        <x:v>845</x:v>
      </x:c>
      <x:c r="D495" s="11" t="n">
        <x:f>IF($A495="","",INDEX(Assumptions!$G$5:$G$12,MATCH($B495,Assumptions!$D$5:$D$12,0)))</x:f>
        <x:v>80</x:v>
      </x:c>
      <x:c r="E495" s="11" t="n">
        <x:f>IF($A495="","",INDEX(Assumptions!$M$5:$M$11,WEEKDAY($A495,2)))</x:f>
        <x:v>1</x:v>
      </x:c>
      <x:c r="F495" s="11" t="n">
        <x:f>IF($A495="","",Assumptions!$B$15)</x:f>
        <x:v>0.35</x:v>
      </x:c>
      <x:c r="G495" s="11" t="n">
        <x:f>IF($A495="","",MAX(INDEX(Assumptions!$H$5:$H$12,MATCH($B495,Assumptions!$D$5:$D$12,0)),MIN(INDEX(Assumptions!$I$5:$I$12,MATCH($B495,Assumptions!$D$5:$D$12,0)),($C495+$D495*SQRT(-2*LN(RAND()))*COS(2*PI()*RAND()))*$E495*$J495*$K495)))</x:f>
        <x:v>762.9398372252239</x:v>
      </x:c>
      <x:c r="H495" s="11" t="n">
        <x:f>IF($A495="","",$G495*$F495+$C495*(1-$F495))</x:f>
        <x:v>816.2789430288283</x:v>
      </x:c>
      <x:c r="I495" s="11" t="n">
        <x:f>IF($A495="","",AVERAGE($H495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848.0942222456179</x:v>
      </x:c>
      <x:c r="J495" s="12" t="n">
        <x:f>IF($A495="","",1+SUMIFS(Assumptions!$S$5:$S$10,Assumptions!$P$5:$P$10,$B495,Assumptions!$Q$5:$Q$10,"&lt;="&amp;$A495,Assumptions!$R$5:$R$10,"&gt;="&amp;$A495))</x:f>
        <x:v>1</x:v>
      </x:c>
      <x:c r="K495" s="12" t="n">
        <x:f>IF($A495="","",1+((($A495-Assumptions!$B$5)/30)*INDEX(Assumptions!$J$5:$J$12,MATCH($B495,Assumptions!$D$5:$D$12,0))))</x:f>
        <x:v>1.0032666666666668</x:v>
      </x:c>
      <x:c r="L495" t="str">
        <x:f>IF($A495="","",IFERROR(INDEX(Assumptions!$O$5:$O$10,MATCH(1,(Assumptions!$P$5:$P$10=$B495)*(Assumptions!$Q$5:$Q$10&lt;=$A495)*(Assumptions!$R$5:$R$10&gt;=$A495),0)),""))</x:f>
      </x:c>
      <x:c r="M495" t="n">
        <x:f>--($A495&lt;&gt;"")</x:f>
        <x:v>1</x:v>
      </x:c>
    </x:row>
    <x:row r="496">
      <x:c r="A496" s="10" t="n">
        <x:f>IF(Assumptions!$B$5+INT((ROW()-2)/Assumptions!$B$7)&gt;Assumptions!$B$6,"",Assumptions!$B$5+INT((ROW()-2)/Assumptions!$B$7))</x:f>
        <x:v>46121</x:v>
      </x:c>
      <x:c r="B496" t="str">
        <x:f>IF($A496="","",INDEX(Assumptions!$D$5:$D$12,MOD(ROW()-2,Assumptions!$B$7)+1))</x:f>
        <x:v>Yutani Ridge</x:v>
      </x:c>
      <x:c r="C496" s="11" t="n">
        <x:f>IF($A496="","",INDEX(Assumptions!$F$5:$F$12,MATCH($B496,Assumptions!$D$5:$D$12,0)))</x:f>
        <x:v>1050</x:v>
      </x:c>
      <x:c r="D496" s="11" t="n">
        <x:f>IF($A496="","",INDEX(Assumptions!$G$5:$G$12,MATCH($B496,Assumptions!$D$5:$D$12,0)))</x:f>
        <x:v>125</x:v>
      </x:c>
      <x:c r="E496" s="11" t="n">
        <x:f>IF($A496="","",INDEX(Assumptions!$M$5:$M$11,WEEKDAY($A496,2)))</x:f>
        <x:v>1</x:v>
      </x:c>
      <x:c r="F496" s="11" t="n">
        <x:f>IF($A496="","",Assumptions!$B$15)</x:f>
        <x:v>0.35</x:v>
      </x:c>
      <x:c r="G496" s="11" t="n">
        <x:f>IF($A496="","",MAX(INDEX(Assumptions!$H$5:$H$12,MATCH($B496,Assumptions!$D$5:$D$12,0)),MIN(INDEX(Assumptions!$I$5:$I$12,MATCH($B496,Assumptions!$D$5:$D$12,0)),($C496+$D496*SQRT(-2*LN(RAND()))*COS(2*PI()*RAND()))*$E496*$J496*$K496)))</x:f>
        <x:v>963.5621000893173</x:v>
      </x:c>
      <x:c r="H496" s="11" t="n">
        <x:f>IF($A496="","",$G496*$F496+$C496*(1-$F496))</x:f>
        <x:v>1019.7467350312611</x:v>
      </x:c>
      <x:c r="I496" s="11" t="n">
        <x:f>IF($A496="","",AVERAGE($H496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1024.3173014380138</x:v>
      </x:c>
      <x:c r="J496" s="12" t="n">
        <x:f>IF($A496="","",1+SUMIFS(Assumptions!$S$5:$S$10,Assumptions!$P$5:$P$10,$B496,Assumptions!$Q$5:$Q$10,"&lt;="&amp;$A496,Assumptions!$R$5:$R$10,"&gt;="&amp;$A496))</x:f>
        <x:v>1</x:v>
      </x:c>
      <x:c r="K496" s="12" t="n">
        <x:f>IF($A496="","",1+((($A496-Assumptions!$B$5)/30)*INDEX(Assumptions!$J$5:$J$12,MATCH($B496,Assumptions!$D$5:$D$12,0))))</x:f>
        <x:v>1.0081666666666667</x:v>
      </x:c>
      <x:c r="L496" t="str">
        <x:f>IF($A496="","",IFERROR(INDEX(Assumptions!$O$5:$O$10,MATCH(1,(Assumptions!$P$5:$P$10=$B496)*(Assumptions!$Q$5:$Q$10&lt;=$A496)*(Assumptions!$R$5:$R$10&gt;=$A496),0)),""))</x:f>
      </x:c>
      <x:c r="M496" t="n">
        <x:f>--($A496&lt;&gt;"")</x:f>
        <x:v>1</x:v>
      </x:c>
    </x:row>
    <x:row r="497">
      <x:c r="A497" s="10" t="n">
        <x:f>IF(Assumptions!$B$5+INT((ROW()-2)/Assumptions!$B$7)&gt;Assumptions!$B$6,"",Assumptions!$B$5+INT((ROW()-2)/Assumptions!$B$7))</x:f>
        <x:v>46122</x:v>
      </x:c>
      <x:c r="B497" t="str">
        <x:f>IF($A497="","",INDEX(Assumptions!$D$5:$D$12,MOD(ROW()-2,Assumptions!$B$7)+1))</x:f>
        <x:v>Acheron Prime</x:v>
      </x:c>
      <x:c r="C497" s="11" t="n">
        <x:f>IF($A497="","",INDEX(Assumptions!$F$5:$F$12,MATCH($B497,Assumptions!$D$5:$D$12,0)))</x:f>
        <x:v>1120</x:v>
      </x:c>
      <x:c r="D497" s="11" t="n">
        <x:f>IF($A497="","",INDEX(Assumptions!$G$5:$G$12,MATCH($B497,Assumptions!$D$5:$D$12,0)))</x:f>
        <x:v>115</x:v>
      </x:c>
      <x:c r="E497" s="11" t="n">
        <x:f>IF($A497="","",INDEX(Assumptions!$M$5:$M$11,WEEKDAY($A497,2)))</x:f>
        <x:v>0.98</x:v>
      </x:c>
      <x:c r="F497" s="11" t="n">
        <x:f>IF($A497="","",Assumptions!$B$15)</x:f>
        <x:v>0.35</x:v>
      </x:c>
      <x:c r="G497" s="11" t="n">
        <x:f>IF($A497="","",MAX(INDEX(Assumptions!$H$5:$H$12,MATCH($B497,Assumptions!$D$5:$D$12,0)),MIN(INDEX(Assumptions!$I$5:$I$12,MATCH($B497,Assumptions!$D$5:$D$12,0)),($C497+$D497*SQRT(-2*LN(RAND()))*COS(2*PI()*RAND()))*$E497*$J497*$K497)))</x:f>
        <x:v>1117.1914843890568</x:v>
      </x:c>
      <x:c r="H497" s="11" t="n">
        <x:f>IF($A497="","",$G497*$F497+$C497*(1-$F497))</x:f>
        <x:v>1119.0170195361698</x:v>
      </x:c>
      <x:c r="I497" s="11" t="n">
        <x:f>IF($A497="","",AVERAGE($H497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1072.5193222527616</x:v>
      </x:c>
      <x:c r="J497" s="12" t="n">
        <x:f>IF($A497="","",1+SUMIFS(Assumptions!$S$5:$S$10,Assumptions!$P$5:$P$10,$B497,Assumptions!$Q$5:$Q$10,"&lt;="&amp;$A497,Assumptions!$R$5:$R$10,"&gt;="&amp;$A497))</x:f>
        <x:v>1</x:v>
      </x:c>
      <x:c r="K497" s="12" t="n">
        <x:f>IF($A497="","",1+((($A497-Assumptions!$B$5)/30)*INDEX(Assumptions!$J$5:$J$12,MATCH($B497,Assumptions!$D$5:$D$12,0))))</x:f>
        <x:v>1.0066</x:v>
      </x:c>
      <x:c r="L497" t="str">
        <x:f>IF($A497="","",IFERROR(INDEX(Assumptions!$O$5:$O$10,MATCH(1,(Assumptions!$P$5:$P$10=$B497)*(Assumptions!$Q$5:$Q$10&lt;=$A497)*(Assumptions!$R$5:$R$10&gt;=$A497),0)),""))</x:f>
      </x:c>
      <x:c r="M497" t="n">
        <x:f>--($A497&lt;&gt;"")</x:f>
        <x:v>1</x:v>
      </x:c>
    </x:row>
    <x:row r="498">
      <x:c r="A498" s="10" t="n">
        <x:f>IF(Assumptions!$B$5+INT((ROW()-2)/Assumptions!$B$7)&gt;Assumptions!$B$6,"",Assumptions!$B$5+INT((ROW()-2)/Assumptions!$B$7))</x:f>
        <x:v>46122</x:v>
      </x:c>
      <x:c r="B498" t="str">
        <x:f>IF($A498="","",INDEX(Assumptions!$D$5:$D$12,MOD(ROW()-2,Assumptions!$B$7)+1))</x:f>
        <x:v>LV-426 North</x:v>
      </x:c>
      <x:c r="C498" s="11" t="n">
        <x:f>IF($A498="","",INDEX(Assumptions!$F$5:$F$12,MATCH($B498,Assumptions!$D$5:$D$12,0)))</x:f>
        <x:v>930</x:v>
      </x:c>
      <x:c r="D498" s="11" t="n">
        <x:f>IF($A498="","",INDEX(Assumptions!$G$5:$G$12,MATCH($B498,Assumptions!$D$5:$D$12,0)))</x:f>
        <x:v>95</x:v>
      </x:c>
      <x:c r="E498" s="11" t="n">
        <x:f>IF($A498="","",INDEX(Assumptions!$M$5:$M$11,WEEKDAY($A498,2)))</x:f>
        <x:v>0.98</x:v>
      </x:c>
      <x:c r="F498" s="11" t="n">
        <x:f>IF($A498="","",Assumptions!$B$15)</x:f>
        <x:v>0.35</x:v>
      </x:c>
      <x:c r="G498" s="11" t="n">
        <x:f>IF($A498="","",MAX(INDEX(Assumptions!$H$5:$H$12,MATCH($B498,Assumptions!$D$5:$D$12,0)),MIN(INDEX(Assumptions!$I$5:$I$12,MATCH($B498,Assumptions!$D$5:$D$12,0)),($C498+$D498*SQRT(-2*LN(RAND()))*COS(2*PI()*RAND()))*$E498*$J498*$K498)))</x:f>
        <x:v>942.7880687415832</x:v>
      </x:c>
      <x:c r="H498" s="11" t="n">
        <x:f>IF($A498="","",$G498*$F498+$C498*(1-$F498))</x:f>
        <x:v>934.475824059554</x:v>
      </x:c>
      <x:c r="I498" s="11" t="n">
        <x:f>IF($A498="","",AVERAGE($H498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920.2272534731811</x:v>
      </x:c>
      <x:c r="J498" s="12" t="n">
        <x:f>IF($A498="","",1+SUMIFS(Assumptions!$S$5:$S$10,Assumptions!$P$5:$P$10,$B498,Assumptions!$Q$5:$Q$10,"&lt;="&amp;$A498,Assumptions!$R$5:$R$10,"&gt;="&amp;$A498))</x:f>
        <x:v>1</x:v>
      </x:c>
      <x:c r="K498" s="12" t="n">
        <x:f>IF($A498="","",1+((($A498-Assumptions!$B$5)/30)*INDEX(Assumptions!$J$5:$J$12,MATCH($B498,Assumptions!$D$5:$D$12,0))))</x:f>
        <x:v>0.9967</x:v>
      </x:c>
      <x:c r="L498" t="str">
        <x:f>IF($A498="","",IFERROR(INDEX(Assumptions!$O$5:$O$10,MATCH(1,(Assumptions!$P$5:$P$10=$B498)*(Assumptions!$Q$5:$Q$10&lt;=$A498)*(Assumptions!$R$5:$R$10&gt;=$A498),0)),""))</x:f>
      </x:c>
      <x:c r="M498" t="n">
        <x:f>--($A498&lt;&gt;"")</x:f>
        <x:v>1</x:v>
      </x:c>
    </x:row>
    <x:row r="499">
      <x:c r="A499" s="10" t="n">
        <x:f>IF(Assumptions!$B$5+INT((ROW()-2)/Assumptions!$B$7)&gt;Assumptions!$B$6,"",Assumptions!$B$5+INT((ROW()-2)/Assumptions!$B$7))</x:f>
        <x:v>46122</x:v>
      </x:c>
      <x:c r="B499" t="str">
        <x:f>IF($A499="","",INDEX(Assumptions!$D$5:$D$12,MOD(ROW()-2,Assumptions!$B$7)+1))</x:f>
        <x:v>Nostromo Deep</x:v>
      </x:c>
      <x:c r="C499" s="11" t="n">
        <x:f>IF($A499="","",INDEX(Assumptions!$F$5:$F$12,MATCH($B499,Assumptions!$D$5:$D$12,0)))</x:f>
        <x:v>1260</x:v>
      </x:c>
      <x:c r="D499" s="11" t="n">
        <x:f>IF($A499="","",INDEX(Assumptions!$G$5:$G$12,MATCH($B499,Assumptions!$D$5:$D$12,0)))</x:f>
        <x:v>145</x:v>
      </x:c>
      <x:c r="E499" s="11" t="n">
        <x:f>IF($A499="","",INDEX(Assumptions!$M$5:$M$11,WEEKDAY($A499,2)))</x:f>
        <x:v>0.98</x:v>
      </x:c>
      <x:c r="F499" s="11" t="n">
        <x:f>IF($A499="","",Assumptions!$B$15)</x:f>
        <x:v>0.35</x:v>
      </x:c>
      <x:c r="G499" s="11" t="n">
        <x:f>IF($A499="","",MAX(INDEX(Assumptions!$H$5:$H$12,MATCH($B499,Assumptions!$D$5:$D$12,0)),MIN(INDEX(Assumptions!$I$5:$I$12,MATCH($B499,Assumptions!$D$5:$D$12,0)),($C499+$D499*SQRT(-2*LN(RAND()))*COS(2*PI()*RAND()))*$E499*$J499*$K499)))</x:f>
        <x:v>1180.3757600931795</x:v>
      </x:c>
      <x:c r="H499" s="11" t="n">
        <x:f>IF($A499="","",$G499*$F499+$C499*(1-$F499))</x:f>
        <x:v>1232.1315160326128</x:v>
      </x:c>
      <x:c r="I499" s="11" t="n">
        <x:f>IF($A499="","",AVERAGE($H499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1254.896204961681</x:v>
      </x:c>
      <x:c r="J499" s="12" t="n">
        <x:f>IF($A499="","",1+SUMIFS(Assumptions!$S$5:$S$10,Assumptions!$P$5:$P$10,$B499,Assumptions!$Q$5:$Q$10,"&lt;="&amp;$A499,Assumptions!$R$5:$R$10,"&gt;="&amp;$A499))</x:f>
        <x:v>1</x:v>
      </x:c>
      <x:c r="K499" s="12" t="n">
        <x:f>IF($A499="","",1+((($A499-Assumptions!$B$5)/30)*INDEX(Assumptions!$J$5:$J$12,MATCH($B499,Assumptions!$D$5:$D$12,0))))</x:f>
        <x:v>1.0099</x:v>
      </x:c>
      <x:c r="L499" t="str">
        <x:f>IF($A499="","",IFERROR(INDEX(Assumptions!$O$5:$O$10,MATCH(1,(Assumptions!$P$5:$P$10=$B499)*(Assumptions!$Q$5:$Q$10&lt;=$A499)*(Assumptions!$R$5:$R$10&gt;=$A499),0)),""))</x:f>
      </x:c>
      <x:c r="M499" t="n">
        <x:f>--($A499&lt;&gt;"")</x:f>
        <x:v>1</x:v>
      </x:c>
    </x:row>
    <x:row r="500">
      <x:c r="A500" s="10" t="n">
        <x:f>IF(Assumptions!$B$5+INT((ROW()-2)/Assumptions!$B$7)&gt;Assumptions!$B$6,"",Assumptions!$B$5+INT((ROW()-2)/Assumptions!$B$7))</x:f>
        <x:v>46122</x:v>
      </x:c>
      <x:c r="B500" t="str">
        <x:f>IF($A500="","",INDEX(Assumptions!$D$5:$D$12,MOD(ROW()-2,Assumptions!$B$7)+1))</x:f>
        <x:v>Hadley's Hope</x:v>
      </x:c>
      <x:c r="C500" s="11" t="n">
        <x:f>IF($A500="","",INDEX(Assumptions!$F$5:$F$12,MATCH($B500,Assumptions!$D$5:$D$12,0)))</x:f>
        <x:v>845</x:v>
      </x:c>
      <x:c r="D500" s="11" t="n">
        <x:f>IF($A500="","",INDEX(Assumptions!$G$5:$G$12,MATCH($B500,Assumptions!$D$5:$D$12,0)))</x:f>
        <x:v>80</x:v>
      </x:c>
      <x:c r="E500" s="11" t="n">
        <x:f>IF($A500="","",INDEX(Assumptions!$M$5:$M$11,WEEKDAY($A500,2)))</x:f>
        <x:v>0.98</x:v>
      </x:c>
      <x:c r="F500" s="11" t="n">
        <x:f>IF($A500="","",Assumptions!$B$15)</x:f>
        <x:v>0.35</x:v>
      </x:c>
      <x:c r="G500" s="11" t="n">
        <x:f>IF($A500="","",MAX(INDEX(Assumptions!$H$5:$H$12,MATCH($B500,Assumptions!$D$5:$D$12,0)),MIN(INDEX(Assumptions!$I$5:$I$12,MATCH($B500,Assumptions!$D$5:$D$12,0)),($C500+$D500*SQRT(-2*LN(RAND()))*COS(2*PI()*RAND()))*$E500*$J500*$K500)))</x:f>
        <x:v>883.1709865797305</x:v>
      </x:c>
      <x:c r="H500" s="11" t="n">
        <x:f>IF($A500="","",$G500*$F500+$C500*(1-$F500))</x:f>
        <x:v>858.3598453029057</x:v>
      </x:c>
      <x:c r="I500" s="11" t="n">
        <x:f>IF($A500="","",AVERAGE($H500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845.176327499891</x:v>
      </x:c>
      <x:c r="J500" s="12" t="n">
        <x:f>IF($A500="","",1+SUMIFS(Assumptions!$S$5:$S$10,Assumptions!$P$5:$P$10,$B500,Assumptions!$Q$5:$Q$10,"&lt;="&amp;$A500,Assumptions!$R$5:$R$10,"&gt;="&amp;$A500))</x:f>
        <x:v>1</x:v>
      </x:c>
      <x:c r="K500" s="12" t="n">
        <x:f>IF($A500="","",1+((($A500-Assumptions!$B$5)/30)*INDEX(Assumptions!$J$5:$J$12,MATCH($B500,Assumptions!$D$5:$D$12,0))))</x:f>
        <x:v>1.0033</x:v>
      </x:c>
      <x:c r="L500" t="str">
        <x:f>IF($A500="","",IFERROR(INDEX(Assumptions!$O$5:$O$10,MATCH(1,(Assumptions!$P$5:$P$10=$B500)*(Assumptions!$Q$5:$Q$10&lt;=$A500)*(Assumptions!$R$5:$R$10&gt;=$A500),0)),""))</x:f>
      </x:c>
      <x:c r="M500" t="n">
        <x:f>--($A500&lt;&gt;"")</x:f>
        <x:v>1</x:v>
      </x:c>
    </x:row>
    <x:row r="501">
      <x:c r="A501" s="10" t="n">
        <x:f>IF(Assumptions!$B$5+INT((ROW()-2)/Assumptions!$B$7)&gt;Assumptions!$B$6,"",Assumptions!$B$5+INT((ROW()-2)/Assumptions!$B$7))</x:f>
        <x:v>46122</x:v>
      </x:c>
      <x:c r="B501" t="str">
        <x:f>IF($A501="","",INDEX(Assumptions!$D$5:$D$12,MOD(ROW()-2,Assumptions!$B$7)+1))</x:f>
        <x:v>Yutani Ridge</x:v>
      </x:c>
      <x:c r="C501" s="11" t="n">
        <x:f>IF($A501="","",INDEX(Assumptions!$F$5:$F$12,MATCH($B501,Assumptions!$D$5:$D$12,0)))</x:f>
        <x:v>1050</x:v>
      </x:c>
      <x:c r="D501" s="11" t="n">
        <x:f>IF($A501="","",INDEX(Assumptions!$G$5:$G$12,MATCH($B501,Assumptions!$D$5:$D$12,0)))</x:f>
        <x:v>125</x:v>
      </x:c>
      <x:c r="E501" s="11" t="n">
        <x:f>IF($A501="","",INDEX(Assumptions!$M$5:$M$11,WEEKDAY($A501,2)))</x:f>
        <x:v>0.98</x:v>
      </x:c>
      <x:c r="F501" s="11" t="n">
        <x:f>IF($A501="","",Assumptions!$B$15)</x:f>
        <x:v>0.35</x:v>
      </x:c>
      <x:c r="G501" s="11" t="n">
        <x:f>IF($A501="","",MAX(INDEX(Assumptions!$H$5:$H$12,MATCH($B501,Assumptions!$D$5:$D$12,0)),MIN(INDEX(Assumptions!$I$5:$I$12,MATCH($B501,Assumptions!$D$5:$D$12,0)),($C501+$D501*SQRT(-2*LN(RAND()))*COS(2*PI()*RAND()))*$E501*$J501*$K501)))</x:f>
        <x:v>950.3474068037727</x:v>
      </x:c>
      <x:c r="H501" s="11" t="n">
        <x:f>IF($A501="","",$G501*$F501+$C501*(1-$F501))</x:f>
        <x:v>1015.1215923813204</x:v>
      </x:c>
      <x:c r="I501" s="11" t="n">
        <x:f>IF($A501="","",AVERAGE($H501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1016.198163396135</x:v>
      </x:c>
      <x:c r="J501" s="12" t="n">
        <x:f>IF($A501="","",1+SUMIFS(Assumptions!$S$5:$S$10,Assumptions!$P$5:$P$10,$B501,Assumptions!$Q$5:$Q$10,"&lt;="&amp;$A501,Assumptions!$R$5:$R$10,"&gt;="&amp;$A501))</x:f>
        <x:v>1</x:v>
      </x:c>
      <x:c r="K501" s="12" t="n">
        <x:f>IF($A501="","",1+((($A501-Assumptions!$B$5)/30)*INDEX(Assumptions!$J$5:$J$12,MATCH($B501,Assumptions!$D$5:$D$12,0))))</x:f>
        <x:v>1.00825</x:v>
      </x:c>
      <x:c r="L501" t="str">
        <x:f>IF($A501="","",IFERROR(INDEX(Assumptions!$O$5:$O$10,MATCH(1,(Assumptions!$P$5:$P$10=$B501)*(Assumptions!$Q$5:$Q$10&lt;=$A501)*(Assumptions!$R$5:$R$10&gt;=$A501),0)),""))</x:f>
      </x:c>
      <x:c r="M501" t="n">
        <x:f>--($A501&lt;&gt;"")</x:f>
        <x:v>1</x:v>
      </x:c>
    </x:row>
    <x:row r="502">
      <x:c r="A502" s="10" t="n">
        <x:f>IF(Assumptions!$B$5+INT((ROW()-2)/Assumptions!$B$7)&gt;Assumptions!$B$6,"",Assumptions!$B$5+INT((ROW()-2)/Assumptions!$B$7))</x:f>
        <x:v>46123</x:v>
      </x:c>
      <x:c r="B502" t="str">
        <x:f>IF($A502="","",INDEX(Assumptions!$D$5:$D$12,MOD(ROW()-2,Assumptions!$B$7)+1))</x:f>
        <x:v>Acheron Prime</x:v>
      </x:c>
      <x:c r="C502" s="11" t="n">
        <x:f>IF($A502="","",INDEX(Assumptions!$F$5:$F$12,MATCH($B502,Assumptions!$D$5:$D$12,0)))</x:f>
        <x:v>1120</x:v>
      </x:c>
      <x:c r="D502" s="11" t="n">
        <x:f>IF($A502="","",INDEX(Assumptions!$G$5:$G$12,MATCH($B502,Assumptions!$D$5:$D$12,0)))</x:f>
        <x:v>115</x:v>
      </x:c>
      <x:c r="E502" s="11" t="n">
        <x:f>IF($A502="","",INDEX(Assumptions!$M$5:$M$11,WEEKDAY($A502,2)))</x:f>
        <x:v>0.91</x:v>
      </x:c>
      <x:c r="F502" s="11" t="n">
        <x:f>IF($A502="","",Assumptions!$B$15)</x:f>
        <x:v>0.35</x:v>
      </x:c>
      <x:c r="G502" s="11" t="n">
        <x:f>IF($A502="","",MAX(INDEX(Assumptions!$H$5:$H$12,MATCH($B502,Assumptions!$D$5:$D$12,0)),MIN(INDEX(Assumptions!$I$5:$I$12,MATCH($B502,Assumptions!$D$5:$D$12,0)),($C502+$D502*SQRT(-2*LN(RAND()))*COS(2*PI()*RAND()))*$E502*$J502*$K502)))</x:f>
        <x:v>1120.4015330318796</x:v>
      </x:c>
      <x:c r="H502" s="11" t="n">
        <x:f>IF($A502="","",$G502*$F502+$C502*(1-$F502))</x:f>
        <x:v>1120.140536561158</x:v>
      </x:c>
      <x:c r="I502" s="11" t="n">
        <x:f>IF($A502="","",AVERAGE($H502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1078.3751399115536</x:v>
      </x:c>
      <x:c r="J502" s="12" t="n">
        <x:f>IF($A502="","",1+SUMIFS(Assumptions!$S$5:$S$10,Assumptions!$P$5:$P$10,$B502,Assumptions!$Q$5:$Q$10,"&lt;="&amp;$A502,Assumptions!$R$5:$R$10,"&gt;="&amp;$A502))</x:f>
        <x:v>1</x:v>
      </x:c>
      <x:c r="K502" s="12" t="n">
        <x:f>IF($A502="","",1+((($A502-Assumptions!$B$5)/30)*INDEX(Assumptions!$J$5:$J$12,MATCH($B502,Assumptions!$D$5:$D$12,0))))</x:f>
        <x:v>1.0066666666666666</x:v>
      </x:c>
      <x:c r="L502" t="str">
        <x:f>IF($A502="","",IFERROR(INDEX(Assumptions!$O$5:$O$10,MATCH(1,(Assumptions!$P$5:$P$10=$B502)*(Assumptions!$Q$5:$Q$10&lt;=$A502)*(Assumptions!$R$5:$R$10&gt;=$A502),0)),""))</x:f>
      </x:c>
      <x:c r="M502" t="n">
        <x:f>--($A502&lt;&gt;"")</x:f>
        <x:v>1</x:v>
      </x:c>
    </x:row>
    <x:row r="503">
      <x:c r="A503" s="10" t="n">
        <x:f>IF(Assumptions!$B$5+INT((ROW()-2)/Assumptions!$B$7)&gt;Assumptions!$B$6,"",Assumptions!$B$5+INT((ROW()-2)/Assumptions!$B$7))</x:f>
        <x:v>46123</x:v>
      </x:c>
      <x:c r="B503" t="str">
        <x:f>IF($A503="","",INDEX(Assumptions!$D$5:$D$12,MOD(ROW()-2,Assumptions!$B$7)+1))</x:f>
        <x:v>LV-426 North</x:v>
      </x:c>
      <x:c r="C503" s="11" t="n">
        <x:f>IF($A503="","",INDEX(Assumptions!$F$5:$F$12,MATCH($B503,Assumptions!$D$5:$D$12,0)))</x:f>
        <x:v>930</x:v>
      </x:c>
      <x:c r="D503" s="11" t="n">
        <x:f>IF($A503="","",INDEX(Assumptions!$G$5:$G$12,MATCH($B503,Assumptions!$D$5:$D$12,0)))</x:f>
        <x:v>95</x:v>
      </x:c>
      <x:c r="E503" s="11" t="n">
        <x:f>IF($A503="","",INDEX(Assumptions!$M$5:$M$11,WEEKDAY($A503,2)))</x:f>
        <x:v>0.91</x:v>
      </x:c>
      <x:c r="F503" s="11" t="n">
        <x:f>IF($A503="","",Assumptions!$B$15)</x:f>
        <x:v>0.35</x:v>
      </x:c>
      <x:c r="G503" s="11" t="n">
        <x:f>IF($A503="","",MAX(INDEX(Assumptions!$H$5:$H$12,MATCH($B503,Assumptions!$D$5:$D$12,0)),MIN(INDEX(Assumptions!$I$5:$I$12,MATCH($B503,Assumptions!$D$5:$D$12,0)),($C503+$D503*SQRT(-2*LN(RAND()))*COS(2*PI()*RAND()))*$E503*$J503*$K503)))</x:f>
        <x:v>804.7382093388946</x:v>
      </x:c>
      <x:c r="H503" s="11" t="n">
        <x:f>IF($A503="","",$G503*$F503+$C503*(1-$F503))</x:f>
        <x:v>886.1583732686131</x:v>
      </x:c>
      <x:c r="I503" s="11" t="n">
        <x:f>IF($A503="","",AVERAGE($H503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921.2299921634207</x:v>
      </x:c>
      <x:c r="J503" s="12" t="n">
        <x:f>IF($A503="","",1+SUMIFS(Assumptions!$S$5:$S$10,Assumptions!$P$5:$P$10,$B503,Assumptions!$Q$5:$Q$10,"&lt;="&amp;$A503,Assumptions!$R$5:$R$10,"&gt;="&amp;$A503))</x:f>
        <x:v>1</x:v>
      </x:c>
      <x:c r="K503" s="12" t="n">
        <x:f>IF($A503="","",1+((($A503-Assumptions!$B$5)/30)*INDEX(Assumptions!$J$5:$J$12,MATCH($B503,Assumptions!$D$5:$D$12,0))))</x:f>
        <x:v>0.9966666666666667</x:v>
      </x:c>
      <x:c r="L503" t="str">
        <x:f>IF($A503="","",IFERROR(INDEX(Assumptions!$O$5:$O$10,MATCH(1,(Assumptions!$P$5:$P$10=$B503)*(Assumptions!$Q$5:$Q$10&lt;=$A503)*(Assumptions!$R$5:$R$10&gt;=$A503),0)),""))</x:f>
      </x:c>
      <x:c r="M503" t="n">
        <x:f>--($A503&lt;&gt;"")</x:f>
        <x:v>1</x:v>
      </x:c>
    </x:row>
    <x:row r="504">
      <x:c r="A504" s="10" t="n">
        <x:f>IF(Assumptions!$B$5+INT((ROW()-2)/Assumptions!$B$7)&gt;Assumptions!$B$6,"",Assumptions!$B$5+INT((ROW()-2)/Assumptions!$B$7))</x:f>
        <x:v>46123</x:v>
      </x:c>
      <x:c r="B504" t="str">
        <x:f>IF($A504="","",INDEX(Assumptions!$D$5:$D$12,MOD(ROW()-2,Assumptions!$B$7)+1))</x:f>
        <x:v>Nostromo Deep</x:v>
      </x:c>
      <x:c r="C504" s="11" t="n">
        <x:f>IF($A504="","",INDEX(Assumptions!$F$5:$F$12,MATCH($B504,Assumptions!$D$5:$D$12,0)))</x:f>
        <x:v>1260</x:v>
      </x:c>
      <x:c r="D504" s="11" t="n">
        <x:f>IF($A504="","",INDEX(Assumptions!$G$5:$G$12,MATCH($B504,Assumptions!$D$5:$D$12,0)))</x:f>
        <x:v>145</x:v>
      </x:c>
      <x:c r="E504" s="11" t="n">
        <x:f>IF($A504="","",INDEX(Assumptions!$M$5:$M$11,WEEKDAY($A504,2)))</x:f>
        <x:v>0.91</x:v>
      </x:c>
      <x:c r="F504" s="11" t="n">
        <x:f>IF($A504="","",Assumptions!$B$15)</x:f>
        <x:v>0.35</x:v>
      </x:c>
      <x:c r="G504" s="11" t="n">
        <x:f>IF($A504="","",MAX(INDEX(Assumptions!$H$5:$H$12,MATCH($B504,Assumptions!$D$5:$D$12,0)),MIN(INDEX(Assumptions!$I$5:$I$12,MATCH($B504,Assumptions!$D$5:$D$12,0)),($C504+$D504*SQRT(-2*LN(RAND()))*COS(2*PI()*RAND()))*$E504*$J504*$K504)))</x:f>
        <x:v>1224.6769937209963</x:v>
      </x:c>
      <x:c r="H504" s="11" t="n">
        <x:f>IF($A504="","",$G504*$F504+$C504*(1-$F504))</x:f>
        <x:v>1247.6369478023487</x:v>
      </x:c>
      <x:c r="I504" s="11" t="n">
        <x:f>IF($A504="","",AVERAGE($H504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1265.7034575467458</x:v>
      </x:c>
      <x:c r="J504" s="12" t="n">
        <x:f>IF($A504="","",1+SUMIFS(Assumptions!$S$5:$S$10,Assumptions!$P$5:$P$10,$B504,Assumptions!$Q$5:$Q$10,"&lt;="&amp;$A504,Assumptions!$R$5:$R$10,"&gt;="&amp;$A504))</x:f>
        <x:v>1</x:v>
      </x:c>
      <x:c r="K504" s="12" t="n">
        <x:f>IF($A504="","",1+((($A504-Assumptions!$B$5)/30)*INDEX(Assumptions!$J$5:$J$12,MATCH($B504,Assumptions!$D$5:$D$12,0))))</x:f>
        <x:v>1.01</x:v>
      </x:c>
      <x:c r="L504" t="str">
        <x:f>IF($A504="","",IFERROR(INDEX(Assumptions!$O$5:$O$10,MATCH(1,(Assumptions!$P$5:$P$10=$B504)*(Assumptions!$Q$5:$Q$10&lt;=$A504)*(Assumptions!$R$5:$R$10&gt;=$A504),0)),""))</x:f>
      </x:c>
      <x:c r="M504" t="n">
        <x:f>--($A504&lt;&gt;"")</x:f>
        <x:v>1</x:v>
      </x:c>
    </x:row>
    <x:row r="505">
      <x:c r="A505" s="10" t="n">
        <x:f>IF(Assumptions!$B$5+INT((ROW()-2)/Assumptions!$B$7)&gt;Assumptions!$B$6,"",Assumptions!$B$5+INT((ROW()-2)/Assumptions!$B$7))</x:f>
        <x:v>46123</x:v>
      </x:c>
      <x:c r="B505" t="str">
        <x:f>IF($A505="","",INDEX(Assumptions!$D$5:$D$12,MOD(ROW()-2,Assumptions!$B$7)+1))</x:f>
        <x:v>Hadley's Hope</x:v>
      </x:c>
      <x:c r="C505" s="11" t="n">
        <x:f>IF($A505="","",INDEX(Assumptions!$F$5:$F$12,MATCH($B505,Assumptions!$D$5:$D$12,0)))</x:f>
        <x:v>845</x:v>
      </x:c>
      <x:c r="D505" s="11" t="n">
        <x:f>IF($A505="","",INDEX(Assumptions!$G$5:$G$12,MATCH($B505,Assumptions!$D$5:$D$12,0)))</x:f>
        <x:v>80</x:v>
      </x:c>
      <x:c r="E505" s="11" t="n">
        <x:f>IF($A505="","",INDEX(Assumptions!$M$5:$M$11,WEEKDAY($A505,2)))</x:f>
        <x:v>0.91</x:v>
      </x:c>
      <x:c r="F505" s="11" t="n">
        <x:f>IF($A505="","",Assumptions!$B$15)</x:f>
        <x:v>0.35</x:v>
      </x:c>
      <x:c r="G505" s="11" t="n">
        <x:f>IF($A505="","",MAX(INDEX(Assumptions!$H$5:$H$12,MATCH($B505,Assumptions!$D$5:$D$12,0)),MIN(INDEX(Assumptions!$I$5:$I$12,MATCH($B505,Assumptions!$D$5:$D$12,0)),($C505+$D505*SQRT(-2*LN(RAND()))*COS(2*PI()*RAND()))*$E505*$J505*$K505)))</x:f>
        <x:v>893.8190017155176</x:v>
      </x:c>
      <x:c r="H505" s="11" t="n">
        <x:f>IF($A505="","",$G505*$F505+$C505*(1-$F505))</x:f>
        <x:v>862.0866506004311</x:v>
      </x:c>
      <x:c r="I505" s="11" t="n">
        <x:f>IF($A505="","",AVERAGE($H505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852.366803014106</x:v>
      </x:c>
      <x:c r="J505" s="12" t="n">
        <x:f>IF($A505="","",1+SUMIFS(Assumptions!$S$5:$S$10,Assumptions!$P$5:$P$10,$B505,Assumptions!$Q$5:$Q$10,"&lt;="&amp;$A505,Assumptions!$R$5:$R$10,"&gt;="&amp;$A505))</x:f>
        <x:v>1</x:v>
      </x:c>
      <x:c r="K505" s="12" t="n">
        <x:f>IF($A505="","",1+((($A505-Assumptions!$B$5)/30)*INDEX(Assumptions!$J$5:$J$12,MATCH($B505,Assumptions!$D$5:$D$12,0))))</x:f>
        <x:v>1.0033333333333334</x:v>
      </x:c>
      <x:c r="L505" t="str">
        <x:f>IF($A505="","",IFERROR(INDEX(Assumptions!$O$5:$O$10,MATCH(1,(Assumptions!$P$5:$P$10=$B505)*(Assumptions!$Q$5:$Q$10&lt;=$A505)*(Assumptions!$R$5:$R$10&gt;=$A505),0)),""))</x:f>
      </x:c>
      <x:c r="M505" t="n">
        <x:f>--($A505&lt;&gt;"")</x:f>
        <x:v>1</x:v>
      </x:c>
    </x:row>
    <x:row r="506">
      <x:c r="A506" s="10" t="n">
        <x:f>IF(Assumptions!$B$5+INT((ROW()-2)/Assumptions!$B$7)&gt;Assumptions!$B$6,"",Assumptions!$B$5+INT((ROW()-2)/Assumptions!$B$7))</x:f>
        <x:v>46123</x:v>
      </x:c>
      <x:c r="B506" t="str">
        <x:f>IF($A506="","",INDEX(Assumptions!$D$5:$D$12,MOD(ROW()-2,Assumptions!$B$7)+1))</x:f>
        <x:v>Yutani Ridge</x:v>
      </x:c>
      <x:c r="C506" s="11" t="n">
        <x:f>IF($A506="","",INDEX(Assumptions!$F$5:$F$12,MATCH($B506,Assumptions!$D$5:$D$12,0)))</x:f>
        <x:v>1050</x:v>
      </x:c>
      <x:c r="D506" s="11" t="n">
        <x:f>IF($A506="","",INDEX(Assumptions!$G$5:$G$12,MATCH($B506,Assumptions!$D$5:$D$12,0)))</x:f>
        <x:v>125</x:v>
      </x:c>
      <x:c r="E506" s="11" t="n">
        <x:f>IF($A506="","",INDEX(Assumptions!$M$5:$M$11,WEEKDAY($A506,2)))</x:f>
        <x:v>0.91</x:v>
      </x:c>
      <x:c r="F506" s="11" t="n">
        <x:f>IF($A506="","",Assumptions!$B$15)</x:f>
        <x:v>0.35</x:v>
      </x:c>
      <x:c r="G506" s="11" t="n">
        <x:f>IF($A506="","",MAX(INDEX(Assumptions!$H$5:$H$12,MATCH($B506,Assumptions!$D$5:$D$12,0)),MIN(INDEX(Assumptions!$I$5:$I$12,MATCH($B506,Assumptions!$D$5:$D$12,0)),($C506+$D506*SQRT(-2*LN(RAND()))*COS(2*PI()*RAND()))*$E506*$J506*$K506)))</x:f>
        <x:v>972.7443051024685</x:v>
      </x:c>
      <x:c r="H506" s="11" t="n">
        <x:f>IF($A506="","",$G506*$F506+$C506*(1-$F506))</x:f>
        <x:v>1022.960506785864</x:v>
      </x:c>
      <x:c r="I506" s="11" t="n">
        <x:f>IF($A506="","",AVERAGE($H506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1017.1383842467877</x:v>
      </x:c>
      <x:c r="J506" s="12" t="n">
        <x:f>IF($A506="","",1+SUMIFS(Assumptions!$S$5:$S$10,Assumptions!$P$5:$P$10,$B506,Assumptions!$Q$5:$Q$10,"&lt;="&amp;$A506,Assumptions!$R$5:$R$10,"&gt;="&amp;$A506))</x:f>
        <x:v>1</x:v>
      </x:c>
      <x:c r="K506" s="12" t="n">
        <x:f>IF($A506="","",1+((($A506-Assumptions!$B$5)/30)*INDEX(Assumptions!$J$5:$J$12,MATCH($B506,Assumptions!$D$5:$D$12,0))))</x:f>
        <x:v>1.0083333333333333</x:v>
      </x:c>
      <x:c r="L506" t="str">
        <x:f>IF($A506="","",IFERROR(INDEX(Assumptions!$O$5:$O$10,MATCH(1,(Assumptions!$P$5:$P$10=$B506)*(Assumptions!$Q$5:$Q$10&lt;=$A506)*(Assumptions!$R$5:$R$10&gt;=$A506),0)),""))</x:f>
      </x:c>
      <x:c r="M506" t="n">
        <x:f>--($A506&lt;&gt;"")</x:f>
        <x:v>1</x:v>
      </x:c>
    </x:row>
    <x:row r="507">
      <x:c r="A507" s="10" t="n">
        <x:f>IF(Assumptions!$B$5+INT((ROW()-2)/Assumptions!$B$7)&gt;Assumptions!$B$6,"",Assumptions!$B$5+INT((ROW()-2)/Assumptions!$B$7))</x:f>
        <x:v>46124</x:v>
      </x:c>
      <x:c r="B507" t="str">
        <x:f>IF($A507="","",INDEX(Assumptions!$D$5:$D$12,MOD(ROW()-2,Assumptions!$B$7)+1))</x:f>
        <x:v>Acheron Prime</x:v>
      </x:c>
      <x:c r="C507" s="11" t="n">
        <x:f>IF($A507="","",INDEX(Assumptions!$F$5:$F$12,MATCH($B507,Assumptions!$D$5:$D$12,0)))</x:f>
        <x:v>1120</x:v>
      </x:c>
      <x:c r="D507" s="11" t="n">
        <x:f>IF($A507="","",INDEX(Assumptions!$G$5:$G$12,MATCH($B507,Assumptions!$D$5:$D$12,0)))</x:f>
        <x:v>115</x:v>
      </x:c>
      <x:c r="E507" s="11" t="n">
        <x:f>IF($A507="","",INDEX(Assumptions!$M$5:$M$11,WEEKDAY($A507,2)))</x:f>
        <x:v>0.87</x:v>
      </x:c>
      <x:c r="F507" s="11" t="n">
        <x:f>IF($A507="","",Assumptions!$B$15)</x:f>
        <x:v>0.35</x:v>
      </x:c>
      <x:c r="G507" s="11" t="n">
        <x:f>IF($A507="","",MAX(INDEX(Assumptions!$H$5:$H$12,MATCH($B507,Assumptions!$D$5:$D$12,0)),MIN(INDEX(Assumptions!$I$5:$I$12,MATCH($B507,Assumptions!$D$5:$D$12,0)),($C507+$D507*SQRT(-2*LN(RAND()))*COS(2*PI()*RAND()))*$E507*$J507*$K507)))</x:f>
        <x:v>802.8058818288945</x:v>
      </x:c>
      <x:c r="H507" s="11" t="n">
        <x:f>IF($A507="","",$G507*$F507+$C507*(1-$F507))</x:f>
        <x:v>1008.9820586401131</x:v>
      </x:c>
      <x:c r="I507" s="11" t="n">
        <x:f>IF($A507="","",AVERAGE($H507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1065.9802813338713</x:v>
      </x:c>
      <x:c r="J507" s="12" t="n">
        <x:f>IF($A507="","",1+SUMIFS(Assumptions!$S$5:$S$10,Assumptions!$P$5:$P$10,$B507,Assumptions!$Q$5:$Q$10,"&lt;="&amp;$A507,Assumptions!$R$5:$R$10,"&gt;="&amp;$A507))</x:f>
        <x:v>1</x:v>
      </x:c>
      <x:c r="K507" s="12" t="n">
        <x:f>IF($A507="","",1+((($A507-Assumptions!$B$5)/30)*INDEX(Assumptions!$J$5:$J$12,MATCH($B507,Assumptions!$D$5:$D$12,0))))</x:f>
        <x:v>1.0067333333333333</x:v>
      </x:c>
      <x:c r="L507" t="str">
        <x:f>IF($A507="","",IFERROR(INDEX(Assumptions!$O$5:$O$10,MATCH(1,(Assumptions!$P$5:$P$10=$B507)*(Assumptions!$Q$5:$Q$10&lt;=$A507)*(Assumptions!$R$5:$R$10&gt;=$A507),0)),""))</x:f>
      </x:c>
      <x:c r="M507" t="n">
        <x:f>--($A507&lt;&gt;"")</x:f>
        <x:v>1</x:v>
      </x:c>
    </x:row>
    <x:row r="508">
      <x:c r="A508" s="10" t="n">
        <x:f>IF(Assumptions!$B$5+INT((ROW()-2)/Assumptions!$B$7)&gt;Assumptions!$B$6,"",Assumptions!$B$5+INT((ROW()-2)/Assumptions!$B$7))</x:f>
        <x:v>46124</x:v>
      </x:c>
      <x:c r="B508" t="str">
        <x:f>IF($A508="","",INDEX(Assumptions!$D$5:$D$12,MOD(ROW()-2,Assumptions!$B$7)+1))</x:f>
        <x:v>LV-426 North</x:v>
      </x:c>
      <x:c r="C508" s="11" t="n">
        <x:f>IF($A508="","",INDEX(Assumptions!$F$5:$F$12,MATCH($B508,Assumptions!$D$5:$D$12,0)))</x:f>
        <x:v>930</x:v>
      </x:c>
      <x:c r="D508" s="11" t="n">
        <x:f>IF($A508="","",INDEX(Assumptions!$G$5:$G$12,MATCH($B508,Assumptions!$D$5:$D$12,0)))</x:f>
        <x:v>95</x:v>
      </x:c>
      <x:c r="E508" s="11" t="n">
        <x:f>IF($A508="","",INDEX(Assumptions!$M$5:$M$11,WEEKDAY($A508,2)))</x:f>
        <x:v>0.87</x:v>
      </x:c>
      <x:c r="F508" s="11" t="n">
        <x:f>IF($A508="","",Assumptions!$B$15)</x:f>
        <x:v>0.35</x:v>
      </x:c>
      <x:c r="G508" s="11" t="n">
        <x:f>IF($A508="","",MAX(INDEX(Assumptions!$H$5:$H$12,MATCH($B508,Assumptions!$D$5:$D$12,0)),MIN(INDEX(Assumptions!$I$5:$I$12,MATCH($B508,Assumptions!$D$5:$D$12,0)),($C508+$D508*SQRT(-2*LN(RAND()))*COS(2*PI()*RAND()))*$E508*$J508*$K508)))</x:f>
        <x:v>778.8570713224891</x:v>
      </x:c>
      <x:c r="H508" s="11" t="n">
        <x:f>IF($A508="","",$G508*$F508+$C508*(1-$F508))</x:f>
        <x:v>877.0999749628711</x:v>
      </x:c>
      <x:c r="I508" s="11" t="n">
        <x:f>IF($A508="","",AVERAGE($H508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923.4935137493248</x:v>
      </x:c>
      <x:c r="J508" s="12" t="n">
        <x:f>IF($A508="","",1+SUMIFS(Assumptions!$S$5:$S$10,Assumptions!$P$5:$P$10,$B508,Assumptions!$Q$5:$Q$10,"&lt;="&amp;$A508,Assumptions!$R$5:$R$10,"&gt;="&amp;$A508))</x:f>
        <x:v>1</x:v>
      </x:c>
      <x:c r="K508" s="12" t="n">
        <x:f>IF($A508="","",1+((($A508-Assumptions!$B$5)/30)*INDEX(Assumptions!$J$5:$J$12,MATCH($B508,Assumptions!$D$5:$D$12,0))))</x:f>
        <x:v>0.9966333333333334</x:v>
      </x:c>
      <x:c r="L508" t="str">
        <x:f>IF($A508="","",IFERROR(INDEX(Assumptions!$O$5:$O$10,MATCH(1,(Assumptions!$P$5:$P$10=$B508)*(Assumptions!$Q$5:$Q$10&lt;=$A508)*(Assumptions!$R$5:$R$10&gt;=$A508),0)),""))</x:f>
      </x:c>
      <x:c r="M508" t="n">
        <x:f>--($A508&lt;&gt;"")</x:f>
        <x:v>1</x:v>
      </x:c>
    </x:row>
    <x:row r="509">
      <x:c r="A509" s="10" t="n">
        <x:f>IF(Assumptions!$B$5+INT((ROW()-2)/Assumptions!$B$7)&gt;Assumptions!$B$6,"",Assumptions!$B$5+INT((ROW()-2)/Assumptions!$B$7))</x:f>
        <x:v>46124</x:v>
      </x:c>
      <x:c r="B509" t="str">
        <x:f>IF($A509="","",INDEX(Assumptions!$D$5:$D$12,MOD(ROW()-2,Assumptions!$B$7)+1))</x:f>
        <x:v>Nostromo Deep</x:v>
      </x:c>
      <x:c r="C509" s="11" t="n">
        <x:f>IF($A509="","",INDEX(Assumptions!$F$5:$F$12,MATCH($B509,Assumptions!$D$5:$D$12,0)))</x:f>
        <x:v>1260</x:v>
      </x:c>
      <x:c r="D509" s="11" t="n">
        <x:f>IF($A509="","",INDEX(Assumptions!$G$5:$G$12,MATCH($B509,Assumptions!$D$5:$D$12,0)))</x:f>
        <x:v>145</x:v>
      </x:c>
      <x:c r="E509" s="11" t="n">
        <x:f>IF($A509="","",INDEX(Assumptions!$M$5:$M$11,WEEKDAY($A509,2)))</x:f>
        <x:v>0.87</x:v>
      </x:c>
      <x:c r="F509" s="11" t="n">
        <x:f>IF($A509="","",Assumptions!$B$15)</x:f>
        <x:v>0.35</x:v>
      </x:c>
      <x:c r="G509" s="11" t="n">
        <x:f>IF($A509="","",MAX(INDEX(Assumptions!$H$5:$H$12,MATCH($B509,Assumptions!$D$5:$D$12,0)),MIN(INDEX(Assumptions!$I$5:$I$12,MATCH($B509,Assumptions!$D$5:$D$12,0)),($C509+$D509*SQRT(-2*LN(RAND()))*COS(2*PI()*RAND()))*$E509*$J509*$K509)))</x:f>
        <x:v>1059.0474159789435</x:v>
      </x:c>
      <x:c r="H509" s="11" t="n">
        <x:f>IF($A509="","",$G509*$F509+$C509*(1-$F509))</x:f>
        <x:v>1189.66659559263</x:v>
      </x:c>
      <x:c r="I509" s="11" t="n">
        <x:f>IF($A509="","",AVERAGE($H509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1252.4107349408823</x:v>
      </x:c>
      <x:c r="J509" s="12" t="n">
        <x:f>IF($A509="","",1+SUMIFS(Assumptions!$S$5:$S$10,Assumptions!$P$5:$P$10,$B509,Assumptions!$Q$5:$Q$10,"&lt;="&amp;$A509,Assumptions!$R$5:$R$10,"&gt;="&amp;$A509))</x:f>
        <x:v>1</x:v>
      </x:c>
      <x:c r="K509" s="12" t="n">
        <x:f>IF($A509="","",1+((($A509-Assumptions!$B$5)/30)*INDEX(Assumptions!$J$5:$J$12,MATCH($B509,Assumptions!$D$5:$D$12,0))))</x:f>
        <x:v>1.0101</x:v>
      </x:c>
      <x:c r="L509" t="str">
        <x:f>IF($A509="","",IFERROR(INDEX(Assumptions!$O$5:$O$10,MATCH(1,(Assumptions!$P$5:$P$10=$B509)*(Assumptions!$Q$5:$Q$10&lt;=$A509)*(Assumptions!$R$5:$R$10&gt;=$A509),0)),""))</x:f>
      </x:c>
      <x:c r="M509" t="n">
        <x:f>--($A509&lt;&gt;"")</x:f>
        <x:v>1</x:v>
      </x:c>
    </x:row>
    <x:row r="510">
      <x:c r="A510" s="10" t="n">
        <x:f>IF(Assumptions!$B$5+INT((ROW()-2)/Assumptions!$B$7)&gt;Assumptions!$B$6,"",Assumptions!$B$5+INT((ROW()-2)/Assumptions!$B$7))</x:f>
        <x:v>46124</x:v>
      </x:c>
      <x:c r="B510" t="str">
        <x:f>IF($A510="","",INDEX(Assumptions!$D$5:$D$12,MOD(ROW()-2,Assumptions!$B$7)+1))</x:f>
        <x:v>Hadley's Hope</x:v>
      </x:c>
      <x:c r="C510" s="11" t="n">
        <x:f>IF($A510="","",INDEX(Assumptions!$F$5:$F$12,MATCH($B510,Assumptions!$D$5:$D$12,0)))</x:f>
        <x:v>845</x:v>
      </x:c>
      <x:c r="D510" s="11" t="n">
        <x:f>IF($A510="","",INDEX(Assumptions!$G$5:$G$12,MATCH($B510,Assumptions!$D$5:$D$12,0)))</x:f>
        <x:v>80</x:v>
      </x:c>
      <x:c r="E510" s="11" t="n">
        <x:f>IF($A510="","",INDEX(Assumptions!$M$5:$M$11,WEEKDAY($A510,2)))</x:f>
        <x:v>0.87</x:v>
      </x:c>
      <x:c r="F510" s="11" t="n">
        <x:f>IF($A510="","",Assumptions!$B$15)</x:f>
        <x:v>0.35</x:v>
      </x:c>
      <x:c r="G510" s="11" t="n">
        <x:f>IF($A510="","",MAX(INDEX(Assumptions!$H$5:$H$12,MATCH($B510,Assumptions!$D$5:$D$12,0)),MIN(INDEX(Assumptions!$I$5:$I$12,MATCH($B510,Assumptions!$D$5:$D$12,0)),($C510+$D510*SQRT(-2*LN(RAND()))*COS(2*PI()*RAND()))*$E510*$J510*$K510)))</x:f>
        <x:v>746.7828226734872</x:v>
      </x:c>
      <x:c r="H510" s="11" t="n">
        <x:f>IF($A510="","",$G510*$F510+$C510*(1-$F510))</x:f>
        <x:v>810.6239879357205</x:v>
      </x:c>
      <x:c r="I510" s="11" t="n">
        <x:f>IF($A510="","",AVERAGE($H510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854.3391068940715</x:v>
      </x:c>
      <x:c r="J510" s="12" t="n">
        <x:f>IF($A510="","",1+SUMIFS(Assumptions!$S$5:$S$10,Assumptions!$P$5:$P$10,$B510,Assumptions!$Q$5:$Q$10,"&lt;="&amp;$A510,Assumptions!$R$5:$R$10,"&gt;="&amp;$A510))</x:f>
        <x:v>1</x:v>
      </x:c>
      <x:c r="K510" s="12" t="n">
        <x:f>IF($A510="","",1+((($A510-Assumptions!$B$5)/30)*INDEX(Assumptions!$J$5:$J$12,MATCH($B510,Assumptions!$D$5:$D$12,0))))</x:f>
        <x:v>1.0033666666666667</x:v>
      </x:c>
      <x:c r="L510" t="str">
        <x:f>IF($A510="","",IFERROR(INDEX(Assumptions!$O$5:$O$10,MATCH(1,(Assumptions!$P$5:$P$10=$B510)*(Assumptions!$Q$5:$Q$10&lt;=$A510)*(Assumptions!$R$5:$R$10&gt;=$A510),0)),""))</x:f>
      </x:c>
      <x:c r="M510" t="n">
        <x:f>--($A510&lt;&gt;"")</x:f>
        <x:v>1</x:v>
      </x:c>
    </x:row>
    <x:row r="511">
      <x:c r="A511" s="10" t="n">
        <x:f>IF(Assumptions!$B$5+INT((ROW()-2)/Assumptions!$B$7)&gt;Assumptions!$B$6,"",Assumptions!$B$5+INT((ROW()-2)/Assumptions!$B$7))</x:f>
        <x:v>46124</x:v>
      </x:c>
      <x:c r="B511" t="str">
        <x:f>IF($A511="","",INDEX(Assumptions!$D$5:$D$12,MOD(ROW()-2,Assumptions!$B$7)+1))</x:f>
        <x:v>Yutani Ridge</x:v>
      </x:c>
      <x:c r="C511" s="11" t="n">
        <x:f>IF($A511="","",INDEX(Assumptions!$F$5:$F$12,MATCH($B511,Assumptions!$D$5:$D$12,0)))</x:f>
        <x:v>1050</x:v>
      </x:c>
      <x:c r="D511" s="11" t="n">
        <x:f>IF($A511="","",INDEX(Assumptions!$G$5:$G$12,MATCH($B511,Assumptions!$D$5:$D$12,0)))</x:f>
        <x:v>125</x:v>
      </x:c>
      <x:c r="E511" s="11" t="n">
        <x:f>IF($A511="","",INDEX(Assumptions!$M$5:$M$11,WEEKDAY($A511,2)))</x:f>
        <x:v>0.87</x:v>
      </x:c>
      <x:c r="F511" s="11" t="n">
        <x:f>IF($A511="","",Assumptions!$B$15)</x:f>
        <x:v>0.35</x:v>
      </x:c>
      <x:c r="G511" s="11" t="n">
        <x:f>IF($A511="","",MAX(INDEX(Assumptions!$H$5:$H$12,MATCH($B511,Assumptions!$D$5:$D$12,0)),MIN(INDEX(Assumptions!$I$5:$I$12,MATCH($B511,Assumptions!$D$5:$D$12,0)),($C511+$D511*SQRT(-2*LN(RAND()))*COS(2*PI()*RAND()))*$E511*$J511*$K511)))</x:f>
        <x:v>1035.1346327080003</x:v>
      </x:c>
      <x:c r="H511" s="11" t="n">
        <x:f>IF($A511="","",$G511*$F511+$C511*(1-$F511))</x:f>
        <x:v>1044.7971214478</x:v>
      </x:c>
      <x:c r="I511" s="11" t="n">
        <x:f>IF($A511="","",AVERAGE($H511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1033.8951158821878</x:v>
      </x:c>
      <x:c r="J511" s="12" t="n">
        <x:f>IF($A511="","",1+SUMIFS(Assumptions!$S$5:$S$10,Assumptions!$P$5:$P$10,$B511,Assumptions!$Q$5:$Q$10,"&lt;="&amp;$A511,Assumptions!$R$5:$R$10,"&gt;="&amp;$A511))</x:f>
        <x:v>1</x:v>
      </x:c>
      <x:c r="K511" s="12" t="n">
        <x:f>IF($A511="","",1+((($A511-Assumptions!$B$5)/30)*INDEX(Assumptions!$J$5:$J$12,MATCH($B511,Assumptions!$D$5:$D$12,0))))</x:f>
        <x:v>1.0084166666666667</x:v>
      </x:c>
      <x:c r="L511" t="str">
        <x:f>IF($A511="","",IFERROR(INDEX(Assumptions!$O$5:$O$10,MATCH(1,(Assumptions!$P$5:$P$10=$B511)*(Assumptions!$Q$5:$Q$10&lt;=$A511)*(Assumptions!$R$5:$R$10&gt;=$A511),0)),""))</x:f>
      </x:c>
      <x:c r="M511" t="n">
        <x:f>--($A511&lt;&gt;"")</x:f>
        <x:v>1</x:v>
      </x:c>
    </x:row>
    <x:row r="512">
      <x:c r="A512" s="10" t="n">
        <x:f>IF(Assumptions!$B$5+INT((ROW()-2)/Assumptions!$B$7)&gt;Assumptions!$B$6,"",Assumptions!$B$5+INT((ROW()-2)/Assumptions!$B$7))</x:f>
        <x:v>46125</x:v>
      </x:c>
      <x:c r="B512" t="str">
        <x:f>IF($A512="","",INDEX(Assumptions!$D$5:$D$12,MOD(ROW()-2,Assumptions!$B$7)+1))</x:f>
        <x:v>Acheron Prime</x:v>
      </x:c>
      <x:c r="C512" s="11" t="n">
        <x:f>IF($A512="","",INDEX(Assumptions!$F$5:$F$12,MATCH($B512,Assumptions!$D$5:$D$12,0)))</x:f>
        <x:v>1120</x:v>
      </x:c>
      <x:c r="D512" s="11" t="n">
        <x:f>IF($A512="","",INDEX(Assumptions!$G$5:$G$12,MATCH($B512,Assumptions!$D$5:$D$12,0)))</x:f>
        <x:v>115</x:v>
      </x:c>
      <x:c r="E512" s="11" t="n">
        <x:f>IF($A512="","",INDEX(Assumptions!$M$5:$M$11,WEEKDAY($A512,2)))</x:f>
        <x:v>1.03</x:v>
      </x:c>
      <x:c r="F512" s="11" t="n">
        <x:f>IF($A512="","",Assumptions!$B$15)</x:f>
        <x:v>0.35</x:v>
      </x:c>
      <x:c r="G512" s="11" t="n">
        <x:f>IF($A512="","",MAX(INDEX(Assumptions!$H$5:$H$12,MATCH($B512,Assumptions!$D$5:$D$12,0)),MIN(INDEX(Assumptions!$I$5:$I$12,MATCH($B512,Assumptions!$D$5:$D$12,0)),($C512+$D512*SQRT(-2*LN(RAND()))*COS(2*PI()*RAND()))*$E512*$J512*$K512)))</x:f>
        <x:v>1140.9003001439494</x:v>
      </x:c>
      <x:c r="H512" s="11" t="n">
        <x:f>IF($A512="","",$G512*$F512+$C512*(1-$F512))</x:f>
        <x:v>1127.3151050503823</x:v>
      </x:c>
      <x:c r="I512" s="11" t="n">
        <x:f>IF($A512="","",AVERAGE($H512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1081.0639833890616</x:v>
      </x:c>
      <x:c r="J512" s="12" t="n">
        <x:f>IF($A512="","",1+SUMIFS(Assumptions!$S$5:$S$10,Assumptions!$P$5:$P$10,$B512,Assumptions!$Q$5:$Q$10,"&lt;="&amp;$A512,Assumptions!$R$5:$R$10,"&gt;="&amp;$A512))</x:f>
        <x:v>1</x:v>
      </x:c>
      <x:c r="K512" s="12" t="n">
        <x:f>IF($A512="","",1+((($A512-Assumptions!$B$5)/30)*INDEX(Assumptions!$J$5:$J$12,MATCH($B512,Assumptions!$D$5:$D$12,0))))</x:f>
        <x:v>1.0068</x:v>
      </x:c>
      <x:c r="L512" t="str">
        <x:f>IF($A512="","",IFERROR(INDEX(Assumptions!$O$5:$O$10,MATCH(1,(Assumptions!$P$5:$P$10=$B512)*(Assumptions!$Q$5:$Q$10&lt;=$A512)*(Assumptions!$R$5:$R$10&gt;=$A512),0)),""))</x:f>
      </x:c>
      <x:c r="M512" t="n">
        <x:f>--($A512&lt;&gt;"")</x:f>
        <x:v>1</x:v>
      </x:c>
    </x:row>
    <x:row r="513">
      <x:c r="A513" s="10" t="n">
        <x:f>IF(Assumptions!$B$5+INT((ROW()-2)/Assumptions!$B$7)&gt;Assumptions!$B$6,"",Assumptions!$B$5+INT((ROW()-2)/Assumptions!$B$7))</x:f>
        <x:v>46125</x:v>
      </x:c>
      <x:c r="B513" t="str">
        <x:f>IF($A513="","",INDEX(Assumptions!$D$5:$D$12,MOD(ROW()-2,Assumptions!$B$7)+1))</x:f>
        <x:v>LV-426 North</x:v>
      </x:c>
      <x:c r="C513" s="11" t="n">
        <x:f>IF($A513="","",INDEX(Assumptions!$F$5:$F$12,MATCH($B513,Assumptions!$D$5:$D$12,0)))</x:f>
        <x:v>930</x:v>
      </x:c>
      <x:c r="D513" s="11" t="n">
        <x:f>IF($A513="","",INDEX(Assumptions!$G$5:$G$12,MATCH($B513,Assumptions!$D$5:$D$12,0)))</x:f>
        <x:v>95</x:v>
      </x:c>
      <x:c r="E513" s="11" t="n">
        <x:f>IF($A513="","",INDEX(Assumptions!$M$5:$M$11,WEEKDAY($A513,2)))</x:f>
        <x:v>1.03</x:v>
      </x:c>
      <x:c r="F513" s="11" t="n">
        <x:f>IF($A513="","",Assumptions!$B$15)</x:f>
        <x:v>0.35</x:v>
      </x:c>
      <x:c r="G513" s="11" t="n">
        <x:f>IF($A513="","",MAX(INDEX(Assumptions!$H$5:$H$12,MATCH($B513,Assumptions!$D$5:$D$12,0)),MIN(INDEX(Assumptions!$I$5:$I$12,MATCH($B513,Assumptions!$D$5:$D$12,0)),($C513+$D513*SQRT(-2*LN(RAND()))*COS(2*PI()*RAND()))*$E513*$J513*$K513)))</x:f>
        <x:v>971.2987046164593</x:v>
      </x:c>
      <x:c r="H513" s="11" t="n">
        <x:f>IF($A513="","",$G513*$F513+$C513*(1-$F513))</x:f>
        <x:v>944.4545466157608</x:v>
      </x:c>
      <x:c r="I513" s="11" t="n">
        <x:f>IF($A513="","",AVERAGE($H513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920.8629984159069</x:v>
      </x:c>
      <x:c r="J513" s="12" t="n">
        <x:f>IF($A513="","",1+SUMIFS(Assumptions!$S$5:$S$10,Assumptions!$P$5:$P$10,$B513,Assumptions!$Q$5:$Q$10,"&lt;="&amp;$A513,Assumptions!$R$5:$R$10,"&gt;="&amp;$A513))</x:f>
        <x:v>1</x:v>
      </x:c>
      <x:c r="K513" s="12" t="n">
        <x:f>IF($A513="","",1+((($A513-Assumptions!$B$5)/30)*INDEX(Assumptions!$J$5:$J$12,MATCH($B513,Assumptions!$D$5:$D$12,0))))</x:f>
        <x:v>0.9966</x:v>
      </x:c>
      <x:c r="L513" t="str">
        <x:f>IF($A513="","",IFERROR(INDEX(Assumptions!$O$5:$O$10,MATCH(1,(Assumptions!$P$5:$P$10=$B513)*(Assumptions!$Q$5:$Q$10&lt;=$A513)*(Assumptions!$R$5:$R$10&gt;=$A513),0)),""))</x:f>
      </x:c>
      <x:c r="M513" t="n">
        <x:f>--($A513&lt;&gt;"")</x:f>
        <x:v>1</x:v>
      </x:c>
    </x:row>
    <x:row r="514">
      <x:c r="A514" s="10" t="n">
        <x:f>IF(Assumptions!$B$5+INT((ROW()-2)/Assumptions!$B$7)&gt;Assumptions!$B$6,"",Assumptions!$B$5+INT((ROW()-2)/Assumptions!$B$7))</x:f>
        <x:v>46125</x:v>
      </x:c>
      <x:c r="B514" t="str">
        <x:f>IF($A514="","",INDEX(Assumptions!$D$5:$D$12,MOD(ROW()-2,Assumptions!$B$7)+1))</x:f>
        <x:v>Nostromo Deep</x:v>
      </x:c>
      <x:c r="C514" s="11" t="n">
        <x:f>IF($A514="","",INDEX(Assumptions!$F$5:$F$12,MATCH($B514,Assumptions!$D$5:$D$12,0)))</x:f>
        <x:v>1260</x:v>
      </x:c>
      <x:c r="D514" s="11" t="n">
        <x:f>IF($A514="","",INDEX(Assumptions!$G$5:$G$12,MATCH($B514,Assumptions!$D$5:$D$12,0)))</x:f>
        <x:v>145</x:v>
      </x:c>
      <x:c r="E514" s="11" t="n">
        <x:f>IF($A514="","",INDEX(Assumptions!$M$5:$M$11,WEEKDAY($A514,2)))</x:f>
        <x:v>1.03</x:v>
      </x:c>
      <x:c r="F514" s="11" t="n">
        <x:f>IF($A514="","",Assumptions!$B$15)</x:f>
        <x:v>0.35</x:v>
      </x:c>
      <x:c r="G514" s="11" t="n">
        <x:f>IF($A514="","",MAX(INDEX(Assumptions!$H$5:$H$12,MATCH($B514,Assumptions!$D$5:$D$12,0)),MIN(INDEX(Assumptions!$I$5:$I$12,MATCH($B514,Assumptions!$D$5:$D$12,0)),($C514+$D514*SQRT(-2*LN(RAND()))*COS(2*PI()*RAND()))*$E514*$J514*$K514)))</x:f>
        <x:v>1270.931377163002</x:v>
      </x:c>
      <x:c r="H514" s="11" t="n">
        <x:f>IF($A514="","",$G514*$F514+$C514*(1-$F514))</x:f>
        <x:v>1263.8259820070507</x:v>
      </x:c>
      <x:c r="I514" s="11" t="n">
        <x:f>IF($A514="","",AVERAGE($H514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1249.5346884241287</x:v>
      </x:c>
      <x:c r="J514" s="12" t="n">
        <x:f>IF($A514="","",1+SUMIFS(Assumptions!$S$5:$S$10,Assumptions!$P$5:$P$10,$B514,Assumptions!$Q$5:$Q$10,"&lt;="&amp;$A514,Assumptions!$R$5:$R$10,"&gt;="&amp;$A514))</x:f>
        <x:v>1</x:v>
      </x:c>
      <x:c r="K514" s="12" t="n">
        <x:f>IF($A514="","",1+((($A514-Assumptions!$B$5)/30)*INDEX(Assumptions!$J$5:$J$12,MATCH($B514,Assumptions!$D$5:$D$12,0))))</x:f>
        <x:v>1.0102</x:v>
      </x:c>
      <x:c r="L514" t="str">
        <x:f>IF($A514="","",IFERROR(INDEX(Assumptions!$O$5:$O$10,MATCH(1,(Assumptions!$P$5:$P$10=$B514)*(Assumptions!$Q$5:$Q$10&lt;=$A514)*(Assumptions!$R$5:$R$10&gt;=$A514),0)),""))</x:f>
      </x:c>
      <x:c r="M514" t="n">
        <x:f>--($A514&lt;&gt;"")</x:f>
        <x:v>1</x:v>
      </x:c>
    </x:row>
    <x:row r="515">
      <x:c r="A515" s="10" t="n">
        <x:f>IF(Assumptions!$B$5+INT((ROW()-2)/Assumptions!$B$7)&gt;Assumptions!$B$6,"",Assumptions!$B$5+INT((ROW()-2)/Assumptions!$B$7))</x:f>
        <x:v>46125</x:v>
      </x:c>
      <x:c r="B515" t="str">
        <x:f>IF($A515="","",INDEX(Assumptions!$D$5:$D$12,MOD(ROW()-2,Assumptions!$B$7)+1))</x:f>
        <x:v>Hadley's Hope</x:v>
      </x:c>
      <x:c r="C515" s="11" t="n">
        <x:f>IF($A515="","",INDEX(Assumptions!$F$5:$F$12,MATCH($B515,Assumptions!$D$5:$D$12,0)))</x:f>
        <x:v>845</x:v>
      </x:c>
      <x:c r="D515" s="11" t="n">
        <x:f>IF($A515="","",INDEX(Assumptions!$G$5:$G$12,MATCH($B515,Assumptions!$D$5:$D$12,0)))</x:f>
        <x:v>80</x:v>
      </x:c>
      <x:c r="E515" s="11" t="n">
        <x:f>IF($A515="","",INDEX(Assumptions!$M$5:$M$11,WEEKDAY($A515,2)))</x:f>
        <x:v>1.03</x:v>
      </x:c>
      <x:c r="F515" s="11" t="n">
        <x:f>IF($A515="","",Assumptions!$B$15)</x:f>
        <x:v>0.35</x:v>
      </x:c>
      <x:c r="G515" s="11" t="n">
        <x:f>IF($A515="","",MAX(INDEX(Assumptions!$H$5:$H$12,MATCH($B515,Assumptions!$D$5:$D$12,0)),MIN(INDEX(Assumptions!$I$5:$I$12,MATCH($B515,Assumptions!$D$5:$D$12,0)),($C515+$D515*SQRT(-2*LN(RAND()))*COS(2*PI()*RAND()))*$E515*$J515*$K515)))</x:f>
        <x:v>804.5196250413194</x:v>
      </x:c>
      <x:c r="H515" s="11" t="n">
        <x:f>IF($A515="","",$G515*$F515+$C515*(1-$F515))</x:f>
        <x:v>830.8318687644618</x:v>
      </x:c>
      <x:c r="I515" s="11" t="n">
        <x:f>IF($A515="","",AVERAGE($H515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847.3558428036686</x:v>
      </x:c>
      <x:c r="J515" s="12" t="n">
        <x:f>IF($A515="","",1+SUMIFS(Assumptions!$S$5:$S$10,Assumptions!$P$5:$P$10,$B515,Assumptions!$Q$5:$Q$10,"&lt;="&amp;$A515,Assumptions!$R$5:$R$10,"&gt;="&amp;$A515))</x:f>
        <x:v>1</x:v>
      </x:c>
      <x:c r="K515" s="12" t="n">
        <x:f>IF($A515="","",1+((($A515-Assumptions!$B$5)/30)*INDEX(Assumptions!$J$5:$J$12,MATCH($B515,Assumptions!$D$5:$D$12,0))))</x:f>
        <x:v>1.0034</x:v>
      </x:c>
      <x:c r="L515" t="str">
        <x:f>IF($A515="","",IFERROR(INDEX(Assumptions!$O$5:$O$10,MATCH(1,(Assumptions!$P$5:$P$10=$B515)*(Assumptions!$Q$5:$Q$10&lt;=$A515)*(Assumptions!$R$5:$R$10&gt;=$A515),0)),""))</x:f>
      </x:c>
      <x:c r="M515" t="n">
        <x:f>--($A515&lt;&gt;"")</x:f>
        <x:v>1</x:v>
      </x:c>
    </x:row>
    <x:row r="516">
      <x:c r="A516" s="10" t="n">
        <x:f>IF(Assumptions!$B$5+INT((ROW()-2)/Assumptions!$B$7)&gt;Assumptions!$B$6,"",Assumptions!$B$5+INT((ROW()-2)/Assumptions!$B$7))</x:f>
        <x:v>46125</x:v>
      </x:c>
      <x:c r="B516" t="str">
        <x:f>IF($A516="","",INDEX(Assumptions!$D$5:$D$12,MOD(ROW()-2,Assumptions!$B$7)+1))</x:f>
        <x:v>Yutani Ridge</x:v>
      </x:c>
      <x:c r="C516" s="11" t="n">
        <x:f>IF($A516="","",INDEX(Assumptions!$F$5:$F$12,MATCH($B516,Assumptions!$D$5:$D$12,0)))</x:f>
        <x:v>1050</x:v>
      </x:c>
      <x:c r="D516" s="11" t="n">
        <x:f>IF($A516="","",INDEX(Assumptions!$G$5:$G$12,MATCH($B516,Assumptions!$D$5:$D$12,0)))</x:f>
        <x:v>125</x:v>
      </x:c>
      <x:c r="E516" s="11" t="n">
        <x:f>IF($A516="","",INDEX(Assumptions!$M$5:$M$11,WEEKDAY($A516,2)))</x:f>
        <x:v>1.03</x:v>
      </x:c>
      <x:c r="F516" s="11" t="n">
        <x:f>IF($A516="","",Assumptions!$B$15)</x:f>
        <x:v>0.35</x:v>
      </x:c>
      <x:c r="G516" s="11" t="n">
        <x:f>IF($A516="","",MAX(INDEX(Assumptions!$H$5:$H$12,MATCH($B516,Assumptions!$D$5:$D$12,0)),MIN(INDEX(Assumptions!$I$5:$I$12,MATCH($B516,Assumptions!$D$5:$D$12,0)),($C516+$D516*SQRT(-2*LN(RAND()))*COS(2*PI()*RAND()))*$E516*$J516*$K516)))</x:f>
        <x:v>1195.7954825101294</x:v>
      </x:c>
      <x:c r="H516" s="11" t="n">
        <x:f>IF($A516="","",$G516*$F516+$C516*(1-$F516))</x:f>
        <x:v>1101.0284188785454</x:v>
      </x:c>
      <x:c r="I516" s="11" t="n">
        <x:f>IF($A516="","",AVERAGE($H516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1037.4105815550954</x:v>
      </x:c>
      <x:c r="J516" s="12" t="n">
        <x:f>IF($A516="","",1+SUMIFS(Assumptions!$S$5:$S$10,Assumptions!$P$5:$P$10,$B516,Assumptions!$Q$5:$Q$10,"&lt;="&amp;$A516,Assumptions!$R$5:$R$10,"&gt;="&amp;$A516))</x:f>
        <x:v>1</x:v>
      </x:c>
      <x:c r="K516" s="12" t="n">
        <x:f>IF($A516="","",1+((($A516-Assumptions!$B$5)/30)*INDEX(Assumptions!$J$5:$J$12,MATCH($B516,Assumptions!$D$5:$D$12,0))))</x:f>
        <x:v>1.0085</x:v>
      </x:c>
      <x:c r="L516" t="str">
        <x:f>IF($A516="","",IFERROR(INDEX(Assumptions!$O$5:$O$10,MATCH(1,(Assumptions!$P$5:$P$10=$B516)*(Assumptions!$Q$5:$Q$10&lt;=$A516)*(Assumptions!$R$5:$R$10&gt;=$A516),0)),""))</x:f>
      </x:c>
      <x:c r="M516" t="n">
        <x:f>--($A516&lt;&gt;"")</x:f>
        <x:v>1</x:v>
      </x:c>
    </x:row>
    <x:row r="517">
      <x:c r="A517" s="10" t="n">
        <x:f>IF(Assumptions!$B$5+INT((ROW()-2)/Assumptions!$B$7)&gt;Assumptions!$B$6,"",Assumptions!$B$5+INT((ROW()-2)/Assumptions!$B$7))</x:f>
        <x:v>46126</x:v>
      </x:c>
      <x:c r="B517" t="str">
        <x:f>IF($A517="","",INDEX(Assumptions!$D$5:$D$12,MOD(ROW()-2,Assumptions!$B$7)+1))</x:f>
        <x:v>Acheron Prime</x:v>
      </x:c>
      <x:c r="C517" s="11" t="n">
        <x:f>IF($A517="","",INDEX(Assumptions!$F$5:$F$12,MATCH($B517,Assumptions!$D$5:$D$12,0)))</x:f>
        <x:v>1120</x:v>
      </x:c>
      <x:c r="D517" s="11" t="n">
        <x:f>IF($A517="","",INDEX(Assumptions!$G$5:$G$12,MATCH($B517,Assumptions!$D$5:$D$12,0)))</x:f>
        <x:v>115</x:v>
      </x:c>
      <x:c r="E517" s="11" t="n">
        <x:f>IF($A517="","",INDEX(Assumptions!$M$5:$M$11,WEEKDAY($A517,2)))</x:f>
        <x:v>1.02</x:v>
      </x:c>
      <x:c r="F517" s="11" t="n">
        <x:f>IF($A517="","",Assumptions!$B$15)</x:f>
        <x:v>0.35</x:v>
      </x:c>
      <x:c r="G517" s="11" t="n">
        <x:f>IF($A517="","",MAX(INDEX(Assumptions!$H$5:$H$12,MATCH($B517,Assumptions!$D$5:$D$12,0)),MIN(INDEX(Assumptions!$I$5:$I$12,MATCH($B517,Assumptions!$D$5:$D$12,0)),($C517+$D517*SQRT(-2*LN(RAND()))*COS(2*PI()*RAND()))*$E517*$J517*$K517)))</x:f>
        <x:v>1174.8734207808027</x:v>
      </x:c>
      <x:c r="H517" s="11" t="n">
        <x:f>IF($A517="","",$G517*$F517+$C517*(1-$F517))</x:f>
        <x:v>1139.205697273281</x:v>
      </x:c>
      <x:c r="I517" s="11" t="n">
        <x:f>IF($A517="","",AVERAGE($H517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1086.889835972394</x:v>
      </x:c>
      <x:c r="J517" s="12" t="n">
        <x:f>IF($A517="","",1+SUMIFS(Assumptions!$S$5:$S$10,Assumptions!$P$5:$P$10,$B517,Assumptions!$Q$5:$Q$10,"&lt;="&amp;$A517,Assumptions!$R$5:$R$10,"&gt;="&amp;$A517))</x:f>
        <x:v>1</x:v>
      </x:c>
      <x:c r="K517" s="12" t="n">
        <x:f>IF($A517="","",1+((($A517-Assumptions!$B$5)/30)*INDEX(Assumptions!$J$5:$J$12,MATCH($B517,Assumptions!$D$5:$D$12,0))))</x:f>
        <x:v>1.0068666666666666</x:v>
      </x:c>
      <x:c r="L517" t="str">
        <x:f>IF($A517="","",IFERROR(INDEX(Assumptions!$O$5:$O$10,MATCH(1,(Assumptions!$P$5:$P$10=$B517)*(Assumptions!$Q$5:$Q$10&lt;=$A517)*(Assumptions!$R$5:$R$10&gt;=$A517),0)),""))</x:f>
      </x:c>
      <x:c r="M517" t="n">
        <x:f>--($A517&lt;&gt;"")</x:f>
        <x:v>1</x:v>
      </x:c>
    </x:row>
    <x:row r="518">
      <x:c r="A518" s="10" t="n">
        <x:f>IF(Assumptions!$B$5+INT((ROW()-2)/Assumptions!$B$7)&gt;Assumptions!$B$6,"",Assumptions!$B$5+INT((ROW()-2)/Assumptions!$B$7))</x:f>
        <x:v>46126</x:v>
      </x:c>
      <x:c r="B518" t="str">
        <x:f>IF($A518="","",INDEX(Assumptions!$D$5:$D$12,MOD(ROW()-2,Assumptions!$B$7)+1))</x:f>
        <x:v>LV-426 North</x:v>
      </x:c>
      <x:c r="C518" s="11" t="n">
        <x:f>IF($A518="","",INDEX(Assumptions!$F$5:$F$12,MATCH($B518,Assumptions!$D$5:$D$12,0)))</x:f>
        <x:v>930</x:v>
      </x:c>
      <x:c r="D518" s="11" t="n">
        <x:f>IF($A518="","",INDEX(Assumptions!$G$5:$G$12,MATCH($B518,Assumptions!$D$5:$D$12,0)))</x:f>
        <x:v>95</x:v>
      </x:c>
      <x:c r="E518" s="11" t="n">
        <x:f>IF($A518="","",INDEX(Assumptions!$M$5:$M$11,WEEKDAY($A518,2)))</x:f>
        <x:v>1.02</x:v>
      </x:c>
      <x:c r="F518" s="11" t="n">
        <x:f>IF($A518="","",Assumptions!$B$15)</x:f>
        <x:v>0.35</x:v>
      </x:c>
      <x:c r="G518" s="11" t="n">
        <x:f>IF($A518="","",MAX(INDEX(Assumptions!$H$5:$H$12,MATCH($B518,Assumptions!$D$5:$D$12,0)),MIN(INDEX(Assumptions!$I$5:$I$12,MATCH($B518,Assumptions!$D$5:$D$12,0)),($C518+$D518*SQRT(-2*LN(RAND()))*COS(2*PI()*RAND()))*$E518*$J518*$K518)))</x:f>
        <x:v>924.2966187653315</x:v>
      </x:c>
      <x:c r="H518" s="11" t="n">
        <x:f>IF($A518="","",$G518*$F518+$C518*(1-$F518))</x:f>
        <x:v>928.003816567866</x:v>
      </x:c>
      <x:c r="I518" s="11" t="n">
        <x:f>IF($A518="","",AVERAGE($H518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919.1561627137429</x:v>
      </x:c>
      <x:c r="J518" s="12" t="n">
        <x:f>IF($A518="","",1+SUMIFS(Assumptions!$S$5:$S$10,Assumptions!$P$5:$P$10,$B518,Assumptions!$Q$5:$Q$10,"&lt;="&amp;$A518,Assumptions!$R$5:$R$10,"&gt;="&amp;$A518))</x:f>
        <x:v>1</x:v>
      </x:c>
      <x:c r="K518" s="12" t="n">
        <x:f>IF($A518="","",1+((($A518-Assumptions!$B$5)/30)*INDEX(Assumptions!$J$5:$J$12,MATCH($B518,Assumptions!$D$5:$D$12,0))))</x:f>
        <x:v>0.9965666666666667</x:v>
      </x:c>
      <x:c r="L518" t="str">
        <x:f>IF($A518="","",IFERROR(INDEX(Assumptions!$O$5:$O$10,MATCH(1,(Assumptions!$P$5:$P$10=$B518)*(Assumptions!$Q$5:$Q$10&lt;=$A518)*(Assumptions!$R$5:$R$10&gt;=$A518),0)),""))</x:f>
      </x:c>
      <x:c r="M518" t="n">
        <x:f>--($A518&lt;&gt;"")</x:f>
        <x:v>1</x:v>
      </x:c>
    </x:row>
    <x:row r="519">
      <x:c r="A519" s="10" t="n">
        <x:f>IF(Assumptions!$B$5+INT((ROW()-2)/Assumptions!$B$7)&gt;Assumptions!$B$6,"",Assumptions!$B$5+INT((ROW()-2)/Assumptions!$B$7))</x:f>
        <x:v>46126</x:v>
      </x:c>
      <x:c r="B519" t="str">
        <x:f>IF($A519="","",INDEX(Assumptions!$D$5:$D$12,MOD(ROW()-2,Assumptions!$B$7)+1))</x:f>
        <x:v>Nostromo Deep</x:v>
      </x:c>
      <x:c r="C519" s="11" t="n">
        <x:f>IF($A519="","",INDEX(Assumptions!$F$5:$F$12,MATCH($B519,Assumptions!$D$5:$D$12,0)))</x:f>
        <x:v>1260</x:v>
      </x:c>
      <x:c r="D519" s="11" t="n">
        <x:f>IF($A519="","",INDEX(Assumptions!$G$5:$G$12,MATCH($B519,Assumptions!$D$5:$D$12,0)))</x:f>
        <x:v>145</x:v>
      </x:c>
      <x:c r="E519" s="11" t="n">
        <x:f>IF($A519="","",INDEX(Assumptions!$M$5:$M$11,WEEKDAY($A519,2)))</x:f>
        <x:v>1.02</x:v>
      </x:c>
      <x:c r="F519" s="11" t="n">
        <x:f>IF($A519="","",Assumptions!$B$15)</x:f>
        <x:v>0.35</x:v>
      </x:c>
      <x:c r="G519" s="11" t="n">
        <x:f>IF($A519="","",MAX(INDEX(Assumptions!$H$5:$H$12,MATCH($B519,Assumptions!$D$5:$D$12,0)),MIN(INDEX(Assumptions!$I$5:$I$12,MATCH($B519,Assumptions!$D$5:$D$12,0)),($C519+$D519*SQRT(-2*LN(RAND()))*COS(2*PI()*RAND()))*$E519*$J519*$K519)))</x:f>
        <x:v>1194.031702459072</x:v>
      </x:c>
      <x:c r="H519" s="11" t="n">
        <x:f>IF($A519="","",$G519*$F519+$C519*(1-$F519))</x:f>
        <x:v>1236.9110958606752</x:v>
      </x:c>
      <x:c r="I519" s="11" t="n">
        <x:f>IF($A519="","",AVERAGE($H519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1235.541113625644</x:v>
      </x:c>
      <x:c r="J519" s="12" t="n">
        <x:f>IF($A519="","",1+SUMIFS(Assumptions!$S$5:$S$10,Assumptions!$P$5:$P$10,$B519,Assumptions!$Q$5:$Q$10,"&lt;="&amp;$A519,Assumptions!$R$5:$R$10,"&gt;="&amp;$A519))</x:f>
        <x:v>1</x:v>
      </x:c>
      <x:c r="K519" s="12" t="n">
        <x:f>IF($A519="","",1+((($A519-Assumptions!$B$5)/30)*INDEX(Assumptions!$J$5:$J$12,MATCH($B519,Assumptions!$D$5:$D$12,0))))</x:f>
        <x:v>1.0103</x:v>
      </x:c>
      <x:c r="L519" t="str">
        <x:f>IF($A519="","",IFERROR(INDEX(Assumptions!$O$5:$O$10,MATCH(1,(Assumptions!$P$5:$P$10=$B519)*(Assumptions!$Q$5:$Q$10&lt;=$A519)*(Assumptions!$R$5:$R$10&gt;=$A519),0)),""))</x:f>
      </x:c>
      <x:c r="M519" t="n">
        <x:f>--($A519&lt;&gt;"")</x:f>
        <x:v>1</x:v>
      </x:c>
    </x:row>
    <x:row r="520">
      <x:c r="A520" s="10" t="n">
        <x:f>IF(Assumptions!$B$5+INT((ROW()-2)/Assumptions!$B$7)&gt;Assumptions!$B$6,"",Assumptions!$B$5+INT((ROW()-2)/Assumptions!$B$7))</x:f>
        <x:v>46126</x:v>
      </x:c>
      <x:c r="B520" t="str">
        <x:f>IF($A520="","",INDEX(Assumptions!$D$5:$D$12,MOD(ROW()-2,Assumptions!$B$7)+1))</x:f>
        <x:v>Hadley's Hope</x:v>
      </x:c>
      <x:c r="C520" s="11" t="n">
        <x:f>IF($A520="","",INDEX(Assumptions!$F$5:$F$12,MATCH($B520,Assumptions!$D$5:$D$12,0)))</x:f>
        <x:v>845</x:v>
      </x:c>
      <x:c r="D520" s="11" t="n">
        <x:f>IF($A520="","",INDEX(Assumptions!$G$5:$G$12,MATCH($B520,Assumptions!$D$5:$D$12,0)))</x:f>
        <x:v>80</x:v>
      </x:c>
      <x:c r="E520" s="11" t="n">
        <x:f>IF($A520="","",INDEX(Assumptions!$M$5:$M$11,WEEKDAY($A520,2)))</x:f>
        <x:v>1.02</x:v>
      </x:c>
      <x:c r="F520" s="11" t="n">
        <x:f>IF($A520="","",Assumptions!$B$15)</x:f>
        <x:v>0.35</x:v>
      </x:c>
      <x:c r="G520" s="11" t="n">
        <x:f>IF($A520="","",MAX(INDEX(Assumptions!$H$5:$H$12,MATCH($B520,Assumptions!$D$5:$D$12,0)),MIN(INDEX(Assumptions!$I$5:$I$12,MATCH($B520,Assumptions!$D$5:$D$12,0)),($C520+$D520*SQRT(-2*LN(RAND()))*COS(2*PI()*RAND()))*$E520*$J520*$K520)))</x:f>
        <x:v>835.7193513375337</x:v>
      </x:c>
      <x:c r="H520" s="11" t="n">
        <x:f>IF($A520="","",$G520*$F520+$C520*(1-$F520))</x:f>
        <x:v>841.7517729681367</x:v>
      </x:c>
      <x:c r="I520" s="11" t="n">
        <x:f>IF($A520="","",AVERAGE($H520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841.7141154373476</x:v>
      </x:c>
      <x:c r="J520" s="12" t="n">
        <x:f>IF($A520="","",1+SUMIFS(Assumptions!$S$5:$S$10,Assumptions!$P$5:$P$10,$B520,Assumptions!$Q$5:$Q$10,"&lt;="&amp;$A520,Assumptions!$R$5:$R$10,"&gt;="&amp;$A520))</x:f>
        <x:v>1</x:v>
      </x:c>
      <x:c r="K520" s="12" t="n">
        <x:f>IF($A520="","",1+((($A520-Assumptions!$B$5)/30)*INDEX(Assumptions!$J$5:$J$12,MATCH($B520,Assumptions!$D$5:$D$12,0))))</x:f>
        <x:v>1.0034333333333334</x:v>
      </x:c>
      <x:c r="L520" t="str">
        <x:f>IF($A520="","",IFERROR(INDEX(Assumptions!$O$5:$O$10,MATCH(1,(Assumptions!$P$5:$P$10=$B520)*(Assumptions!$Q$5:$Q$10&lt;=$A520)*(Assumptions!$R$5:$R$10&gt;=$A520),0)),""))</x:f>
      </x:c>
      <x:c r="M520" t="n">
        <x:f>--($A520&lt;&gt;"")</x:f>
        <x:v>1</x:v>
      </x:c>
    </x:row>
    <x:row r="521">
      <x:c r="A521" s="10" t="n">
        <x:f>IF(Assumptions!$B$5+INT((ROW()-2)/Assumptions!$B$7)&gt;Assumptions!$B$6,"",Assumptions!$B$5+INT((ROW()-2)/Assumptions!$B$7))</x:f>
        <x:v>46126</x:v>
      </x:c>
      <x:c r="B521" t="str">
        <x:f>IF($A521="","",INDEX(Assumptions!$D$5:$D$12,MOD(ROW()-2,Assumptions!$B$7)+1))</x:f>
        <x:v>Yutani Ridge</x:v>
      </x:c>
      <x:c r="C521" s="11" t="n">
        <x:f>IF($A521="","",INDEX(Assumptions!$F$5:$F$12,MATCH($B521,Assumptions!$D$5:$D$12,0)))</x:f>
        <x:v>1050</x:v>
      </x:c>
      <x:c r="D521" s="11" t="n">
        <x:f>IF($A521="","",INDEX(Assumptions!$G$5:$G$12,MATCH($B521,Assumptions!$D$5:$D$12,0)))</x:f>
        <x:v>125</x:v>
      </x:c>
      <x:c r="E521" s="11" t="n">
        <x:f>IF($A521="","",INDEX(Assumptions!$M$5:$M$11,WEEKDAY($A521,2)))</x:f>
        <x:v>1.02</x:v>
      </x:c>
      <x:c r="F521" s="11" t="n">
        <x:f>IF($A521="","",Assumptions!$B$15)</x:f>
        <x:v>0.35</x:v>
      </x:c>
      <x:c r="G521" s="11" t="n">
        <x:f>IF($A521="","",MAX(INDEX(Assumptions!$H$5:$H$12,MATCH($B521,Assumptions!$D$5:$D$12,0)),MIN(INDEX(Assumptions!$I$5:$I$12,MATCH($B521,Assumptions!$D$5:$D$12,0)),($C521+$D521*SQRT(-2*LN(RAND()))*COS(2*PI()*RAND()))*$E521*$J521*$K521)))</x:f>
        <x:v>1176.2859365513966</x:v>
      </x:c>
      <x:c r="H521" s="11" t="n">
        <x:f>IF($A521="","",$G521*$F521+$C521*(1-$F521))</x:f>
        <x:v>1094.2000777929888</x:v>
      </x:c>
      <x:c r="I521" s="11" t="n">
        <x:f>IF($A521="","",AVERAGE($H521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1045.049079707213</x:v>
      </x:c>
      <x:c r="J521" s="12" t="n">
        <x:f>IF($A521="","",1+SUMIFS(Assumptions!$S$5:$S$10,Assumptions!$P$5:$P$10,$B521,Assumptions!$Q$5:$Q$10,"&lt;="&amp;$A521,Assumptions!$R$5:$R$10,"&gt;="&amp;$A521))</x:f>
        <x:v>1</x:v>
      </x:c>
      <x:c r="K521" s="12" t="n">
        <x:f>IF($A521="","",1+((($A521-Assumptions!$B$5)/30)*INDEX(Assumptions!$J$5:$J$12,MATCH($B521,Assumptions!$D$5:$D$12,0))))</x:f>
        <x:v>1.0085833333333334</x:v>
      </x:c>
      <x:c r="L521" t="str">
        <x:f>IF($A521="","",IFERROR(INDEX(Assumptions!$O$5:$O$10,MATCH(1,(Assumptions!$P$5:$P$10=$B521)*(Assumptions!$Q$5:$Q$10&lt;=$A521)*(Assumptions!$R$5:$R$10&gt;=$A521),0)),""))</x:f>
      </x:c>
      <x:c r="M521" t="n">
        <x:f>--($A521&lt;&gt;"")</x:f>
        <x:v>1</x:v>
      </x:c>
    </x:row>
    <x:row r="522">
      <x:c r="A522" s="10" t="n">
        <x:f>IF(Assumptions!$B$5+INT((ROW()-2)/Assumptions!$B$7)&gt;Assumptions!$B$6,"",Assumptions!$B$5+INT((ROW()-2)/Assumptions!$B$7))</x:f>
        <x:v>46127</x:v>
      </x:c>
      <x:c r="B522" t="str">
        <x:f>IF($A522="","",INDEX(Assumptions!$D$5:$D$12,MOD(ROW()-2,Assumptions!$B$7)+1))</x:f>
        <x:v>Acheron Prime</x:v>
      </x:c>
      <x:c r="C522" s="11" t="n">
        <x:f>IF($A522="","",INDEX(Assumptions!$F$5:$F$12,MATCH($B522,Assumptions!$D$5:$D$12,0)))</x:f>
        <x:v>1120</x:v>
      </x:c>
      <x:c r="D522" s="11" t="n">
        <x:f>IF($A522="","",INDEX(Assumptions!$G$5:$G$12,MATCH($B522,Assumptions!$D$5:$D$12,0)))</x:f>
        <x:v>115</x:v>
      </x:c>
      <x:c r="E522" s="11" t="n">
        <x:f>IF($A522="","",INDEX(Assumptions!$M$5:$M$11,WEEKDAY($A522,2)))</x:f>
        <x:v>1.01</x:v>
      </x:c>
      <x:c r="F522" s="11" t="n">
        <x:f>IF($A522="","",Assumptions!$B$15)</x:f>
        <x:v>0.35</x:v>
      </x:c>
      <x:c r="G522" s="11" t="n">
        <x:f>IF($A522="","",MAX(INDEX(Assumptions!$H$5:$H$12,MATCH($B522,Assumptions!$D$5:$D$12,0)),MIN(INDEX(Assumptions!$I$5:$I$12,MATCH($B522,Assumptions!$D$5:$D$12,0)),($C522+$D522*SQRT(-2*LN(RAND()))*COS(2*PI()*RAND()))*$E522*$J522*$K522)))</x:f>
        <x:v>861.7350907175114</x:v>
      </x:c>
      <x:c r="H522" s="11" t="n">
        <x:f>IF($A522="","",$G522*$F522+$C522*(1-$F522))</x:f>
        <x:v>1029.607281751129</x:v>
      </x:c>
      <x:c r="I522" s="11" t="n">
        <x:f>IF($A522="","",AVERAGE($H522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1085.8138080579502</x:v>
      </x:c>
      <x:c r="J522" s="12" t="n">
        <x:f>IF($A522="","",1+SUMIFS(Assumptions!$S$5:$S$10,Assumptions!$P$5:$P$10,$B522,Assumptions!$Q$5:$Q$10,"&lt;="&amp;$A522,Assumptions!$R$5:$R$10,"&gt;="&amp;$A522))</x:f>
        <x:v>1</x:v>
      </x:c>
      <x:c r="K522" s="12" t="n">
        <x:f>IF($A522="","",1+((($A522-Assumptions!$B$5)/30)*INDEX(Assumptions!$J$5:$J$12,MATCH($B522,Assumptions!$D$5:$D$12,0))))</x:f>
        <x:v>1.0069333333333332</x:v>
      </x:c>
      <x:c r="L522" t="str">
        <x:f>IF($A522="","",IFERROR(INDEX(Assumptions!$O$5:$O$10,MATCH(1,(Assumptions!$P$5:$P$10=$B522)*(Assumptions!$Q$5:$Q$10&lt;=$A522)*(Assumptions!$R$5:$R$10&gt;=$A522),0)),""))</x:f>
      </x:c>
      <x:c r="M522" t="n">
        <x:f>--($A522&lt;&gt;"")</x:f>
        <x:v>1</x:v>
      </x:c>
    </x:row>
    <x:row r="523">
      <x:c r="A523" s="10" t="n">
        <x:f>IF(Assumptions!$B$5+INT((ROW()-2)/Assumptions!$B$7)&gt;Assumptions!$B$6,"",Assumptions!$B$5+INT((ROW()-2)/Assumptions!$B$7))</x:f>
        <x:v>46127</x:v>
      </x:c>
      <x:c r="B523" t="str">
        <x:f>IF($A523="","",INDEX(Assumptions!$D$5:$D$12,MOD(ROW()-2,Assumptions!$B$7)+1))</x:f>
        <x:v>LV-426 North</x:v>
      </x:c>
      <x:c r="C523" s="11" t="n">
        <x:f>IF($A523="","",INDEX(Assumptions!$F$5:$F$12,MATCH($B523,Assumptions!$D$5:$D$12,0)))</x:f>
        <x:v>930</x:v>
      </x:c>
      <x:c r="D523" s="11" t="n">
        <x:f>IF($A523="","",INDEX(Assumptions!$G$5:$G$12,MATCH($B523,Assumptions!$D$5:$D$12,0)))</x:f>
        <x:v>95</x:v>
      </x:c>
      <x:c r="E523" s="11" t="n">
        <x:f>IF($A523="","",INDEX(Assumptions!$M$5:$M$11,WEEKDAY($A523,2)))</x:f>
        <x:v>1.01</x:v>
      </x:c>
      <x:c r="F523" s="11" t="n">
        <x:f>IF($A523="","",Assumptions!$B$15)</x:f>
        <x:v>0.35</x:v>
      </x:c>
      <x:c r="G523" s="11" t="n">
        <x:f>IF($A523="","",MAX(INDEX(Assumptions!$H$5:$H$12,MATCH($B523,Assumptions!$D$5:$D$12,0)),MIN(INDEX(Assumptions!$I$5:$I$12,MATCH($B523,Assumptions!$D$5:$D$12,0)),($C523+$D523*SQRT(-2*LN(RAND()))*COS(2*PI()*RAND()))*$E523*$J523*$K523)))</x:f>
        <x:v>1057.1872838477018</x:v>
      </x:c>
      <x:c r="H523" s="11" t="n">
        <x:f>IF($A523="","",$G523*$F523+$C523*(1-$F523))</x:f>
        <x:v>974.5155493466956</x:v>
      </x:c>
      <x:c r="I523" s="11" t="n">
        <x:f>IF($A523="","",AVERAGE($H523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924.3570993883268</x:v>
      </x:c>
      <x:c r="J523" s="12" t="n">
        <x:f>IF($A523="","",1+SUMIFS(Assumptions!$S$5:$S$10,Assumptions!$P$5:$P$10,$B523,Assumptions!$Q$5:$Q$10,"&lt;="&amp;$A523,Assumptions!$R$5:$R$10,"&gt;="&amp;$A523))</x:f>
        <x:v>1</x:v>
      </x:c>
      <x:c r="K523" s="12" t="n">
        <x:f>IF($A523="","",1+((($A523-Assumptions!$B$5)/30)*INDEX(Assumptions!$J$5:$J$12,MATCH($B523,Assumptions!$D$5:$D$12,0))))</x:f>
        <x:v>0.9965333333333334</x:v>
      </x:c>
      <x:c r="L523" t="str">
        <x:f>IF($A523="","",IFERROR(INDEX(Assumptions!$O$5:$O$10,MATCH(1,(Assumptions!$P$5:$P$10=$B523)*(Assumptions!$Q$5:$Q$10&lt;=$A523)*(Assumptions!$R$5:$R$10&gt;=$A523),0)),""))</x:f>
      </x:c>
      <x:c r="M523" t="n">
        <x:f>--($A523&lt;&gt;"")</x:f>
        <x:v>1</x:v>
      </x:c>
    </x:row>
    <x:row r="524">
      <x:c r="A524" s="10" t="n">
        <x:f>IF(Assumptions!$B$5+INT((ROW()-2)/Assumptions!$B$7)&gt;Assumptions!$B$6,"",Assumptions!$B$5+INT((ROW()-2)/Assumptions!$B$7))</x:f>
        <x:v>46127</x:v>
      </x:c>
      <x:c r="B524" t="str">
        <x:f>IF($A524="","",INDEX(Assumptions!$D$5:$D$12,MOD(ROW()-2,Assumptions!$B$7)+1))</x:f>
        <x:v>Nostromo Deep</x:v>
      </x:c>
      <x:c r="C524" s="11" t="n">
        <x:f>IF($A524="","",INDEX(Assumptions!$F$5:$F$12,MATCH($B524,Assumptions!$D$5:$D$12,0)))</x:f>
        <x:v>1260</x:v>
      </x:c>
      <x:c r="D524" s="11" t="n">
        <x:f>IF($A524="","",INDEX(Assumptions!$G$5:$G$12,MATCH($B524,Assumptions!$D$5:$D$12,0)))</x:f>
        <x:v>145</x:v>
      </x:c>
      <x:c r="E524" s="11" t="n">
        <x:f>IF($A524="","",INDEX(Assumptions!$M$5:$M$11,WEEKDAY($A524,2)))</x:f>
        <x:v>1.01</x:v>
      </x:c>
      <x:c r="F524" s="11" t="n">
        <x:f>IF($A524="","",Assumptions!$B$15)</x:f>
        <x:v>0.35</x:v>
      </x:c>
      <x:c r="G524" s="11" t="n">
        <x:f>IF($A524="","",MAX(INDEX(Assumptions!$H$5:$H$12,MATCH($B524,Assumptions!$D$5:$D$12,0)),MIN(INDEX(Assumptions!$I$5:$I$12,MATCH($B524,Assumptions!$D$5:$D$12,0)),($C524+$D524*SQRT(-2*LN(RAND()))*COS(2*PI()*RAND()))*$E524*$J524*$K524)))</x:f>
        <x:v>1163.2695475382134</x:v>
      </x:c>
      <x:c r="H524" s="11" t="n">
        <x:f>IF($A524="","",$G524*$F524+$C524*(1-$F524))</x:f>
        <x:v>1226.1443416383747</x:v>
      </x:c>
      <x:c r="I524" s="11" t="n">
        <x:f>IF($A524="","",AVERAGE($H524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1223.6607920207573</x:v>
      </x:c>
      <x:c r="J524" s="12" t="n">
        <x:f>IF($A524="","",1+SUMIFS(Assumptions!$S$5:$S$10,Assumptions!$P$5:$P$10,$B524,Assumptions!$Q$5:$Q$10,"&lt;="&amp;$A524,Assumptions!$R$5:$R$10,"&gt;="&amp;$A524))</x:f>
        <x:v>1</x:v>
      </x:c>
      <x:c r="K524" s="12" t="n">
        <x:f>IF($A524="","",1+((($A524-Assumptions!$B$5)/30)*INDEX(Assumptions!$J$5:$J$12,MATCH($B524,Assumptions!$D$5:$D$12,0))))</x:f>
        <x:v>1.0104</x:v>
      </x:c>
      <x:c r="L524" t="str">
        <x:f>IF($A524="","",IFERROR(INDEX(Assumptions!$O$5:$O$10,MATCH(1,(Assumptions!$P$5:$P$10=$B524)*(Assumptions!$Q$5:$Q$10&lt;=$A524)*(Assumptions!$R$5:$R$10&gt;=$A524),0)),""))</x:f>
      </x:c>
      <x:c r="M524" t="n">
        <x:f>--($A524&lt;&gt;"")</x:f>
        <x:v>1</x:v>
      </x:c>
    </x:row>
    <x:row r="525">
      <x:c r="A525" s="10" t="n">
        <x:f>IF(Assumptions!$B$5+INT((ROW()-2)/Assumptions!$B$7)&gt;Assumptions!$B$6,"",Assumptions!$B$5+INT((ROW()-2)/Assumptions!$B$7))</x:f>
        <x:v>46127</x:v>
      </x:c>
      <x:c r="B525" t="str">
        <x:f>IF($A525="","",INDEX(Assumptions!$D$5:$D$12,MOD(ROW()-2,Assumptions!$B$7)+1))</x:f>
        <x:v>Hadley's Hope</x:v>
      </x:c>
      <x:c r="C525" s="11" t="n">
        <x:f>IF($A525="","",INDEX(Assumptions!$F$5:$F$12,MATCH($B525,Assumptions!$D$5:$D$12,0)))</x:f>
        <x:v>845</x:v>
      </x:c>
      <x:c r="D525" s="11" t="n">
        <x:f>IF($A525="","",INDEX(Assumptions!$G$5:$G$12,MATCH($B525,Assumptions!$D$5:$D$12,0)))</x:f>
        <x:v>80</x:v>
      </x:c>
      <x:c r="E525" s="11" t="n">
        <x:f>IF($A525="","",INDEX(Assumptions!$M$5:$M$11,WEEKDAY($A525,2)))</x:f>
        <x:v>1.01</x:v>
      </x:c>
      <x:c r="F525" s="11" t="n">
        <x:f>IF($A525="","",Assumptions!$B$15)</x:f>
        <x:v>0.35</x:v>
      </x:c>
      <x:c r="G525" s="11" t="n">
        <x:f>IF($A525="","",MAX(INDEX(Assumptions!$H$5:$H$12,MATCH($B525,Assumptions!$D$5:$D$12,0)),MIN(INDEX(Assumptions!$I$5:$I$12,MATCH($B525,Assumptions!$D$5:$D$12,0)),($C525+$D525*SQRT(-2*LN(RAND()))*COS(2*PI()*RAND()))*$E525*$J525*$K525)))</x:f>
        <x:v>904.8307385589084</x:v>
      </x:c>
      <x:c r="H525" s="11" t="n">
        <x:f>IF($A525="","",$G525*$F525+$C525*(1-$F525))</x:f>
        <x:v>865.940758495618</x:v>
      </x:c>
      <x:c r="I525" s="11" t="n">
        <x:f>IF($A525="","",AVERAGE($H525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840.839118156586</x:v>
      </x:c>
      <x:c r="J525" s="12" t="n">
        <x:f>IF($A525="","",1+SUMIFS(Assumptions!$S$5:$S$10,Assumptions!$P$5:$P$10,$B525,Assumptions!$Q$5:$Q$10,"&lt;="&amp;$A525,Assumptions!$R$5:$R$10,"&gt;="&amp;$A525))</x:f>
        <x:v>1</x:v>
      </x:c>
      <x:c r="K525" s="12" t="n">
        <x:f>IF($A525="","",1+((($A525-Assumptions!$B$5)/30)*INDEX(Assumptions!$J$5:$J$12,MATCH($B525,Assumptions!$D$5:$D$12,0))))</x:f>
        <x:v>1.0034666666666667</x:v>
      </x:c>
      <x:c r="L525" t="str">
        <x:f>IF($A525="","",IFERROR(INDEX(Assumptions!$O$5:$O$10,MATCH(1,(Assumptions!$P$5:$P$10=$B525)*(Assumptions!$Q$5:$Q$10&lt;=$A525)*(Assumptions!$R$5:$R$10&gt;=$A525),0)),""))</x:f>
      </x:c>
      <x:c r="M525" t="n">
        <x:f>--($A525&lt;&gt;"")</x:f>
        <x:v>1</x:v>
      </x:c>
    </x:row>
    <x:row r="526">
      <x:c r="A526" s="10" t="n">
        <x:f>IF(Assumptions!$B$5+INT((ROW()-2)/Assumptions!$B$7)&gt;Assumptions!$B$6,"",Assumptions!$B$5+INT((ROW()-2)/Assumptions!$B$7))</x:f>
        <x:v>46127</x:v>
      </x:c>
      <x:c r="B526" t="str">
        <x:f>IF($A526="","",INDEX(Assumptions!$D$5:$D$12,MOD(ROW()-2,Assumptions!$B$7)+1))</x:f>
        <x:v>Yutani Ridge</x:v>
      </x:c>
      <x:c r="C526" s="11" t="n">
        <x:f>IF($A526="","",INDEX(Assumptions!$F$5:$F$12,MATCH($B526,Assumptions!$D$5:$D$12,0)))</x:f>
        <x:v>1050</x:v>
      </x:c>
      <x:c r="D526" s="11" t="n">
        <x:f>IF($A526="","",INDEX(Assumptions!$G$5:$G$12,MATCH($B526,Assumptions!$D$5:$D$12,0)))</x:f>
        <x:v>125</x:v>
      </x:c>
      <x:c r="E526" s="11" t="n">
        <x:f>IF($A526="","",INDEX(Assumptions!$M$5:$M$11,WEEKDAY($A526,2)))</x:f>
        <x:v>1.01</x:v>
      </x:c>
      <x:c r="F526" s="11" t="n">
        <x:f>IF($A526="","",Assumptions!$B$15)</x:f>
        <x:v>0.35</x:v>
      </x:c>
      <x:c r="G526" s="11" t="n">
        <x:f>IF($A526="","",MAX(INDEX(Assumptions!$H$5:$H$12,MATCH($B526,Assumptions!$D$5:$D$12,0)),MIN(INDEX(Assumptions!$I$5:$I$12,MATCH($B526,Assumptions!$D$5:$D$12,0)),($C526+$D526*SQRT(-2*LN(RAND()))*COS(2*PI()*RAND()))*$E526*$J526*$K526)))</x:f>
        <x:v>1258.8025712933052</x:v>
      </x:c>
      <x:c r="H526" s="11" t="n">
        <x:f>IF($A526="","",$G526*$F526+$C526*(1-$F526))</x:f>
        <x:v>1123.0808999526569</x:v>
      </x:c>
      <x:c r="I526" s="11" t="n">
        <x:f>IF($A526="","",AVERAGE($H526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1060.1336217529195</x:v>
      </x:c>
      <x:c r="J526" s="12" t="n">
        <x:f>IF($A526="","",1+SUMIFS(Assumptions!$S$5:$S$10,Assumptions!$P$5:$P$10,$B526,Assumptions!$Q$5:$Q$10,"&lt;="&amp;$A526,Assumptions!$R$5:$R$10,"&gt;="&amp;$A526))</x:f>
        <x:v>1</x:v>
      </x:c>
      <x:c r="K526" s="12" t="n">
        <x:f>IF($A526="","",1+((($A526-Assumptions!$B$5)/30)*INDEX(Assumptions!$J$5:$J$12,MATCH($B526,Assumptions!$D$5:$D$12,0))))</x:f>
        <x:v>1.0086666666666666</x:v>
      </x:c>
      <x:c r="L526" t="str">
        <x:f>IF($A526="","",IFERROR(INDEX(Assumptions!$O$5:$O$10,MATCH(1,(Assumptions!$P$5:$P$10=$B526)*(Assumptions!$Q$5:$Q$10&lt;=$A526)*(Assumptions!$R$5:$R$10&gt;=$A526),0)),""))</x:f>
      </x:c>
      <x:c r="M526" t="n">
        <x:f>--($A526&lt;&gt;"")</x:f>
        <x:v>1</x:v>
      </x:c>
    </x:row>
    <x:row r="527">
      <x:c r="A527" s="10" t="n">
        <x:f>IF(Assumptions!$B$5+INT((ROW()-2)/Assumptions!$B$7)&gt;Assumptions!$B$6,"",Assumptions!$B$5+INT((ROW()-2)/Assumptions!$B$7))</x:f>
        <x:v>46128</x:v>
      </x:c>
      <x:c r="B527" t="str">
        <x:f>IF($A527="","",INDEX(Assumptions!$D$5:$D$12,MOD(ROW()-2,Assumptions!$B$7)+1))</x:f>
        <x:v>Acheron Prime</x:v>
      </x:c>
      <x:c r="C527" s="11" t="n">
        <x:f>IF($A527="","",INDEX(Assumptions!$F$5:$F$12,MATCH($B527,Assumptions!$D$5:$D$12,0)))</x:f>
        <x:v>1120</x:v>
      </x:c>
      <x:c r="D527" s="11" t="n">
        <x:f>IF($A527="","",INDEX(Assumptions!$G$5:$G$12,MATCH($B527,Assumptions!$D$5:$D$12,0)))</x:f>
        <x:v>115</x:v>
      </x:c>
      <x:c r="E527" s="11" t="n">
        <x:f>IF($A527="","",INDEX(Assumptions!$M$5:$M$11,WEEKDAY($A527,2)))</x:f>
        <x:v>1</x:v>
      </x:c>
      <x:c r="F527" s="11" t="n">
        <x:f>IF($A527="","",Assumptions!$B$15)</x:f>
        <x:v>0.35</x:v>
      </x:c>
      <x:c r="G527" s="11" t="n">
        <x:f>IF($A527="","",MAX(INDEX(Assumptions!$H$5:$H$12,MATCH($B527,Assumptions!$D$5:$D$12,0)),MIN(INDEX(Assumptions!$I$5:$I$12,MATCH($B527,Assumptions!$D$5:$D$12,0)),($C527+$D527*SQRT(-2*LN(RAND()))*COS(2*PI()*RAND()))*$E527*$J527*$K527)))</x:f>
        <x:v>1433.4828090756437</x:v>
      </x:c>
      <x:c r="H527" s="11" t="n">
        <x:f>IF($A527="","",$G527*$F527+$C527*(1-$F527))</x:f>
        <x:v>1229.7189831764754</x:v>
      </x:c>
      <x:c r="I527" s="11" t="n">
        <x:f>IF($A527="","",AVERAGE($H527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1110.569525998387</x:v>
      </x:c>
      <x:c r="J527" s="12" t="n">
        <x:f>IF($A527="","",1+SUMIFS(Assumptions!$S$5:$S$10,Assumptions!$P$5:$P$10,$B527,Assumptions!$Q$5:$Q$10,"&lt;="&amp;$A527,Assumptions!$R$5:$R$10,"&gt;="&amp;$A527))</x:f>
        <x:v>1</x:v>
      </x:c>
      <x:c r="K527" s="12" t="n">
        <x:f>IF($A527="","",1+((($A527-Assumptions!$B$5)/30)*INDEX(Assumptions!$J$5:$J$12,MATCH($B527,Assumptions!$D$5:$D$12,0))))</x:f>
        <x:v>1.007</x:v>
      </x:c>
      <x:c r="L527" t="str">
        <x:f>IF($A527="","",IFERROR(INDEX(Assumptions!$O$5:$O$10,MATCH(1,(Assumptions!$P$5:$P$10=$B527)*(Assumptions!$Q$5:$Q$10&lt;=$A527)*(Assumptions!$R$5:$R$10&gt;=$A527),0)),""))</x:f>
      </x:c>
      <x:c r="M527" t="n">
        <x:f>--($A527&lt;&gt;"")</x:f>
        <x:v>1</x:v>
      </x:c>
    </x:row>
    <x:row r="528">
      <x:c r="A528" s="10" t="n">
        <x:f>IF(Assumptions!$B$5+INT((ROW()-2)/Assumptions!$B$7)&gt;Assumptions!$B$6,"",Assumptions!$B$5+INT((ROW()-2)/Assumptions!$B$7))</x:f>
        <x:v>46128</x:v>
      </x:c>
      <x:c r="B528" t="str">
        <x:f>IF($A528="","",INDEX(Assumptions!$D$5:$D$12,MOD(ROW()-2,Assumptions!$B$7)+1))</x:f>
        <x:v>LV-426 North</x:v>
      </x:c>
      <x:c r="C528" s="11" t="n">
        <x:f>IF($A528="","",INDEX(Assumptions!$F$5:$F$12,MATCH($B528,Assumptions!$D$5:$D$12,0)))</x:f>
        <x:v>930</x:v>
      </x:c>
      <x:c r="D528" s="11" t="n">
        <x:f>IF($A528="","",INDEX(Assumptions!$G$5:$G$12,MATCH($B528,Assumptions!$D$5:$D$12,0)))</x:f>
        <x:v>95</x:v>
      </x:c>
      <x:c r="E528" s="11" t="n">
        <x:f>IF($A528="","",INDEX(Assumptions!$M$5:$M$11,WEEKDAY($A528,2)))</x:f>
        <x:v>1</x:v>
      </x:c>
      <x:c r="F528" s="11" t="n">
        <x:f>IF($A528="","",Assumptions!$B$15)</x:f>
        <x:v>0.35</x:v>
      </x:c>
      <x:c r="G528" s="11" t="n">
        <x:f>IF($A528="","",MAX(INDEX(Assumptions!$H$5:$H$12,MATCH($B528,Assumptions!$D$5:$D$12,0)),MIN(INDEX(Assumptions!$I$5:$I$12,MATCH($B528,Assumptions!$D$5:$D$12,0)),($C528+$D528*SQRT(-2*LN(RAND()))*COS(2*PI()*RAND()))*$E528*$J528*$K528)))</x:f>
        <x:v>908.7473844617728</x:v>
      </x:c>
      <x:c r="H528" s="11" t="n">
        <x:f>IF($A528="","",$G528*$F528+$C528*(1-$F528))</x:f>
        <x:v>922.5615845616205</x:v>
      </x:c>
      <x:c r="I528" s="11" t="n">
        <x:f>IF($A528="","",AVERAGE($H528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923.8956670547116</x:v>
      </x:c>
      <x:c r="J528" s="12" t="n">
        <x:f>IF($A528="","",1+SUMIFS(Assumptions!$S$5:$S$10,Assumptions!$P$5:$P$10,$B528,Assumptions!$Q$5:$Q$10,"&lt;="&amp;$A528,Assumptions!$R$5:$R$10,"&gt;="&amp;$A528))</x:f>
        <x:v>1</x:v>
      </x:c>
      <x:c r="K528" s="12" t="n">
        <x:f>IF($A528="","",1+((($A528-Assumptions!$B$5)/30)*INDEX(Assumptions!$J$5:$J$12,MATCH($B528,Assumptions!$D$5:$D$12,0))))</x:f>
        <x:v>0.9965</x:v>
      </x:c>
      <x:c r="L528" t="str">
        <x:f>IF($A528="","",IFERROR(INDEX(Assumptions!$O$5:$O$10,MATCH(1,(Assumptions!$P$5:$P$10=$B528)*(Assumptions!$Q$5:$Q$10&lt;=$A528)*(Assumptions!$R$5:$R$10&gt;=$A528),0)),""))</x:f>
      </x:c>
      <x:c r="M528" t="n">
        <x:f>--($A528&lt;&gt;"")</x:f>
        <x:v>1</x:v>
      </x:c>
    </x:row>
    <x:row r="529">
      <x:c r="A529" s="10" t="n">
        <x:f>IF(Assumptions!$B$5+INT((ROW()-2)/Assumptions!$B$7)&gt;Assumptions!$B$6,"",Assumptions!$B$5+INT((ROW()-2)/Assumptions!$B$7))</x:f>
        <x:v>46128</x:v>
      </x:c>
      <x:c r="B529" t="str">
        <x:f>IF($A529="","",INDEX(Assumptions!$D$5:$D$12,MOD(ROW()-2,Assumptions!$B$7)+1))</x:f>
        <x:v>Nostromo Deep</x:v>
      </x:c>
      <x:c r="C529" s="11" t="n">
        <x:f>IF($A529="","",INDEX(Assumptions!$F$5:$F$12,MATCH($B529,Assumptions!$D$5:$D$12,0)))</x:f>
        <x:v>1260</x:v>
      </x:c>
      <x:c r="D529" s="11" t="n">
        <x:f>IF($A529="","",INDEX(Assumptions!$G$5:$G$12,MATCH($B529,Assumptions!$D$5:$D$12,0)))</x:f>
        <x:v>145</x:v>
      </x:c>
      <x:c r="E529" s="11" t="n">
        <x:f>IF($A529="","",INDEX(Assumptions!$M$5:$M$11,WEEKDAY($A529,2)))</x:f>
        <x:v>1</x:v>
      </x:c>
      <x:c r="F529" s="11" t="n">
        <x:f>IF($A529="","",Assumptions!$B$15)</x:f>
        <x:v>0.35</x:v>
      </x:c>
      <x:c r="G529" s="11" t="n">
        <x:f>IF($A529="","",MAX(INDEX(Assumptions!$H$5:$H$12,MATCH($B529,Assumptions!$D$5:$D$12,0)),MIN(INDEX(Assumptions!$I$5:$I$12,MATCH($B529,Assumptions!$D$5:$D$12,0)),($C529+$D529*SQRT(-2*LN(RAND()))*COS(2*PI()*RAND()))*$E529*$J529*$K529)))</x:f>
        <x:v>1229.048943754418</x:v>
      </x:c>
      <x:c r="H529" s="11" t="n">
        <x:f>IF($A529="","",$G529*$F529+$C529*(1-$F529))</x:f>
        <x:v>1249.1671303140463</x:v>
      </x:c>
      <x:c r="I529" s="11" t="n">
        <x:f>IF($A529="","",AVERAGE($H529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1235.0690870353912</x:v>
      </x:c>
      <x:c r="J529" s="12" t="n">
        <x:f>IF($A529="","",1+SUMIFS(Assumptions!$S$5:$S$10,Assumptions!$P$5:$P$10,$B529,Assumptions!$Q$5:$Q$10,"&lt;="&amp;$A529,Assumptions!$R$5:$R$10,"&gt;="&amp;$A529))</x:f>
        <x:v>1</x:v>
      </x:c>
      <x:c r="K529" s="12" t="n">
        <x:f>IF($A529="","",1+((($A529-Assumptions!$B$5)/30)*INDEX(Assumptions!$J$5:$J$12,MATCH($B529,Assumptions!$D$5:$D$12,0))))</x:f>
        <x:v>1.0105</x:v>
      </x:c>
      <x:c r="L529" t="str">
        <x:f>IF($A529="","",IFERROR(INDEX(Assumptions!$O$5:$O$10,MATCH(1,(Assumptions!$P$5:$P$10=$B529)*(Assumptions!$Q$5:$Q$10&lt;=$A529)*(Assumptions!$R$5:$R$10&gt;=$A529),0)),""))</x:f>
      </x:c>
      <x:c r="M529" t="n">
        <x:f>--($A529&lt;&gt;"")</x:f>
        <x:v>1</x:v>
      </x:c>
    </x:row>
    <x:row r="530">
      <x:c r="A530" s="10" t="n">
        <x:f>IF(Assumptions!$B$5+INT((ROW()-2)/Assumptions!$B$7)&gt;Assumptions!$B$6,"",Assumptions!$B$5+INT((ROW()-2)/Assumptions!$B$7))</x:f>
        <x:v>46128</x:v>
      </x:c>
      <x:c r="B530" t="str">
        <x:f>IF($A530="","",INDEX(Assumptions!$D$5:$D$12,MOD(ROW()-2,Assumptions!$B$7)+1))</x:f>
        <x:v>Hadley's Hope</x:v>
      </x:c>
      <x:c r="C530" s="11" t="n">
        <x:f>IF($A530="","",INDEX(Assumptions!$F$5:$F$12,MATCH($B530,Assumptions!$D$5:$D$12,0)))</x:f>
        <x:v>845</x:v>
      </x:c>
      <x:c r="D530" s="11" t="n">
        <x:f>IF($A530="","",INDEX(Assumptions!$G$5:$G$12,MATCH($B530,Assumptions!$D$5:$D$12,0)))</x:f>
        <x:v>80</x:v>
      </x:c>
      <x:c r="E530" s="11" t="n">
        <x:f>IF($A530="","",INDEX(Assumptions!$M$5:$M$11,WEEKDAY($A530,2)))</x:f>
        <x:v>1</x:v>
      </x:c>
      <x:c r="F530" s="11" t="n">
        <x:f>IF($A530="","",Assumptions!$B$15)</x:f>
        <x:v>0.35</x:v>
      </x:c>
      <x:c r="G530" s="11" t="n">
        <x:f>IF($A530="","",MAX(INDEX(Assumptions!$H$5:$H$12,MATCH($B530,Assumptions!$D$5:$D$12,0)),MIN(INDEX(Assumptions!$I$5:$I$12,MATCH($B530,Assumptions!$D$5:$D$12,0)),($C530+$D530*SQRT(-2*LN(RAND()))*COS(2*PI()*RAND()))*$E530*$J530*$K530)))</x:f>
        <x:v>935.6019569657125</x:v>
      </x:c>
      <x:c r="H530" s="11" t="n">
        <x:f>IF($A530="","",$G530*$F530+$C530*(1-$F530))</x:f>
        <x:v>876.7106849379993</x:v>
      </x:c>
      <x:c r="I530" s="11" t="n">
        <x:f>IF($A530="","",AVERAGE($H530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849.4722241436104</x:v>
      </x:c>
      <x:c r="J530" s="12" t="n">
        <x:f>IF($A530="","",1+SUMIFS(Assumptions!$S$5:$S$10,Assumptions!$P$5:$P$10,$B530,Assumptions!$Q$5:$Q$10,"&lt;="&amp;$A530,Assumptions!$R$5:$R$10,"&gt;="&amp;$A530))</x:f>
        <x:v>1</x:v>
      </x:c>
      <x:c r="K530" s="12" t="n">
        <x:f>IF($A530="","",1+((($A530-Assumptions!$B$5)/30)*INDEX(Assumptions!$J$5:$J$12,MATCH($B530,Assumptions!$D$5:$D$12,0))))</x:f>
        <x:v>1.0035</x:v>
      </x:c>
      <x:c r="L530" t="str">
        <x:f>IF($A530="","",IFERROR(INDEX(Assumptions!$O$5:$O$10,MATCH(1,(Assumptions!$P$5:$P$10=$B530)*(Assumptions!$Q$5:$Q$10&lt;=$A530)*(Assumptions!$R$5:$R$10&gt;=$A530),0)),""))</x:f>
      </x:c>
      <x:c r="M530" t="n">
        <x:f>--($A530&lt;&gt;"")</x:f>
        <x:v>1</x:v>
      </x:c>
    </x:row>
    <x:row r="531">
      <x:c r="A531" s="10" t="n">
        <x:f>IF(Assumptions!$B$5+INT((ROW()-2)/Assumptions!$B$7)&gt;Assumptions!$B$6,"",Assumptions!$B$5+INT((ROW()-2)/Assumptions!$B$7))</x:f>
        <x:v>46128</x:v>
      </x:c>
      <x:c r="B531" t="str">
        <x:f>IF($A531="","",INDEX(Assumptions!$D$5:$D$12,MOD(ROW()-2,Assumptions!$B$7)+1))</x:f>
        <x:v>Yutani Ridge</x:v>
      </x:c>
      <x:c r="C531" s="11" t="n">
        <x:f>IF($A531="","",INDEX(Assumptions!$F$5:$F$12,MATCH($B531,Assumptions!$D$5:$D$12,0)))</x:f>
        <x:v>1050</x:v>
      </x:c>
      <x:c r="D531" s="11" t="n">
        <x:f>IF($A531="","",INDEX(Assumptions!$G$5:$G$12,MATCH($B531,Assumptions!$D$5:$D$12,0)))</x:f>
        <x:v>125</x:v>
      </x:c>
      <x:c r="E531" s="11" t="n">
        <x:f>IF($A531="","",INDEX(Assumptions!$M$5:$M$11,WEEKDAY($A531,2)))</x:f>
        <x:v>1</x:v>
      </x:c>
      <x:c r="F531" s="11" t="n">
        <x:f>IF($A531="","",Assumptions!$B$15)</x:f>
        <x:v>0.35</x:v>
      </x:c>
      <x:c r="G531" s="11" t="n">
        <x:f>IF($A531="","",MAX(INDEX(Assumptions!$H$5:$H$12,MATCH($B531,Assumptions!$D$5:$D$12,0)),MIN(INDEX(Assumptions!$I$5:$I$12,MATCH($B531,Assumptions!$D$5:$D$12,0)),($C531+$D531*SQRT(-2*LN(RAND()))*COS(2*PI()*RAND()))*$E531*$J531*$K531)))</x:f>
        <x:v>1079.108553990906</x:v>
      </x:c>
      <x:c r="H531" s="11" t="n">
        <x:f>IF($A531="","",$G531*$F531+$C531*(1-$F531))</x:f>
        <x:v>1060.187993896817</x:v>
      </x:c>
      <x:c r="I531" s="11" t="n">
        <x:f>IF($A531="","",AVERAGE($H531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1065.9109444479989</x:v>
      </x:c>
      <x:c r="J531" s="12" t="n">
        <x:f>IF($A531="","",1+SUMIFS(Assumptions!$S$5:$S$10,Assumptions!$P$5:$P$10,$B531,Assumptions!$Q$5:$Q$10,"&lt;="&amp;$A531,Assumptions!$R$5:$R$10,"&gt;="&amp;$A531))</x:f>
        <x:v>1</x:v>
      </x:c>
      <x:c r="K531" s="12" t="n">
        <x:f>IF($A531="","",1+((($A531-Assumptions!$B$5)/30)*INDEX(Assumptions!$J$5:$J$12,MATCH($B531,Assumptions!$D$5:$D$12,0))))</x:f>
        <x:v>1.00875</x:v>
      </x:c>
      <x:c r="L531" t="str">
        <x:f>IF($A531="","",IFERROR(INDEX(Assumptions!$O$5:$O$10,MATCH(1,(Assumptions!$P$5:$P$10=$B531)*(Assumptions!$Q$5:$Q$10&lt;=$A531)*(Assumptions!$R$5:$R$10&gt;=$A531),0)),""))</x:f>
      </x:c>
      <x:c r="M531" t="n">
        <x:f>--($A531&lt;&gt;"")</x:f>
        <x:v>1</x:v>
      </x:c>
    </x:row>
    <x:row r="532">
      <x:c r="A532" s="10" t="n">
        <x:f>IF(Assumptions!$B$5+INT((ROW()-2)/Assumptions!$B$7)&gt;Assumptions!$B$6,"",Assumptions!$B$5+INT((ROW()-2)/Assumptions!$B$7))</x:f>
        <x:v>46129</x:v>
      </x:c>
      <x:c r="B532" t="str">
        <x:f>IF($A532="","",INDEX(Assumptions!$D$5:$D$12,MOD(ROW()-2,Assumptions!$B$7)+1))</x:f>
        <x:v>Acheron Prime</x:v>
      </x:c>
      <x:c r="C532" s="11" t="n">
        <x:f>IF($A532="","",INDEX(Assumptions!$F$5:$F$12,MATCH($B532,Assumptions!$D$5:$D$12,0)))</x:f>
        <x:v>1120</x:v>
      </x:c>
      <x:c r="D532" s="11" t="n">
        <x:f>IF($A532="","",INDEX(Assumptions!$G$5:$G$12,MATCH($B532,Assumptions!$D$5:$D$12,0)))</x:f>
        <x:v>115</x:v>
      </x:c>
      <x:c r="E532" s="11" t="n">
        <x:f>IF($A532="","",INDEX(Assumptions!$M$5:$M$11,WEEKDAY($A532,2)))</x:f>
        <x:v>0.98</x:v>
      </x:c>
      <x:c r="F532" s="11" t="n">
        <x:f>IF($A532="","",Assumptions!$B$15)</x:f>
        <x:v>0.35</x:v>
      </x:c>
      <x:c r="G532" s="11" t="n">
        <x:f>IF($A532="","",MAX(INDEX(Assumptions!$H$5:$H$12,MATCH($B532,Assumptions!$D$5:$D$12,0)),MIN(INDEX(Assumptions!$I$5:$I$12,MATCH($B532,Assumptions!$D$5:$D$12,0)),($C532+$D532*SQRT(-2*LN(RAND()))*COS(2*PI()*RAND()))*$E532*$J532*$K532)))</x:f>
        <x:v>1149.3905878114433</x:v>
      </x:c>
      <x:c r="H532" s="11" t="n">
        <x:f>IF($A532="","",$G532*$F532+$C532*(1-$F532))</x:f>
        <x:v>1130.2867057340052</x:v>
      </x:c>
      <x:c r="I532" s="11" t="n">
        <x:f>IF($A532="","",AVERAGE($H532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1112.1794811695063</x:v>
      </x:c>
      <x:c r="J532" s="12" t="n">
        <x:f>IF($A532="","",1+SUMIFS(Assumptions!$S$5:$S$10,Assumptions!$P$5:$P$10,$B532,Assumptions!$Q$5:$Q$10,"&lt;="&amp;$A532,Assumptions!$R$5:$R$10,"&gt;="&amp;$A532))</x:f>
        <x:v>1</x:v>
      </x:c>
      <x:c r="K532" s="12" t="n">
        <x:f>IF($A532="","",1+((($A532-Assumptions!$B$5)/30)*INDEX(Assumptions!$J$5:$J$12,MATCH($B532,Assumptions!$D$5:$D$12,0))))</x:f>
        <x:v>1.0070666666666668</x:v>
      </x:c>
      <x:c r="L532" t="str">
        <x:f>IF($A532="","",IFERROR(INDEX(Assumptions!$O$5:$O$10,MATCH(1,(Assumptions!$P$5:$P$10=$B532)*(Assumptions!$Q$5:$Q$10&lt;=$A532)*(Assumptions!$R$5:$R$10&gt;=$A532),0)),""))</x:f>
      </x:c>
      <x:c r="M532" t="n">
        <x:f>--($A532&lt;&gt;"")</x:f>
        <x:v>1</x:v>
      </x:c>
    </x:row>
    <x:row r="533">
      <x:c r="A533" s="10" t="n">
        <x:f>IF(Assumptions!$B$5+INT((ROW()-2)/Assumptions!$B$7)&gt;Assumptions!$B$6,"",Assumptions!$B$5+INT((ROW()-2)/Assumptions!$B$7))</x:f>
        <x:v>46129</x:v>
      </x:c>
      <x:c r="B533" t="str">
        <x:f>IF($A533="","",INDEX(Assumptions!$D$5:$D$12,MOD(ROW()-2,Assumptions!$B$7)+1))</x:f>
        <x:v>LV-426 North</x:v>
      </x:c>
      <x:c r="C533" s="11" t="n">
        <x:f>IF($A533="","",INDEX(Assumptions!$F$5:$F$12,MATCH($B533,Assumptions!$D$5:$D$12,0)))</x:f>
        <x:v>930</x:v>
      </x:c>
      <x:c r="D533" s="11" t="n">
        <x:f>IF($A533="","",INDEX(Assumptions!$G$5:$G$12,MATCH($B533,Assumptions!$D$5:$D$12,0)))</x:f>
        <x:v>95</x:v>
      </x:c>
      <x:c r="E533" s="11" t="n">
        <x:f>IF($A533="","",INDEX(Assumptions!$M$5:$M$11,WEEKDAY($A533,2)))</x:f>
        <x:v>0.98</x:v>
      </x:c>
      <x:c r="F533" s="11" t="n">
        <x:f>IF($A533="","",Assumptions!$B$15)</x:f>
        <x:v>0.35</x:v>
      </x:c>
      <x:c r="G533" s="11" t="n">
        <x:f>IF($A533="","",MAX(INDEX(Assumptions!$H$5:$H$12,MATCH($B533,Assumptions!$D$5:$D$12,0)),MIN(INDEX(Assumptions!$I$5:$I$12,MATCH($B533,Assumptions!$D$5:$D$12,0)),($C533+$D533*SQRT(-2*LN(RAND()))*COS(2*PI()*RAND()))*$E533*$J533*$K533)))</x:f>
        <x:v>922.1211198276033</x:v>
      </x:c>
      <x:c r="H533" s="11" t="n">
        <x:f>IF($A533="","",$G533*$F533+$C533*(1-$F533))</x:f>
        <x:v>927.242391939661</x:v>
      </x:c>
      <x:c r="I533" s="11" t="n">
        <x:f>IF($A533="","",AVERAGE($H533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922.8623196090126</x:v>
      </x:c>
      <x:c r="J533" s="12" t="n">
        <x:f>IF($A533="","",1+SUMIFS(Assumptions!$S$5:$S$10,Assumptions!$P$5:$P$10,$B533,Assumptions!$Q$5:$Q$10,"&lt;="&amp;$A533,Assumptions!$R$5:$R$10,"&gt;="&amp;$A533))</x:f>
        <x:v>1</x:v>
      </x:c>
      <x:c r="K533" s="12" t="n">
        <x:f>IF($A533="","",1+((($A533-Assumptions!$B$5)/30)*INDEX(Assumptions!$J$5:$J$12,MATCH($B533,Assumptions!$D$5:$D$12,0))))</x:f>
        <x:v>0.9964666666666666</x:v>
      </x:c>
      <x:c r="L533" t="str">
        <x:f>IF($A533="","",IFERROR(INDEX(Assumptions!$O$5:$O$10,MATCH(1,(Assumptions!$P$5:$P$10=$B533)*(Assumptions!$Q$5:$Q$10&lt;=$A533)*(Assumptions!$R$5:$R$10&gt;=$A533),0)),""))</x:f>
      </x:c>
      <x:c r="M533" t="n">
        <x:f>--($A533&lt;&gt;"")</x:f>
        <x:v>1</x:v>
      </x:c>
    </x:row>
    <x:row r="534">
      <x:c r="A534" s="10" t="n">
        <x:f>IF(Assumptions!$B$5+INT((ROW()-2)/Assumptions!$B$7)&gt;Assumptions!$B$6,"",Assumptions!$B$5+INT((ROW()-2)/Assumptions!$B$7))</x:f>
        <x:v>46129</x:v>
      </x:c>
      <x:c r="B534" t="str">
        <x:f>IF($A534="","",INDEX(Assumptions!$D$5:$D$12,MOD(ROW()-2,Assumptions!$B$7)+1))</x:f>
        <x:v>Nostromo Deep</x:v>
      </x:c>
      <x:c r="C534" s="11" t="n">
        <x:f>IF($A534="","",INDEX(Assumptions!$F$5:$F$12,MATCH($B534,Assumptions!$D$5:$D$12,0)))</x:f>
        <x:v>1260</x:v>
      </x:c>
      <x:c r="D534" s="11" t="n">
        <x:f>IF($A534="","",INDEX(Assumptions!$G$5:$G$12,MATCH($B534,Assumptions!$D$5:$D$12,0)))</x:f>
        <x:v>145</x:v>
      </x:c>
      <x:c r="E534" s="11" t="n">
        <x:f>IF($A534="","",INDEX(Assumptions!$M$5:$M$11,WEEKDAY($A534,2)))</x:f>
        <x:v>0.98</x:v>
      </x:c>
      <x:c r="F534" s="11" t="n">
        <x:f>IF($A534="","",Assumptions!$B$15)</x:f>
        <x:v>0.35</x:v>
      </x:c>
      <x:c r="G534" s="11" t="n">
        <x:f>IF($A534="","",MAX(INDEX(Assumptions!$H$5:$H$12,MATCH($B534,Assumptions!$D$5:$D$12,0)),MIN(INDEX(Assumptions!$I$5:$I$12,MATCH($B534,Assumptions!$D$5:$D$12,0)),($C534+$D534*SQRT(-2*LN(RAND()))*COS(2*PI()*RAND()))*$E534*$J534*$K534)))</x:f>
        <x:v>1260.4861331289214</x:v>
      </x:c>
      <x:c r="H534" s="11" t="n">
        <x:f>IF($A534="","",$G534*$F534+$C534*(1-$F534))</x:f>
        <x:v>1260.1701465951226</x:v>
      </x:c>
      <x:c r="I534" s="11" t="n">
        <x:f>IF($A534="","",AVERAGE($H534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1239.0746056871783</x:v>
      </x:c>
      <x:c r="J534" s="12" t="n">
        <x:f>IF($A534="","",1+SUMIFS(Assumptions!$S$5:$S$10,Assumptions!$P$5:$P$10,$B534,Assumptions!$Q$5:$Q$10,"&lt;="&amp;$A534,Assumptions!$R$5:$R$10,"&gt;="&amp;$A534))</x:f>
        <x:v>1</x:v>
      </x:c>
      <x:c r="K534" s="12" t="n">
        <x:f>IF($A534="","",1+((($A534-Assumptions!$B$5)/30)*INDEX(Assumptions!$J$5:$J$12,MATCH($B534,Assumptions!$D$5:$D$12,0))))</x:f>
        <x:v>1.0106</x:v>
      </x:c>
      <x:c r="L534" t="str">
        <x:f>IF($A534="","",IFERROR(INDEX(Assumptions!$O$5:$O$10,MATCH(1,(Assumptions!$P$5:$P$10=$B534)*(Assumptions!$Q$5:$Q$10&lt;=$A534)*(Assumptions!$R$5:$R$10&gt;=$A534),0)),""))</x:f>
      </x:c>
      <x:c r="M534" t="n">
        <x:f>--($A534&lt;&gt;"")</x:f>
        <x:v>1</x:v>
      </x:c>
    </x:row>
    <x:row r="535">
      <x:c r="A535" s="10" t="n">
        <x:f>IF(Assumptions!$B$5+INT((ROW()-2)/Assumptions!$B$7)&gt;Assumptions!$B$6,"",Assumptions!$B$5+INT((ROW()-2)/Assumptions!$B$7))</x:f>
        <x:v>46129</x:v>
      </x:c>
      <x:c r="B535" t="str">
        <x:f>IF($A535="","",INDEX(Assumptions!$D$5:$D$12,MOD(ROW()-2,Assumptions!$B$7)+1))</x:f>
        <x:v>Hadley's Hope</x:v>
      </x:c>
      <x:c r="C535" s="11" t="n">
        <x:f>IF($A535="","",INDEX(Assumptions!$F$5:$F$12,MATCH($B535,Assumptions!$D$5:$D$12,0)))</x:f>
        <x:v>845</x:v>
      </x:c>
      <x:c r="D535" s="11" t="n">
        <x:f>IF($A535="","",INDEX(Assumptions!$G$5:$G$12,MATCH($B535,Assumptions!$D$5:$D$12,0)))</x:f>
        <x:v>80</x:v>
      </x:c>
      <x:c r="E535" s="11" t="n">
        <x:f>IF($A535="","",INDEX(Assumptions!$M$5:$M$11,WEEKDAY($A535,2)))</x:f>
        <x:v>0.98</x:v>
      </x:c>
      <x:c r="F535" s="11" t="n">
        <x:f>IF($A535="","",Assumptions!$B$15)</x:f>
        <x:v>0.35</x:v>
      </x:c>
      <x:c r="G535" s="11" t="n">
        <x:f>IF($A535="","",MAX(INDEX(Assumptions!$H$5:$H$12,MATCH($B535,Assumptions!$D$5:$D$12,0)),MIN(INDEX(Assumptions!$I$5:$I$12,MATCH($B535,Assumptions!$D$5:$D$12,0)),($C535+$D535*SQRT(-2*LN(RAND()))*COS(2*PI()*RAND()))*$E535*$J535*$K535)))</x:f>
        <x:v>811.844105360794</x:v>
      </x:c>
      <x:c r="H535" s="11" t="n">
        <x:f>IF($A535="","",$G535*$F535+$C535*(1-$F535))</x:f>
        <x:v>833.3954368762779</x:v>
      </x:c>
      <x:c r="I535" s="11" t="n">
        <x:f>IF($A535="","",AVERAGE($H535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845.9058800826637</x:v>
      </x:c>
      <x:c r="J535" s="12" t="n">
        <x:f>IF($A535="","",1+SUMIFS(Assumptions!$S$5:$S$10,Assumptions!$P$5:$P$10,$B535,Assumptions!$Q$5:$Q$10,"&lt;="&amp;$A535,Assumptions!$R$5:$R$10,"&gt;="&amp;$A535))</x:f>
        <x:v>1</x:v>
      </x:c>
      <x:c r="K535" s="12" t="n">
        <x:f>IF($A535="","",1+((($A535-Assumptions!$B$5)/30)*INDEX(Assumptions!$J$5:$J$12,MATCH($B535,Assumptions!$D$5:$D$12,0))))</x:f>
        <x:v>1.0035333333333334</x:v>
      </x:c>
      <x:c r="L535" t="str">
        <x:f>IF($A535="","",IFERROR(INDEX(Assumptions!$O$5:$O$10,MATCH(1,(Assumptions!$P$5:$P$10=$B535)*(Assumptions!$Q$5:$Q$10&lt;=$A535)*(Assumptions!$R$5:$R$10&gt;=$A535),0)),""))</x:f>
      </x:c>
      <x:c r="M535" t="n">
        <x:f>--($A535&lt;&gt;"")</x:f>
        <x:v>1</x:v>
      </x:c>
    </x:row>
    <x:row r="536">
      <x:c r="A536" s="10" t="n">
        <x:f>IF(Assumptions!$B$5+INT((ROW()-2)/Assumptions!$B$7)&gt;Assumptions!$B$6,"",Assumptions!$B$5+INT((ROW()-2)/Assumptions!$B$7))</x:f>
        <x:v>46129</x:v>
      </x:c>
      <x:c r="B536" t="str">
        <x:f>IF($A536="","",INDEX(Assumptions!$D$5:$D$12,MOD(ROW()-2,Assumptions!$B$7)+1))</x:f>
        <x:v>Yutani Ridge</x:v>
      </x:c>
      <x:c r="C536" s="11" t="n">
        <x:f>IF($A536="","",INDEX(Assumptions!$F$5:$F$12,MATCH($B536,Assumptions!$D$5:$D$12,0)))</x:f>
        <x:v>1050</x:v>
      </x:c>
      <x:c r="D536" s="11" t="n">
        <x:f>IF($A536="","",INDEX(Assumptions!$G$5:$G$12,MATCH($B536,Assumptions!$D$5:$D$12,0)))</x:f>
        <x:v>125</x:v>
      </x:c>
      <x:c r="E536" s="11" t="n">
        <x:f>IF($A536="","",INDEX(Assumptions!$M$5:$M$11,WEEKDAY($A536,2)))</x:f>
        <x:v>0.98</x:v>
      </x:c>
      <x:c r="F536" s="11" t="n">
        <x:f>IF($A536="","",Assumptions!$B$15)</x:f>
        <x:v>0.35</x:v>
      </x:c>
      <x:c r="G536" s="11" t="n">
        <x:f>IF($A536="","",MAX(INDEX(Assumptions!$H$5:$H$12,MATCH($B536,Assumptions!$D$5:$D$12,0)),MIN(INDEX(Assumptions!$I$5:$I$12,MATCH($B536,Assumptions!$D$5:$D$12,0)),($C536+$D536*SQRT(-2*LN(RAND()))*COS(2*PI()*RAND()))*$E536*$J536*$K536)))</x:f>
        <x:v>995.3470631335912</x:v>
      </x:c>
      <x:c r="H536" s="11" t="n">
        <x:f>IF($A536="","",$G536*$F536+$C536*(1-$F536))</x:f>
        <x:v>1030.8714720967569</x:v>
      </x:c>
      <x:c r="I536" s="11" t="n">
        <x:f>IF($A536="","",AVERAGE($H536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1068.1609272644898</x:v>
      </x:c>
      <x:c r="J536" s="12" t="n">
        <x:f>IF($A536="","",1+SUMIFS(Assumptions!$S$5:$S$10,Assumptions!$P$5:$P$10,$B536,Assumptions!$Q$5:$Q$10,"&lt;="&amp;$A536,Assumptions!$R$5:$R$10,"&gt;="&amp;$A536))</x:f>
        <x:v>1</x:v>
      </x:c>
      <x:c r="K536" s="12" t="n">
        <x:f>IF($A536="","",1+((($A536-Assumptions!$B$5)/30)*INDEX(Assumptions!$J$5:$J$12,MATCH($B536,Assumptions!$D$5:$D$12,0))))</x:f>
        <x:v>1.0088333333333332</x:v>
      </x:c>
      <x:c r="L536" t="str">
        <x:f>IF($A536="","",IFERROR(INDEX(Assumptions!$O$5:$O$10,MATCH(1,(Assumptions!$P$5:$P$10=$B536)*(Assumptions!$Q$5:$Q$10&lt;=$A536)*(Assumptions!$R$5:$R$10&gt;=$A536),0)),""))</x:f>
      </x:c>
      <x:c r="M536" t="n">
        <x:f>--($A536&lt;&gt;"")</x:f>
        <x:v>1</x:v>
      </x:c>
    </x:row>
    <x:row r="537">
      <x:c r="A537" s="10" t="n">
        <x:f>IF(Assumptions!$B$5+INT((ROW()-2)/Assumptions!$B$7)&gt;Assumptions!$B$6,"",Assumptions!$B$5+INT((ROW()-2)/Assumptions!$B$7))</x:f>
        <x:v>46130</x:v>
      </x:c>
      <x:c r="B537" t="str">
        <x:f>IF($A537="","",INDEX(Assumptions!$D$5:$D$12,MOD(ROW()-2,Assumptions!$B$7)+1))</x:f>
        <x:v>Acheron Prime</x:v>
      </x:c>
      <x:c r="C537" s="11" t="n">
        <x:f>IF($A537="","",INDEX(Assumptions!$F$5:$F$12,MATCH($B537,Assumptions!$D$5:$D$12,0)))</x:f>
        <x:v>1120</x:v>
      </x:c>
      <x:c r="D537" s="11" t="n">
        <x:f>IF($A537="","",INDEX(Assumptions!$G$5:$G$12,MATCH($B537,Assumptions!$D$5:$D$12,0)))</x:f>
        <x:v>115</x:v>
      </x:c>
      <x:c r="E537" s="11" t="n">
        <x:f>IF($A537="","",INDEX(Assumptions!$M$5:$M$11,WEEKDAY($A537,2)))</x:f>
        <x:v>0.91</x:v>
      </x:c>
      <x:c r="F537" s="11" t="n">
        <x:f>IF($A537="","",Assumptions!$B$15)</x:f>
        <x:v>0.35</x:v>
      </x:c>
      <x:c r="G537" s="11" t="n">
        <x:f>IF($A537="","",MAX(INDEX(Assumptions!$H$5:$H$12,MATCH($B537,Assumptions!$D$5:$D$12,0)),MIN(INDEX(Assumptions!$I$5:$I$12,MATCH($B537,Assumptions!$D$5:$D$12,0)),($C537+$D537*SQRT(-2*LN(RAND()))*COS(2*PI()*RAND()))*$E537*$J537*$K537)))</x:f>
        <x:v>1070.6068340565103</x:v>
      </x:c>
      <x:c r="H537" s="11" t="n">
        <x:f>IF($A537="","",$G537*$F537+$C537*(1-$F537))</x:f>
        <x:v>1102.7123919197786</x:v>
      </x:c>
      <x:c r="I537" s="11" t="n">
        <x:f>IF($A537="","",AVERAGE($H537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1109.6897462207378</x:v>
      </x:c>
      <x:c r="J537" s="12" t="n">
        <x:f>IF($A537="","",1+SUMIFS(Assumptions!$S$5:$S$10,Assumptions!$P$5:$P$10,$B537,Assumptions!$Q$5:$Q$10,"&lt;="&amp;$A537,Assumptions!$R$5:$R$10,"&gt;="&amp;$A537))</x:f>
        <x:v>1</x:v>
      </x:c>
      <x:c r="K537" s="12" t="n">
        <x:f>IF($A537="","",1+((($A537-Assumptions!$B$5)/30)*INDEX(Assumptions!$J$5:$J$12,MATCH($B537,Assumptions!$D$5:$D$12,0))))</x:f>
        <x:v>1.0071333333333334</x:v>
      </x:c>
      <x:c r="L537" t="str">
        <x:f>IF($A537="","",IFERROR(INDEX(Assumptions!$O$5:$O$10,MATCH(1,(Assumptions!$P$5:$P$10=$B537)*(Assumptions!$Q$5:$Q$10&lt;=$A537)*(Assumptions!$R$5:$R$10&gt;=$A537),0)),""))</x:f>
      </x:c>
      <x:c r="M537" t="n">
        <x:f>--($A537&lt;&gt;"")</x:f>
        <x:v>1</x:v>
      </x:c>
    </x:row>
    <x:row r="538">
      <x:c r="A538" s="10" t="n">
        <x:f>IF(Assumptions!$B$5+INT((ROW()-2)/Assumptions!$B$7)&gt;Assumptions!$B$6,"",Assumptions!$B$5+INT((ROW()-2)/Assumptions!$B$7))</x:f>
        <x:v>46130</x:v>
      </x:c>
      <x:c r="B538" t="str">
        <x:f>IF($A538="","",INDEX(Assumptions!$D$5:$D$12,MOD(ROW()-2,Assumptions!$B$7)+1))</x:f>
        <x:v>LV-426 North</x:v>
      </x:c>
      <x:c r="C538" s="11" t="n">
        <x:f>IF($A538="","",INDEX(Assumptions!$F$5:$F$12,MATCH($B538,Assumptions!$D$5:$D$12,0)))</x:f>
        <x:v>930</x:v>
      </x:c>
      <x:c r="D538" s="11" t="n">
        <x:f>IF($A538="","",INDEX(Assumptions!$G$5:$G$12,MATCH($B538,Assumptions!$D$5:$D$12,0)))</x:f>
        <x:v>95</x:v>
      </x:c>
      <x:c r="E538" s="11" t="n">
        <x:f>IF($A538="","",INDEX(Assumptions!$M$5:$M$11,WEEKDAY($A538,2)))</x:f>
        <x:v>0.91</x:v>
      </x:c>
      <x:c r="F538" s="11" t="n">
        <x:f>IF($A538="","",Assumptions!$B$15)</x:f>
        <x:v>0.35</x:v>
      </x:c>
      <x:c r="G538" s="11" t="n">
        <x:f>IF($A538="","",MAX(INDEX(Assumptions!$H$5:$H$12,MATCH($B538,Assumptions!$D$5:$D$12,0)),MIN(INDEX(Assumptions!$I$5:$I$12,MATCH($B538,Assumptions!$D$5:$D$12,0)),($C538+$D538*SQRT(-2*LN(RAND()))*COS(2*PI()*RAND()))*$E538*$J538*$K538)))</x:f>
        <x:v>803.4359456415174</x:v>
      </x:c>
      <x:c r="H538" s="11" t="n">
        <x:f>IF($A538="","",$G538*$F538+$C538*(1-$F538))</x:f>
        <x:v>885.7025809745311</x:v>
      </x:c>
      <x:c r="I538" s="11" t="n">
        <x:f>IF($A538="","",AVERAGE($H538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922.7972064241437</x:v>
      </x:c>
      <x:c r="J538" s="12" t="n">
        <x:f>IF($A538="","",1+SUMIFS(Assumptions!$S$5:$S$10,Assumptions!$P$5:$P$10,$B538,Assumptions!$Q$5:$Q$10,"&lt;="&amp;$A538,Assumptions!$R$5:$R$10,"&gt;="&amp;$A538))</x:f>
        <x:v>1</x:v>
      </x:c>
      <x:c r="K538" s="12" t="n">
        <x:f>IF($A538="","",1+((($A538-Assumptions!$B$5)/30)*INDEX(Assumptions!$J$5:$J$12,MATCH($B538,Assumptions!$D$5:$D$12,0))))</x:f>
        <x:v>0.9964333333333333</x:v>
      </x:c>
      <x:c r="L538" t="str">
        <x:f>IF($A538="","",IFERROR(INDEX(Assumptions!$O$5:$O$10,MATCH(1,(Assumptions!$P$5:$P$10=$B538)*(Assumptions!$Q$5:$Q$10&lt;=$A538)*(Assumptions!$R$5:$R$10&gt;=$A538),0)),""))</x:f>
      </x:c>
      <x:c r="M538" t="n">
        <x:f>--($A538&lt;&gt;"")</x:f>
        <x:v>1</x:v>
      </x:c>
    </x:row>
    <x:row r="539">
      <x:c r="A539" s="10" t="n">
        <x:f>IF(Assumptions!$B$5+INT((ROW()-2)/Assumptions!$B$7)&gt;Assumptions!$B$6,"",Assumptions!$B$5+INT((ROW()-2)/Assumptions!$B$7))</x:f>
        <x:v>46130</x:v>
      </x:c>
      <x:c r="B539" t="str">
        <x:f>IF($A539="","",INDEX(Assumptions!$D$5:$D$12,MOD(ROW()-2,Assumptions!$B$7)+1))</x:f>
        <x:v>Nostromo Deep</x:v>
      </x:c>
      <x:c r="C539" s="11" t="n">
        <x:f>IF($A539="","",INDEX(Assumptions!$F$5:$F$12,MATCH($B539,Assumptions!$D$5:$D$12,0)))</x:f>
        <x:v>1260</x:v>
      </x:c>
      <x:c r="D539" s="11" t="n">
        <x:f>IF($A539="","",INDEX(Assumptions!$G$5:$G$12,MATCH($B539,Assumptions!$D$5:$D$12,0)))</x:f>
        <x:v>145</x:v>
      </x:c>
      <x:c r="E539" s="11" t="n">
        <x:f>IF($A539="","",INDEX(Assumptions!$M$5:$M$11,WEEKDAY($A539,2)))</x:f>
        <x:v>0.91</x:v>
      </x:c>
      <x:c r="F539" s="11" t="n">
        <x:f>IF($A539="","",Assumptions!$B$15)</x:f>
        <x:v>0.35</x:v>
      </x:c>
      <x:c r="G539" s="11" t="n">
        <x:f>IF($A539="","",MAX(INDEX(Assumptions!$H$5:$H$12,MATCH($B539,Assumptions!$D$5:$D$12,0)),MIN(INDEX(Assumptions!$I$5:$I$12,MATCH($B539,Assumptions!$D$5:$D$12,0)),($C539+$D539*SQRT(-2*LN(RAND()))*COS(2*PI()*RAND()))*$E539*$J539*$K539)))</x:f>
        <x:v>1256.9267641990737</x:v>
      </x:c>
      <x:c r="H539" s="11" t="n">
        <x:f>IF($A539="","",$G539*$F539+$C539*(1-$F539))</x:f>
        <x:v>1258.9243674696759</x:v>
      </x:c>
      <x:c r="I539" s="11" t="n">
        <x:f>IF($A539="","",AVERAGE($H539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1240.687094211082</x:v>
      </x:c>
      <x:c r="J539" s="12" t="n">
        <x:f>IF($A539="","",1+SUMIFS(Assumptions!$S$5:$S$10,Assumptions!$P$5:$P$10,$B539,Assumptions!$Q$5:$Q$10,"&lt;="&amp;$A539,Assumptions!$R$5:$R$10,"&gt;="&amp;$A539))</x:f>
        <x:v>1</x:v>
      </x:c>
      <x:c r="K539" s="12" t="n">
        <x:f>IF($A539="","",1+((($A539-Assumptions!$B$5)/30)*INDEX(Assumptions!$J$5:$J$12,MATCH($B539,Assumptions!$D$5:$D$12,0))))</x:f>
        <x:v>1.0107</x:v>
      </x:c>
      <x:c r="L539" t="str">
        <x:f>IF($A539="","",IFERROR(INDEX(Assumptions!$O$5:$O$10,MATCH(1,(Assumptions!$P$5:$P$10=$B539)*(Assumptions!$Q$5:$Q$10&lt;=$A539)*(Assumptions!$R$5:$R$10&gt;=$A539),0)),""))</x:f>
      </x:c>
      <x:c r="M539" t="n">
        <x:f>--($A539&lt;&gt;"")</x:f>
        <x:v>1</x:v>
      </x:c>
    </x:row>
    <x:row r="540">
      <x:c r="A540" s="10" t="n">
        <x:f>IF(Assumptions!$B$5+INT((ROW()-2)/Assumptions!$B$7)&gt;Assumptions!$B$6,"",Assumptions!$B$5+INT((ROW()-2)/Assumptions!$B$7))</x:f>
        <x:v>46130</x:v>
      </x:c>
      <x:c r="B540" t="str">
        <x:f>IF($A540="","",INDEX(Assumptions!$D$5:$D$12,MOD(ROW()-2,Assumptions!$B$7)+1))</x:f>
        <x:v>Hadley's Hope</x:v>
      </x:c>
      <x:c r="C540" s="11" t="n">
        <x:f>IF($A540="","",INDEX(Assumptions!$F$5:$F$12,MATCH($B540,Assumptions!$D$5:$D$12,0)))</x:f>
        <x:v>845</x:v>
      </x:c>
      <x:c r="D540" s="11" t="n">
        <x:f>IF($A540="","",INDEX(Assumptions!$G$5:$G$12,MATCH($B540,Assumptions!$D$5:$D$12,0)))</x:f>
        <x:v>80</x:v>
      </x:c>
      <x:c r="E540" s="11" t="n">
        <x:f>IF($A540="","",INDEX(Assumptions!$M$5:$M$11,WEEKDAY($A540,2)))</x:f>
        <x:v>0.91</x:v>
      </x:c>
      <x:c r="F540" s="11" t="n">
        <x:f>IF($A540="","",Assumptions!$B$15)</x:f>
        <x:v>0.35</x:v>
      </x:c>
      <x:c r="G540" s="11" t="n">
        <x:f>IF($A540="","",MAX(INDEX(Assumptions!$H$5:$H$12,MATCH($B540,Assumptions!$D$5:$D$12,0)),MIN(INDEX(Assumptions!$I$5:$I$12,MATCH($B540,Assumptions!$D$5:$D$12,0)),($C540+$D540*SQRT(-2*LN(RAND()))*COS(2*PI()*RAND()))*$E540*$J540*$K540)))</x:f>
        <x:v>847.0782105428412</x:v>
      </x:c>
      <x:c r="H540" s="11" t="n">
        <x:f>IF($A540="","",$G540*$F540+$C540*(1-$F540))</x:f>
        <x:v>845.7273736899945</x:v>
      </x:c>
      <x:c r="I540" s="11" t="n">
        <x:f>IF($A540="","",AVERAGE($H540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843.5688405240298</x:v>
      </x:c>
      <x:c r="J540" s="12" t="n">
        <x:f>IF($A540="","",1+SUMIFS(Assumptions!$S$5:$S$10,Assumptions!$P$5:$P$10,$B540,Assumptions!$Q$5:$Q$10,"&lt;="&amp;$A540,Assumptions!$R$5:$R$10,"&gt;="&amp;$A540))</x:f>
        <x:v>1</x:v>
      </x:c>
      <x:c r="K540" s="12" t="n">
        <x:f>IF($A540="","",1+((($A540-Assumptions!$B$5)/30)*INDEX(Assumptions!$J$5:$J$12,MATCH($B540,Assumptions!$D$5:$D$12,0))))</x:f>
        <x:v>1.0035666666666667</x:v>
      </x:c>
      <x:c r="L540" t="str">
        <x:f>IF($A540="","",IFERROR(INDEX(Assumptions!$O$5:$O$10,MATCH(1,(Assumptions!$P$5:$P$10=$B540)*(Assumptions!$Q$5:$Q$10&lt;=$A540)*(Assumptions!$R$5:$R$10&gt;=$A540),0)),""))</x:f>
      </x:c>
      <x:c r="M540" t="n">
        <x:f>--($A540&lt;&gt;"")</x:f>
        <x:v>1</x:v>
      </x:c>
    </x:row>
    <x:row r="541">
      <x:c r="A541" s="10" t="n">
        <x:f>IF(Assumptions!$B$5+INT((ROW()-2)/Assumptions!$B$7)&gt;Assumptions!$B$6,"",Assumptions!$B$5+INT((ROW()-2)/Assumptions!$B$7))</x:f>
        <x:v>46130</x:v>
      </x:c>
      <x:c r="B541" t="str">
        <x:f>IF($A541="","",INDEX(Assumptions!$D$5:$D$12,MOD(ROW()-2,Assumptions!$B$7)+1))</x:f>
        <x:v>Yutani Ridge</x:v>
      </x:c>
      <x:c r="C541" s="11" t="n">
        <x:f>IF($A541="","",INDEX(Assumptions!$F$5:$F$12,MATCH($B541,Assumptions!$D$5:$D$12,0)))</x:f>
        <x:v>1050</x:v>
      </x:c>
      <x:c r="D541" s="11" t="n">
        <x:f>IF($A541="","",INDEX(Assumptions!$G$5:$G$12,MATCH($B541,Assumptions!$D$5:$D$12,0)))</x:f>
        <x:v>125</x:v>
      </x:c>
      <x:c r="E541" s="11" t="n">
        <x:f>IF($A541="","",INDEX(Assumptions!$M$5:$M$11,WEEKDAY($A541,2)))</x:f>
        <x:v>0.91</x:v>
      </x:c>
      <x:c r="F541" s="11" t="n">
        <x:f>IF($A541="","",Assumptions!$B$15)</x:f>
        <x:v>0.35</x:v>
      </x:c>
      <x:c r="G541" s="11" t="n">
        <x:f>IF($A541="","",MAX(INDEX(Assumptions!$H$5:$H$12,MATCH($B541,Assumptions!$D$5:$D$12,0)),MIN(INDEX(Assumptions!$I$5:$I$12,MATCH($B541,Assumptions!$D$5:$D$12,0)),($C541+$D541*SQRT(-2*LN(RAND()))*COS(2*PI()*RAND()))*$E541*$J541*$K541)))</x:f>
        <x:v>854.1574288612652</x:v>
      </x:c>
      <x:c r="H541" s="11" t="n">
        <x:f>IF($A541="","",$G541*$F541+$C541*(1-$F541))</x:f>
        <x:v>981.4551001014428</x:v>
      </x:c>
      <x:c r="I541" s="11" t="n">
        <x:f>IF($A541="","",AVERAGE($H541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1062.2315834524297</x:v>
      </x:c>
      <x:c r="J541" s="12" t="n">
        <x:f>IF($A541="","",1+SUMIFS(Assumptions!$S$5:$S$10,Assumptions!$P$5:$P$10,$B541,Assumptions!$Q$5:$Q$10,"&lt;="&amp;$A541,Assumptions!$R$5:$R$10,"&gt;="&amp;$A541))</x:f>
        <x:v>1</x:v>
      </x:c>
      <x:c r="K541" s="12" t="n">
        <x:f>IF($A541="","",1+((($A541-Assumptions!$B$5)/30)*INDEX(Assumptions!$J$5:$J$12,MATCH($B541,Assumptions!$D$5:$D$12,0))))</x:f>
        <x:v>1.0089166666666667</x:v>
      </x:c>
      <x:c r="L541" t="str">
        <x:f>IF($A541="","",IFERROR(INDEX(Assumptions!$O$5:$O$10,MATCH(1,(Assumptions!$P$5:$P$10=$B541)*(Assumptions!$Q$5:$Q$10&lt;=$A541)*(Assumptions!$R$5:$R$10&gt;=$A541),0)),""))</x:f>
      </x:c>
      <x:c r="M541" t="n">
        <x:f>--($A541&lt;&gt;"")</x:f>
        <x:v>1</x:v>
      </x:c>
    </x:row>
    <x:row r="542">
      <x:c r="A542" s="10" t="n">
        <x:f>IF(Assumptions!$B$5+INT((ROW()-2)/Assumptions!$B$7)&gt;Assumptions!$B$6,"",Assumptions!$B$5+INT((ROW()-2)/Assumptions!$B$7))</x:f>
        <x:v>46131</x:v>
      </x:c>
      <x:c r="B542" t="str">
        <x:f>IF($A542="","",INDEX(Assumptions!$D$5:$D$12,MOD(ROW()-2,Assumptions!$B$7)+1))</x:f>
        <x:v>Acheron Prime</x:v>
      </x:c>
      <x:c r="C542" s="11" t="n">
        <x:f>IF($A542="","",INDEX(Assumptions!$F$5:$F$12,MATCH($B542,Assumptions!$D$5:$D$12,0)))</x:f>
        <x:v>1120</x:v>
      </x:c>
      <x:c r="D542" s="11" t="n">
        <x:f>IF($A542="","",INDEX(Assumptions!$G$5:$G$12,MATCH($B542,Assumptions!$D$5:$D$12,0)))</x:f>
        <x:v>115</x:v>
      </x:c>
      <x:c r="E542" s="11" t="n">
        <x:f>IF($A542="","",INDEX(Assumptions!$M$5:$M$11,WEEKDAY($A542,2)))</x:f>
        <x:v>0.87</x:v>
      </x:c>
      <x:c r="F542" s="11" t="n">
        <x:f>IF($A542="","",Assumptions!$B$15)</x:f>
        <x:v>0.35</x:v>
      </x:c>
      <x:c r="G542" s="11" t="n">
        <x:f>IF($A542="","",MAX(INDEX(Assumptions!$H$5:$H$12,MATCH($B542,Assumptions!$D$5:$D$12,0)),MIN(INDEX(Assumptions!$I$5:$I$12,MATCH($B542,Assumptions!$D$5:$D$12,0)),($C542+$D542*SQRT(-2*LN(RAND()))*COS(2*PI()*RAND()))*$E542*$J542*$K542)))</x:f>
        <x:v>992.4741592821623</x:v>
      </x:c>
      <x:c r="H542" s="11" t="n">
        <x:f>IF($A542="","",$G542*$F542+$C542*(1-$F542))</x:f>
        <x:v>1075.3659557487567</x:v>
      </x:c>
      <x:c r="I542" s="11" t="n">
        <x:f>IF($A542="","",AVERAGE($H542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1119.1731600934013</x:v>
      </x:c>
      <x:c r="J542" s="12" t="n">
        <x:f>IF($A542="","",1+SUMIFS(Assumptions!$S$5:$S$10,Assumptions!$P$5:$P$10,$B542,Assumptions!$Q$5:$Q$10,"&lt;="&amp;$A542,Assumptions!$R$5:$R$10,"&gt;="&amp;$A542))</x:f>
        <x:v>1</x:v>
      </x:c>
      <x:c r="K542" s="12" t="n">
        <x:f>IF($A542="","",1+((($A542-Assumptions!$B$5)/30)*INDEX(Assumptions!$J$5:$J$12,MATCH($B542,Assumptions!$D$5:$D$12,0))))</x:f>
        <x:v>1.0072</x:v>
      </x:c>
      <x:c r="L542" t="str">
        <x:f>IF($A542="","",IFERROR(INDEX(Assumptions!$O$5:$O$10,MATCH(1,(Assumptions!$P$5:$P$10=$B542)*(Assumptions!$Q$5:$Q$10&lt;=$A542)*(Assumptions!$R$5:$R$10&gt;=$A542),0)),""))</x:f>
      </x:c>
      <x:c r="M542" t="n">
        <x:f>--($A542&lt;&gt;"")</x:f>
        <x:v>1</x:v>
      </x:c>
    </x:row>
    <x:row r="543">
      <x:c r="A543" s="10" t="n">
        <x:f>IF(Assumptions!$B$5+INT((ROW()-2)/Assumptions!$B$7)&gt;Assumptions!$B$6,"",Assumptions!$B$5+INT((ROW()-2)/Assumptions!$B$7))</x:f>
        <x:v>46131</x:v>
      </x:c>
      <x:c r="B543" t="str">
        <x:f>IF($A543="","",INDEX(Assumptions!$D$5:$D$12,MOD(ROW()-2,Assumptions!$B$7)+1))</x:f>
        <x:v>LV-426 North</x:v>
      </x:c>
      <x:c r="C543" s="11" t="n">
        <x:f>IF($A543="","",INDEX(Assumptions!$F$5:$F$12,MATCH($B543,Assumptions!$D$5:$D$12,0)))</x:f>
        <x:v>930</x:v>
      </x:c>
      <x:c r="D543" s="11" t="n">
        <x:f>IF($A543="","",INDEX(Assumptions!$G$5:$G$12,MATCH($B543,Assumptions!$D$5:$D$12,0)))</x:f>
        <x:v>95</x:v>
      </x:c>
      <x:c r="E543" s="11" t="n">
        <x:f>IF($A543="","",INDEX(Assumptions!$M$5:$M$11,WEEKDAY($A543,2)))</x:f>
        <x:v>0.87</x:v>
      </x:c>
      <x:c r="F543" s="11" t="n">
        <x:f>IF($A543="","",Assumptions!$B$15)</x:f>
        <x:v>0.35</x:v>
      </x:c>
      <x:c r="G543" s="11" t="n">
        <x:f>IF($A543="","",MAX(INDEX(Assumptions!$H$5:$H$12,MATCH($B543,Assumptions!$D$5:$D$12,0)),MIN(INDEX(Assumptions!$I$5:$I$12,MATCH($B543,Assumptions!$D$5:$D$12,0)),($C543+$D543*SQRT(-2*LN(RAND()))*COS(2*PI()*RAND()))*$E543*$J543*$K543)))</x:f>
        <x:v>812.7836633238046</x:v>
      </x:c>
      <x:c r="H543" s="11" t="n">
        <x:f>IF($A543="","",$G543*$F543+$C543*(1-$F543))</x:f>
        <x:v>888.9742821633315</x:v>
      </x:c>
      <x:c r="I543" s="11" t="n">
        <x:f>IF($A543="","",AVERAGE($H543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924.4935360242096</x:v>
      </x:c>
      <x:c r="J543" s="12" t="n">
        <x:f>IF($A543="","",1+SUMIFS(Assumptions!$S$5:$S$10,Assumptions!$P$5:$P$10,$B543,Assumptions!$Q$5:$Q$10,"&lt;="&amp;$A543,Assumptions!$R$5:$R$10,"&gt;="&amp;$A543))</x:f>
        <x:v>1</x:v>
      </x:c>
      <x:c r="K543" s="12" t="n">
        <x:f>IF($A543="","",1+((($A543-Assumptions!$B$5)/30)*INDEX(Assumptions!$J$5:$J$12,MATCH($B543,Assumptions!$D$5:$D$12,0))))</x:f>
        <x:v>0.9964</x:v>
      </x:c>
      <x:c r="L543" t="str">
        <x:f>IF($A543="","",IFERROR(INDEX(Assumptions!$O$5:$O$10,MATCH(1,(Assumptions!$P$5:$P$10=$B543)*(Assumptions!$Q$5:$Q$10&lt;=$A543)*(Assumptions!$R$5:$R$10&gt;=$A543),0)),""))</x:f>
      </x:c>
      <x:c r="M543" t="n">
        <x:f>--($A543&lt;&gt;"")</x:f>
        <x:v>1</x:v>
      </x:c>
    </x:row>
    <x:row r="544">
      <x:c r="A544" s="10" t="n">
        <x:f>IF(Assumptions!$B$5+INT((ROW()-2)/Assumptions!$B$7)&gt;Assumptions!$B$6,"",Assumptions!$B$5+INT((ROW()-2)/Assumptions!$B$7))</x:f>
        <x:v>46131</x:v>
      </x:c>
      <x:c r="B544" t="str">
        <x:f>IF($A544="","",INDEX(Assumptions!$D$5:$D$12,MOD(ROW()-2,Assumptions!$B$7)+1))</x:f>
        <x:v>Nostromo Deep</x:v>
      </x:c>
      <x:c r="C544" s="11" t="n">
        <x:f>IF($A544="","",INDEX(Assumptions!$F$5:$F$12,MATCH($B544,Assumptions!$D$5:$D$12,0)))</x:f>
        <x:v>1260</x:v>
      </x:c>
      <x:c r="D544" s="11" t="n">
        <x:f>IF($A544="","",INDEX(Assumptions!$G$5:$G$12,MATCH($B544,Assumptions!$D$5:$D$12,0)))</x:f>
        <x:v>145</x:v>
      </x:c>
      <x:c r="E544" s="11" t="n">
        <x:f>IF($A544="","",INDEX(Assumptions!$M$5:$M$11,WEEKDAY($A544,2)))</x:f>
        <x:v>0.87</x:v>
      </x:c>
      <x:c r="F544" s="11" t="n">
        <x:f>IF($A544="","",Assumptions!$B$15)</x:f>
        <x:v>0.35</x:v>
      </x:c>
      <x:c r="G544" s="11" t="n">
        <x:f>IF($A544="","",MAX(INDEX(Assumptions!$H$5:$H$12,MATCH($B544,Assumptions!$D$5:$D$12,0)),MIN(INDEX(Assumptions!$I$5:$I$12,MATCH($B544,Assumptions!$D$5:$D$12,0)),($C544+$D544*SQRT(-2*LN(RAND()))*COS(2*PI()*RAND()))*$E544*$J544*$K544)))</x:f>
        <x:v>905.9623861961755</x:v>
      </x:c>
      <x:c r="H544" s="11" t="n">
        <x:f>IF($A544="","",$G544*$F544+$C544*(1-$F544))</x:f>
        <x:v>1136.0868351686613</x:v>
      </x:c>
      <x:c r="I544" s="11" t="n">
        <x:f>IF($A544="","",AVERAGE($H544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1233.032842721944</x:v>
      </x:c>
      <x:c r="J544" s="12" t="n">
        <x:f>IF($A544="","",1+SUMIFS(Assumptions!$S$5:$S$10,Assumptions!$P$5:$P$10,$B544,Assumptions!$Q$5:$Q$10,"&lt;="&amp;$A544,Assumptions!$R$5:$R$10,"&gt;="&amp;$A544))</x:f>
        <x:v>1</x:v>
      </x:c>
      <x:c r="K544" s="12" t="n">
        <x:f>IF($A544="","",1+((($A544-Assumptions!$B$5)/30)*INDEX(Assumptions!$J$5:$J$12,MATCH($B544,Assumptions!$D$5:$D$12,0))))</x:f>
        <x:v>1.0108</x:v>
      </x:c>
      <x:c r="L544" t="str">
        <x:f>IF($A544="","",IFERROR(INDEX(Assumptions!$O$5:$O$10,MATCH(1,(Assumptions!$P$5:$P$10=$B544)*(Assumptions!$Q$5:$Q$10&lt;=$A544)*(Assumptions!$R$5:$R$10&gt;=$A544),0)),""))</x:f>
      </x:c>
      <x:c r="M544" t="n">
        <x:f>--($A544&lt;&gt;"")</x:f>
        <x:v>1</x:v>
      </x:c>
    </x:row>
    <x:row r="545">
      <x:c r="A545" s="10" t="n">
        <x:f>IF(Assumptions!$B$5+INT((ROW()-2)/Assumptions!$B$7)&gt;Assumptions!$B$6,"",Assumptions!$B$5+INT((ROW()-2)/Assumptions!$B$7))</x:f>
        <x:v>46131</x:v>
      </x:c>
      <x:c r="B545" t="str">
        <x:f>IF($A545="","",INDEX(Assumptions!$D$5:$D$12,MOD(ROW()-2,Assumptions!$B$7)+1))</x:f>
        <x:v>Hadley's Hope</x:v>
      </x:c>
      <x:c r="C545" s="11" t="n">
        <x:f>IF($A545="","",INDEX(Assumptions!$F$5:$F$12,MATCH($B545,Assumptions!$D$5:$D$12,0)))</x:f>
        <x:v>845</x:v>
      </x:c>
      <x:c r="D545" s="11" t="n">
        <x:f>IF($A545="","",INDEX(Assumptions!$G$5:$G$12,MATCH($B545,Assumptions!$D$5:$D$12,0)))</x:f>
        <x:v>80</x:v>
      </x:c>
      <x:c r="E545" s="11" t="n">
        <x:f>IF($A545="","",INDEX(Assumptions!$M$5:$M$11,WEEKDAY($A545,2)))</x:f>
        <x:v>0.87</x:v>
      </x:c>
      <x:c r="F545" s="11" t="n">
        <x:f>IF($A545="","",Assumptions!$B$15)</x:f>
        <x:v>0.35</x:v>
      </x:c>
      <x:c r="G545" s="11" t="n">
        <x:f>IF($A545="","",MAX(INDEX(Assumptions!$H$5:$H$12,MATCH($B545,Assumptions!$D$5:$D$12,0)),MIN(INDEX(Assumptions!$I$5:$I$12,MATCH($B545,Assumptions!$D$5:$D$12,0)),($C545+$D545*SQRT(-2*LN(RAND()))*COS(2*PI()*RAND()))*$E545*$J545*$K545)))</x:f>
        <x:v>706.9436448923827</x:v>
      </x:c>
      <x:c r="H545" s="11" t="n">
        <x:f>IF($A545="","",$G545*$F545+$C545*(1-$F545))</x:f>
        <x:v>796.6802757123339</x:v>
      </x:c>
      <x:c r="I545" s="11" t="n">
        <x:f>IF($A545="","",AVERAGE($H545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841.5768816349746</x:v>
      </x:c>
      <x:c r="J545" s="12" t="n">
        <x:f>IF($A545="","",1+SUMIFS(Assumptions!$S$5:$S$10,Assumptions!$P$5:$P$10,$B545,Assumptions!$Q$5:$Q$10,"&lt;="&amp;$A545,Assumptions!$R$5:$R$10,"&gt;="&amp;$A545))</x:f>
        <x:v>1</x:v>
      </x:c>
      <x:c r="K545" s="12" t="n">
        <x:f>IF($A545="","",1+((($A545-Assumptions!$B$5)/30)*INDEX(Assumptions!$J$5:$J$12,MATCH($B545,Assumptions!$D$5:$D$12,0))))</x:f>
        <x:v>1.0036</x:v>
      </x:c>
      <x:c r="L545" t="str">
        <x:f>IF($A545="","",IFERROR(INDEX(Assumptions!$O$5:$O$10,MATCH(1,(Assumptions!$P$5:$P$10=$B545)*(Assumptions!$Q$5:$Q$10&lt;=$A545)*(Assumptions!$R$5:$R$10&gt;=$A545),0)),""))</x:f>
      </x:c>
      <x:c r="M545" t="n">
        <x:f>--($A545&lt;&gt;"")</x:f>
        <x:v>1</x:v>
      </x:c>
    </x:row>
    <x:row r="546">
      <x:c r="A546" s="10" t="n">
        <x:f>IF(Assumptions!$B$5+INT((ROW()-2)/Assumptions!$B$7)&gt;Assumptions!$B$6,"",Assumptions!$B$5+INT((ROW()-2)/Assumptions!$B$7))</x:f>
        <x:v>46131</x:v>
      </x:c>
      <x:c r="B546" t="str">
        <x:f>IF($A546="","",INDEX(Assumptions!$D$5:$D$12,MOD(ROW()-2,Assumptions!$B$7)+1))</x:f>
        <x:v>Yutani Ridge</x:v>
      </x:c>
      <x:c r="C546" s="11" t="n">
        <x:f>IF($A546="","",INDEX(Assumptions!$F$5:$F$12,MATCH($B546,Assumptions!$D$5:$D$12,0)))</x:f>
        <x:v>1050</x:v>
      </x:c>
      <x:c r="D546" s="11" t="n">
        <x:f>IF($A546="","",INDEX(Assumptions!$G$5:$G$12,MATCH($B546,Assumptions!$D$5:$D$12,0)))</x:f>
        <x:v>125</x:v>
      </x:c>
      <x:c r="E546" s="11" t="n">
        <x:f>IF($A546="","",INDEX(Assumptions!$M$5:$M$11,WEEKDAY($A546,2)))</x:f>
        <x:v>0.87</x:v>
      </x:c>
      <x:c r="F546" s="11" t="n">
        <x:f>IF($A546="","",Assumptions!$B$15)</x:f>
        <x:v>0.35</x:v>
      </x:c>
      <x:c r="G546" s="11" t="n">
        <x:f>IF($A546="","",MAX(INDEX(Assumptions!$H$5:$H$12,MATCH($B546,Assumptions!$D$5:$D$12,0)),MIN(INDEX(Assumptions!$I$5:$I$12,MATCH($B546,Assumptions!$D$5:$D$12,0)),($C546+$D546*SQRT(-2*LN(RAND()))*COS(2*PI()*RAND()))*$E546*$J546*$K546)))</x:f>
        <x:v>872.440261925639</x:v>
      </x:c>
      <x:c r="H546" s="11" t="n">
        <x:f>IF($A546="","",$G546*$F546+$C546*(1-$F546))</x:f>
        <x:v>987.8540916739737</x:v>
      </x:c>
      <x:c r="I546" s="11" t="n">
        <x:f>IF($A546="","",AVERAGE($H546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1054.0968649133117</x:v>
      </x:c>
      <x:c r="J546" s="12" t="n">
        <x:f>IF($A546="","",1+SUMIFS(Assumptions!$S$5:$S$10,Assumptions!$P$5:$P$10,$B546,Assumptions!$Q$5:$Q$10,"&lt;="&amp;$A546,Assumptions!$R$5:$R$10,"&gt;="&amp;$A546))</x:f>
        <x:v>1</x:v>
      </x:c>
      <x:c r="K546" s="12" t="n">
        <x:f>IF($A546="","",1+((($A546-Assumptions!$B$5)/30)*INDEX(Assumptions!$J$5:$J$12,MATCH($B546,Assumptions!$D$5:$D$12,0))))</x:f>
        <x:v>1.009</x:v>
      </x:c>
      <x:c r="L546" t="str">
        <x:f>IF($A546="","",IFERROR(INDEX(Assumptions!$O$5:$O$10,MATCH(1,(Assumptions!$P$5:$P$10=$B546)*(Assumptions!$Q$5:$Q$10&lt;=$A546)*(Assumptions!$R$5:$R$10&gt;=$A546),0)),""))</x:f>
      </x:c>
      <x:c r="M546" t="n">
        <x:f>--($A546&lt;&gt;"")</x:f>
        <x:v>1</x:v>
      </x:c>
    </x:row>
    <x:row r="547">
      <x:c r="A547" s="10" t="n">
        <x:f>IF(Assumptions!$B$5+INT((ROW()-2)/Assumptions!$B$7)&gt;Assumptions!$B$6,"",Assumptions!$B$5+INT((ROW()-2)/Assumptions!$B$7))</x:f>
        <x:v>46132</x:v>
      </x:c>
      <x:c r="B547" t="str">
        <x:f>IF($A547="","",INDEX(Assumptions!$D$5:$D$12,MOD(ROW()-2,Assumptions!$B$7)+1))</x:f>
        <x:v>Acheron Prime</x:v>
      </x:c>
      <x:c r="C547" s="11" t="n">
        <x:f>IF($A547="","",INDEX(Assumptions!$F$5:$F$12,MATCH($B547,Assumptions!$D$5:$D$12,0)))</x:f>
        <x:v>1120</x:v>
      </x:c>
      <x:c r="D547" s="11" t="n">
        <x:f>IF($A547="","",INDEX(Assumptions!$G$5:$G$12,MATCH($B547,Assumptions!$D$5:$D$12,0)))</x:f>
        <x:v>115</x:v>
      </x:c>
      <x:c r="E547" s="11" t="n">
        <x:f>IF($A547="","",INDEX(Assumptions!$M$5:$M$11,WEEKDAY($A547,2)))</x:f>
        <x:v>1.03</x:v>
      </x:c>
      <x:c r="F547" s="11" t="n">
        <x:f>IF($A547="","",Assumptions!$B$15)</x:f>
        <x:v>0.35</x:v>
      </x:c>
      <x:c r="G547" s="11" t="n">
        <x:f>IF($A547="","",MAX(INDEX(Assumptions!$H$5:$H$12,MATCH($B547,Assumptions!$D$5:$D$12,0)),MIN(INDEX(Assumptions!$I$5:$I$12,MATCH($B547,Assumptions!$D$5:$D$12,0)),($C547+$D547*SQRT(-2*LN(RAND()))*COS(2*PI()*RAND()))*$E547*$J547*$K547)))</x:f>
        <x:v>1175.7097423626826</x:v>
      </x:c>
      <x:c r="H547" s="11" t="n">
        <x:f>IF($A547="","",$G547*$F547+$C547*(1-$F547))</x:f>
        <x:v>1139.4984098269388</x:v>
      </x:c>
      <x:c r="I547" s="11" t="n">
        <x:f>IF($A547="","",AVERAGE($H547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1120.9136322043378</x:v>
      </x:c>
      <x:c r="J547" s="12" t="n">
        <x:f>IF($A547="","",1+SUMIFS(Assumptions!$S$5:$S$10,Assumptions!$P$5:$P$10,$B547,Assumptions!$Q$5:$Q$10,"&lt;="&amp;$A547,Assumptions!$R$5:$R$10,"&gt;="&amp;$A547))</x:f>
        <x:v>1</x:v>
      </x:c>
      <x:c r="K547" s="12" t="n">
        <x:f>IF($A547="","",1+((($A547-Assumptions!$B$5)/30)*INDEX(Assumptions!$J$5:$J$12,MATCH($B547,Assumptions!$D$5:$D$12,0))))</x:f>
        <x:v>1.0072666666666668</x:v>
      </x:c>
      <x:c r="L547" t="str">
        <x:f>IF($A547="","",IFERROR(INDEX(Assumptions!$O$5:$O$10,MATCH(1,(Assumptions!$P$5:$P$10=$B547)*(Assumptions!$Q$5:$Q$10&lt;=$A547)*(Assumptions!$R$5:$R$10&gt;=$A547),0)),""))</x:f>
      </x:c>
      <x:c r="M547" t="n">
        <x:f>--($A547&lt;&gt;"")</x:f>
        <x:v>1</x:v>
      </x:c>
    </x:row>
    <x:row r="548">
      <x:c r="A548" s="10" t="n">
        <x:f>IF(Assumptions!$B$5+INT((ROW()-2)/Assumptions!$B$7)&gt;Assumptions!$B$6,"",Assumptions!$B$5+INT((ROW()-2)/Assumptions!$B$7))</x:f>
        <x:v>46132</x:v>
      </x:c>
      <x:c r="B548" t="str">
        <x:f>IF($A548="","",INDEX(Assumptions!$D$5:$D$12,MOD(ROW()-2,Assumptions!$B$7)+1))</x:f>
        <x:v>LV-426 North</x:v>
      </x:c>
      <x:c r="C548" s="11" t="n">
        <x:f>IF($A548="","",INDEX(Assumptions!$F$5:$F$12,MATCH($B548,Assumptions!$D$5:$D$12,0)))</x:f>
        <x:v>930</x:v>
      </x:c>
      <x:c r="D548" s="11" t="n">
        <x:f>IF($A548="","",INDEX(Assumptions!$G$5:$G$12,MATCH($B548,Assumptions!$D$5:$D$12,0)))</x:f>
        <x:v>95</x:v>
      </x:c>
      <x:c r="E548" s="11" t="n">
        <x:f>IF($A548="","",INDEX(Assumptions!$M$5:$M$11,WEEKDAY($A548,2)))</x:f>
        <x:v>1.03</x:v>
      </x:c>
      <x:c r="F548" s="11" t="n">
        <x:f>IF($A548="","",Assumptions!$B$15)</x:f>
        <x:v>0.35</x:v>
      </x:c>
      <x:c r="G548" s="11" t="n">
        <x:f>IF($A548="","",MAX(INDEX(Assumptions!$H$5:$H$12,MATCH($B548,Assumptions!$D$5:$D$12,0)),MIN(INDEX(Assumptions!$I$5:$I$12,MATCH($B548,Assumptions!$D$5:$D$12,0)),($C548+$D548*SQRT(-2*LN(RAND()))*COS(2*PI()*RAND()))*$E548*$J548*$K548)))</x:f>
        <x:v>867.3402824251616</x:v>
      </x:c>
      <x:c r="H548" s="11" t="n">
        <x:f>IF($A548="","",$G548*$F548+$C548*(1-$F548))</x:f>
        <x:v>908.0690988488066</x:v>
      </x:c>
      <x:c r="I548" s="11" t="n">
        <x:f>IF($A548="","",AVERAGE($H548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919.2956149146446</x:v>
      </x:c>
      <x:c r="J548" s="12" t="n">
        <x:f>IF($A548="","",1+SUMIFS(Assumptions!$S$5:$S$10,Assumptions!$P$5:$P$10,$B548,Assumptions!$Q$5:$Q$10,"&lt;="&amp;$A548,Assumptions!$R$5:$R$10,"&gt;="&amp;$A548))</x:f>
        <x:v>1</x:v>
      </x:c>
      <x:c r="K548" s="12" t="n">
        <x:f>IF($A548="","",1+((($A548-Assumptions!$B$5)/30)*INDEX(Assumptions!$J$5:$J$12,MATCH($B548,Assumptions!$D$5:$D$12,0))))</x:f>
        <x:v>0.9963666666666666</x:v>
      </x:c>
      <x:c r="L548" t="str">
        <x:f>IF($A548="","",IFERROR(INDEX(Assumptions!$O$5:$O$10,MATCH(1,(Assumptions!$P$5:$P$10=$B548)*(Assumptions!$Q$5:$Q$10&lt;=$A548)*(Assumptions!$R$5:$R$10&gt;=$A548),0)),""))</x:f>
      </x:c>
      <x:c r="M548" t="n">
        <x:f>--($A548&lt;&gt;"")</x:f>
        <x:v>1</x:v>
      </x:c>
    </x:row>
    <x:row r="549">
      <x:c r="A549" s="10" t="n">
        <x:f>IF(Assumptions!$B$5+INT((ROW()-2)/Assumptions!$B$7)&gt;Assumptions!$B$6,"",Assumptions!$B$5+INT((ROW()-2)/Assumptions!$B$7))</x:f>
        <x:v>46132</x:v>
      </x:c>
      <x:c r="B549" t="str">
        <x:f>IF($A549="","",INDEX(Assumptions!$D$5:$D$12,MOD(ROW()-2,Assumptions!$B$7)+1))</x:f>
        <x:v>Nostromo Deep</x:v>
      </x:c>
      <x:c r="C549" s="11" t="n">
        <x:f>IF($A549="","",INDEX(Assumptions!$F$5:$F$12,MATCH($B549,Assumptions!$D$5:$D$12,0)))</x:f>
        <x:v>1260</x:v>
      </x:c>
      <x:c r="D549" s="11" t="n">
        <x:f>IF($A549="","",INDEX(Assumptions!$G$5:$G$12,MATCH($B549,Assumptions!$D$5:$D$12,0)))</x:f>
        <x:v>145</x:v>
      </x:c>
      <x:c r="E549" s="11" t="n">
        <x:f>IF($A549="","",INDEX(Assumptions!$M$5:$M$11,WEEKDAY($A549,2)))</x:f>
        <x:v>1.03</x:v>
      </x:c>
      <x:c r="F549" s="11" t="n">
        <x:f>IF($A549="","",Assumptions!$B$15)</x:f>
        <x:v>0.35</x:v>
      </x:c>
      <x:c r="G549" s="11" t="n">
        <x:f>IF($A549="","",MAX(INDEX(Assumptions!$H$5:$H$12,MATCH($B549,Assumptions!$D$5:$D$12,0)),MIN(INDEX(Assumptions!$I$5:$I$12,MATCH($B549,Assumptions!$D$5:$D$12,0)),($C549+$D549*SQRT(-2*LN(RAND()))*COS(2*PI()*RAND()))*$E549*$J549*$K549)))</x:f>
        <x:v>1217.8342529426798</x:v>
      </x:c>
      <x:c r="H549" s="11" t="n">
        <x:f>IF($A549="","",$G549*$F549+$C549*(1-$F549))</x:f>
        <x:v>1245.2419885299378</x:v>
      </x:c>
      <x:c r="I549" s="11" t="n">
        <x:f>IF($A549="","",AVERAGE($H549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1230.3779865109277</x:v>
      </x:c>
      <x:c r="J549" s="12" t="n">
        <x:f>IF($A549="","",1+SUMIFS(Assumptions!$S$5:$S$10,Assumptions!$P$5:$P$10,$B549,Assumptions!$Q$5:$Q$10,"&lt;="&amp;$A549,Assumptions!$R$5:$R$10,"&gt;="&amp;$A549))</x:f>
        <x:v>1</x:v>
      </x:c>
      <x:c r="K549" s="12" t="n">
        <x:f>IF($A549="","",1+((($A549-Assumptions!$B$5)/30)*INDEX(Assumptions!$J$5:$J$12,MATCH($B549,Assumptions!$D$5:$D$12,0))))</x:f>
        <x:v>1.0109</x:v>
      </x:c>
      <x:c r="L549" t="str">
        <x:f>IF($A549="","",IFERROR(INDEX(Assumptions!$O$5:$O$10,MATCH(1,(Assumptions!$P$5:$P$10=$B549)*(Assumptions!$Q$5:$Q$10&lt;=$A549)*(Assumptions!$R$5:$R$10&gt;=$A549),0)),""))</x:f>
      </x:c>
      <x:c r="M549" t="n">
        <x:f>--($A549&lt;&gt;"")</x:f>
        <x:v>1</x:v>
      </x:c>
    </x:row>
    <x:row r="550">
      <x:c r="A550" s="10" t="n">
        <x:f>IF(Assumptions!$B$5+INT((ROW()-2)/Assumptions!$B$7)&gt;Assumptions!$B$6,"",Assumptions!$B$5+INT((ROW()-2)/Assumptions!$B$7))</x:f>
        <x:v>46132</x:v>
      </x:c>
      <x:c r="B550" t="str">
        <x:f>IF($A550="","",INDEX(Assumptions!$D$5:$D$12,MOD(ROW()-2,Assumptions!$B$7)+1))</x:f>
        <x:v>Hadley's Hope</x:v>
      </x:c>
      <x:c r="C550" s="11" t="n">
        <x:f>IF($A550="","",INDEX(Assumptions!$F$5:$F$12,MATCH($B550,Assumptions!$D$5:$D$12,0)))</x:f>
        <x:v>845</x:v>
      </x:c>
      <x:c r="D550" s="11" t="n">
        <x:f>IF($A550="","",INDEX(Assumptions!$G$5:$G$12,MATCH($B550,Assumptions!$D$5:$D$12,0)))</x:f>
        <x:v>80</x:v>
      </x:c>
      <x:c r="E550" s="11" t="n">
        <x:f>IF($A550="","",INDEX(Assumptions!$M$5:$M$11,WEEKDAY($A550,2)))</x:f>
        <x:v>1.03</x:v>
      </x:c>
      <x:c r="F550" s="11" t="n">
        <x:f>IF($A550="","",Assumptions!$B$15)</x:f>
        <x:v>0.35</x:v>
      </x:c>
      <x:c r="G550" s="11" t="n">
        <x:f>IF($A550="","",MAX(INDEX(Assumptions!$H$5:$H$12,MATCH($B550,Assumptions!$D$5:$D$12,0)),MIN(INDEX(Assumptions!$I$5:$I$12,MATCH($B550,Assumptions!$D$5:$D$12,0)),($C550+$D550*SQRT(-2*LN(RAND()))*COS(2*PI()*RAND()))*$E550*$J550*$K550)))</x:f>
        <x:v>880.5063155446388</x:v>
      </x:c>
      <x:c r="H550" s="11" t="n">
        <x:f>IF($A550="","",$G550*$F550+$C550*(1-$F550))</x:f>
        <x:v>857.4272104406236</x:v>
      </x:c>
      <x:c r="I550" s="11" t="n">
        <x:f>IF($A550="","",AVERAGE($H550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845.3762161601406</x:v>
      </x:c>
      <x:c r="J550" s="12" t="n">
        <x:f>IF($A550="","",1+SUMIFS(Assumptions!$S$5:$S$10,Assumptions!$P$5:$P$10,$B550,Assumptions!$Q$5:$Q$10,"&lt;="&amp;$A550,Assumptions!$R$5:$R$10,"&gt;="&amp;$A550))</x:f>
        <x:v>1</x:v>
      </x:c>
      <x:c r="K550" s="12" t="n">
        <x:f>IF($A550="","",1+((($A550-Assumptions!$B$5)/30)*INDEX(Assumptions!$J$5:$J$12,MATCH($B550,Assumptions!$D$5:$D$12,0))))</x:f>
        <x:v>1.0036333333333334</x:v>
      </x:c>
      <x:c r="L550" t="str">
        <x:f>IF($A550="","",IFERROR(INDEX(Assumptions!$O$5:$O$10,MATCH(1,(Assumptions!$P$5:$P$10=$B550)*(Assumptions!$Q$5:$Q$10&lt;=$A550)*(Assumptions!$R$5:$R$10&gt;=$A550),0)),""))</x:f>
      </x:c>
      <x:c r="M550" t="n">
        <x:f>--($A550&lt;&gt;"")</x:f>
        <x:v>1</x:v>
      </x:c>
    </x:row>
    <x:row r="551">
      <x:c r="A551" s="10" t="n">
        <x:f>IF(Assumptions!$B$5+INT((ROW()-2)/Assumptions!$B$7)&gt;Assumptions!$B$6,"",Assumptions!$B$5+INT((ROW()-2)/Assumptions!$B$7))</x:f>
        <x:v>46132</x:v>
      </x:c>
      <x:c r="B551" t="str">
        <x:f>IF($A551="","",INDEX(Assumptions!$D$5:$D$12,MOD(ROW()-2,Assumptions!$B$7)+1))</x:f>
        <x:v>Yutani Ridge</x:v>
      </x:c>
      <x:c r="C551" s="11" t="n">
        <x:f>IF($A551="","",INDEX(Assumptions!$F$5:$F$12,MATCH($B551,Assumptions!$D$5:$D$12,0)))</x:f>
        <x:v>1050</x:v>
      </x:c>
      <x:c r="D551" s="11" t="n">
        <x:f>IF($A551="","",INDEX(Assumptions!$G$5:$G$12,MATCH($B551,Assumptions!$D$5:$D$12,0)))</x:f>
        <x:v>125</x:v>
      </x:c>
      <x:c r="E551" s="11" t="n">
        <x:f>IF($A551="","",INDEX(Assumptions!$M$5:$M$11,WEEKDAY($A551,2)))</x:f>
        <x:v>1.03</x:v>
      </x:c>
      <x:c r="F551" s="11" t="n">
        <x:f>IF($A551="","",Assumptions!$B$15)</x:f>
        <x:v>0.35</x:v>
      </x:c>
      <x:c r="G551" s="11" t="n">
        <x:f>IF($A551="","",MAX(INDEX(Assumptions!$H$5:$H$12,MATCH($B551,Assumptions!$D$5:$D$12,0)),MIN(INDEX(Assumptions!$I$5:$I$12,MATCH($B551,Assumptions!$D$5:$D$12,0)),($C551+$D551*SQRT(-2*LN(RAND()))*COS(2*PI()*RAND()))*$E551*$J551*$K551)))</x:f>
        <x:v>791.1285462280347</x:v>
      </x:c>
      <x:c r="H551" s="11" t="n">
        <x:f>IF($A551="","",$G551*$F551+$C551*(1-$F551))</x:f>
        <x:v>959.3949911798121</x:v>
      </x:c>
      <x:c r="I551" s="11" t="n">
        <x:f>IF($A551="","",AVERAGE($H551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1033.8635180992069</x:v>
      </x:c>
      <x:c r="J551" s="12" t="n">
        <x:f>IF($A551="","",1+SUMIFS(Assumptions!$S$5:$S$10,Assumptions!$P$5:$P$10,$B551,Assumptions!$Q$5:$Q$10,"&lt;="&amp;$A551,Assumptions!$R$5:$R$10,"&gt;="&amp;$A551))</x:f>
        <x:v>1</x:v>
      </x:c>
      <x:c r="K551" s="12" t="n">
        <x:f>IF($A551="","",1+((($A551-Assumptions!$B$5)/30)*INDEX(Assumptions!$J$5:$J$12,MATCH($B551,Assumptions!$D$5:$D$12,0))))</x:f>
        <x:v>1.0090833333333333</x:v>
      </x:c>
      <x:c r="L551" t="str">
        <x:f>IF($A551="","",IFERROR(INDEX(Assumptions!$O$5:$O$10,MATCH(1,(Assumptions!$P$5:$P$10=$B551)*(Assumptions!$Q$5:$Q$10&lt;=$A551)*(Assumptions!$R$5:$R$10&gt;=$A551),0)),""))</x:f>
      </x:c>
      <x:c r="M551" t="n">
        <x:f>--($A551&lt;&gt;"")</x:f>
        <x:v>1</x:v>
      </x:c>
    </x:row>
    <x:row r="552">
      <x:c r="A552" s="10" t="n">
        <x:f>IF(Assumptions!$B$5+INT((ROW()-2)/Assumptions!$B$7)&gt;Assumptions!$B$6,"",Assumptions!$B$5+INT((ROW()-2)/Assumptions!$B$7))</x:f>
        <x:v>46133</x:v>
      </x:c>
      <x:c r="B552" t="str">
        <x:f>IF($A552="","",INDEX(Assumptions!$D$5:$D$12,MOD(ROW()-2,Assumptions!$B$7)+1))</x:f>
        <x:v>Acheron Prime</x:v>
      </x:c>
      <x:c r="C552" s="11" t="n">
        <x:f>IF($A552="","",INDEX(Assumptions!$F$5:$F$12,MATCH($B552,Assumptions!$D$5:$D$12,0)))</x:f>
        <x:v>1120</x:v>
      </x:c>
      <x:c r="D552" s="11" t="n">
        <x:f>IF($A552="","",INDEX(Assumptions!$G$5:$G$12,MATCH($B552,Assumptions!$D$5:$D$12,0)))</x:f>
        <x:v>115</x:v>
      </x:c>
      <x:c r="E552" s="11" t="n">
        <x:f>IF($A552="","",INDEX(Assumptions!$M$5:$M$11,WEEKDAY($A552,2)))</x:f>
        <x:v>1.02</x:v>
      </x:c>
      <x:c r="F552" s="11" t="n">
        <x:f>IF($A552="","",Assumptions!$B$15)</x:f>
        <x:v>0.35</x:v>
      </x:c>
      <x:c r="G552" s="11" t="n">
        <x:f>IF($A552="","",MAX(INDEX(Assumptions!$H$5:$H$12,MATCH($B552,Assumptions!$D$5:$D$12,0)),MIN(INDEX(Assumptions!$I$5:$I$12,MATCH($B552,Assumptions!$D$5:$D$12,0)),($C552+$D552*SQRT(-2*LN(RAND()))*COS(2*PI()*RAND()))*$E552*$J552*$K552)))</x:f>
        <x:v>1182.9897198380456</x:v>
      </x:c>
      <x:c r="H552" s="11" t="n">
        <x:f>IF($A552="","",$G552*$F552+$C552*(1-$F552))</x:f>
        <x:v>1142.046401943316</x:v>
      </x:c>
      <x:c r="I552" s="11" t="n">
        <x:f>IF($A552="","",AVERAGE($H552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1121.3194471572</x:v>
      </x:c>
      <x:c r="J552" s="12" t="n">
        <x:f>IF($A552="","",1+SUMIFS(Assumptions!$S$5:$S$10,Assumptions!$P$5:$P$10,$B552,Assumptions!$Q$5:$Q$10,"&lt;="&amp;$A552,Assumptions!$R$5:$R$10,"&gt;="&amp;$A552))</x:f>
        <x:v>1</x:v>
      </x:c>
      <x:c r="K552" s="12" t="n">
        <x:f>IF($A552="","",1+((($A552-Assumptions!$B$5)/30)*INDEX(Assumptions!$J$5:$J$12,MATCH($B552,Assumptions!$D$5:$D$12,0))))</x:f>
        <x:v>1.0073333333333334</x:v>
      </x:c>
      <x:c r="L552" t="str">
        <x:f>IF($A552="","",IFERROR(INDEX(Assumptions!$O$5:$O$10,MATCH(1,(Assumptions!$P$5:$P$10=$B552)*(Assumptions!$Q$5:$Q$10&lt;=$A552)*(Assumptions!$R$5:$R$10&gt;=$A552),0)),""))</x:f>
      </x:c>
      <x:c r="M552" t="n">
        <x:f>--($A552&lt;&gt;"")</x:f>
        <x:v>1</x:v>
      </x:c>
    </x:row>
    <x:row r="553">
      <x:c r="A553" s="10" t="n">
        <x:f>IF(Assumptions!$B$5+INT((ROW()-2)/Assumptions!$B$7)&gt;Assumptions!$B$6,"",Assumptions!$B$5+INT((ROW()-2)/Assumptions!$B$7))</x:f>
        <x:v>46133</x:v>
      </x:c>
      <x:c r="B553" t="str">
        <x:f>IF($A553="","",INDEX(Assumptions!$D$5:$D$12,MOD(ROW()-2,Assumptions!$B$7)+1))</x:f>
        <x:v>LV-426 North</x:v>
      </x:c>
      <x:c r="C553" s="11" t="n">
        <x:f>IF($A553="","",INDEX(Assumptions!$F$5:$F$12,MATCH($B553,Assumptions!$D$5:$D$12,0)))</x:f>
        <x:v>930</x:v>
      </x:c>
      <x:c r="D553" s="11" t="n">
        <x:f>IF($A553="","",INDEX(Assumptions!$G$5:$G$12,MATCH($B553,Assumptions!$D$5:$D$12,0)))</x:f>
        <x:v>95</x:v>
      </x:c>
      <x:c r="E553" s="11" t="n">
        <x:f>IF($A553="","",INDEX(Assumptions!$M$5:$M$11,WEEKDAY($A553,2)))</x:f>
        <x:v>1.02</x:v>
      </x:c>
      <x:c r="F553" s="11" t="n">
        <x:f>IF($A553="","",Assumptions!$B$15)</x:f>
        <x:v>0.35</x:v>
      </x:c>
      <x:c r="G553" s="11" t="n">
        <x:f>IF($A553="","",MAX(INDEX(Assumptions!$H$5:$H$12,MATCH($B553,Assumptions!$D$5:$D$12,0)),MIN(INDEX(Assumptions!$I$5:$I$12,MATCH($B553,Assumptions!$D$5:$D$12,0)),($C553+$D553*SQRT(-2*LN(RAND()))*COS(2*PI()*RAND()))*$E553*$J553*$K553)))</x:f>
        <x:v>935.3384826450392</x:v>
      </x:c>
      <x:c r="H553" s="11" t="n">
        <x:f>IF($A553="","",$G553*$F553+$C553*(1-$F553))</x:f>
        <x:v>931.8684689257636</x:v>
      </x:c>
      <x:c r="I553" s="11" t="n">
        <x:f>IF($A553="","",AVERAGE($H553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919.8477081086301</x:v>
      </x:c>
      <x:c r="J553" s="12" t="n">
        <x:f>IF($A553="","",1+SUMIFS(Assumptions!$S$5:$S$10,Assumptions!$P$5:$P$10,$B553,Assumptions!$Q$5:$Q$10,"&lt;="&amp;$A553,Assumptions!$R$5:$R$10,"&gt;="&amp;$A553))</x:f>
        <x:v>1</x:v>
      </x:c>
      <x:c r="K553" s="12" t="n">
        <x:f>IF($A553="","",1+((($A553-Assumptions!$B$5)/30)*INDEX(Assumptions!$J$5:$J$12,MATCH($B553,Assumptions!$D$5:$D$12,0))))</x:f>
        <x:v>0.9963333333333333</x:v>
      </x:c>
      <x:c r="L553" t="str">
        <x:f>IF($A553="","",IFERROR(INDEX(Assumptions!$O$5:$O$10,MATCH(1,(Assumptions!$P$5:$P$10=$B553)*(Assumptions!$Q$5:$Q$10&lt;=$A553)*(Assumptions!$R$5:$R$10&gt;=$A553),0)),""))</x:f>
      </x:c>
      <x:c r="M553" t="n">
        <x:f>--($A553&lt;&gt;"")</x:f>
        <x:v>1</x:v>
      </x:c>
    </x:row>
    <x:row r="554">
      <x:c r="A554" s="10" t="n">
        <x:f>IF(Assumptions!$B$5+INT((ROW()-2)/Assumptions!$B$7)&gt;Assumptions!$B$6,"",Assumptions!$B$5+INT((ROW()-2)/Assumptions!$B$7))</x:f>
        <x:v>46133</x:v>
      </x:c>
      <x:c r="B554" t="str">
        <x:f>IF($A554="","",INDEX(Assumptions!$D$5:$D$12,MOD(ROW()-2,Assumptions!$B$7)+1))</x:f>
        <x:v>Nostromo Deep</x:v>
      </x:c>
      <x:c r="C554" s="11" t="n">
        <x:f>IF($A554="","",INDEX(Assumptions!$F$5:$F$12,MATCH($B554,Assumptions!$D$5:$D$12,0)))</x:f>
        <x:v>1260</x:v>
      </x:c>
      <x:c r="D554" s="11" t="n">
        <x:f>IF($A554="","",INDEX(Assumptions!$G$5:$G$12,MATCH($B554,Assumptions!$D$5:$D$12,0)))</x:f>
        <x:v>145</x:v>
      </x:c>
      <x:c r="E554" s="11" t="n">
        <x:f>IF($A554="","",INDEX(Assumptions!$M$5:$M$11,WEEKDAY($A554,2)))</x:f>
        <x:v>1.02</x:v>
      </x:c>
      <x:c r="F554" s="11" t="n">
        <x:f>IF($A554="","",Assumptions!$B$15)</x:f>
        <x:v>0.35</x:v>
      </x:c>
      <x:c r="G554" s="11" t="n">
        <x:f>IF($A554="","",MAX(INDEX(Assumptions!$H$5:$H$12,MATCH($B554,Assumptions!$D$5:$D$12,0)),MIN(INDEX(Assumptions!$I$5:$I$12,MATCH($B554,Assumptions!$D$5:$D$12,0)),($C554+$D554*SQRT(-2*LN(RAND()))*COS(2*PI()*RAND()))*$E554*$J554*$K554)))</x:f>
        <x:v>1306.4193167279802</x:v>
      </x:c>
      <x:c r="H554" s="11" t="n">
        <x:f>IF($A554="","",$G554*$F554+$C554*(1-$F554))</x:f>
        <x:v>1276.2467608547931</x:v>
      </x:c>
      <x:c r="I554" s="11" t="n">
        <x:f>IF($A554="","",AVERAGE($H554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1235.9973672243734</x:v>
      </x:c>
      <x:c r="J554" s="12" t="n">
        <x:f>IF($A554="","",1+SUMIFS(Assumptions!$S$5:$S$10,Assumptions!$P$5:$P$10,$B554,Assumptions!$Q$5:$Q$10,"&lt;="&amp;$A554,Assumptions!$R$5:$R$10,"&gt;="&amp;$A554))</x:f>
        <x:v>1</x:v>
      </x:c>
      <x:c r="K554" s="12" t="n">
        <x:f>IF($A554="","",1+((($A554-Assumptions!$B$5)/30)*INDEX(Assumptions!$J$5:$J$12,MATCH($B554,Assumptions!$D$5:$D$12,0))))</x:f>
        <x:v>1.011</x:v>
      </x:c>
      <x:c r="L554" t="str">
        <x:f>IF($A554="","",IFERROR(INDEX(Assumptions!$O$5:$O$10,MATCH(1,(Assumptions!$P$5:$P$10=$B554)*(Assumptions!$Q$5:$Q$10&lt;=$A554)*(Assumptions!$R$5:$R$10&gt;=$A554),0)),""))</x:f>
      </x:c>
      <x:c r="M554" t="n">
        <x:f>--($A554&lt;&gt;"")</x:f>
        <x:v>1</x:v>
      </x:c>
    </x:row>
    <x:row r="555">
      <x:c r="A555" s="10" t="n">
        <x:f>IF(Assumptions!$B$5+INT((ROW()-2)/Assumptions!$B$7)&gt;Assumptions!$B$6,"",Assumptions!$B$5+INT((ROW()-2)/Assumptions!$B$7))</x:f>
        <x:v>46133</x:v>
      </x:c>
      <x:c r="B555" t="str">
        <x:f>IF($A555="","",INDEX(Assumptions!$D$5:$D$12,MOD(ROW()-2,Assumptions!$B$7)+1))</x:f>
        <x:v>Hadley's Hope</x:v>
      </x:c>
      <x:c r="C555" s="11" t="n">
        <x:f>IF($A555="","",INDEX(Assumptions!$F$5:$F$12,MATCH($B555,Assumptions!$D$5:$D$12,0)))</x:f>
        <x:v>845</x:v>
      </x:c>
      <x:c r="D555" s="11" t="n">
        <x:f>IF($A555="","",INDEX(Assumptions!$G$5:$G$12,MATCH($B555,Assumptions!$D$5:$D$12,0)))</x:f>
        <x:v>80</x:v>
      </x:c>
      <x:c r="E555" s="11" t="n">
        <x:f>IF($A555="","",INDEX(Assumptions!$M$5:$M$11,WEEKDAY($A555,2)))</x:f>
        <x:v>1.02</x:v>
      </x:c>
      <x:c r="F555" s="11" t="n">
        <x:f>IF($A555="","",Assumptions!$B$15)</x:f>
        <x:v>0.35</x:v>
      </x:c>
      <x:c r="G555" s="11" t="n">
        <x:f>IF($A555="","",MAX(INDEX(Assumptions!$H$5:$H$12,MATCH($B555,Assumptions!$D$5:$D$12,0)),MIN(INDEX(Assumptions!$I$5:$I$12,MATCH($B555,Assumptions!$D$5:$D$12,0)),($C555+$D555*SQRT(-2*LN(RAND()))*COS(2*PI()*RAND()))*$E555*$J555*$K555)))</x:f>
        <x:v>986.4451589324418</x:v>
      </x:c>
      <x:c r="H555" s="11" t="n">
        <x:f>IF($A555="","",$G555*$F555+$C555*(1-$F555))</x:f>
        <x:v>894.5058056263547</x:v>
      </x:c>
      <x:c r="I555" s="11" t="n">
        <x:f>IF($A555="","",AVERAGE($H555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852.9125065398858</x:v>
      </x:c>
      <x:c r="J555" s="12" t="n">
        <x:f>IF($A555="","",1+SUMIFS(Assumptions!$S$5:$S$10,Assumptions!$P$5:$P$10,$B555,Assumptions!$Q$5:$Q$10,"&lt;="&amp;$A555,Assumptions!$R$5:$R$10,"&gt;="&amp;$A555))</x:f>
        <x:v>1</x:v>
      </x:c>
      <x:c r="K555" s="12" t="n">
        <x:f>IF($A555="","",1+((($A555-Assumptions!$B$5)/30)*INDEX(Assumptions!$J$5:$J$12,MATCH($B555,Assumptions!$D$5:$D$12,0))))</x:f>
        <x:v>1.0036666666666667</x:v>
      </x:c>
      <x:c r="L555" t="str">
        <x:f>IF($A555="","",IFERROR(INDEX(Assumptions!$O$5:$O$10,MATCH(1,(Assumptions!$P$5:$P$10=$B555)*(Assumptions!$Q$5:$Q$10&lt;=$A555)*(Assumptions!$R$5:$R$10&gt;=$A555),0)),""))</x:f>
      </x:c>
      <x:c r="M555" t="n">
        <x:f>--($A555&lt;&gt;"")</x:f>
        <x:v>1</x:v>
      </x:c>
    </x:row>
    <x:row r="556">
      <x:c r="A556" s="10" t="n">
        <x:f>IF(Assumptions!$B$5+INT((ROW()-2)/Assumptions!$B$7)&gt;Assumptions!$B$6,"",Assumptions!$B$5+INT((ROW()-2)/Assumptions!$B$7))</x:f>
        <x:v>46133</x:v>
      </x:c>
      <x:c r="B556" t="str">
        <x:f>IF($A556="","",INDEX(Assumptions!$D$5:$D$12,MOD(ROW()-2,Assumptions!$B$7)+1))</x:f>
        <x:v>Yutani Ridge</x:v>
      </x:c>
      <x:c r="C556" s="11" t="n">
        <x:f>IF($A556="","",INDEX(Assumptions!$F$5:$F$12,MATCH($B556,Assumptions!$D$5:$D$12,0)))</x:f>
        <x:v>1050</x:v>
      </x:c>
      <x:c r="D556" s="11" t="n">
        <x:f>IF($A556="","",INDEX(Assumptions!$G$5:$G$12,MATCH($B556,Assumptions!$D$5:$D$12,0)))</x:f>
        <x:v>125</x:v>
      </x:c>
      <x:c r="E556" s="11" t="n">
        <x:f>IF($A556="","",INDEX(Assumptions!$M$5:$M$11,WEEKDAY($A556,2)))</x:f>
        <x:v>1.02</x:v>
      </x:c>
      <x:c r="F556" s="11" t="n">
        <x:f>IF($A556="","",Assumptions!$B$15)</x:f>
        <x:v>0.35</x:v>
      </x:c>
      <x:c r="G556" s="11" t="n">
        <x:f>IF($A556="","",MAX(INDEX(Assumptions!$H$5:$H$12,MATCH($B556,Assumptions!$D$5:$D$12,0)),MIN(INDEX(Assumptions!$I$5:$I$12,MATCH($B556,Assumptions!$D$5:$D$12,0)),($C556+$D556*SQRT(-2*LN(RAND()))*COS(2*PI()*RAND()))*$E556*$J556*$K556)))</x:f>
        <x:v>1010.1132333099825</x:v>
      </x:c>
      <x:c r="H556" s="11" t="n">
        <x:f>IF($A556="","",$G556*$F556+$C556*(1-$F556))</x:f>
        <x:v>1036.0396316584938</x:v>
      </x:c>
      <x:c r="I556" s="11" t="n">
        <x:f>IF($A556="","",AVERAGE($H556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1025.5548829371362</x:v>
      </x:c>
      <x:c r="J556" s="12" t="n">
        <x:f>IF($A556="","",1+SUMIFS(Assumptions!$S$5:$S$10,Assumptions!$P$5:$P$10,$B556,Assumptions!$Q$5:$Q$10,"&lt;="&amp;$A556,Assumptions!$R$5:$R$10,"&gt;="&amp;$A556))</x:f>
        <x:v>1</x:v>
      </x:c>
      <x:c r="K556" s="12" t="n">
        <x:f>IF($A556="","",1+((($A556-Assumptions!$B$5)/30)*INDEX(Assumptions!$J$5:$J$12,MATCH($B556,Assumptions!$D$5:$D$12,0))))</x:f>
        <x:v>1.0091666666666668</x:v>
      </x:c>
      <x:c r="L556" t="str">
        <x:f>IF($A556="","",IFERROR(INDEX(Assumptions!$O$5:$O$10,MATCH(1,(Assumptions!$P$5:$P$10=$B556)*(Assumptions!$Q$5:$Q$10&lt;=$A556)*(Assumptions!$R$5:$R$10&gt;=$A556),0)),""))</x:f>
      </x:c>
      <x:c r="M556" t="n">
        <x:f>--($A556&lt;&gt;"")</x:f>
        <x:v>1</x:v>
      </x:c>
    </x:row>
    <x:row r="557">
      <x:c r="A557" s="10" t="n">
        <x:f>IF(Assumptions!$B$5+INT((ROW()-2)/Assumptions!$B$7)&gt;Assumptions!$B$6,"",Assumptions!$B$5+INT((ROW()-2)/Assumptions!$B$7))</x:f>
        <x:v>46134</x:v>
      </x:c>
      <x:c r="B557" t="str">
        <x:f>IF($A557="","",INDEX(Assumptions!$D$5:$D$12,MOD(ROW()-2,Assumptions!$B$7)+1))</x:f>
        <x:v>Acheron Prime</x:v>
      </x:c>
      <x:c r="C557" s="11" t="n">
        <x:f>IF($A557="","",INDEX(Assumptions!$F$5:$F$12,MATCH($B557,Assumptions!$D$5:$D$12,0)))</x:f>
        <x:v>1120</x:v>
      </x:c>
      <x:c r="D557" s="11" t="n">
        <x:f>IF($A557="","",INDEX(Assumptions!$G$5:$G$12,MATCH($B557,Assumptions!$D$5:$D$12,0)))</x:f>
        <x:v>115</x:v>
      </x:c>
      <x:c r="E557" s="11" t="n">
        <x:f>IF($A557="","",INDEX(Assumptions!$M$5:$M$11,WEEKDAY($A557,2)))</x:f>
        <x:v>1.01</x:v>
      </x:c>
      <x:c r="F557" s="11" t="n">
        <x:f>IF($A557="","",Assumptions!$B$15)</x:f>
        <x:v>0.35</x:v>
      </x:c>
      <x:c r="G557" s="11" t="n">
        <x:f>IF($A557="","",MAX(INDEX(Assumptions!$H$5:$H$12,MATCH($B557,Assumptions!$D$5:$D$12,0)),MIN(INDEX(Assumptions!$I$5:$I$12,MATCH($B557,Assumptions!$D$5:$D$12,0)),($C557+$D557*SQRT(-2*LN(RAND()))*COS(2*PI()*RAND()))*$E557*$J557*$K557)))</x:f>
        <x:v>1402.2370040115445</x:v>
      </x:c>
      <x:c r="H557" s="11" t="n">
        <x:f>IF($A557="","",$G557*$F557+$C557*(1-$F557))</x:f>
        <x:v>1218.7829514040404</x:v>
      </x:c>
      <x:c r="I557" s="11" t="n">
        <x:f>IF($A557="","",AVERAGE($H557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1148.3445428219015</x:v>
      </x:c>
      <x:c r="J557" s="12" t="n">
        <x:f>IF($A557="","",1+SUMIFS(Assumptions!$S$5:$S$10,Assumptions!$P$5:$P$10,$B557,Assumptions!$Q$5:$Q$10,"&lt;="&amp;$A557,Assumptions!$R$5:$R$10,"&gt;="&amp;$A557))</x:f>
        <x:v>1</x:v>
      </x:c>
      <x:c r="K557" s="12" t="n">
        <x:f>IF($A557="","",1+((($A557-Assumptions!$B$5)/30)*INDEX(Assumptions!$J$5:$J$12,MATCH($B557,Assumptions!$D$5:$D$12,0))))</x:f>
        <x:v>1.0074</x:v>
      </x:c>
      <x:c r="L557" t="str">
        <x:f>IF($A557="","",IFERROR(INDEX(Assumptions!$O$5:$O$10,MATCH(1,(Assumptions!$P$5:$P$10=$B557)*(Assumptions!$Q$5:$Q$10&lt;=$A557)*(Assumptions!$R$5:$R$10&gt;=$A557),0)),""))</x:f>
      </x:c>
      <x:c r="M557" t="n">
        <x:f>--($A557&lt;&gt;"")</x:f>
        <x:v>1</x:v>
      </x:c>
    </x:row>
    <x:row r="558">
      <x:c r="A558" s="10" t="n">
        <x:f>IF(Assumptions!$B$5+INT((ROW()-2)/Assumptions!$B$7)&gt;Assumptions!$B$6,"",Assumptions!$B$5+INT((ROW()-2)/Assumptions!$B$7))</x:f>
        <x:v>46134</x:v>
      </x:c>
      <x:c r="B558" t="str">
        <x:f>IF($A558="","",INDEX(Assumptions!$D$5:$D$12,MOD(ROW()-2,Assumptions!$B$7)+1))</x:f>
        <x:v>LV-426 North</x:v>
      </x:c>
      <x:c r="C558" s="11" t="n">
        <x:f>IF($A558="","",INDEX(Assumptions!$F$5:$F$12,MATCH($B558,Assumptions!$D$5:$D$12,0)))</x:f>
        <x:v>930</x:v>
      </x:c>
      <x:c r="D558" s="11" t="n">
        <x:f>IF($A558="","",INDEX(Assumptions!$G$5:$G$12,MATCH($B558,Assumptions!$D$5:$D$12,0)))</x:f>
        <x:v>95</x:v>
      </x:c>
      <x:c r="E558" s="11" t="n">
        <x:f>IF($A558="","",INDEX(Assumptions!$M$5:$M$11,WEEKDAY($A558,2)))</x:f>
        <x:v>1.01</x:v>
      </x:c>
      <x:c r="F558" s="11" t="n">
        <x:f>IF($A558="","",Assumptions!$B$15)</x:f>
        <x:v>0.35</x:v>
      </x:c>
      <x:c r="G558" s="11" t="n">
        <x:f>IF($A558="","",MAX(INDEX(Assumptions!$H$5:$H$12,MATCH($B558,Assumptions!$D$5:$D$12,0)),MIN(INDEX(Assumptions!$I$5:$I$12,MATCH($B558,Assumptions!$D$5:$D$12,0)),($C558+$D558*SQRT(-2*LN(RAND()))*COS(2*PI()*RAND()))*$E558*$J558*$K558)))</x:f>
        <x:v>935.2243413103446</x:v>
      </x:c>
      <x:c r="H558" s="11" t="n">
        <x:f>IF($A558="","",$G558*$F558+$C558*(1-$F558))</x:f>
        <x:v>931.8285194586206</x:v>
      </x:c>
      <x:c r="I558" s="11" t="n">
        <x:f>IF($A558="","",AVERAGE($H558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913.7495609817622</x:v>
      </x:c>
      <x:c r="J558" s="12" t="n">
        <x:f>IF($A558="","",1+SUMIFS(Assumptions!$S$5:$S$10,Assumptions!$P$5:$P$10,$B558,Assumptions!$Q$5:$Q$10,"&lt;="&amp;$A558,Assumptions!$R$5:$R$10,"&gt;="&amp;$A558))</x:f>
        <x:v>1</x:v>
      </x:c>
      <x:c r="K558" s="12" t="n">
        <x:f>IF($A558="","",1+((($A558-Assumptions!$B$5)/30)*INDEX(Assumptions!$J$5:$J$12,MATCH($B558,Assumptions!$D$5:$D$12,0))))</x:f>
        <x:v>0.9963</x:v>
      </x:c>
      <x:c r="L558" t="str">
        <x:f>IF($A558="","",IFERROR(INDEX(Assumptions!$O$5:$O$10,MATCH(1,(Assumptions!$P$5:$P$10=$B558)*(Assumptions!$Q$5:$Q$10&lt;=$A558)*(Assumptions!$R$5:$R$10&gt;=$A558),0)),""))</x:f>
      </x:c>
      <x:c r="M558" t="n">
        <x:f>--($A558&lt;&gt;"")</x:f>
        <x:v>1</x:v>
      </x:c>
    </x:row>
    <x:row r="559">
      <x:c r="A559" s="10" t="n">
        <x:f>IF(Assumptions!$B$5+INT((ROW()-2)/Assumptions!$B$7)&gt;Assumptions!$B$6,"",Assumptions!$B$5+INT((ROW()-2)/Assumptions!$B$7))</x:f>
        <x:v>46134</x:v>
      </x:c>
      <x:c r="B559" t="str">
        <x:f>IF($A559="","",INDEX(Assumptions!$D$5:$D$12,MOD(ROW()-2,Assumptions!$B$7)+1))</x:f>
        <x:v>Nostromo Deep</x:v>
      </x:c>
      <x:c r="C559" s="11" t="n">
        <x:f>IF($A559="","",INDEX(Assumptions!$F$5:$F$12,MATCH($B559,Assumptions!$D$5:$D$12,0)))</x:f>
        <x:v>1260</x:v>
      </x:c>
      <x:c r="D559" s="11" t="n">
        <x:f>IF($A559="","",INDEX(Assumptions!$G$5:$G$12,MATCH($B559,Assumptions!$D$5:$D$12,0)))</x:f>
        <x:v>145</x:v>
      </x:c>
      <x:c r="E559" s="11" t="n">
        <x:f>IF($A559="","",INDEX(Assumptions!$M$5:$M$11,WEEKDAY($A559,2)))</x:f>
        <x:v>1.01</x:v>
      </x:c>
      <x:c r="F559" s="11" t="n">
        <x:f>IF($A559="","",Assumptions!$B$15)</x:f>
        <x:v>0.35</x:v>
      </x:c>
      <x:c r="G559" s="11" t="n">
        <x:f>IF($A559="","",MAX(INDEX(Assumptions!$H$5:$H$12,MATCH($B559,Assumptions!$D$5:$D$12,0)),MIN(INDEX(Assumptions!$I$5:$I$12,MATCH($B559,Assumptions!$D$5:$D$12,0)),($C559+$D559*SQRT(-2*LN(RAND()))*COS(2*PI()*RAND()))*$E559*$J559*$K559)))</x:f>
        <x:v>1243.5419377599794</x:v>
      </x:c>
      <x:c r="H559" s="11" t="n">
        <x:f>IF($A559="","",$G559*$F559+$C559*(1-$F559))</x:f>
        <x:v>1254.2396782159929</x:v>
      </x:c>
      <x:c r="I559" s="11" t="n">
        <x:f>IF($A559="","",AVERAGE($H559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1240.0109867354615</x:v>
      </x:c>
      <x:c r="J559" s="12" t="n">
        <x:f>IF($A559="","",1+SUMIFS(Assumptions!$S$5:$S$10,Assumptions!$P$5:$P$10,$B559,Assumptions!$Q$5:$Q$10,"&lt;="&amp;$A559,Assumptions!$R$5:$R$10,"&gt;="&amp;$A559))</x:f>
        <x:v>1</x:v>
      </x:c>
      <x:c r="K559" s="12" t="n">
        <x:f>IF($A559="","",1+((($A559-Assumptions!$B$5)/30)*INDEX(Assumptions!$J$5:$J$12,MATCH($B559,Assumptions!$D$5:$D$12,0))))</x:f>
        <x:v>1.0111</x:v>
      </x:c>
      <x:c r="L559" t="str">
        <x:f>IF($A559="","",IFERROR(INDEX(Assumptions!$O$5:$O$10,MATCH(1,(Assumptions!$P$5:$P$10=$B559)*(Assumptions!$Q$5:$Q$10&lt;=$A559)*(Assumptions!$R$5:$R$10&gt;=$A559),0)),""))</x:f>
      </x:c>
      <x:c r="M559" t="n">
        <x:f>--($A559&lt;&gt;"")</x:f>
        <x:v>1</x:v>
      </x:c>
    </x:row>
    <x:row r="560">
      <x:c r="A560" s="10" t="n">
        <x:f>IF(Assumptions!$B$5+INT((ROW()-2)/Assumptions!$B$7)&gt;Assumptions!$B$6,"",Assumptions!$B$5+INT((ROW()-2)/Assumptions!$B$7))</x:f>
        <x:v>46134</x:v>
      </x:c>
      <x:c r="B560" t="str">
        <x:f>IF($A560="","",INDEX(Assumptions!$D$5:$D$12,MOD(ROW()-2,Assumptions!$B$7)+1))</x:f>
        <x:v>Hadley's Hope</x:v>
      </x:c>
      <x:c r="C560" s="11" t="n">
        <x:f>IF($A560="","",INDEX(Assumptions!$F$5:$F$12,MATCH($B560,Assumptions!$D$5:$D$12,0)))</x:f>
        <x:v>845</x:v>
      </x:c>
      <x:c r="D560" s="11" t="n">
        <x:f>IF($A560="","",INDEX(Assumptions!$G$5:$G$12,MATCH($B560,Assumptions!$D$5:$D$12,0)))</x:f>
        <x:v>80</x:v>
      </x:c>
      <x:c r="E560" s="11" t="n">
        <x:f>IF($A560="","",INDEX(Assumptions!$M$5:$M$11,WEEKDAY($A560,2)))</x:f>
        <x:v>1.01</x:v>
      </x:c>
      <x:c r="F560" s="11" t="n">
        <x:f>IF($A560="","",Assumptions!$B$15)</x:f>
        <x:v>0.35</x:v>
      </x:c>
      <x:c r="G560" s="11" t="n">
        <x:f>IF($A560="","",MAX(INDEX(Assumptions!$H$5:$H$12,MATCH($B560,Assumptions!$D$5:$D$12,0)),MIN(INDEX(Assumptions!$I$5:$I$12,MATCH($B560,Assumptions!$D$5:$D$12,0)),($C560+$D560*SQRT(-2*LN(RAND()))*COS(2*PI()*RAND()))*$E560*$J560*$K560)))</x:f>
        <x:v>760.6676832491663</x:v>
      </x:c>
      <x:c r="H560" s="11" t="n">
        <x:f>IF($A560="","",$G560*$F560+$C560*(1-$F560))</x:f>
        <x:v>815.4836891372082</x:v>
      </x:c>
      <x:c r="I560" s="11" t="n">
        <x:f>IF($A560="","",AVERAGE($H560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845.7043537743988</x:v>
      </x:c>
      <x:c r="J560" s="12" t="n">
        <x:f>IF($A560="","",1+SUMIFS(Assumptions!$S$5:$S$10,Assumptions!$P$5:$P$10,$B560,Assumptions!$Q$5:$Q$10,"&lt;="&amp;$A560,Assumptions!$R$5:$R$10,"&gt;="&amp;$A560))</x:f>
        <x:v>1</x:v>
      </x:c>
      <x:c r="K560" s="12" t="n">
        <x:f>IF($A560="","",1+((($A560-Assumptions!$B$5)/30)*INDEX(Assumptions!$J$5:$J$12,MATCH($B560,Assumptions!$D$5:$D$12,0))))</x:f>
        <x:v>1.0037</x:v>
      </x:c>
      <x:c r="L560" t="str">
        <x:f>IF($A560="","",IFERROR(INDEX(Assumptions!$O$5:$O$10,MATCH(1,(Assumptions!$P$5:$P$10=$B560)*(Assumptions!$Q$5:$Q$10&lt;=$A560)*(Assumptions!$R$5:$R$10&gt;=$A560),0)),""))</x:f>
      </x:c>
      <x:c r="M560" t="n">
        <x:f>--($A560&lt;&gt;"")</x:f>
        <x:v>1</x:v>
      </x:c>
    </x:row>
    <x:row r="561">
      <x:c r="A561" s="10" t="n">
        <x:f>IF(Assumptions!$B$5+INT((ROW()-2)/Assumptions!$B$7)&gt;Assumptions!$B$6,"",Assumptions!$B$5+INT((ROW()-2)/Assumptions!$B$7))</x:f>
        <x:v>46134</x:v>
      </x:c>
      <x:c r="B561" t="str">
        <x:f>IF($A561="","",INDEX(Assumptions!$D$5:$D$12,MOD(ROW()-2,Assumptions!$B$7)+1))</x:f>
        <x:v>Yutani Ridge</x:v>
      </x:c>
      <x:c r="C561" s="11" t="n">
        <x:f>IF($A561="","",INDEX(Assumptions!$F$5:$F$12,MATCH($B561,Assumptions!$D$5:$D$12,0)))</x:f>
        <x:v>1050</x:v>
      </x:c>
      <x:c r="D561" s="11" t="n">
        <x:f>IF($A561="","",INDEX(Assumptions!$G$5:$G$12,MATCH($B561,Assumptions!$D$5:$D$12,0)))</x:f>
        <x:v>125</x:v>
      </x:c>
      <x:c r="E561" s="11" t="n">
        <x:f>IF($A561="","",INDEX(Assumptions!$M$5:$M$11,WEEKDAY($A561,2)))</x:f>
        <x:v>1.01</x:v>
      </x:c>
      <x:c r="F561" s="11" t="n">
        <x:f>IF($A561="","",Assumptions!$B$15)</x:f>
        <x:v>0.35</x:v>
      </x:c>
      <x:c r="G561" s="11" t="n">
        <x:f>IF($A561="","",MAX(INDEX(Assumptions!$H$5:$H$12,MATCH($B561,Assumptions!$D$5:$D$12,0)),MIN(INDEX(Assumptions!$I$5:$I$12,MATCH($B561,Assumptions!$D$5:$D$12,0)),($C561+$D561*SQRT(-2*LN(RAND()))*COS(2*PI()*RAND()))*$E561*$J561*$K561)))</x:f>
        <x:v>1142.8219435856324</x:v>
      </x:c>
      <x:c r="H561" s="11" t="n">
        <x:f>IF($A561="","",$G561*$F561+$C561*(1-$F561))</x:f>
        <x:v>1082.4876802549713</x:v>
      </x:c>
      <x:c r="I561" s="11" t="n">
        <x:f>IF($A561="","",AVERAGE($H561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1019.7558515517525</x:v>
      </x:c>
      <x:c r="J561" s="12" t="n">
        <x:f>IF($A561="","",1+SUMIFS(Assumptions!$S$5:$S$10,Assumptions!$P$5:$P$10,$B561,Assumptions!$Q$5:$Q$10,"&lt;="&amp;$A561,Assumptions!$R$5:$R$10,"&gt;="&amp;$A561))</x:f>
        <x:v>1</x:v>
      </x:c>
      <x:c r="K561" s="12" t="n">
        <x:f>IF($A561="","",1+((($A561-Assumptions!$B$5)/30)*INDEX(Assumptions!$J$5:$J$12,MATCH($B561,Assumptions!$D$5:$D$12,0))))</x:f>
        <x:v>1.00925</x:v>
      </x:c>
      <x:c r="L561" t="str">
        <x:f>IF($A561="","",IFERROR(INDEX(Assumptions!$O$5:$O$10,MATCH(1,(Assumptions!$P$5:$P$10=$B561)*(Assumptions!$Q$5:$Q$10&lt;=$A561)*(Assumptions!$R$5:$R$10&gt;=$A561),0)),""))</x:f>
      </x:c>
      <x:c r="M561" t="n">
        <x:f>--($A561&lt;&gt;"")</x:f>
        <x:v>1</x:v>
      </x:c>
    </x:row>
    <x:row r="562">
      <x:c r="A562" s="10" t="n">
        <x:f>IF(Assumptions!$B$5+INT((ROW()-2)/Assumptions!$B$7)&gt;Assumptions!$B$6,"",Assumptions!$B$5+INT((ROW()-2)/Assumptions!$B$7))</x:f>
        <x:v>46135</x:v>
      </x:c>
      <x:c r="B562" t="str">
        <x:f>IF($A562="","",INDEX(Assumptions!$D$5:$D$12,MOD(ROW()-2,Assumptions!$B$7)+1))</x:f>
        <x:v>Acheron Prime</x:v>
      </x:c>
      <x:c r="C562" s="11" t="n">
        <x:f>IF($A562="","",INDEX(Assumptions!$F$5:$F$12,MATCH($B562,Assumptions!$D$5:$D$12,0)))</x:f>
        <x:v>1120</x:v>
      </x:c>
      <x:c r="D562" s="11" t="n">
        <x:f>IF($A562="","",INDEX(Assumptions!$G$5:$G$12,MATCH($B562,Assumptions!$D$5:$D$12,0)))</x:f>
        <x:v>115</x:v>
      </x:c>
      <x:c r="E562" s="11" t="n">
        <x:f>IF($A562="","",INDEX(Assumptions!$M$5:$M$11,WEEKDAY($A562,2)))</x:f>
        <x:v>1</x:v>
      </x:c>
      <x:c r="F562" s="11" t="n">
        <x:f>IF($A562="","",Assumptions!$B$15)</x:f>
        <x:v>0.35</x:v>
      </x:c>
      <x:c r="G562" s="11" t="n">
        <x:f>IF($A562="","",MAX(INDEX(Assumptions!$H$5:$H$12,MATCH($B562,Assumptions!$D$5:$D$12,0)),MIN(INDEX(Assumptions!$I$5:$I$12,MATCH($B562,Assumptions!$D$5:$D$12,0)),($C562+$D562*SQRT(-2*LN(RAND()))*COS(2*PI()*RAND()))*$E562*$J562*$K562)))</x:f>
        <x:v>936.2246858021333</x:v>
      </x:c>
      <x:c r="H562" s="11" t="n">
        <x:f>IF($A562="","",$G562*$F562+$C562*(1-$F562))</x:f>
        <x:v>1055.6786400307467</x:v>
      </x:c>
      <x:c r="I562" s="11" t="n">
        <x:f>IF($A562="","",AVERAGE($H562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1123.481636658226</x:v>
      </x:c>
      <x:c r="J562" s="12" t="n">
        <x:f>IF($A562="","",1+SUMIFS(Assumptions!$S$5:$S$10,Assumptions!$P$5:$P$10,$B562,Assumptions!$Q$5:$Q$10,"&lt;="&amp;$A562,Assumptions!$R$5:$R$10,"&gt;="&amp;$A562))</x:f>
        <x:v>1</x:v>
      </x:c>
      <x:c r="K562" s="12" t="n">
        <x:f>IF($A562="","",1+((($A562-Assumptions!$B$5)/30)*INDEX(Assumptions!$J$5:$J$12,MATCH($B562,Assumptions!$D$5:$D$12,0))))</x:f>
        <x:v>1.0074666666666667</x:v>
      </x:c>
      <x:c r="L562" t="str">
        <x:f>IF($A562="","",IFERROR(INDEX(Assumptions!$O$5:$O$10,MATCH(1,(Assumptions!$P$5:$P$10=$B562)*(Assumptions!$Q$5:$Q$10&lt;=$A562)*(Assumptions!$R$5:$R$10&gt;=$A562),0)),""))</x:f>
      </x:c>
      <x:c r="M562" t="n">
        <x:f>--($A562&lt;&gt;"")</x:f>
        <x:v>1</x:v>
      </x:c>
    </x:row>
    <x:row r="563">
      <x:c r="A563" s="10" t="n">
        <x:f>IF(Assumptions!$B$5+INT((ROW()-2)/Assumptions!$B$7)&gt;Assumptions!$B$6,"",Assumptions!$B$5+INT((ROW()-2)/Assumptions!$B$7))</x:f>
        <x:v>46135</x:v>
      </x:c>
      <x:c r="B563" t="str">
        <x:f>IF($A563="","",INDEX(Assumptions!$D$5:$D$12,MOD(ROW()-2,Assumptions!$B$7)+1))</x:f>
        <x:v>LV-426 North</x:v>
      </x:c>
      <x:c r="C563" s="11" t="n">
        <x:f>IF($A563="","",INDEX(Assumptions!$F$5:$F$12,MATCH($B563,Assumptions!$D$5:$D$12,0)))</x:f>
        <x:v>930</x:v>
      </x:c>
      <x:c r="D563" s="11" t="n">
        <x:f>IF($A563="","",INDEX(Assumptions!$G$5:$G$12,MATCH($B563,Assumptions!$D$5:$D$12,0)))</x:f>
        <x:v>95</x:v>
      </x:c>
      <x:c r="E563" s="11" t="n">
        <x:f>IF($A563="","",INDEX(Assumptions!$M$5:$M$11,WEEKDAY($A563,2)))</x:f>
        <x:v>1</x:v>
      </x:c>
      <x:c r="F563" s="11" t="n">
        <x:f>IF($A563="","",Assumptions!$B$15)</x:f>
        <x:v>0.35</x:v>
      </x:c>
      <x:c r="G563" s="11" t="n">
        <x:f>IF($A563="","",MAX(INDEX(Assumptions!$H$5:$H$12,MATCH($B563,Assumptions!$D$5:$D$12,0)),MIN(INDEX(Assumptions!$I$5:$I$12,MATCH($B563,Assumptions!$D$5:$D$12,0)),($C563+$D563*SQRT(-2*LN(RAND()))*COS(2*PI()*RAND()))*$E563*$J563*$K563)))</x:f>
        <x:v>994.2063055280627</x:v>
      </x:c>
      <x:c r="H563" s="11" t="n">
        <x:f>IF($A563="","",$G563*$F563+$C563*(1-$F563))</x:f>
        <x:v>952.472206934822</x:v>
      </x:c>
      <x:c r="I563" s="11" t="n">
        <x:f>IF($A563="","",AVERAGE($H563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918.0225070350765</x:v>
      </x:c>
      <x:c r="J563" s="12" t="n">
        <x:f>IF($A563="","",1+SUMIFS(Assumptions!$S$5:$S$10,Assumptions!$P$5:$P$10,$B563,Assumptions!$Q$5:$Q$10,"&lt;="&amp;$A563,Assumptions!$R$5:$R$10,"&gt;="&amp;$A563))</x:f>
        <x:v>1</x:v>
      </x:c>
      <x:c r="K563" s="12" t="n">
        <x:f>IF($A563="","",1+((($A563-Assumptions!$B$5)/30)*INDEX(Assumptions!$J$5:$J$12,MATCH($B563,Assumptions!$D$5:$D$12,0))))</x:f>
        <x:v>0.9962666666666666</x:v>
      </x:c>
      <x:c r="L563" t="str">
        <x:f>IF($A563="","",IFERROR(INDEX(Assumptions!$O$5:$O$10,MATCH(1,(Assumptions!$P$5:$P$10=$B563)*(Assumptions!$Q$5:$Q$10&lt;=$A563)*(Assumptions!$R$5:$R$10&gt;=$A563),0)),""))</x:f>
      </x:c>
      <x:c r="M563" t="n">
        <x:f>--($A563&lt;&gt;"")</x:f>
        <x:v>1</x:v>
      </x:c>
    </x:row>
    <x:row r="564">
      <x:c r="A564" s="10" t="n">
        <x:f>IF(Assumptions!$B$5+INT((ROW()-2)/Assumptions!$B$7)&gt;Assumptions!$B$6,"",Assumptions!$B$5+INT((ROW()-2)/Assumptions!$B$7))</x:f>
        <x:v>46135</x:v>
      </x:c>
      <x:c r="B564" t="str">
        <x:f>IF($A564="","",INDEX(Assumptions!$D$5:$D$12,MOD(ROW()-2,Assumptions!$B$7)+1))</x:f>
        <x:v>Nostromo Deep</x:v>
      </x:c>
      <x:c r="C564" s="11" t="n">
        <x:f>IF($A564="","",INDEX(Assumptions!$F$5:$F$12,MATCH($B564,Assumptions!$D$5:$D$12,0)))</x:f>
        <x:v>1260</x:v>
      </x:c>
      <x:c r="D564" s="11" t="n">
        <x:f>IF($A564="","",INDEX(Assumptions!$G$5:$G$12,MATCH($B564,Assumptions!$D$5:$D$12,0)))</x:f>
        <x:v>145</x:v>
      </x:c>
      <x:c r="E564" s="11" t="n">
        <x:f>IF($A564="","",INDEX(Assumptions!$M$5:$M$11,WEEKDAY($A564,2)))</x:f>
        <x:v>1</x:v>
      </x:c>
      <x:c r="F564" s="11" t="n">
        <x:f>IF($A564="","",Assumptions!$B$15)</x:f>
        <x:v>0.35</x:v>
      </x:c>
      <x:c r="G564" s="11" t="n">
        <x:f>IF($A564="","",MAX(INDEX(Assumptions!$H$5:$H$12,MATCH($B564,Assumptions!$D$5:$D$12,0)),MIN(INDEX(Assumptions!$I$5:$I$12,MATCH($B564,Assumptions!$D$5:$D$12,0)),($C564+$D564*SQRT(-2*LN(RAND()))*COS(2*PI()*RAND()))*$E564*$J564*$K564)))</x:f>
        <x:v>1273.4719596908474</x:v>
      </x:c>
      <x:c r="H564" s="11" t="n">
        <x:f>IF($A564="","",$G564*$F564+$C564*(1-$F564))</x:f>
        <x:v>1264.7151858917966</x:v>
      </x:c>
      <x:c r="I564" s="11" t="n">
        <x:f>IF($A564="","",AVERAGE($H564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1242.2321375322829</x:v>
      </x:c>
      <x:c r="J564" s="12" t="n">
        <x:f>IF($A564="","",1+SUMIFS(Assumptions!$S$5:$S$10,Assumptions!$P$5:$P$10,$B564,Assumptions!$Q$5:$Q$10,"&lt;="&amp;$A564,Assumptions!$R$5:$R$10,"&gt;="&amp;$A564))</x:f>
        <x:v>1</x:v>
      </x:c>
      <x:c r="K564" s="12" t="n">
        <x:f>IF($A564="","",1+((($A564-Assumptions!$B$5)/30)*INDEX(Assumptions!$J$5:$J$12,MATCH($B564,Assumptions!$D$5:$D$12,0))))</x:f>
        <x:v>1.0112</x:v>
      </x:c>
      <x:c r="L564" t="str">
        <x:f>IF($A564="","",IFERROR(INDEX(Assumptions!$O$5:$O$10,MATCH(1,(Assumptions!$P$5:$P$10=$B564)*(Assumptions!$Q$5:$Q$10&lt;=$A564)*(Assumptions!$R$5:$R$10&gt;=$A564),0)),""))</x:f>
      </x:c>
      <x:c r="M564" t="n">
        <x:f>--($A564&lt;&gt;"")</x:f>
        <x:v>1</x:v>
      </x:c>
    </x:row>
    <x:row r="565">
      <x:c r="A565" s="10" t="n">
        <x:f>IF(Assumptions!$B$5+INT((ROW()-2)/Assumptions!$B$7)&gt;Assumptions!$B$6,"",Assumptions!$B$5+INT((ROW()-2)/Assumptions!$B$7))</x:f>
        <x:v>46135</x:v>
      </x:c>
      <x:c r="B565" t="str">
        <x:f>IF($A565="","",INDEX(Assumptions!$D$5:$D$12,MOD(ROW()-2,Assumptions!$B$7)+1))</x:f>
        <x:v>Hadley's Hope</x:v>
      </x:c>
      <x:c r="C565" s="11" t="n">
        <x:f>IF($A565="","",INDEX(Assumptions!$F$5:$F$12,MATCH($B565,Assumptions!$D$5:$D$12,0)))</x:f>
        <x:v>845</x:v>
      </x:c>
      <x:c r="D565" s="11" t="n">
        <x:f>IF($A565="","",INDEX(Assumptions!$G$5:$G$12,MATCH($B565,Assumptions!$D$5:$D$12,0)))</x:f>
        <x:v>80</x:v>
      </x:c>
      <x:c r="E565" s="11" t="n">
        <x:f>IF($A565="","",INDEX(Assumptions!$M$5:$M$11,WEEKDAY($A565,2)))</x:f>
        <x:v>1</x:v>
      </x:c>
      <x:c r="F565" s="11" t="n">
        <x:f>IF($A565="","",Assumptions!$B$15)</x:f>
        <x:v>0.35</x:v>
      </x:c>
      <x:c r="G565" s="11" t="n">
        <x:f>IF($A565="","",MAX(INDEX(Assumptions!$H$5:$H$12,MATCH($B565,Assumptions!$D$5:$D$12,0)),MIN(INDEX(Assumptions!$I$5:$I$12,MATCH($B565,Assumptions!$D$5:$D$12,0)),($C565+$D565*SQRT(-2*LN(RAND()))*COS(2*PI()*RAND()))*$E565*$J565*$K565)))</x:f>
        <x:v>865.4727924701332</x:v>
      </x:c>
      <x:c r="H565" s="11" t="n">
        <x:f>IF($A565="","",$G565*$F565+$C565*(1-$F565))</x:f>
        <x:v>852.1654773645466</x:v>
      </x:c>
      <x:c r="I565" s="11" t="n">
        <x:f>IF($A565="","",AVERAGE($H565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842.1978955496198</x:v>
      </x:c>
      <x:c r="J565" s="12" t="n">
        <x:f>IF($A565="","",1+SUMIFS(Assumptions!$S$5:$S$10,Assumptions!$P$5:$P$10,$B565,Assumptions!$Q$5:$Q$10,"&lt;="&amp;$A565,Assumptions!$R$5:$R$10,"&gt;="&amp;$A565))</x:f>
        <x:v>1</x:v>
      </x:c>
      <x:c r="K565" s="12" t="n">
        <x:f>IF($A565="","",1+((($A565-Assumptions!$B$5)/30)*INDEX(Assumptions!$J$5:$J$12,MATCH($B565,Assumptions!$D$5:$D$12,0))))</x:f>
        <x:v>1.0037333333333334</x:v>
      </x:c>
      <x:c r="L565" t="str">
        <x:f>IF($A565="","",IFERROR(INDEX(Assumptions!$O$5:$O$10,MATCH(1,(Assumptions!$P$5:$P$10=$B565)*(Assumptions!$Q$5:$Q$10&lt;=$A565)*(Assumptions!$R$5:$R$10&gt;=$A565),0)),""))</x:f>
      </x:c>
      <x:c r="M565" t="n">
        <x:f>--($A565&lt;&gt;"")</x:f>
        <x:v>1</x:v>
      </x:c>
    </x:row>
    <x:row r="566">
      <x:c r="A566" s="10" t="n">
        <x:f>IF(Assumptions!$B$5+INT((ROW()-2)/Assumptions!$B$7)&gt;Assumptions!$B$6,"",Assumptions!$B$5+INT((ROW()-2)/Assumptions!$B$7))</x:f>
        <x:v>46135</x:v>
      </x:c>
      <x:c r="B566" t="str">
        <x:f>IF($A566="","",INDEX(Assumptions!$D$5:$D$12,MOD(ROW()-2,Assumptions!$B$7)+1))</x:f>
        <x:v>Yutani Ridge</x:v>
      </x:c>
      <x:c r="C566" s="11" t="n">
        <x:f>IF($A566="","",INDEX(Assumptions!$F$5:$F$12,MATCH($B566,Assumptions!$D$5:$D$12,0)))</x:f>
        <x:v>1050</x:v>
      </x:c>
      <x:c r="D566" s="11" t="n">
        <x:f>IF($A566="","",INDEX(Assumptions!$G$5:$G$12,MATCH($B566,Assumptions!$D$5:$D$12,0)))</x:f>
        <x:v>125</x:v>
      </x:c>
      <x:c r="E566" s="11" t="n">
        <x:f>IF($A566="","",INDEX(Assumptions!$M$5:$M$11,WEEKDAY($A566,2)))</x:f>
        <x:v>1</x:v>
      </x:c>
      <x:c r="F566" s="11" t="n">
        <x:f>IF($A566="","",Assumptions!$B$15)</x:f>
        <x:v>0.35</x:v>
      </x:c>
      <x:c r="G566" s="11" t="n">
        <x:f>IF($A566="","",MAX(INDEX(Assumptions!$H$5:$H$12,MATCH($B566,Assumptions!$D$5:$D$12,0)),MIN(INDEX(Assumptions!$I$5:$I$12,MATCH($B566,Assumptions!$D$5:$D$12,0)),($C566+$D566*SQRT(-2*LN(RAND()))*COS(2*PI()*RAND()))*$E566*$J566*$K566)))</x:f>
        <x:v>1103.6761274436403</x:v>
      </x:c>
      <x:c r="H566" s="11" t="n">
        <x:f>IF($A566="","",$G566*$F566+$C566*(1-$F566))</x:f>
        <x:v>1068.786644605274</x:v>
      </x:c>
      <x:c r="I566" s="11" t="n">
        <x:f>IF($A566="","",AVERAGE($H566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1020.9842302243893</x:v>
      </x:c>
      <x:c r="J566" s="12" t="n">
        <x:f>IF($A566="","",1+SUMIFS(Assumptions!$S$5:$S$10,Assumptions!$P$5:$P$10,$B566,Assumptions!$Q$5:$Q$10,"&lt;="&amp;$A566,Assumptions!$R$5:$R$10,"&gt;="&amp;$A566))</x:f>
        <x:v>1</x:v>
      </x:c>
      <x:c r="K566" s="12" t="n">
        <x:f>IF($A566="","",1+((($A566-Assumptions!$B$5)/30)*INDEX(Assumptions!$J$5:$J$12,MATCH($B566,Assumptions!$D$5:$D$12,0))))</x:f>
        <x:v>1.0093333333333334</x:v>
      </x:c>
      <x:c r="L566" t="str">
        <x:f>IF($A566="","",IFERROR(INDEX(Assumptions!$O$5:$O$10,MATCH(1,(Assumptions!$P$5:$P$10=$B566)*(Assumptions!$Q$5:$Q$10&lt;=$A566)*(Assumptions!$R$5:$R$10&gt;=$A566),0)),""))</x:f>
      </x:c>
      <x:c r="M566" t="n">
        <x:f>--($A566&lt;&gt;"")</x:f>
        <x:v>1</x:v>
      </x:c>
    </x:row>
    <x:row r="567">
      <x:c r="A567" s="10" t="n">
        <x:f>IF(Assumptions!$B$5+INT((ROW()-2)/Assumptions!$B$7)&gt;Assumptions!$B$6,"",Assumptions!$B$5+INT((ROW()-2)/Assumptions!$B$7))</x:f>
        <x:v>46136</x:v>
      </x:c>
      <x:c r="B567" t="str">
        <x:f>IF($A567="","",INDEX(Assumptions!$D$5:$D$12,MOD(ROW()-2,Assumptions!$B$7)+1))</x:f>
        <x:v>Acheron Prime</x:v>
      </x:c>
      <x:c r="C567" s="11" t="n">
        <x:f>IF($A567="","",INDEX(Assumptions!$F$5:$F$12,MATCH($B567,Assumptions!$D$5:$D$12,0)))</x:f>
        <x:v>1120</x:v>
      </x:c>
      <x:c r="D567" s="11" t="n">
        <x:f>IF($A567="","",INDEX(Assumptions!$G$5:$G$12,MATCH($B567,Assumptions!$D$5:$D$12,0)))</x:f>
        <x:v>115</x:v>
      </x:c>
      <x:c r="E567" s="11" t="n">
        <x:f>IF($A567="","",INDEX(Assumptions!$M$5:$M$11,WEEKDAY($A567,2)))</x:f>
        <x:v>0.98</x:v>
      </x:c>
      <x:c r="F567" s="11" t="n">
        <x:f>IF($A567="","",Assumptions!$B$15)</x:f>
        <x:v>0.35</x:v>
      </x:c>
      <x:c r="G567" s="11" t="n">
        <x:f>IF($A567="","",MAX(INDEX(Assumptions!$H$5:$H$12,MATCH($B567,Assumptions!$D$5:$D$12,0)),MIN(INDEX(Assumptions!$I$5:$I$12,MATCH($B567,Assumptions!$D$5:$D$12,0)),($C567+$D567*SQRT(-2*LN(RAND()))*COS(2*PI()*RAND()))*$E567*$J567*$K567)))</x:f>
        <x:v>1275.761701935188</x:v>
      </x:c>
      <x:c r="H567" s="11" t="n">
        <x:f>IF($A567="","",$G567*$F567+$C567*(1-$F567))</x:f>
        <x:v>1174.5165956773158</x:v>
      </x:c>
      <x:c r="I567" s="11" t="n">
        <x:f>IF($A567="","",AVERAGE($H567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1129.8001923644133</x:v>
      </x:c>
      <x:c r="J567" s="12" t="n">
        <x:f>IF($A567="","",1+SUMIFS(Assumptions!$S$5:$S$10,Assumptions!$P$5:$P$10,$B567,Assumptions!$Q$5:$Q$10,"&lt;="&amp;$A567,Assumptions!$R$5:$R$10,"&gt;="&amp;$A567))</x:f>
        <x:v>1</x:v>
      </x:c>
      <x:c r="K567" s="12" t="n">
        <x:f>IF($A567="","",1+((($A567-Assumptions!$B$5)/30)*INDEX(Assumptions!$J$5:$J$12,MATCH($B567,Assumptions!$D$5:$D$12,0))))</x:f>
        <x:v>1.0075333333333334</x:v>
      </x:c>
      <x:c r="L567" t="str">
        <x:f>IF($A567="","",IFERROR(INDEX(Assumptions!$O$5:$O$10,MATCH(1,(Assumptions!$P$5:$P$10=$B567)*(Assumptions!$Q$5:$Q$10&lt;=$A567)*(Assumptions!$R$5:$R$10&gt;=$A567),0)),""))</x:f>
      </x:c>
      <x:c r="M567" t="n">
        <x:f>--($A567&lt;&gt;"")</x:f>
        <x:v>1</x:v>
      </x:c>
    </x:row>
    <x:row r="568">
      <x:c r="A568" s="10" t="n">
        <x:f>IF(Assumptions!$B$5+INT((ROW()-2)/Assumptions!$B$7)&gt;Assumptions!$B$6,"",Assumptions!$B$5+INT((ROW()-2)/Assumptions!$B$7))</x:f>
        <x:v>46136</x:v>
      </x:c>
      <x:c r="B568" t="str">
        <x:f>IF($A568="","",INDEX(Assumptions!$D$5:$D$12,MOD(ROW()-2,Assumptions!$B$7)+1))</x:f>
        <x:v>LV-426 North</x:v>
      </x:c>
      <x:c r="C568" s="11" t="n">
        <x:f>IF($A568="","",INDEX(Assumptions!$F$5:$F$12,MATCH($B568,Assumptions!$D$5:$D$12,0)))</x:f>
        <x:v>930</x:v>
      </x:c>
      <x:c r="D568" s="11" t="n">
        <x:f>IF($A568="","",INDEX(Assumptions!$G$5:$G$12,MATCH($B568,Assumptions!$D$5:$D$12,0)))</x:f>
        <x:v>95</x:v>
      </x:c>
      <x:c r="E568" s="11" t="n">
        <x:f>IF($A568="","",INDEX(Assumptions!$M$5:$M$11,WEEKDAY($A568,2)))</x:f>
        <x:v>0.98</x:v>
      </x:c>
      <x:c r="F568" s="11" t="n">
        <x:f>IF($A568="","",Assumptions!$B$15)</x:f>
        <x:v>0.35</x:v>
      </x:c>
      <x:c r="G568" s="11" t="n">
        <x:f>IF($A568="","",MAX(INDEX(Assumptions!$H$5:$H$12,MATCH($B568,Assumptions!$D$5:$D$12,0)),MIN(INDEX(Assumptions!$I$5:$I$12,MATCH($B568,Assumptions!$D$5:$D$12,0)),($C568+$D568*SQRT(-2*LN(RAND()))*COS(2*PI()*RAND()))*$E568*$J568*$K568)))</x:f>
        <x:v>947.6353605238958</x:v>
      </x:c>
      <x:c r="H568" s="11" t="n">
        <x:f>IF($A568="","",$G568*$F568+$C568*(1-$F568))</x:f>
        <x:v>936.1723761833634</x:v>
      </x:c>
      <x:c r="I568" s="11" t="n">
        <x:f>IF($A568="","",AVERAGE($H568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919.2982190698913</x:v>
      </x:c>
      <x:c r="J568" s="12" t="n">
        <x:f>IF($A568="","",1+SUMIFS(Assumptions!$S$5:$S$10,Assumptions!$P$5:$P$10,$B568,Assumptions!$Q$5:$Q$10,"&lt;="&amp;$A568,Assumptions!$R$5:$R$10,"&gt;="&amp;$A568))</x:f>
        <x:v>1</x:v>
      </x:c>
      <x:c r="K568" s="12" t="n">
        <x:f>IF($A568="","",1+((($A568-Assumptions!$B$5)/30)*INDEX(Assumptions!$J$5:$J$12,MATCH($B568,Assumptions!$D$5:$D$12,0))))</x:f>
        <x:v>0.9962333333333333</x:v>
      </x:c>
      <x:c r="L568" t="str">
        <x:f>IF($A568="","",IFERROR(INDEX(Assumptions!$O$5:$O$10,MATCH(1,(Assumptions!$P$5:$P$10=$B568)*(Assumptions!$Q$5:$Q$10&lt;=$A568)*(Assumptions!$R$5:$R$10&gt;=$A568),0)),""))</x:f>
      </x:c>
      <x:c r="M568" t="n">
        <x:f>--($A568&lt;&gt;"")</x:f>
        <x:v>1</x:v>
      </x:c>
    </x:row>
    <x:row r="569">
      <x:c r="A569" s="10" t="n">
        <x:f>IF(Assumptions!$B$5+INT((ROW()-2)/Assumptions!$B$7)&gt;Assumptions!$B$6,"",Assumptions!$B$5+INT((ROW()-2)/Assumptions!$B$7))</x:f>
        <x:v>46136</x:v>
      </x:c>
      <x:c r="B569" t="str">
        <x:f>IF($A569="","",INDEX(Assumptions!$D$5:$D$12,MOD(ROW()-2,Assumptions!$B$7)+1))</x:f>
        <x:v>Nostromo Deep</x:v>
      </x:c>
      <x:c r="C569" s="11" t="n">
        <x:f>IF($A569="","",INDEX(Assumptions!$F$5:$F$12,MATCH($B569,Assumptions!$D$5:$D$12,0)))</x:f>
        <x:v>1260</x:v>
      </x:c>
      <x:c r="D569" s="11" t="n">
        <x:f>IF($A569="","",INDEX(Assumptions!$G$5:$G$12,MATCH($B569,Assumptions!$D$5:$D$12,0)))</x:f>
        <x:v>145</x:v>
      </x:c>
      <x:c r="E569" s="11" t="n">
        <x:f>IF($A569="","",INDEX(Assumptions!$M$5:$M$11,WEEKDAY($A569,2)))</x:f>
        <x:v>0.98</x:v>
      </x:c>
      <x:c r="F569" s="11" t="n">
        <x:f>IF($A569="","",Assumptions!$B$15)</x:f>
        <x:v>0.35</x:v>
      </x:c>
      <x:c r="G569" s="11" t="n">
        <x:f>IF($A569="","",MAX(INDEX(Assumptions!$H$5:$H$12,MATCH($B569,Assumptions!$D$5:$D$12,0)),MIN(INDEX(Assumptions!$I$5:$I$12,MATCH($B569,Assumptions!$D$5:$D$12,0)),($C569+$D569*SQRT(-2*LN(RAND()))*COS(2*PI()*RAND()))*$E569*$J569*$K569)))</x:f>
        <x:v>1264.5340661494195</x:v>
      </x:c>
      <x:c r="H569" s="11" t="n">
        <x:f>IF($A569="","",$G569*$F569+$C569*(1-$F569))</x:f>
        <x:v>1261.5869231522968</x:v>
      </x:c>
      <x:c r="I569" s="11" t="n">
        <x:f>IF($A569="","",AVERAGE($H569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1242.434534183308</x:v>
      </x:c>
      <x:c r="J569" s="12" t="n">
        <x:f>IF($A569="","",1+SUMIFS(Assumptions!$S$5:$S$10,Assumptions!$P$5:$P$10,$B569,Assumptions!$Q$5:$Q$10,"&lt;="&amp;$A569,Assumptions!$R$5:$R$10,"&gt;="&amp;$A569))</x:f>
        <x:v>1</x:v>
      </x:c>
      <x:c r="K569" s="12" t="n">
        <x:f>IF($A569="","",1+((($A569-Assumptions!$B$5)/30)*INDEX(Assumptions!$J$5:$J$12,MATCH($B569,Assumptions!$D$5:$D$12,0))))</x:f>
        <x:v>1.0113</x:v>
      </x:c>
      <x:c r="L569" t="str">
        <x:f>IF($A569="","",IFERROR(INDEX(Assumptions!$O$5:$O$10,MATCH(1,(Assumptions!$P$5:$P$10=$B569)*(Assumptions!$Q$5:$Q$10&lt;=$A569)*(Assumptions!$R$5:$R$10&gt;=$A569),0)),""))</x:f>
      </x:c>
      <x:c r="M569" t="n">
        <x:f>--($A569&lt;&gt;"")</x:f>
        <x:v>1</x:v>
      </x:c>
    </x:row>
    <x:row r="570">
      <x:c r="A570" s="10" t="n">
        <x:f>IF(Assumptions!$B$5+INT((ROW()-2)/Assumptions!$B$7)&gt;Assumptions!$B$6,"",Assumptions!$B$5+INT((ROW()-2)/Assumptions!$B$7))</x:f>
        <x:v>46136</x:v>
      </x:c>
      <x:c r="B570" t="str">
        <x:f>IF($A570="","",INDEX(Assumptions!$D$5:$D$12,MOD(ROW()-2,Assumptions!$B$7)+1))</x:f>
        <x:v>Hadley's Hope</x:v>
      </x:c>
      <x:c r="C570" s="11" t="n">
        <x:f>IF($A570="","",INDEX(Assumptions!$F$5:$F$12,MATCH($B570,Assumptions!$D$5:$D$12,0)))</x:f>
        <x:v>845</x:v>
      </x:c>
      <x:c r="D570" s="11" t="n">
        <x:f>IF($A570="","",INDEX(Assumptions!$G$5:$G$12,MATCH($B570,Assumptions!$D$5:$D$12,0)))</x:f>
        <x:v>80</x:v>
      </x:c>
      <x:c r="E570" s="11" t="n">
        <x:f>IF($A570="","",INDEX(Assumptions!$M$5:$M$11,WEEKDAY($A570,2)))</x:f>
        <x:v>0.98</x:v>
      </x:c>
      <x:c r="F570" s="11" t="n">
        <x:f>IF($A570="","",Assumptions!$B$15)</x:f>
        <x:v>0.35</x:v>
      </x:c>
      <x:c r="G570" s="11" t="n">
        <x:f>IF($A570="","",MAX(INDEX(Assumptions!$H$5:$H$12,MATCH($B570,Assumptions!$D$5:$D$12,0)),MIN(INDEX(Assumptions!$I$5:$I$12,MATCH($B570,Assumptions!$D$5:$D$12,0)),($C570+$D570*SQRT(-2*LN(RAND()))*COS(2*PI()*RAND()))*$E570*$J570*$K570)))</x:f>
        <x:v>776.9321753465326</x:v>
      </x:c>
      <x:c r="H570" s="11" t="n">
        <x:f>IF($A570="","",$G570*$F570+$C570*(1-$F570))</x:f>
        <x:v>821.1762613712864</x:v>
      </x:c>
      <x:c r="I570" s="11" t="n">
        <x:f>IF($A570="","",AVERAGE($H570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840.4522990489069</x:v>
      </x:c>
      <x:c r="J570" s="12" t="n">
        <x:f>IF($A570="","",1+SUMIFS(Assumptions!$S$5:$S$10,Assumptions!$P$5:$P$10,$B570,Assumptions!$Q$5:$Q$10,"&lt;="&amp;$A570,Assumptions!$R$5:$R$10,"&gt;="&amp;$A570))</x:f>
        <x:v>1</x:v>
      </x:c>
      <x:c r="K570" s="12" t="n">
        <x:f>IF($A570="","",1+((($A570-Assumptions!$B$5)/30)*INDEX(Assumptions!$J$5:$J$12,MATCH($B570,Assumptions!$D$5:$D$12,0))))</x:f>
        <x:v>1.0037666666666667</x:v>
      </x:c>
      <x:c r="L570" t="str">
        <x:f>IF($A570="","",IFERROR(INDEX(Assumptions!$O$5:$O$10,MATCH(1,(Assumptions!$P$5:$P$10=$B570)*(Assumptions!$Q$5:$Q$10&lt;=$A570)*(Assumptions!$R$5:$R$10&gt;=$A570),0)),""))</x:f>
      </x:c>
      <x:c r="M570" t="n">
        <x:f>--($A570&lt;&gt;"")</x:f>
        <x:v>1</x:v>
      </x:c>
    </x:row>
    <x:row r="571">
      <x:c r="A571" s="10" t="n">
        <x:f>IF(Assumptions!$B$5+INT((ROW()-2)/Assumptions!$B$7)&gt;Assumptions!$B$6,"",Assumptions!$B$5+INT((ROW()-2)/Assumptions!$B$7))</x:f>
        <x:v>46136</x:v>
      </x:c>
      <x:c r="B571" t="str">
        <x:f>IF($A571="","",INDEX(Assumptions!$D$5:$D$12,MOD(ROW()-2,Assumptions!$B$7)+1))</x:f>
        <x:v>Yutani Ridge</x:v>
      </x:c>
      <x:c r="C571" s="11" t="n">
        <x:f>IF($A571="","",INDEX(Assumptions!$F$5:$F$12,MATCH($B571,Assumptions!$D$5:$D$12,0)))</x:f>
        <x:v>1050</x:v>
      </x:c>
      <x:c r="D571" s="11" t="n">
        <x:f>IF($A571="","",INDEX(Assumptions!$G$5:$G$12,MATCH($B571,Assumptions!$D$5:$D$12,0)))</x:f>
        <x:v>125</x:v>
      </x:c>
      <x:c r="E571" s="11" t="n">
        <x:f>IF($A571="","",INDEX(Assumptions!$M$5:$M$11,WEEKDAY($A571,2)))</x:f>
        <x:v>0.98</x:v>
      </x:c>
      <x:c r="F571" s="11" t="n">
        <x:f>IF($A571="","",Assumptions!$B$15)</x:f>
        <x:v>0.35</x:v>
      </x:c>
      <x:c r="G571" s="11" t="n">
        <x:f>IF($A571="","",MAX(INDEX(Assumptions!$H$5:$H$12,MATCH($B571,Assumptions!$D$5:$D$12,0)),MIN(INDEX(Assumptions!$I$5:$I$12,MATCH($B571,Assumptions!$D$5:$D$12,0)),($C571+$D571*SQRT(-2*LN(RAND()))*COS(2*PI()*RAND()))*$E571*$J571*$K571)))</x:f>
        <x:v>1063.828547261088</x:v>
      </x:c>
      <x:c r="H571" s="11" t="n">
        <x:f>IF($A571="","",$G571*$F571+$C571*(1-$F571))</x:f>
        <x:v>1054.8399915413809</x:v>
      </x:c>
      <x:c r="I571" s="11" t="n">
        <x:f>IF($A571="","",AVERAGE($H571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1024.408304430764</x:v>
      </x:c>
      <x:c r="J571" s="12" t="n">
        <x:f>IF($A571="","",1+SUMIFS(Assumptions!$S$5:$S$10,Assumptions!$P$5:$P$10,$B571,Assumptions!$Q$5:$Q$10,"&lt;="&amp;$A571,Assumptions!$R$5:$R$10,"&gt;="&amp;$A571))</x:f>
        <x:v>1</x:v>
      </x:c>
      <x:c r="K571" s="12" t="n">
        <x:f>IF($A571="","",1+((($A571-Assumptions!$B$5)/30)*INDEX(Assumptions!$J$5:$J$12,MATCH($B571,Assumptions!$D$5:$D$12,0))))</x:f>
        <x:v>1.0094166666666666</x:v>
      </x:c>
      <x:c r="L571" t="str">
        <x:f>IF($A571="","",IFERROR(INDEX(Assumptions!$O$5:$O$10,MATCH(1,(Assumptions!$P$5:$P$10=$B571)*(Assumptions!$Q$5:$Q$10&lt;=$A571)*(Assumptions!$R$5:$R$10&gt;=$A571),0)),""))</x:f>
      </x:c>
      <x:c r="M571" t="n">
        <x:f>--($A571&lt;&gt;"")</x:f>
        <x:v>1</x:v>
      </x:c>
    </x:row>
    <x:row r="572">
      <x:c r="A572" s="10" t="n">
        <x:f>IF(Assumptions!$B$5+INT((ROW()-2)/Assumptions!$B$7)&gt;Assumptions!$B$6,"",Assumptions!$B$5+INT((ROW()-2)/Assumptions!$B$7))</x:f>
        <x:v>46137</x:v>
      </x:c>
      <x:c r="B572" t="str">
        <x:f>IF($A572="","",INDEX(Assumptions!$D$5:$D$12,MOD(ROW()-2,Assumptions!$B$7)+1))</x:f>
        <x:v>Acheron Prime</x:v>
      </x:c>
      <x:c r="C572" s="11" t="n">
        <x:f>IF($A572="","",INDEX(Assumptions!$F$5:$F$12,MATCH($B572,Assumptions!$D$5:$D$12,0)))</x:f>
        <x:v>1120</x:v>
      </x:c>
      <x:c r="D572" s="11" t="n">
        <x:f>IF($A572="","",INDEX(Assumptions!$G$5:$G$12,MATCH($B572,Assumptions!$D$5:$D$12,0)))</x:f>
        <x:v>115</x:v>
      </x:c>
      <x:c r="E572" s="11" t="n">
        <x:f>IF($A572="","",INDEX(Assumptions!$M$5:$M$11,WEEKDAY($A572,2)))</x:f>
        <x:v>0.91</x:v>
      </x:c>
      <x:c r="F572" s="11" t="n">
        <x:f>IF($A572="","",Assumptions!$B$15)</x:f>
        <x:v>0.35</x:v>
      </x:c>
      <x:c r="G572" s="11" t="n">
        <x:f>IF($A572="","",MAX(INDEX(Assumptions!$H$5:$H$12,MATCH($B572,Assumptions!$D$5:$D$12,0)),MIN(INDEX(Assumptions!$I$5:$I$12,MATCH($B572,Assumptions!$D$5:$D$12,0)),($C572+$D572*SQRT(-2*LN(RAND()))*COS(2*PI()*RAND()))*$E572*$J572*$K572)))</x:f>
        <x:v>1089.1207416636935</x:v>
      </x:c>
      <x:c r="H572" s="11" t="n">
        <x:f>IF($A572="","",$G572*$F572+$C572*(1-$F572))</x:f>
        <x:v>1109.1922595822928</x:v>
      </x:c>
      <x:c r="I572" s="11" t="n">
        <x:f>IF($A572="","",AVERAGE($H572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1130.7258877447725</x:v>
      </x:c>
      <x:c r="J572" s="12" t="n">
        <x:f>IF($A572="","",1+SUMIFS(Assumptions!$S$5:$S$10,Assumptions!$P$5:$P$10,$B572,Assumptions!$Q$5:$Q$10,"&lt;="&amp;$A572,Assumptions!$R$5:$R$10,"&gt;="&amp;$A572))</x:f>
        <x:v>1</x:v>
      </x:c>
      <x:c r="K572" s="12" t="n">
        <x:f>IF($A572="","",1+((($A572-Assumptions!$B$5)/30)*INDEX(Assumptions!$J$5:$J$12,MATCH($B572,Assumptions!$D$5:$D$12,0))))</x:f>
        <x:v>1.0076</x:v>
      </x:c>
      <x:c r="L572" t="str">
        <x:f>IF($A572="","",IFERROR(INDEX(Assumptions!$O$5:$O$10,MATCH(1,(Assumptions!$P$5:$P$10=$B572)*(Assumptions!$Q$5:$Q$10&lt;=$A572)*(Assumptions!$R$5:$R$10&gt;=$A572),0)),""))</x:f>
      </x:c>
      <x:c r="M572" t="n">
        <x:f>--($A572&lt;&gt;"")</x:f>
        <x:v>1</x:v>
      </x:c>
    </x:row>
    <x:row r="573">
      <x:c r="A573" s="10" t="n">
        <x:f>IF(Assumptions!$B$5+INT((ROW()-2)/Assumptions!$B$7)&gt;Assumptions!$B$6,"",Assumptions!$B$5+INT((ROW()-2)/Assumptions!$B$7))</x:f>
        <x:v>46137</x:v>
      </x:c>
      <x:c r="B573" t="str">
        <x:f>IF($A573="","",INDEX(Assumptions!$D$5:$D$12,MOD(ROW()-2,Assumptions!$B$7)+1))</x:f>
        <x:v>LV-426 North</x:v>
      </x:c>
      <x:c r="C573" s="11" t="n">
        <x:f>IF($A573="","",INDEX(Assumptions!$F$5:$F$12,MATCH($B573,Assumptions!$D$5:$D$12,0)))</x:f>
        <x:v>930</x:v>
      </x:c>
      <x:c r="D573" s="11" t="n">
        <x:f>IF($A573="","",INDEX(Assumptions!$G$5:$G$12,MATCH($B573,Assumptions!$D$5:$D$12,0)))</x:f>
        <x:v>95</x:v>
      </x:c>
      <x:c r="E573" s="11" t="n">
        <x:f>IF($A573="","",INDEX(Assumptions!$M$5:$M$11,WEEKDAY($A573,2)))</x:f>
        <x:v>0.91</x:v>
      </x:c>
      <x:c r="F573" s="11" t="n">
        <x:f>IF($A573="","",Assumptions!$B$15)</x:f>
        <x:v>0.35</x:v>
      </x:c>
      <x:c r="G573" s="11" t="n">
        <x:f>IF($A573="","",MAX(INDEX(Assumptions!$H$5:$H$12,MATCH($B573,Assumptions!$D$5:$D$12,0)),MIN(INDEX(Assumptions!$I$5:$I$12,MATCH($B573,Assumptions!$D$5:$D$12,0)),($C573+$D573*SQRT(-2*LN(RAND()))*COS(2*PI()*RAND()))*$E573*$J573*$K573)))</x:f>
        <x:v>789.0347542271658</x:v>
      </x:c>
      <x:c r="H573" s="11" t="n">
        <x:f>IF($A573="","",$G573*$F573+$C573*(1-$F573))</x:f>
        <x:v>880.662163979508</x:v>
      </x:c>
      <x:c r="I573" s="11" t="n">
        <x:f>IF($A573="","",AVERAGE($H573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918.5781594991738</x:v>
      </x:c>
      <x:c r="J573" s="12" t="n">
        <x:f>IF($A573="","",1+SUMIFS(Assumptions!$S$5:$S$10,Assumptions!$P$5:$P$10,$B573,Assumptions!$Q$5:$Q$10,"&lt;="&amp;$A573,Assumptions!$R$5:$R$10,"&gt;="&amp;$A573))</x:f>
        <x:v>1</x:v>
      </x:c>
      <x:c r="K573" s="12" t="n">
        <x:f>IF($A573="","",1+((($A573-Assumptions!$B$5)/30)*INDEX(Assumptions!$J$5:$J$12,MATCH($B573,Assumptions!$D$5:$D$12,0))))</x:f>
        <x:v>0.9962</x:v>
      </x:c>
      <x:c r="L573" t="str">
        <x:f>IF($A573="","",IFERROR(INDEX(Assumptions!$O$5:$O$10,MATCH(1,(Assumptions!$P$5:$P$10=$B573)*(Assumptions!$Q$5:$Q$10&lt;=$A573)*(Assumptions!$R$5:$R$10&gt;=$A573),0)),""))</x:f>
      </x:c>
      <x:c r="M573" t="n">
        <x:f>--($A573&lt;&gt;"")</x:f>
        <x:v>1</x:v>
      </x:c>
    </x:row>
    <x:row r="574">
      <x:c r="A574" s="10" t="n">
        <x:f>IF(Assumptions!$B$5+INT((ROW()-2)/Assumptions!$B$7)&gt;Assumptions!$B$6,"",Assumptions!$B$5+INT((ROW()-2)/Assumptions!$B$7))</x:f>
        <x:v>46137</x:v>
      </x:c>
      <x:c r="B574" t="str">
        <x:f>IF($A574="","",INDEX(Assumptions!$D$5:$D$12,MOD(ROW()-2,Assumptions!$B$7)+1))</x:f>
        <x:v>Nostromo Deep</x:v>
      </x:c>
      <x:c r="C574" s="11" t="n">
        <x:f>IF($A574="","",INDEX(Assumptions!$F$5:$F$12,MATCH($B574,Assumptions!$D$5:$D$12,0)))</x:f>
        <x:v>1260</x:v>
      </x:c>
      <x:c r="D574" s="11" t="n">
        <x:f>IF($A574="","",INDEX(Assumptions!$G$5:$G$12,MATCH($B574,Assumptions!$D$5:$D$12,0)))</x:f>
        <x:v>145</x:v>
      </x:c>
      <x:c r="E574" s="11" t="n">
        <x:f>IF($A574="","",INDEX(Assumptions!$M$5:$M$11,WEEKDAY($A574,2)))</x:f>
        <x:v>0.91</x:v>
      </x:c>
      <x:c r="F574" s="11" t="n">
        <x:f>IF($A574="","",Assumptions!$B$15)</x:f>
        <x:v>0.35</x:v>
      </x:c>
      <x:c r="G574" s="11" t="n">
        <x:f>IF($A574="","",MAX(INDEX(Assumptions!$H$5:$H$12,MATCH($B574,Assumptions!$D$5:$D$12,0)),MIN(INDEX(Assumptions!$I$5:$I$12,MATCH($B574,Assumptions!$D$5:$D$12,0)),($C574+$D574*SQRT(-2*LN(RAND()))*COS(2*PI()*RAND()))*$E574*$J574*$K574)))</x:f>
        <x:v>1247.9021347238029</x:v>
      </x:c>
      <x:c r="H574" s="11" t="n">
        <x:f>IF($A574="","",$G574*$F574+$C574*(1-$F574))</x:f>
        <x:v>1255.765747153331</x:v>
      </x:c>
      <x:c r="I574" s="11" t="n">
        <x:f>IF($A574="","",AVERAGE($H574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1241.9833027095442</x:v>
      </x:c>
      <x:c r="J574" s="12" t="n">
        <x:f>IF($A574="","",1+SUMIFS(Assumptions!$S$5:$S$10,Assumptions!$P$5:$P$10,$B574,Assumptions!$Q$5:$Q$10,"&lt;="&amp;$A574,Assumptions!$R$5:$R$10,"&gt;="&amp;$A574))</x:f>
        <x:v>1</x:v>
      </x:c>
      <x:c r="K574" s="12" t="n">
        <x:f>IF($A574="","",1+((($A574-Assumptions!$B$5)/30)*INDEX(Assumptions!$J$5:$J$12,MATCH($B574,Assumptions!$D$5:$D$12,0))))</x:f>
        <x:v>1.0114</x:v>
      </x:c>
      <x:c r="L574" t="str">
        <x:f>IF($A574="","",IFERROR(INDEX(Assumptions!$O$5:$O$10,MATCH(1,(Assumptions!$P$5:$P$10=$B574)*(Assumptions!$Q$5:$Q$10&lt;=$A574)*(Assumptions!$R$5:$R$10&gt;=$A574),0)),""))</x:f>
      </x:c>
      <x:c r="M574" t="n">
        <x:f>--($A574&lt;&gt;"")</x:f>
        <x:v>1</x:v>
      </x:c>
    </x:row>
    <x:row r="575">
      <x:c r="A575" s="10" t="n">
        <x:f>IF(Assumptions!$B$5+INT((ROW()-2)/Assumptions!$B$7)&gt;Assumptions!$B$6,"",Assumptions!$B$5+INT((ROW()-2)/Assumptions!$B$7))</x:f>
        <x:v>46137</x:v>
      </x:c>
      <x:c r="B575" t="str">
        <x:f>IF($A575="","",INDEX(Assumptions!$D$5:$D$12,MOD(ROW()-2,Assumptions!$B$7)+1))</x:f>
        <x:v>Hadley's Hope</x:v>
      </x:c>
      <x:c r="C575" s="11" t="n">
        <x:f>IF($A575="","",INDEX(Assumptions!$F$5:$F$12,MATCH($B575,Assumptions!$D$5:$D$12,0)))</x:f>
        <x:v>845</x:v>
      </x:c>
      <x:c r="D575" s="11" t="n">
        <x:f>IF($A575="","",INDEX(Assumptions!$G$5:$G$12,MATCH($B575,Assumptions!$D$5:$D$12,0)))</x:f>
        <x:v>80</x:v>
      </x:c>
      <x:c r="E575" s="11" t="n">
        <x:f>IF($A575="","",INDEX(Assumptions!$M$5:$M$11,WEEKDAY($A575,2)))</x:f>
        <x:v>0.91</x:v>
      </x:c>
      <x:c r="F575" s="11" t="n">
        <x:f>IF($A575="","",Assumptions!$B$15)</x:f>
        <x:v>0.35</x:v>
      </x:c>
      <x:c r="G575" s="11" t="n">
        <x:f>IF($A575="","",MAX(INDEX(Assumptions!$H$5:$H$12,MATCH($B575,Assumptions!$D$5:$D$12,0)),MIN(INDEX(Assumptions!$I$5:$I$12,MATCH($B575,Assumptions!$D$5:$D$12,0)),($C575+$D575*SQRT(-2*LN(RAND()))*COS(2*PI()*RAND()))*$E575*$J575*$K575)))</x:f>
        <x:v>748.6853523987451</x:v>
      </x:c>
      <x:c r="H575" s="11" t="n">
        <x:f>IF($A575="","",$G575*$F575+$C575*(1-$F575))</x:f>
        <x:v>811.2898733395607</x:v>
      </x:c>
      <x:c r="I575" s="11" t="n">
        <x:f>IF($A575="","",AVERAGE($H575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835.5326561417021</x:v>
      </x:c>
      <x:c r="J575" s="12" t="n">
        <x:f>IF($A575="","",1+SUMIFS(Assumptions!$S$5:$S$10,Assumptions!$P$5:$P$10,$B575,Assumptions!$Q$5:$Q$10,"&lt;="&amp;$A575,Assumptions!$R$5:$R$10,"&gt;="&amp;$A575))</x:f>
        <x:v>1</x:v>
      </x:c>
      <x:c r="K575" s="12" t="n">
        <x:f>IF($A575="","",1+((($A575-Assumptions!$B$5)/30)*INDEX(Assumptions!$J$5:$J$12,MATCH($B575,Assumptions!$D$5:$D$12,0))))</x:f>
        <x:v>1.0038</x:v>
      </x:c>
      <x:c r="L575" t="str">
        <x:f>IF($A575="","",IFERROR(INDEX(Assumptions!$O$5:$O$10,MATCH(1,(Assumptions!$P$5:$P$10=$B575)*(Assumptions!$Q$5:$Q$10&lt;=$A575)*(Assumptions!$R$5:$R$10&gt;=$A575),0)),""))</x:f>
      </x:c>
      <x:c r="M575" t="n">
        <x:f>--($A575&lt;&gt;"")</x:f>
        <x:v>1</x:v>
      </x:c>
    </x:row>
    <x:row r="576">
      <x:c r="A576" s="10" t="n">
        <x:f>IF(Assumptions!$B$5+INT((ROW()-2)/Assumptions!$B$7)&gt;Assumptions!$B$6,"",Assumptions!$B$5+INT((ROW()-2)/Assumptions!$B$7))</x:f>
        <x:v>46137</x:v>
      </x:c>
      <x:c r="B576" t="str">
        <x:f>IF($A576="","",INDEX(Assumptions!$D$5:$D$12,MOD(ROW()-2,Assumptions!$B$7)+1))</x:f>
        <x:v>Yutani Ridge</x:v>
      </x:c>
      <x:c r="C576" s="11" t="n">
        <x:f>IF($A576="","",INDEX(Assumptions!$F$5:$F$12,MATCH($B576,Assumptions!$D$5:$D$12,0)))</x:f>
        <x:v>1050</x:v>
      </x:c>
      <x:c r="D576" s="11" t="n">
        <x:f>IF($A576="","",INDEX(Assumptions!$G$5:$G$12,MATCH($B576,Assumptions!$D$5:$D$12,0)))</x:f>
        <x:v>125</x:v>
      </x:c>
      <x:c r="E576" s="11" t="n">
        <x:f>IF($A576="","",INDEX(Assumptions!$M$5:$M$11,WEEKDAY($A576,2)))</x:f>
        <x:v>0.91</x:v>
      </x:c>
      <x:c r="F576" s="11" t="n">
        <x:f>IF($A576="","",Assumptions!$B$15)</x:f>
        <x:v>0.35</x:v>
      </x:c>
      <x:c r="G576" s="11" t="n">
        <x:f>IF($A576="","",MAX(INDEX(Assumptions!$H$5:$H$12,MATCH($B576,Assumptions!$D$5:$D$12,0)),MIN(INDEX(Assumptions!$I$5:$I$12,MATCH($B576,Assumptions!$D$5:$D$12,0)),($C576+$D576*SQRT(-2*LN(RAND()))*COS(2*PI()*RAND()))*$E576*$J576*$K576)))</x:f>
        <x:v>998.5733293112357</x:v>
      </x:c>
      <x:c r="H576" s="11" t="n">
        <x:f>IF($A576="","",$G576*$F576+$C576*(1-$F576))</x:f>
        <x:v>1032.0006652589325</x:v>
      </x:c>
      <x:c r="I576" s="11" t="n">
        <x:f>IF($A576="","",AVERAGE($H576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1031.6290994532626</x:v>
      </x:c>
      <x:c r="J576" s="12" t="n">
        <x:f>IF($A576="","",1+SUMIFS(Assumptions!$S$5:$S$10,Assumptions!$P$5:$P$10,$B576,Assumptions!$Q$5:$Q$10,"&lt;="&amp;$A576,Assumptions!$R$5:$R$10,"&gt;="&amp;$A576))</x:f>
        <x:v>1</x:v>
      </x:c>
      <x:c r="K576" s="12" t="n">
        <x:f>IF($A576="","",1+((($A576-Assumptions!$B$5)/30)*INDEX(Assumptions!$J$5:$J$12,MATCH($B576,Assumptions!$D$5:$D$12,0))))</x:f>
        <x:v>1.0095</x:v>
      </x:c>
      <x:c r="L576" t="str">
        <x:f>IF($A576="","",IFERROR(INDEX(Assumptions!$O$5:$O$10,MATCH(1,(Assumptions!$P$5:$P$10=$B576)*(Assumptions!$Q$5:$Q$10&lt;=$A576)*(Assumptions!$R$5:$R$10&gt;=$A576),0)),""))</x:f>
      </x:c>
      <x:c r="M576" t="n">
        <x:f>--($A576&lt;&gt;"")</x:f>
        <x:v>1</x:v>
      </x:c>
    </x:row>
    <x:row r="577">
      <x:c r="A577" s="10" t="n">
        <x:f>IF(Assumptions!$B$5+INT((ROW()-2)/Assumptions!$B$7)&gt;Assumptions!$B$6,"",Assumptions!$B$5+INT((ROW()-2)/Assumptions!$B$7))</x:f>
        <x:v>46138</x:v>
      </x:c>
      <x:c r="B577" t="str">
        <x:f>IF($A577="","",INDEX(Assumptions!$D$5:$D$12,MOD(ROW()-2,Assumptions!$B$7)+1))</x:f>
        <x:v>Acheron Prime</x:v>
      </x:c>
      <x:c r="C577" s="11" t="n">
        <x:f>IF($A577="","",INDEX(Assumptions!$F$5:$F$12,MATCH($B577,Assumptions!$D$5:$D$12,0)))</x:f>
        <x:v>1120</x:v>
      </x:c>
      <x:c r="D577" s="11" t="n">
        <x:f>IF($A577="","",INDEX(Assumptions!$G$5:$G$12,MATCH($B577,Assumptions!$D$5:$D$12,0)))</x:f>
        <x:v>115</x:v>
      </x:c>
      <x:c r="E577" s="11" t="n">
        <x:f>IF($A577="","",INDEX(Assumptions!$M$5:$M$11,WEEKDAY($A577,2)))</x:f>
        <x:v>0.87</x:v>
      </x:c>
      <x:c r="F577" s="11" t="n">
        <x:f>IF($A577="","",Assumptions!$B$15)</x:f>
        <x:v>0.35</x:v>
      </x:c>
      <x:c r="G577" s="11" t="n">
        <x:f>IF($A577="","",MAX(INDEX(Assumptions!$H$5:$H$12,MATCH($B577,Assumptions!$D$5:$D$12,0)),MIN(INDEX(Assumptions!$I$5:$I$12,MATCH($B577,Assumptions!$D$5:$D$12,0)),($C577+$D577*SQRT(-2*LN(RAND()))*COS(2*PI()*RAND()))*$E577*$J577*$K577)))</x:f>
        <x:v>903.4557386176186</x:v>
      </x:c>
      <x:c r="H577" s="11" t="n">
        <x:f>IF($A577="","",$G577*$F577+$C577*(1-$F577))</x:f>
        <x:v>1044.2095085161666</x:v>
      </x:c>
      <x:c r="I577" s="11" t="n">
        <x:f>IF($A577="","",AVERAGE($H577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1126.2749667115452</x:v>
      </x:c>
      <x:c r="J577" s="12" t="n">
        <x:f>IF($A577="","",1+SUMIFS(Assumptions!$S$5:$S$10,Assumptions!$P$5:$P$10,$B577,Assumptions!$Q$5:$Q$10,"&lt;="&amp;$A577,Assumptions!$R$5:$R$10,"&gt;="&amp;$A577))</x:f>
        <x:v>1</x:v>
      </x:c>
      <x:c r="K577" s="12" t="n">
        <x:f>IF($A577="","",1+((($A577-Assumptions!$B$5)/30)*INDEX(Assumptions!$J$5:$J$12,MATCH($B577,Assumptions!$D$5:$D$12,0))))</x:f>
        <x:v>1.0076666666666667</x:v>
      </x:c>
      <x:c r="L577" t="str">
        <x:f>IF($A577="","",IFERROR(INDEX(Assumptions!$O$5:$O$10,MATCH(1,(Assumptions!$P$5:$P$10=$B577)*(Assumptions!$Q$5:$Q$10&lt;=$A577)*(Assumptions!$R$5:$R$10&gt;=$A577),0)),""))</x:f>
      </x:c>
      <x:c r="M577" t="n">
        <x:f>--($A577&lt;&gt;"")</x:f>
        <x:v>1</x:v>
      </x:c>
    </x:row>
    <x:row r="578">
      <x:c r="A578" s="10" t="n">
        <x:f>IF(Assumptions!$B$5+INT((ROW()-2)/Assumptions!$B$7)&gt;Assumptions!$B$6,"",Assumptions!$B$5+INT((ROW()-2)/Assumptions!$B$7))</x:f>
        <x:v>46138</x:v>
      </x:c>
      <x:c r="B578" t="str">
        <x:f>IF($A578="","",INDEX(Assumptions!$D$5:$D$12,MOD(ROW()-2,Assumptions!$B$7)+1))</x:f>
        <x:v>LV-426 North</x:v>
      </x:c>
      <x:c r="C578" s="11" t="n">
        <x:f>IF($A578="","",INDEX(Assumptions!$F$5:$F$12,MATCH($B578,Assumptions!$D$5:$D$12,0)))</x:f>
        <x:v>930</x:v>
      </x:c>
      <x:c r="D578" s="11" t="n">
        <x:f>IF($A578="","",INDEX(Assumptions!$G$5:$G$12,MATCH($B578,Assumptions!$D$5:$D$12,0)))</x:f>
        <x:v>95</x:v>
      </x:c>
      <x:c r="E578" s="11" t="n">
        <x:f>IF($A578="","",INDEX(Assumptions!$M$5:$M$11,WEEKDAY($A578,2)))</x:f>
        <x:v>0.87</x:v>
      </x:c>
      <x:c r="F578" s="11" t="n">
        <x:f>IF($A578="","",Assumptions!$B$15)</x:f>
        <x:v>0.35</x:v>
      </x:c>
      <x:c r="G578" s="11" t="n">
        <x:f>IF($A578="","",MAX(INDEX(Assumptions!$H$5:$H$12,MATCH($B578,Assumptions!$D$5:$D$12,0)),MIN(INDEX(Assumptions!$I$5:$I$12,MATCH($B578,Assumptions!$D$5:$D$12,0)),($C578+$D578*SQRT(-2*LN(RAND()))*COS(2*PI()*RAND()))*$E578*$J578*$K578)))</x:f>
        <x:v>720.9545055086292</x:v>
      </x:c>
      <x:c r="H578" s="11" t="n">
        <x:f>IF($A578="","",$G578*$F578+$C578*(1-$F578))</x:f>
        <x:v>856.8340769280202</x:v>
      </x:c>
      <x:c r="I578" s="11" t="n">
        <x:f>IF($A578="","",AVERAGE($H578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913.9867016084148</x:v>
      </x:c>
      <x:c r="J578" s="12" t="n">
        <x:f>IF($A578="","",1+SUMIFS(Assumptions!$S$5:$S$10,Assumptions!$P$5:$P$10,$B578,Assumptions!$Q$5:$Q$10,"&lt;="&amp;$A578,Assumptions!$R$5:$R$10,"&gt;="&amp;$A578))</x:f>
        <x:v>1</x:v>
      </x:c>
      <x:c r="K578" s="12" t="n">
        <x:f>IF($A578="","",1+((($A578-Assumptions!$B$5)/30)*INDEX(Assumptions!$J$5:$J$12,MATCH($B578,Assumptions!$D$5:$D$12,0))))</x:f>
        <x:v>0.9961666666666666</x:v>
      </x:c>
      <x:c r="L578" t="str">
        <x:f>IF($A578="","",IFERROR(INDEX(Assumptions!$O$5:$O$10,MATCH(1,(Assumptions!$P$5:$P$10=$B578)*(Assumptions!$Q$5:$Q$10&lt;=$A578)*(Assumptions!$R$5:$R$10&gt;=$A578),0)),""))</x:f>
      </x:c>
      <x:c r="M578" t="n">
        <x:f>--($A578&lt;&gt;"")</x:f>
        <x:v>1</x:v>
      </x:c>
    </x:row>
    <x:row r="579">
      <x:c r="A579" s="10" t="n">
        <x:f>IF(Assumptions!$B$5+INT((ROW()-2)/Assumptions!$B$7)&gt;Assumptions!$B$6,"",Assumptions!$B$5+INT((ROW()-2)/Assumptions!$B$7))</x:f>
        <x:v>46138</x:v>
      </x:c>
      <x:c r="B579" t="str">
        <x:f>IF($A579="","",INDEX(Assumptions!$D$5:$D$12,MOD(ROW()-2,Assumptions!$B$7)+1))</x:f>
        <x:v>Nostromo Deep</x:v>
      </x:c>
      <x:c r="C579" s="11" t="n">
        <x:f>IF($A579="","",INDEX(Assumptions!$F$5:$F$12,MATCH($B579,Assumptions!$D$5:$D$12,0)))</x:f>
        <x:v>1260</x:v>
      </x:c>
      <x:c r="D579" s="11" t="n">
        <x:f>IF($A579="","",INDEX(Assumptions!$G$5:$G$12,MATCH($B579,Assumptions!$D$5:$D$12,0)))</x:f>
        <x:v>145</x:v>
      </x:c>
      <x:c r="E579" s="11" t="n">
        <x:f>IF($A579="","",INDEX(Assumptions!$M$5:$M$11,WEEKDAY($A579,2)))</x:f>
        <x:v>0.87</x:v>
      </x:c>
      <x:c r="F579" s="11" t="n">
        <x:f>IF($A579="","",Assumptions!$B$15)</x:f>
        <x:v>0.35</x:v>
      </x:c>
      <x:c r="G579" s="11" t="n">
        <x:f>IF($A579="","",MAX(INDEX(Assumptions!$H$5:$H$12,MATCH($B579,Assumptions!$D$5:$D$12,0)),MIN(INDEX(Assumptions!$I$5:$I$12,MATCH($B579,Assumptions!$D$5:$D$12,0)),($C579+$D579*SQRT(-2*LN(RAND()))*COS(2*PI()*RAND()))*$E579*$J579*$K579)))</x:f>
        <x:v>1222.6506498889137</x:v>
      </x:c>
      <x:c r="H579" s="11" t="n">
        <x:f>IF($A579="","",$G579*$F579+$C579*(1-$F579))</x:f>
        <x:v>1246.9277274611197</x:v>
      </x:c>
      <x:c r="I579" s="11" t="n">
        <x:f>IF($A579="","",AVERAGE($H579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1257.8177158941812</x:v>
      </x:c>
      <x:c r="J579" s="12" t="n">
        <x:f>IF($A579="","",1+SUMIFS(Assumptions!$S$5:$S$10,Assumptions!$P$5:$P$10,$B579,Assumptions!$Q$5:$Q$10,"&lt;="&amp;$A579,Assumptions!$R$5:$R$10,"&gt;="&amp;$A579))</x:f>
        <x:v>1</x:v>
      </x:c>
      <x:c r="K579" s="12" t="n">
        <x:f>IF($A579="","",1+((($A579-Assumptions!$B$5)/30)*INDEX(Assumptions!$J$5:$J$12,MATCH($B579,Assumptions!$D$5:$D$12,0))))</x:f>
        <x:v>1.0115</x:v>
      </x:c>
      <x:c r="L579" t="str">
        <x:f>IF($A579="","",IFERROR(INDEX(Assumptions!$O$5:$O$10,MATCH(1,(Assumptions!$P$5:$P$10=$B579)*(Assumptions!$Q$5:$Q$10&lt;=$A579)*(Assumptions!$R$5:$R$10&gt;=$A579),0)),""))</x:f>
      </x:c>
      <x:c r="M579" t="n">
        <x:f>--($A579&lt;&gt;"")</x:f>
        <x:v>1</x:v>
      </x:c>
    </x:row>
    <x:row r="580">
      <x:c r="A580" s="10" t="n">
        <x:f>IF(Assumptions!$B$5+INT((ROW()-2)/Assumptions!$B$7)&gt;Assumptions!$B$6,"",Assumptions!$B$5+INT((ROW()-2)/Assumptions!$B$7))</x:f>
        <x:v>46138</x:v>
      </x:c>
      <x:c r="B580" t="str">
        <x:f>IF($A580="","",INDEX(Assumptions!$D$5:$D$12,MOD(ROW()-2,Assumptions!$B$7)+1))</x:f>
        <x:v>Hadley's Hope</x:v>
      </x:c>
      <x:c r="C580" s="11" t="n">
        <x:f>IF($A580="","",INDEX(Assumptions!$F$5:$F$12,MATCH($B580,Assumptions!$D$5:$D$12,0)))</x:f>
        <x:v>845</x:v>
      </x:c>
      <x:c r="D580" s="11" t="n">
        <x:f>IF($A580="","",INDEX(Assumptions!$G$5:$G$12,MATCH($B580,Assumptions!$D$5:$D$12,0)))</x:f>
        <x:v>80</x:v>
      </x:c>
      <x:c r="E580" s="11" t="n">
        <x:f>IF($A580="","",INDEX(Assumptions!$M$5:$M$11,WEEKDAY($A580,2)))</x:f>
        <x:v>0.87</x:v>
      </x:c>
      <x:c r="F580" s="11" t="n">
        <x:f>IF($A580="","",Assumptions!$B$15)</x:f>
        <x:v>0.35</x:v>
      </x:c>
      <x:c r="G580" s="11" t="n">
        <x:f>IF($A580="","",MAX(INDEX(Assumptions!$H$5:$H$12,MATCH($B580,Assumptions!$D$5:$D$12,0)),MIN(INDEX(Assumptions!$I$5:$I$12,MATCH($B580,Assumptions!$D$5:$D$12,0)),($C580+$D580*SQRT(-2*LN(RAND()))*COS(2*PI()*RAND()))*$E580*$J580*$K580)))</x:f>
        <x:v>743.7964324077983</x:v>
      </x:c>
      <x:c r="H580" s="11" t="n">
        <x:f>IF($A580="","",$G580*$F580+$C580*(1-$F580))</x:f>
        <x:v>809.5787513427294</x:v>
      </x:c>
      <x:c r="I580" s="11" t="n">
        <x:f>IF($A580="","",AVERAGE($H580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837.3752955174729</x:v>
      </x:c>
      <x:c r="J580" s="12" t="n">
        <x:f>IF($A580="","",1+SUMIFS(Assumptions!$S$5:$S$10,Assumptions!$P$5:$P$10,$B580,Assumptions!$Q$5:$Q$10,"&lt;="&amp;$A580,Assumptions!$R$5:$R$10,"&gt;="&amp;$A580))</x:f>
        <x:v>1</x:v>
      </x:c>
      <x:c r="K580" s="12" t="n">
        <x:f>IF($A580="","",1+((($A580-Assumptions!$B$5)/30)*INDEX(Assumptions!$J$5:$J$12,MATCH($B580,Assumptions!$D$5:$D$12,0))))</x:f>
        <x:v>1.0038333333333334</x:v>
      </x:c>
      <x:c r="L580" t="str">
        <x:f>IF($A580="","",IFERROR(INDEX(Assumptions!$O$5:$O$10,MATCH(1,(Assumptions!$P$5:$P$10=$B580)*(Assumptions!$Q$5:$Q$10&lt;=$A580)*(Assumptions!$R$5:$R$10&gt;=$A580),0)),""))</x:f>
      </x:c>
      <x:c r="M580" t="n">
        <x:f>--($A580&lt;&gt;"")</x:f>
        <x:v>1</x:v>
      </x:c>
    </x:row>
    <x:row r="581">
      <x:c r="A581" s="10" t="n">
        <x:f>IF(Assumptions!$B$5+INT((ROW()-2)/Assumptions!$B$7)&gt;Assumptions!$B$6,"",Assumptions!$B$5+INT((ROW()-2)/Assumptions!$B$7))</x:f>
        <x:v>46138</x:v>
      </x:c>
      <x:c r="B581" t="str">
        <x:f>IF($A581="","",INDEX(Assumptions!$D$5:$D$12,MOD(ROW()-2,Assumptions!$B$7)+1))</x:f>
        <x:v>Yutani Ridge</x:v>
      </x:c>
      <x:c r="C581" s="11" t="n">
        <x:f>IF($A581="","",INDEX(Assumptions!$F$5:$F$12,MATCH($B581,Assumptions!$D$5:$D$12,0)))</x:f>
        <x:v>1050</x:v>
      </x:c>
      <x:c r="D581" s="11" t="n">
        <x:f>IF($A581="","",INDEX(Assumptions!$G$5:$G$12,MATCH($B581,Assumptions!$D$5:$D$12,0)))</x:f>
        <x:v>125</x:v>
      </x:c>
      <x:c r="E581" s="11" t="n">
        <x:f>IF($A581="","",INDEX(Assumptions!$M$5:$M$11,WEEKDAY($A581,2)))</x:f>
        <x:v>0.87</x:v>
      </x:c>
      <x:c r="F581" s="11" t="n">
        <x:f>IF($A581="","",Assumptions!$B$15)</x:f>
        <x:v>0.35</x:v>
      </x:c>
      <x:c r="G581" s="11" t="n">
        <x:f>IF($A581="","",MAX(INDEX(Assumptions!$H$5:$H$12,MATCH($B581,Assumptions!$D$5:$D$12,0)),MIN(INDEX(Assumptions!$I$5:$I$12,MATCH($B581,Assumptions!$D$5:$D$12,0)),($C581+$D581*SQRT(-2*LN(RAND()))*COS(2*PI()*RAND()))*$E581*$J581*$K581)))</x:f>
        <x:v>901.4460290757004</x:v>
      </x:c>
      <x:c r="H581" s="11" t="n">
        <x:f>IF($A581="","",$G581*$F581+$C581*(1-$F581))</x:f>
        <x:v>998.0061101764951</x:v>
      </x:c>
      <x:c r="I581" s="11" t="n">
        <x:f>IF($A581="","",AVERAGE($H581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1033.0793878107656</x:v>
      </x:c>
      <x:c r="J581" s="12" t="n">
        <x:f>IF($A581="","",1+SUMIFS(Assumptions!$S$5:$S$10,Assumptions!$P$5:$P$10,$B581,Assumptions!$Q$5:$Q$10,"&lt;="&amp;$A581,Assumptions!$R$5:$R$10,"&gt;="&amp;$A581))</x:f>
        <x:v>1</x:v>
      </x:c>
      <x:c r="K581" s="12" t="n">
        <x:f>IF($A581="","",1+((($A581-Assumptions!$B$5)/30)*INDEX(Assumptions!$J$5:$J$12,MATCH($B581,Assumptions!$D$5:$D$12,0))))</x:f>
        <x:v>1.0095833333333333</x:v>
      </x:c>
      <x:c r="L581" t="str">
        <x:f>IF($A581="","",IFERROR(INDEX(Assumptions!$O$5:$O$10,MATCH(1,(Assumptions!$P$5:$P$10=$B581)*(Assumptions!$Q$5:$Q$10&lt;=$A581)*(Assumptions!$R$5:$R$10&gt;=$A581),0)),""))</x:f>
      </x:c>
      <x:c r="M581" t="n">
        <x:f>--($A581&lt;&gt;"")</x:f>
        <x:v>1</x:v>
      </x:c>
    </x:row>
    <x:row r="582">
      <x:c r="A582" s="10" t="n">
        <x:f>IF(Assumptions!$B$5+INT((ROW()-2)/Assumptions!$B$7)&gt;Assumptions!$B$6,"",Assumptions!$B$5+INT((ROW()-2)/Assumptions!$B$7))</x:f>
        <x:v>46139</x:v>
      </x:c>
      <x:c r="B582" t="str">
        <x:f>IF($A582="","",INDEX(Assumptions!$D$5:$D$12,MOD(ROW()-2,Assumptions!$B$7)+1))</x:f>
        <x:v>Acheron Prime</x:v>
      </x:c>
      <x:c r="C582" s="11" t="n">
        <x:f>IF($A582="","",INDEX(Assumptions!$F$5:$F$12,MATCH($B582,Assumptions!$D$5:$D$12,0)))</x:f>
        <x:v>1120</x:v>
      </x:c>
      <x:c r="D582" s="11" t="n">
        <x:f>IF($A582="","",INDEX(Assumptions!$G$5:$G$12,MATCH($B582,Assumptions!$D$5:$D$12,0)))</x:f>
        <x:v>115</x:v>
      </x:c>
      <x:c r="E582" s="11" t="n">
        <x:f>IF($A582="","",INDEX(Assumptions!$M$5:$M$11,WEEKDAY($A582,2)))</x:f>
        <x:v>1.03</x:v>
      </x:c>
      <x:c r="F582" s="11" t="n">
        <x:f>IF($A582="","",Assumptions!$B$15)</x:f>
        <x:v>0.35</x:v>
      </x:c>
      <x:c r="G582" s="11" t="n">
        <x:f>IF($A582="","",MAX(INDEX(Assumptions!$H$5:$H$12,MATCH($B582,Assumptions!$D$5:$D$12,0)),MIN(INDEX(Assumptions!$I$5:$I$12,MATCH($B582,Assumptions!$D$5:$D$12,0)),($C582+$D582*SQRT(-2*LN(RAND()))*COS(2*PI()*RAND()))*$E582*$J582*$K582)))</x:f>
        <x:v>1375.1755476701865</x:v>
      </x:c>
      <x:c r="H582" s="11" t="n">
        <x:f>IF($A582="","",$G582*$F582+$C582*(1-$F582))</x:f>
        <x:v>1209.3114416845651</x:v>
      </x:c>
      <x:c r="I582" s="11" t="n">
        <x:f>IF($A582="","",AVERAGE($H582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1136.2482569769204</x:v>
      </x:c>
      <x:c r="J582" s="12" t="n">
        <x:f>IF($A582="","",1+SUMIFS(Assumptions!$S$5:$S$10,Assumptions!$P$5:$P$10,$B582,Assumptions!$Q$5:$Q$10,"&lt;="&amp;$A582,Assumptions!$R$5:$R$10,"&gt;="&amp;$A582))</x:f>
        <x:v>1</x:v>
      </x:c>
      <x:c r="K582" s="12" t="n">
        <x:f>IF($A582="","",1+((($A582-Assumptions!$B$5)/30)*INDEX(Assumptions!$J$5:$J$12,MATCH($B582,Assumptions!$D$5:$D$12,0))))</x:f>
        <x:v>1.0077333333333334</x:v>
      </x:c>
      <x:c r="L582" t="str">
        <x:f>IF($A582="","",IFERROR(INDEX(Assumptions!$O$5:$O$10,MATCH(1,(Assumptions!$P$5:$P$10=$B582)*(Assumptions!$Q$5:$Q$10&lt;=$A582)*(Assumptions!$R$5:$R$10&gt;=$A582),0)),""))</x:f>
      </x:c>
      <x:c r="M582" t="n">
        <x:f>--($A582&lt;&gt;"")</x:f>
        <x:v>1</x:v>
      </x:c>
    </x:row>
    <x:row r="583">
      <x:c r="A583" s="10" t="n">
        <x:f>IF(Assumptions!$B$5+INT((ROW()-2)/Assumptions!$B$7)&gt;Assumptions!$B$6,"",Assumptions!$B$5+INT((ROW()-2)/Assumptions!$B$7))</x:f>
        <x:v>46139</x:v>
      </x:c>
      <x:c r="B583" t="str">
        <x:f>IF($A583="","",INDEX(Assumptions!$D$5:$D$12,MOD(ROW()-2,Assumptions!$B$7)+1))</x:f>
        <x:v>LV-426 North</x:v>
      </x:c>
      <x:c r="C583" s="11" t="n">
        <x:f>IF($A583="","",INDEX(Assumptions!$F$5:$F$12,MATCH($B583,Assumptions!$D$5:$D$12,0)))</x:f>
        <x:v>930</x:v>
      </x:c>
      <x:c r="D583" s="11" t="n">
        <x:f>IF($A583="","",INDEX(Assumptions!$G$5:$G$12,MATCH($B583,Assumptions!$D$5:$D$12,0)))</x:f>
        <x:v>95</x:v>
      </x:c>
      <x:c r="E583" s="11" t="n">
        <x:f>IF($A583="","",INDEX(Assumptions!$M$5:$M$11,WEEKDAY($A583,2)))</x:f>
        <x:v>1.03</x:v>
      </x:c>
      <x:c r="F583" s="11" t="n">
        <x:f>IF($A583="","",Assumptions!$B$15)</x:f>
        <x:v>0.35</x:v>
      </x:c>
      <x:c r="G583" s="11" t="n">
        <x:f>IF($A583="","",MAX(INDEX(Assumptions!$H$5:$H$12,MATCH($B583,Assumptions!$D$5:$D$12,0)),MIN(INDEX(Assumptions!$I$5:$I$12,MATCH($B583,Assumptions!$D$5:$D$12,0)),($C583+$D583*SQRT(-2*LN(RAND()))*COS(2*PI()*RAND()))*$E583*$J583*$K583)))</x:f>
        <x:v>925.1011824576084</x:v>
      </x:c>
      <x:c r="H583" s="11" t="n">
        <x:f>IF($A583="","",$G583*$F583+$C583*(1-$F583))</x:f>
        <x:v>928.2854138601629</x:v>
      </x:c>
      <x:c r="I583" s="11" t="n">
        <x:f>IF($A583="","",AVERAGE($H583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916.8747466100373</x:v>
      </x:c>
      <x:c r="J583" s="12" t="n">
        <x:f>IF($A583="","",1+SUMIFS(Assumptions!$S$5:$S$10,Assumptions!$P$5:$P$10,$B583,Assumptions!$Q$5:$Q$10,"&lt;="&amp;$A583,Assumptions!$R$5:$R$10,"&gt;="&amp;$A583))</x:f>
        <x:v>1</x:v>
      </x:c>
      <x:c r="K583" s="12" t="n">
        <x:f>IF($A583="","",1+((($A583-Assumptions!$B$5)/30)*INDEX(Assumptions!$J$5:$J$12,MATCH($B583,Assumptions!$D$5:$D$12,0))))</x:f>
        <x:v>0.9961333333333333</x:v>
      </x:c>
      <x:c r="L583" t="str">
        <x:f>IF($A583="","",IFERROR(INDEX(Assumptions!$O$5:$O$10,MATCH(1,(Assumptions!$P$5:$P$10=$B583)*(Assumptions!$Q$5:$Q$10&lt;=$A583)*(Assumptions!$R$5:$R$10&gt;=$A583),0)),""))</x:f>
      </x:c>
      <x:c r="M583" t="n">
        <x:f>--($A583&lt;&gt;"")</x:f>
        <x:v>1</x:v>
      </x:c>
    </x:row>
    <x:row r="584">
      <x:c r="A584" s="10" t="n">
        <x:f>IF(Assumptions!$B$5+INT((ROW()-2)/Assumptions!$B$7)&gt;Assumptions!$B$6,"",Assumptions!$B$5+INT((ROW()-2)/Assumptions!$B$7))</x:f>
        <x:v>46139</x:v>
      </x:c>
      <x:c r="B584" t="str">
        <x:f>IF($A584="","",INDEX(Assumptions!$D$5:$D$12,MOD(ROW()-2,Assumptions!$B$7)+1))</x:f>
        <x:v>Nostromo Deep</x:v>
      </x:c>
      <x:c r="C584" s="11" t="n">
        <x:f>IF($A584="","",INDEX(Assumptions!$F$5:$F$12,MATCH($B584,Assumptions!$D$5:$D$12,0)))</x:f>
        <x:v>1260</x:v>
      </x:c>
      <x:c r="D584" s="11" t="n">
        <x:f>IF($A584="","",INDEX(Assumptions!$G$5:$G$12,MATCH($B584,Assumptions!$D$5:$D$12,0)))</x:f>
        <x:v>145</x:v>
      </x:c>
      <x:c r="E584" s="11" t="n">
        <x:f>IF($A584="","",INDEX(Assumptions!$M$5:$M$11,WEEKDAY($A584,2)))</x:f>
        <x:v>1.03</x:v>
      </x:c>
      <x:c r="F584" s="11" t="n">
        <x:f>IF($A584="","",Assumptions!$B$15)</x:f>
        <x:v>0.35</x:v>
      </x:c>
      <x:c r="G584" s="11" t="n">
        <x:f>IF($A584="","",MAX(INDEX(Assumptions!$H$5:$H$12,MATCH($B584,Assumptions!$D$5:$D$12,0)),MIN(INDEX(Assumptions!$I$5:$I$12,MATCH($B584,Assumptions!$D$5:$D$12,0)),($C584+$D584*SQRT(-2*LN(RAND()))*COS(2*PI()*RAND()))*$E584*$J584*$K584)))</x:f>
        <x:v>1502.2203646510118</x:v>
      </x:c>
      <x:c r="H584" s="11" t="n">
        <x:f>IF($A584="","",$G584*$F584+$C584*(1-$F584))</x:f>
        <x:v>1344.777127627854</x:v>
      </x:c>
      <x:c r="I584" s="11" t="n">
        <x:f>IF($A584="","",AVERAGE($H584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1272.037021479598</x:v>
      </x:c>
      <x:c r="J584" s="12" t="n">
        <x:f>IF($A584="","",1+SUMIFS(Assumptions!$S$5:$S$10,Assumptions!$P$5:$P$10,$B584,Assumptions!$Q$5:$Q$10,"&lt;="&amp;$A584,Assumptions!$R$5:$R$10,"&gt;="&amp;$A584))</x:f>
        <x:v>1</x:v>
      </x:c>
      <x:c r="K584" s="12" t="n">
        <x:f>IF($A584="","",1+((($A584-Assumptions!$B$5)/30)*INDEX(Assumptions!$J$5:$J$12,MATCH($B584,Assumptions!$D$5:$D$12,0))))</x:f>
        <x:v>1.0116</x:v>
      </x:c>
      <x:c r="L584" t="str">
        <x:f>IF($A584="","",IFERROR(INDEX(Assumptions!$O$5:$O$10,MATCH(1,(Assumptions!$P$5:$P$10=$B584)*(Assumptions!$Q$5:$Q$10&lt;=$A584)*(Assumptions!$R$5:$R$10&gt;=$A584),0)),""))</x:f>
      </x:c>
      <x:c r="M584" t="n">
        <x:f>--($A584&lt;&gt;"")</x:f>
        <x:v>1</x:v>
      </x:c>
    </x:row>
    <x:row r="585">
      <x:c r="A585" s="10" t="n">
        <x:f>IF(Assumptions!$B$5+INT((ROW()-2)/Assumptions!$B$7)&gt;Assumptions!$B$6,"",Assumptions!$B$5+INT((ROW()-2)/Assumptions!$B$7))</x:f>
        <x:v>46139</x:v>
      </x:c>
      <x:c r="B585" t="str">
        <x:f>IF($A585="","",INDEX(Assumptions!$D$5:$D$12,MOD(ROW()-2,Assumptions!$B$7)+1))</x:f>
        <x:v>Hadley's Hope</x:v>
      </x:c>
      <x:c r="C585" s="11" t="n">
        <x:f>IF($A585="","",INDEX(Assumptions!$F$5:$F$12,MATCH($B585,Assumptions!$D$5:$D$12,0)))</x:f>
        <x:v>845</x:v>
      </x:c>
      <x:c r="D585" s="11" t="n">
        <x:f>IF($A585="","",INDEX(Assumptions!$G$5:$G$12,MATCH($B585,Assumptions!$D$5:$D$12,0)))</x:f>
        <x:v>80</x:v>
      </x:c>
      <x:c r="E585" s="11" t="n">
        <x:f>IF($A585="","",INDEX(Assumptions!$M$5:$M$11,WEEKDAY($A585,2)))</x:f>
        <x:v>1.03</x:v>
      </x:c>
      <x:c r="F585" s="11" t="n">
        <x:f>IF($A585="","",Assumptions!$B$15)</x:f>
        <x:v>0.35</x:v>
      </x:c>
      <x:c r="G585" s="11" t="n">
        <x:f>IF($A585="","",MAX(INDEX(Assumptions!$H$5:$H$12,MATCH($B585,Assumptions!$D$5:$D$12,0)),MIN(INDEX(Assumptions!$I$5:$I$12,MATCH($B585,Assumptions!$D$5:$D$12,0)),($C585+$D585*SQRT(-2*LN(RAND()))*COS(2*PI()*RAND()))*$E585*$J585*$K585)))</x:f>
        <x:v>756.5524880025235</x:v>
      </x:c>
      <x:c r="H585" s="11" t="n">
        <x:f>IF($A585="","",$G585*$F585+$C585*(1-$F585))</x:f>
        <x:v>814.0433708008832</x:v>
      </x:c>
      <x:c r="I585" s="11" t="n">
        <x:f>IF($A585="","",AVERAGE($H585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831.177604140367</x:v>
      </x:c>
      <x:c r="J585" s="12" t="n">
        <x:f>IF($A585="","",1+SUMIFS(Assumptions!$S$5:$S$10,Assumptions!$P$5:$P$10,$B585,Assumptions!$Q$5:$Q$10,"&lt;="&amp;$A585,Assumptions!$R$5:$R$10,"&gt;="&amp;$A585))</x:f>
        <x:v>1</x:v>
      </x:c>
      <x:c r="K585" s="12" t="n">
        <x:f>IF($A585="","",1+((($A585-Assumptions!$B$5)/30)*INDEX(Assumptions!$J$5:$J$12,MATCH($B585,Assumptions!$D$5:$D$12,0))))</x:f>
        <x:v>1.0038666666666667</x:v>
      </x:c>
      <x:c r="L585" t="str">
        <x:f>IF($A585="","",IFERROR(INDEX(Assumptions!$O$5:$O$10,MATCH(1,(Assumptions!$P$5:$P$10=$B585)*(Assumptions!$Q$5:$Q$10&lt;=$A585)*(Assumptions!$R$5:$R$10&gt;=$A585),0)),""))</x:f>
      </x:c>
      <x:c r="M585" t="n">
        <x:f>--($A585&lt;&gt;"")</x:f>
        <x:v>1</x:v>
      </x:c>
    </x:row>
    <x:row r="586">
      <x:c r="A586" s="10" t="n">
        <x:f>IF(Assumptions!$B$5+INT((ROW()-2)/Assumptions!$B$7)&gt;Assumptions!$B$6,"",Assumptions!$B$5+INT((ROW()-2)/Assumptions!$B$7))</x:f>
        <x:v>46139</x:v>
      </x:c>
      <x:c r="B586" t="str">
        <x:f>IF($A586="","",INDEX(Assumptions!$D$5:$D$12,MOD(ROW()-2,Assumptions!$B$7)+1))</x:f>
        <x:v>Yutani Ridge</x:v>
      </x:c>
      <x:c r="C586" s="11" t="n">
        <x:f>IF($A586="","",INDEX(Assumptions!$F$5:$F$12,MATCH($B586,Assumptions!$D$5:$D$12,0)))</x:f>
        <x:v>1050</x:v>
      </x:c>
      <x:c r="D586" s="11" t="n">
        <x:f>IF($A586="","",INDEX(Assumptions!$G$5:$G$12,MATCH($B586,Assumptions!$D$5:$D$12,0)))</x:f>
        <x:v>125</x:v>
      </x:c>
      <x:c r="E586" s="11" t="n">
        <x:f>IF($A586="","",INDEX(Assumptions!$M$5:$M$11,WEEKDAY($A586,2)))</x:f>
        <x:v>1.03</x:v>
      </x:c>
      <x:c r="F586" s="11" t="n">
        <x:f>IF($A586="","",Assumptions!$B$15)</x:f>
        <x:v>0.35</x:v>
      </x:c>
      <x:c r="G586" s="11" t="n">
        <x:f>IF($A586="","",MAX(INDEX(Assumptions!$H$5:$H$12,MATCH($B586,Assumptions!$D$5:$D$12,0)),MIN(INDEX(Assumptions!$I$5:$I$12,MATCH($B586,Assumptions!$D$5:$D$12,0)),($C586+$D586*SQRT(-2*LN(RAND()))*COS(2*PI()*RAND()))*$E586*$J586*$K586)))</x:f>
        <x:v>1226.6454301167646</x:v>
      </x:c>
      <x:c r="H586" s="11" t="n">
        <x:f>IF($A586="","",$G586*$F586+$C586*(1-$F586))</x:f>
        <x:v>1111.8259005408677</x:v>
      </x:c>
      <x:c r="I586" s="11" t="n">
        <x:f>IF($A586="","",AVERAGE($H586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1054.8552320052022</x:v>
      </x:c>
      <x:c r="J586" s="12" t="n">
        <x:f>IF($A586="","",1+SUMIFS(Assumptions!$S$5:$S$10,Assumptions!$P$5:$P$10,$B586,Assumptions!$Q$5:$Q$10,"&lt;="&amp;$A586,Assumptions!$R$5:$R$10,"&gt;="&amp;$A586))</x:f>
        <x:v>1</x:v>
      </x:c>
      <x:c r="K586" s="12" t="n">
        <x:f>IF($A586="","",1+((($A586-Assumptions!$B$5)/30)*INDEX(Assumptions!$J$5:$J$12,MATCH($B586,Assumptions!$D$5:$D$12,0))))</x:f>
        <x:v>1.0096666666666667</x:v>
      </x:c>
      <x:c r="L586" t="str">
        <x:f>IF($A586="","",IFERROR(INDEX(Assumptions!$O$5:$O$10,MATCH(1,(Assumptions!$P$5:$P$10=$B586)*(Assumptions!$Q$5:$Q$10&lt;=$A586)*(Assumptions!$R$5:$R$10&gt;=$A586),0)),""))</x:f>
      </x:c>
      <x:c r="M586" t="n">
        <x:f>--($A586&lt;&gt;"")</x:f>
        <x:v>1</x:v>
      </x:c>
    </x:row>
    <x:row r="587">
      <x:c r="A587" s="10" t="n">
        <x:f>IF(Assumptions!$B$5+INT((ROW()-2)/Assumptions!$B$7)&gt;Assumptions!$B$6,"",Assumptions!$B$5+INT((ROW()-2)/Assumptions!$B$7))</x:f>
        <x:v>46140</x:v>
      </x:c>
      <x:c r="B587" t="str">
        <x:f>IF($A587="","",INDEX(Assumptions!$D$5:$D$12,MOD(ROW()-2,Assumptions!$B$7)+1))</x:f>
        <x:v>Acheron Prime</x:v>
      </x:c>
      <x:c r="C587" s="11" t="n">
        <x:f>IF($A587="","",INDEX(Assumptions!$F$5:$F$12,MATCH($B587,Assumptions!$D$5:$D$12,0)))</x:f>
        <x:v>1120</x:v>
      </x:c>
      <x:c r="D587" s="11" t="n">
        <x:f>IF($A587="","",INDEX(Assumptions!$G$5:$G$12,MATCH($B587,Assumptions!$D$5:$D$12,0)))</x:f>
        <x:v>115</x:v>
      </x:c>
      <x:c r="E587" s="11" t="n">
        <x:f>IF($A587="","",INDEX(Assumptions!$M$5:$M$11,WEEKDAY($A587,2)))</x:f>
        <x:v>1.02</x:v>
      </x:c>
      <x:c r="F587" s="11" t="n">
        <x:f>IF($A587="","",Assumptions!$B$15)</x:f>
        <x:v>0.35</x:v>
      </x:c>
      <x:c r="G587" s="11" t="n">
        <x:f>IF($A587="","",MAX(INDEX(Assumptions!$H$5:$H$12,MATCH($B587,Assumptions!$D$5:$D$12,0)),MIN(INDEX(Assumptions!$I$5:$I$12,MATCH($B587,Assumptions!$D$5:$D$12,0)),($C587+$D587*SQRT(-2*LN(RAND()))*COS(2*PI()*RAND()))*$E587*$J587*$K587)))</x:f>
        <x:v>1245.3756423647883</x:v>
      </x:c>
      <x:c r="H587" s="11" t="n">
        <x:f>IF($A587="","",$G587*$F587+$C587*(1-$F587))</x:f>
        <x:v>1163.881474827676</x:v>
      </x:c>
      <x:c r="I587" s="11" t="n">
        <x:f>IF($A587="","",AVERAGE($H587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1139.3675531032575</x:v>
      </x:c>
      <x:c r="J587" s="12" t="n">
        <x:f>IF($A587="","",1+SUMIFS(Assumptions!$S$5:$S$10,Assumptions!$P$5:$P$10,$B587,Assumptions!$Q$5:$Q$10,"&lt;="&amp;$A587,Assumptions!$R$5:$R$10,"&gt;="&amp;$A587))</x:f>
        <x:v>1</x:v>
      </x:c>
      <x:c r="K587" s="12" t="n">
        <x:f>IF($A587="","",1+((($A587-Assumptions!$B$5)/30)*INDEX(Assumptions!$J$5:$J$12,MATCH($B587,Assumptions!$D$5:$D$12,0))))</x:f>
        <x:v>1.0078</x:v>
      </x:c>
      <x:c r="L587" t="str">
        <x:f>IF($A587="","",IFERROR(INDEX(Assumptions!$O$5:$O$10,MATCH(1,(Assumptions!$P$5:$P$10=$B587)*(Assumptions!$Q$5:$Q$10&lt;=$A587)*(Assumptions!$R$5:$R$10&gt;=$A587),0)),""))</x:f>
      </x:c>
      <x:c r="M587" t="n">
        <x:f>--($A587&lt;&gt;"")</x:f>
        <x:v>1</x:v>
      </x:c>
    </x:row>
    <x:row r="588">
      <x:c r="A588" s="10" t="n">
        <x:f>IF(Assumptions!$B$5+INT((ROW()-2)/Assumptions!$B$7)&gt;Assumptions!$B$6,"",Assumptions!$B$5+INT((ROW()-2)/Assumptions!$B$7))</x:f>
        <x:v>46140</x:v>
      </x:c>
      <x:c r="B588" t="str">
        <x:f>IF($A588="","",INDEX(Assumptions!$D$5:$D$12,MOD(ROW()-2,Assumptions!$B$7)+1))</x:f>
        <x:v>LV-426 North</x:v>
      </x:c>
      <x:c r="C588" s="11" t="n">
        <x:f>IF($A588="","",INDEX(Assumptions!$F$5:$F$12,MATCH($B588,Assumptions!$D$5:$D$12,0)))</x:f>
        <x:v>930</x:v>
      </x:c>
      <x:c r="D588" s="11" t="n">
        <x:f>IF($A588="","",INDEX(Assumptions!$G$5:$G$12,MATCH($B588,Assumptions!$D$5:$D$12,0)))</x:f>
        <x:v>95</x:v>
      </x:c>
      <x:c r="E588" s="11" t="n">
        <x:f>IF($A588="","",INDEX(Assumptions!$M$5:$M$11,WEEKDAY($A588,2)))</x:f>
        <x:v>1.02</x:v>
      </x:c>
      <x:c r="F588" s="11" t="n">
        <x:f>IF($A588="","",Assumptions!$B$15)</x:f>
        <x:v>0.35</x:v>
      </x:c>
      <x:c r="G588" s="11" t="n">
        <x:f>IF($A588="","",MAX(INDEX(Assumptions!$H$5:$H$12,MATCH($B588,Assumptions!$D$5:$D$12,0)),MIN(INDEX(Assumptions!$I$5:$I$12,MATCH($B588,Assumptions!$D$5:$D$12,0)),($C588+$D588*SQRT(-2*LN(RAND()))*COS(2*PI()*RAND()))*$E588*$J588*$K588)))</x:f>
        <x:v>958.6788623755451</x:v>
      </x:c>
      <x:c r="H588" s="11" t="n">
        <x:f>IF($A588="","",$G588*$F588+$C588*(1-$F588))</x:f>
        <x:v>940.0376018314407</x:v>
      </x:c>
      <x:c r="I588" s="11" t="n">
        <x:f>IF($A588="","",AVERAGE($H588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918.0417655965624</x:v>
      </x:c>
      <x:c r="J588" s="12" t="n">
        <x:f>IF($A588="","",1+SUMIFS(Assumptions!$S$5:$S$10,Assumptions!$P$5:$P$10,$B588,Assumptions!$Q$5:$Q$10,"&lt;="&amp;$A588,Assumptions!$R$5:$R$10,"&gt;="&amp;$A588))</x:f>
        <x:v>1</x:v>
      </x:c>
      <x:c r="K588" s="12" t="n">
        <x:f>IF($A588="","",1+((($A588-Assumptions!$B$5)/30)*INDEX(Assumptions!$J$5:$J$12,MATCH($B588,Assumptions!$D$5:$D$12,0))))</x:f>
        <x:v>0.9961</x:v>
      </x:c>
      <x:c r="L588" t="str">
        <x:f>IF($A588="","",IFERROR(INDEX(Assumptions!$O$5:$O$10,MATCH(1,(Assumptions!$P$5:$P$10=$B588)*(Assumptions!$Q$5:$Q$10&lt;=$A588)*(Assumptions!$R$5:$R$10&gt;=$A588),0)),""))</x:f>
      </x:c>
      <x:c r="M588" t="n">
        <x:f>--($A588&lt;&gt;"")</x:f>
        <x:v>1</x:v>
      </x:c>
    </x:row>
    <x:row r="589">
      <x:c r="A589" s="10" t="n">
        <x:f>IF(Assumptions!$B$5+INT((ROW()-2)/Assumptions!$B$7)&gt;Assumptions!$B$6,"",Assumptions!$B$5+INT((ROW()-2)/Assumptions!$B$7))</x:f>
        <x:v>46140</x:v>
      </x:c>
      <x:c r="B589" t="str">
        <x:f>IF($A589="","",INDEX(Assumptions!$D$5:$D$12,MOD(ROW()-2,Assumptions!$B$7)+1))</x:f>
        <x:v>Nostromo Deep</x:v>
      </x:c>
      <x:c r="C589" s="11" t="n">
        <x:f>IF($A589="","",INDEX(Assumptions!$F$5:$F$12,MATCH($B589,Assumptions!$D$5:$D$12,0)))</x:f>
        <x:v>1260</x:v>
      </x:c>
      <x:c r="D589" s="11" t="n">
        <x:f>IF($A589="","",INDEX(Assumptions!$G$5:$G$12,MATCH($B589,Assumptions!$D$5:$D$12,0)))</x:f>
        <x:v>145</x:v>
      </x:c>
      <x:c r="E589" s="11" t="n">
        <x:f>IF($A589="","",INDEX(Assumptions!$M$5:$M$11,WEEKDAY($A589,2)))</x:f>
        <x:v>1.02</x:v>
      </x:c>
      <x:c r="F589" s="11" t="n">
        <x:f>IF($A589="","",Assumptions!$B$15)</x:f>
        <x:v>0.35</x:v>
      </x:c>
      <x:c r="G589" s="11" t="n">
        <x:f>IF($A589="","",MAX(INDEX(Assumptions!$H$5:$H$12,MATCH($B589,Assumptions!$D$5:$D$12,0)),MIN(INDEX(Assumptions!$I$5:$I$12,MATCH($B589,Assumptions!$D$5:$D$12,0)),($C589+$D589*SQRT(-2*LN(RAND()))*COS(2*PI()*RAND()))*$E589*$J589*$K589)))</x:f>
        <x:v>1225.3762691588151</x:v>
      </x:c>
      <x:c r="H589" s="11" t="n">
        <x:f>IF($A589="","",$G589*$F589+$C589*(1-$F589))</x:f>
        <x:v>1247.8816942055853</x:v>
      </x:c>
      <x:c r="I589" s="11" t="n">
        <x:f>IF($A589="","",AVERAGE($H589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1267.9848691011393</x:v>
      </x:c>
      <x:c r="J589" s="12" t="n">
        <x:f>IF($A589="","",1+SUMIFS(Assumptions!$S$5:$S$10,Assumptions!$P$5:$P$10,$B589,Assumptions!$Q$5:$Q$10,"&lt;="&amp;$A589,Assumptions!$R$5:$R$10,"&gt;="&amp;$A589))</x:f>
        <x:v>1</x:v>
      </x:c>
      <x:c r="K589" s="12" t="n">
        <x:f>IF($A589="","",1+((($A589-Assumptions!$B$5)/30)*INDEX(Assumptions!$J$5:$J$12,MATCH($B589,Assumptions!$D$5:$D$12,0))))</x:f>
        <x:v>1.0117</x:v>
      </x:c>
      <x:c r="L589" t="str">
        <x:f>IF($A589="","",IFERROR(INDEX(Assumptions!$O$5:$O$10,MATCH(1,(Assumptions!$P$5:$P$10=$B589)*(Assumptions!$Q$5:$Q$10&lt;=$A589)*(Assumptions!$R$5:$R$10&gt;=$A589),0)),""))</x:f>
      </x:c>
      <x:c r="M589" t="n">
        <x:f>--($A589&lt;&gt;"")</x:f>
        <x:v>1</x:v>
      </x:c>
    </x:row>
    <x:row r="590">
      <x:c r="A590" s="10" t="n">
        <x:f>IF(Assumptions!$B$5+INT((ROW()-2)/Assumptions!$B$7)&gt;Assumptions!$B$6,"",Assumptions!$B$5+INT((ROW()-2)/Assumptions!$B$7))</x:f>
        <x:v>46140</x:v>
      </x:c>
      <x:c r="B590" t="str">
        <x:f>IF($A590="","",INDEX(Assumptions!$D$5:$D$12,MOD(ROW()-2,Assumptions!$B$7)+1))</x:f>
        <x:v>Hadley's Hope</x:v>
      </x:c>
      <x:c r="C590" s="11" t="n">
        <x:f>IF($A590="","",INDEX(Assumptions!$F$5:$F$12,MATCH($B590,Assumptions!$D$5:$D$12,0)))</x:f>
        <x:v>845</x:v>
      </x:c>
      <x:c r="D590" s="11" t="n">
        <x:f>IF($A590="","",INDEX(Assumptions!$G$5:$G$12,MATCH($B590,Assumptions!$D$5:$D$12,0)))</x:f>
        <x:v>80</x:v>
      </x:c>
      <x:c r="E590" s="11" t="n">
        <x:f>IF($A590="","",INDEX(Assumptions!$M$5:$M$11,WEEKDAY($A590,2)))</x:f>
        <x:v>1.02</x:v>
      </x:c>
      <x:c r="F590" s="11" t="n">
        <x:f>IF($A590="","",Assumptions!$B$15)</x:f>
        <x:v>0.35</x:v>
      </x:c>
      <x:c r="G590" s="11" t="n">
        <x:f>IF($A590="","",MAX(INDEX(Assumptions!$H$5:$H$12,MATCH($B590,Assumptions!$D$5:$D$12,0)),MIN(INDEX(Assumptions!$I$5:$I$12,MATCH($B590,Assumptions!$D$5:$D$12,0)),($C590+$D590*SQRT(-2*LN(RAND()))*COS(2*PI()*RAND()))*$E590*$J590*$K590)))</x:f>
        <x:v>962.107964377472</x:v>
      </x:c>
      <x:c r="H590" s="11" t="n">
        <x:f>IF($A590="","",$G590*$F590+$C590*(1-$F590))</x:f>
        <x:v>885.9877875321151</x:v>
      </x:c>
      <x:c r="I590" s="11" t="n">
        <x:f>IF($A590="","",AVERAGE($H590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829.9607444126185</x:v>
      </x:c>
      <x:c r="J590" s="12" t="n">
        <x:f>IF($A590="","",1+SUMIFS(Assumptions!$S$5:$S$10,Assumptions!$P$5:$P$10,$B590,Assumptions!$Q$5:$Q$10,"&lt;="&amp;$A590,Assumptions!$R$5:$R$10,"&gt;="&amp;$A590))</x:f>
        <x:v>1</x:v>
      </x:c>
      <x:c r="K590" s="12" t="n">
        <x:f>IF($A590="","",1+((($A590-Assumptions!$B$5)/30)*INDEX(Assumptions!$J$5:$J$12,MATCH($B590,Assumptions!$D$5:$D$12,0))))</x:f>
        <x:v>1.0039</x:v>
      </x:c>
      <x:c r="L590" t="str">
        <x:f>IF($A590="","",IFERROR(INDEX(Assumptions!$O$5:$O$10,MATCH(1,(Assumptions!$P$5:$P$10=$B590)*(Assumptions!$Q$5:$Q$10&lt;=$A590)*(Assumptions!$R$5:$R$10&gt;=$A590),0)),""))</x:f>
      </x:c>
      <x:c r="M590" t="n">
        <x:f>--($A590&lt;&gt;"")</x:f>
        <x:v>1</x:v>
      </x:c>
    </x:row>
    <x:row r="591">
      <x:c r="A591" s="10" t="n">
        <x:f>IF(Assumptions!$B$5+INT((ROW()-2)/Assumptions!$B$7)&gt;Assumptions!$B$6,"",Assumptions!$B$5+INT((ROW()-2)/Assumptions!$B$7))</x:f>
        <x:v>46140</x:v>
      </x:c>
      <x:c r="B591" t="str">
        <x:f>IF($A591="","",INDEX(Assumptions!$D$5:$D$12,MOD(ROW()-2,Assumptions!$B$7)+1))</x:f>
        <x:v>Yutani Ridge</x:v>
      </x:c>
      <x:c r="C591" s="11" t="n">
        <x:f>IF($A591="","",INDEX(Assumptions!$F$5:$F$12,MATCH($B591,Assumptions!$D$5:$D$12,0)))</x:f>
        <x:v>1050</x:v>
      </x:c>
      <x:c r="D591" s="11" t="n">
        <x:f>IF($A591="","",INDEX(Assumptions!$G$5:$G$12,MATCH($B591,Assumptions!$D$5:$D$12,0)))</x:f>
        <x:v>125</x:v>
      </x:c>
      <x:c r="E591" s="11" t="n">
        <x:f>IF($A591="","",INDEX(Assumptions!$M$5:$M$11,WEEKDAY($A591,2)))</x:f>
        <x:v>1.02</x:v>
      </x:c>
      <x:c r="F591" s="11" t="n">
        <x:f>IF($A591="","",Assumptions!$B$15)</x:f>
        <x:v>0.35</x:v>
      </x:c>
      <x:c r="G591" s="11" t="n">
        <x:f>IF($A591="","",MAX(INDEX(Assumptions!$H$5:$H$12,MATCH($B591,Assumptions!$D$5:$D$12,0)),MIN(INDEX(Assumptions!$I$5:$I$12,MATCH($B591,Assumptions!$D$5:$D$12,0)),($C591+$D591*SQRT(-2*LN(RAND()))*COS(2*PI()*RAND()))*$E591*$J591*$K591)))</x:f>
        <x:v>1111.597087309379</x:v>
      </x:c>
      <x:c r="H591" s="11" t="n">
        <x:f>IF($A591="","",$G591*$F591+$C591*(1-$F591))</x:f>
        <x:v>1071.5589805582827</x:v>
      </x:c>
      <x:c r="I591" s="11" t="n">
        <x:f>IF($A591="","",AVERAGE($H591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1059.929424705172</x:v>
      </x:c>
      <x:c r="J591" s="12" t="n">
        <x:f>IF($A591="","",1+SUMIFS(Assumptions!$S$5:$S$10,Assumptions!$P$5:$P$10,$B591,Assumptions!$Q$5:$Q$10,"&lt;="&amp;$A591,Assumptions!$R$5:$R$10,"&gt;="&amp;$A591))</x:f>
        <x:v>1</x:v>
      </x:c>
      <x:c r="K591" s="12" t="n">
        <x:f>IF($A591="","",1+((($A591-Assumptions!$B$5)/30)*INDEX(Assumptions!$J$5:$J$12,MATCH($B591,Assumptions!$D$5:$D$12,0))))</x:f>
        <x:v>1.00975</x:v>
      </x:c>
      <x:c r="L591" t="str">
        <x:f>IF($A591="","",IFERROR(INDEX(Assumptions!$O$5:$O$10,MATCH(1,(Assumptions!$P$5:$P$10=$B591)*(Assumptions!$Q$5:$Q$10&lt;=$A591)*(Assumptions!$R$5:$R$10&gt;=$A591),0)),""))</x:f>
      </x:c>
      <x:c r="M591" t="n">
        <x:f>--($A591&lt;&gt;"")</x:f>
        <x:v>1</x:v>
      </x:c>
    </x:row>
    <x:row r="592">
      <x:c r="A592" s="10" t="n">
        <x:f>IF(Assumptions!$B$5+INT((ROW()-2)/Assumptions!$B$7)&gt;Assumptions!$B$6,"",Assumptions!$B$5+INT((ROW()-2)/Assumptions!$B$7))</x:f>
        <x:v>46141</x:v>
      </x:c>
      <x:c r="B592" t="str">
        <x:f>IF($A592="","",INDEX(Assumptions!$D$5:$D$12,MOD(ROW()-2,Assumptions!$B$7)+1))</x:f>
        <x:v>Acheron Prime</x:v>
      </x:c>
      <x:c r="C592" s="11" t="n">
        <x:f>IF($A592="","",INDEX(Assumptions!$F$5:$F$12,MATCH($B592,Assumptions!$D$5:$D$12,0)))</x:f>
        <x:v>1120</x:v>
      </x:c>
      <x:c r="D592" s="11" t="n">
        <x:f>IF($A592="","",INDEX(Assumptions!$G$5:$G$12,MATCH($B592,Assumptions!$D$5:$D$12,0)))</x:f>
        <x:v>115</x:v>
      </x:c>
      <x:c r="E592" s="11" t="n">
        <x:f>IF($A592="","",INDEX(Assumptions!$M$5:$M$11,WEEKDAY($A592,2)))</x:f>
        <x:v>1.01</x:v>
      </x:c>
      <x:c r="F592" s="11" t="n">
        <x:f>IF($A592="","",Assumptions!$B$15)</x:f>
        <x:v>0.35</x:v>
      </x:c>
      <x:c r="G592" s="11" t="n">
        <x:f>IF($A592="","",MAX(INDEX(Assumptions!$H$5:$H$12,MATCH($B592,Assumptions!$D$5:$D$12,0)),MIN(INDEX(Assumptions!$I$5:$I$12,MATCH($B592,Assumptions!$D$5:$D$12,0)),($C592+$D592*SQRT(-2*LN(RAND()))*COS(2*PI()*RAND()))*$E592*$J592*$K592)))</x:f>
        <x:v>1224.9165792155416</x:v>
      </x:c>
      <x:c r="H592" s="11" t="n">
        <x:f>IF($A592="","",$G592*$F592+$C592*(1-$F592))</x:f>
        <x:v>1156.7208027254396</x:v>
      </x:c>
      <x:c r="I592" s="11" t="n">
        <x:f>IF($A592="","",AVERAGE($H592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1130.5015318634576</x:v>
      </x:c>
      <x:c r="J592" s="12" t="n">
        <x:f>IF($A592="","",1+SUMIFS(Assumptions!$S$5:$S$10,Assumptions!$P$5:$P$10,$B592,Assumptions!$Q$5:$Q$10,"&lt;="&amp;$A592,Assumptions!$R$5:$R$10,"&gt;="&amp;$A592))</x:f>
        <x:v>1</x:v>
      </x:c>
      <x:c r="K592" s="12" t="n">
        <x:f>IF($A592="","",1+((($A592-Assumptions!$B$5)/30)*INDEX(Assumptions!$J$5:$J$12,MATCH($B592,Assumptions!$D$5:$D$12,0))))</x:f>
        <x:v>1.0078666666666667</x:v>
      </x:c>
      <x:c r="L592" t="str">
        <x:f>IF($A592="","",IFERROR(INDEX(Assumptions!$O$5:$O$10,MATCH(1,(Assumptions!$P$5:$P$10=$B592)*(Assumptions!$Q$5:$Q$10&lt;=$A592)*(Assumptions!$R$5:$R$10&gt;=$A592),0)),""))</x:f>
      </x:c>
      <x:c r="M592" t="n">
        <x:f>--($A592&lt;&gt;"")</x:f>
        <x:v>1</x:v>
      </x:c>
    </x:row>
    <x:row r="593">
      <x:c r="A593" s="10" t="n">
        <x:f>IF(Assumptions!$B$5+INT((ROW()-2)/Assumptions!$B$7)&gt;Assumptions!$B$6,"",Assumptions!$B$5+INT((ROW()-2)/Assumptions!$B$7))</x:f>
        <x:v>46141</x:v>
      </x:c>
      <x:c r="B593" t="str">
        <x:f>IF($A593="","",INDEX(Assumptions!$D$5:$D$12,MOD(ROW()-2,Assumptions!$B$7)+1))</x:f>
        <x:v>LV-426 North</x:v>
      </x:c>
      <x:c r="C593" s="11" t="n">
        <x:f>IF($A593="","",INDEX(Assumptions!$F$5:$F$12,MATCH($B593,Assumptions!$D$5:$D$12,0)))</x:f>
        <x:v>930</x:v>
      </x:c>
      <x:c r="D593" s="11" t="n">
        <x:f>IF($A593="","",INDEX(Assumptions!$G$5:$G$12,MATCH($B593,Assumptions!$D$5:$D$12,0)))</x:f>
        <x:v>95</x:v>
      </x:c>
      <x:c r="E593" s="11" t="n">
        <x:f>IF($A593="","",INDEX(Assumptions!$M$5:$M$11,WEEKDAY($A593,2)))</x:f>
        <x:v>1.01</x:v>
      </x:c>
      <x:c r="F593" s="11" t="n">
        <x:f>IF($A593="","",Assumptions!$B$15)</x:f>
        <x:v>0.35</x:v>
      </x:c>
      <x:c r="G593" s="11" t="n">
        <x:f>IF($A593="","",MAX(INDEX(Assumptions!$H$5:$H$12,MATCH($B593,Assumptions!$D$5:$D$12,0)),MIN(INDEX(Assumptions!$I$5:$I$12,MATCH($B593,Assumptions!$D$5:$D$12,0)),($C593+$D593*SQRT(-2*LN(RAND()))*COS(2*PI()*RAND()))*$E593*$J593*$K593)))</x:f>
        <x:v>942.8306652352412</x:v>
      </x:c>
      <x:c r="H593" s="11" t="n">
        <x:f>IF($A593="","",$G593*$F593+$C593*(1-$F593))</x:f>
        <x:v>934.4907328323344</x:v>
      </x:c>
      <x:c r="I593" s="11" t="n">
        <x:f>IF($A593="","",AVERAGE($H593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918.4220817928074</x:v>
      </x:c>
      <x:c r="J593" s="12" t="n">
        <x:f>IF($A593="","",1+SUMIFS(Assumptions!$S$5:$S$10,Assumptions!$P$5:$P$10,$B593,Assumptions!$Q$5:$Q$10,"&lt;="&amp;$A593,Assumptions!$R$5:$R$10,"&gt;="&amp;$A593))</x:f>
        <x:v>1</x:v>
      </x:c>
      <x:c r="K593" s="12" t="n">
        <x:f>IF($A593="","",1+((($A593-Assumptions!$B$5)/30)*INDEX(Assumptions!$J$5:$J$12,MATCH($B593,Assumptions!$D$5:$D$12,0))))</x:f>
        <x:v>0.9960666666666667</x:v>
      </x:c>
      <x:c r="L593" t="str">
        <x:f>IF($A593="","",IFERROR(INDEX(Assumptions!$O$5:$O$10,MATCH(1,(Assumptions!$P$5:$P$10=$B593)*(Assumptions!$Q$5:$Q$10&lt;=$A593)*(Assumptions!$R$5:$R$10&gt;=$A593),0)),""))</x:f>
      </x:c>
      <x:c r="M593" t="n">
        <x:f>--($A593&lt;&gt;"")</x:f>
        <x:v>1</x:v>
      </x:c>
    </x:row>
    <x:row r="594">
      <x:c r="A594" s="10" t="n">
        <x:f>IF(Assumptions!$B$5+INT((ROW()-2)/Assumptions!$B$7)&gt;Assumptions!$B$6,"",Assumptions!$B$5+INT((ROW()-2)/Assumptions!$B$7))</x:f>
        <x:v>46141</x:v>
      </x:c>
      <x:c r="B594" t="str">
        <x:f>IF($A594="","",INDEX(Assumptions!$D$5:$D$12,MOD(ROW()-2,Assumptions!$B$7)+1))</x:f>
        <x:v>Nostromo Deep</x:v>
      </x:c>
      <x:c r="C594" s="11" t="n">
        <x:f>IF($A594="","",INDEX(Assumptions!$F$5:$F$12,MATCH($B594,Assumptions!$D$5:$D$12,0)))</x:f>
        <x:v>1260</x:v>
      </x:c>
      <x:c r="D594" s="11" t="n">
        <x:f>IF($A594="","",INDEX(Assumptions!$G$5:$G$12,MATCH($B594,Assumptions!$D$5:$D$12,0)))</x:f>
        <x:v>145</x:v>
      </x:c>
      <x:c r="E594" s="11" t="n">
        <x:f>IF($A594="","",INDEX(Assumptions!$M$5:$M$11,WEEKDAY($A594,2)))</x:f>
        <x:v>1.01</x:v>
      </x:c>
      <x:c r="F594" s="11" t="n">
        <x:f>IF($A594="","",Assumptions!$B$15)</x:f>
        <x:v>0.35</x:v>
      </x:c>
      <x:c r="G594" s="11" t="n">
        <x:f>IF($A594="","",MAX(INDEX(Assumptions!$H$5:$H$12,MATCH($B594,Assumptions!$D$5:$D$12,0)),MIN(INDEX(Assumptions!$I$5:$I$12,MATCH($B594,Assumptions!$D$5:$D$12,0)),($C594+$D594*SQRT(-2*LN(RAND()))*COS(2*PI()*RAND()))*$E594*$J594*$K594)))</x:f>
        <x:v>1325.4069698877488</x:v>
      </x:c>
      <x:c r="H594" s="11" t="n">
        <x:f>IF($A594="","",$G594*$F594+$C594*(1-$F594))</x:f>
        <x:v>1282.892439460712</x:v>
      </x:c>
      <x:c r="I594" s="11" t="n">
        <x:f>IF($A594="","",AVERAGE($H594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1272.0781207075281</x:v>
      </x:c>
      <x:c r="J594" s="12" t="n">
        <x:f>IF($A594="","",1+SUMIFS(Assumptions!$S$5:$S$10,Assumptions!$P$5:$P$10,$B594,Assumptions!$Q$5:$Q$10,"&lt;="&amp;$A594,Assumptions!$R$5:$R$10,"&gt;="&amp;$A594))</x:f>
        <x:v>1</x:v>
      </x:c>
      <x:c r="K594" s="12" t="n">
        <x:f>IF($A594="","",1+((($A594-Assumptions!$B$5)/30)*INDEX(Assumptions!$J$5:$J$12,MATCH($B594,Assumptions!$D$5:$D$12,0))))</x:f>
        <x:v>1.0118</x:v>
      </x:c>
      <x:c r="L594" t="str">
        <x:f>IF($A594="","",IFERROR(INDEX(Assumptions!$O$5:$O$10,MATCH(1,(Assumptions!$P$5:$P$10=$B594)*(Assumptions!$Q$5:$Q$10&lt;=$A594)*(Assumptions!$R$5:$R$10&gt;=$A594),0)),""))</x:f>
      </x:c>
      <x:c r="M594" t="n">
        <x:f>--($A594&lt;&gt;"")</x:f>
        <x:v>1</x:v>
      </x:c>
    </x:row>
    <x:row r="595">
      <x:c r="A595" s="10" t="n">
        <x:f>IF(Assumptions!$B$5+INT((ROW()-2)/Assumptions!$B$7)&gt;Assumptions!$B$6,"",Assumptions!$B$5+INT((ROW()-2)/Assumptions!$B$7))</x:f>
        <x:v>46141</x:v>
      </x:c>
      <x:c r="B595" t="str">
        <x:f>IF($A595="","",INDEX(Assumptions!$D$5:$D$12,MOD(ROW()-2,Assumptions!$B$7)+1))</x:f>
        <x:v>Hadley's Hope</x:v>
      </x:c>
      <x:c r="C595" s="11" t="n">
        <x:f>IF($A595="","",INDEX(Assumptions!$F$5:$F$12,MATCH($B595,Assumptions!$D$5:$D$12,0)))</x:f>
        <x:v>845</x:v>
      </x:c>
      <x:c r="D595" s="11" t="n">
        <x:f>IF($A595="","",INDEX(Assumptions!$G$5:$G$12,MATCH($B595,Assumptions!$D$5:$D$12,0)))</x:f>
        <x:v>80</x:v>
      </x:c>
      <x:c r="E595" s="11" t="n">
        <x:f>IF($A595="","",INDEX(Assumptions!$M$5:$M$11,WEEKDAY($A595,2)))</x:f>
        <x:v>1.01</x:v>
      </x:c>
      <x:c r="F595" s="11" t="n">
        <x:f>IF($A595="","",Assumptions!$B$15)</x:f>
        <x:v>0.35</x:v>
      </x:c>
      <x:c r="G595" s="11" t="n">
        <x:f>IF($A595="","",MAX(INDEX(Assumptions!$H$5:$H$12,MATCH($B595,Assumptions!$D$5:$D$12,0)),MIN(INDEX(Assumptions!$I$5:$I$12,MATCH($B595,Assumptions!$D$5:$D$12,0)),($C595+$D595*SQRT(-2*LN(RAND()))*COS(2*PI()*RAND()))*$E595*$J595*$K595)))</x:f>
        <x:v>884.9085733486751</x:v>
      </x:c>
      <x:c r="H595" s="11" t="n">
        <x:f>IF($A595="","",$G595*$F595+$C595*(1-$F595))</x:f>
        <x:v>858.9680006720363</x:v>
      </x:c>
      <x:c r="I595" s="11" t="n">
        <x:f>IF($A595="","",AVERAGE($H595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836.172788917594</x:v>
      </x:c>
      <x:c r="J595" s="12" t="n">
        <x:f>IF($A595="","",1+SUMIFS(Assumptions!$S$5:$S$10,Assumptions!$P$5:$P$10,$B595,Assumptions!$Q$5:$Q$10,"&lt;="&amp;$A595,Assumptions!$R$5:$R$10,"&gt;="&amp;$A595))</x:f>
        <x:v>1</x:v>
      </x:c>
      <x:c r="K595" s="12" t="n">
        <x:f>IF($A595="","",1+((($A595-Assumptions!$B$5)/30)*INDEX(Assumptions!$J$5:$J$12,MATCH($B595,Assumptions!$D$5:$D$12,0))))</x:f>
        <x:v>1.0039333333333333</x:v>
      </x:c>
      <x:c r="L595" t="str">
        <x:f>IF($A595="","",IFERROR(INDEX(Assumptions!$O$5:$O$10,MATCH(1,(Assumptions!$P$5:$P$10=$B595)*(Assumptions!$Q$5:$Q$10&lt;=$A595)*(Assumptions!$R$5:$R$10&gt;=$A595),0)),""))</x:f>
      </x:c>
      <x:c r="M595" t="n">
        <x:f>--($A595&lt;&gt;"")</x:f>
        <x:v>1</x:v>
      </x:c>
    </x:row>
    <x:row r="596">
      <x:c r="A596" s="10" t="n">
        <x:f>IF(Assumptions!$B$5+INT((ROW()-2)/Assumptions!$B$7)&gt;Assumptions!$B$6,"",Assumptions!$B$5+INT((ROW()-2)/Assumptions!$B$7))</x:f>
        <x:v>46141</x:v>
      </x:c>
      <x:c r="B596" t="str">
        <x:f>IF($A596="","",INDEX(Assumptions!$D$5:$D$12,MOD(ROW()-2,Assumptions!$B$7)+1))</x:f>
        <x:v>Yutani Ridge</x:v>
      </x:c>
      <x:c r="C596" s="11" t="n">
        <x:f>IF($A596="","",INDEX(Assumptions!$F$5:$F$12,MATCH($B596,Assumptions!$D$5:$D$12,0)))</x:f>
        <x:v>1050</x:v>
      </x:c>
      <x:c r="D596" s="11" t="n">
        <x:f>IF($A596="","",INDEX(Assumptions!$G$5:$G$12,MATCH($B596,Assumptions!$D$5:$D$12,0)))</x:f>
        <x:v>125</x:v>
      </x:c>
      <x:c r="E596" s="11" t="n">
        <x:f>IF($A596="","",INDEX(Assumptions!$M$5:$M$11,WEEKDAY($A596,2)))</x:f>
        <x:v>1.01</x:v>
      </x:c>
      <x:c r="F596" s="11" t="n">
        <x:f>IF($A596="","",Assumptions!$B$15)</x:f>
        <x:v>0.35</x:v>
      </x:c>
      <x:c r="G596" s="11" t="n">
        <x:f>IF($A596="","",MAX(INDEX(Assumptions!$H$5:$H$12,MATCH($B596,Assumptions!$D$5:$D$12,0)),MIN(INDEX(Assumptions!$I$5:$I$12,MATCH($B596,Assumptions!$D$5:$D$12,0)),($C596+$D596*SQRT(-2*LN(RAND()))*COS(2*PI()*RAND()))*$E596*$J596*$K596)))</x:f>
        <x:v>1131.128408299763</x:v>
      </x:c>
      <x:c r="H596" s="11" t="n">
        <x:f>IF($A596="","",$G596*$F596+$C596*(1-$F596))</x:f>
        <x:v>1078.3949429049171</x:v>
      </x:c>
      <x:c r="I596" s="11" t="n">
        <x:f>IF($A596="","",AVERAGE($H596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1059.3447479408785</x:v>
      </x:c>
      <x:c r="J596" s="12" t="n">
        <x:f>IF($A596="","",1+SUMIFS(Assumptions!$S$5:$S$10,Assumptions!$P$5:$P$10,$B596,Assumptions!$Q$5:$Q$10,"&lt;="&amp;$A596,Assumptions!$R$5:$R$10,"&gt;="&amp;$A596))</x:f>
        <x:v>1</x:v>
      </x:c>
      <x:c r="K596" s="12" t="n">
        <x:f>IF($A596="","",1+((($A596-Assumptions!$B$5)/30)*INDEX(Assumptions!$J$5:$J$12,MATCH($B596,Assumptions!$D$5:$D$12,0))))</x:f>
        <x:v>1.0098333333333334</x:v>
      </x:c>
      <x:c r="L596" t="str">
        <x:f>IF($A596="","",IFERROR(INDEX(Assumptions!$O$5:$O$10,MATCH(1,(Assumptions!$P$5:$P$10=$B596)*(Assumptions!$Q$5:$Q$10&lt;=$A596)*(Assumptions!$R$5:$R$10&gt;=$A596),0)),""))</x:f>
      </x:c>
      <x:c r="M596" t="n">
        <x:f>--($A596&lt;&gt;"")</x:f>
        <x:v>1</x:v>
      </x:c>
    </x:row>
    <x:row r="597">
      <x:c r="A597" s="10" t="n">
        <x:f>IF(Assumptions!$B$5+INT((ROW()-2)/Assumptions!$B$7)&gt;Assumptions!$B$6,"",Assumptions!$B$5+INT((ROW()-2)/Assumptions!$B$7))</x:f>
        <x:v>46142</x:v>
      </x:c>
      <x:c r="B597" t="str">
        <x:f>IF($A597="","",INDEX(Assumptions!$D$5:$D$12,MOD(ROW()-2,Assumptions!$B$7)+1))</x:f>
        <x:v>Acheron Prime</x:v>
      </x:c>
      <x:c r="C597" s="11" t="n">
        <x:f>IF($A597="","",INDEX(Assumptions!$F$5:$F$12,MATCH($B597,Assumptions!$D$5:$D$12,0)))</x:f>
        <x:v>1120</x:v>
      </x:c>
      <x:c r="D597" s="11" t="n">
        <x:f>IF($A597="","",INDEX(Assumptions!$G$5:$G$12,MATCH($B597,Assumptions!$D$5:$D$12,0)))</x:f>
        <x:v>115</x:v>
      </x:c>
      <x:c r="E597" s="11" t="n">
        <x:f>IF($A597="","",INDEX(Assumptions!$M$5:$M$11,WEEKDAY($A597,2)))</x:f>
        <x:v>1</x:v>
      </x:c>
      <x:c r="F597" s="11" t="n">
        <x:f>IF($A597="","",Assumptions!$B$15)</x:f>
        <x:v>0.35</x:v>
      </x:c>
      <x:c r="G597" s="11" t="n">
        <x:f>IF($A597="","",MAX(INDEX(Assumptions!$H$5:$H$12,MATCH($B597,Assumptions!$D$5:$D$12,0)),MIN(INDEX(Assumptions!$I$5:$I$12,MATCH($B597,Assumptions!$D$5:$D$12,0)),($C597+$D597*SQRT(-2*LN(RAND()))*COS(2*PI()*RAND()))*$E597*$J597*$K597)))</x:f>
        <x:v>1128.0921650036742</x:v>
      </x:c>
      <x:c r="H597" s="11" t="n">
        <x:f>IF($A597="","",$G597*$F597+$C597*(1-$F597))</x:f>
        <x:v>1122.8322577512859</x:v>
      </x:c>
      <x:c r="I597" s="11" t="n">
        <x:f>IF($A597="","",AVERAGE($H597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1140.0949058235344</x:v>
      </x:c>
      <x:c r="J597" s="12" t="n">
        <x:f>IF($A597="","",1+SUMIFS(Assumptions!$S$5:$S$10,Assumptions!$P$5:$P$10,$B597,Assumptions!$Q$5:$Q$10,"&lt;="&amp;$A597,Assumptions!$R$5:$R$10,"&gt;="&amp;$A597))</x:f>
        <x:v>1</x:v>
      </x:c>
      <x:c r="K597" s="12" t="n">
        <x:f>IF($A597="","",1+((($A597-Assumptions!$B$5)/30)*INDEX(Assumptions!$J$5:$J$12,MATCH($B597,Assumptions!$D$5:$D$12,0))))</x:f>
        <x:v>1.0079333333333333</x:v>
      </x:c>
      <x:c r="L597" t="str">
        <x:f>IF($A597="","",IFERROR(INDEX(Assumptions!$O$5:$O$10,MATCH(1,(Assumptions!$P$5:$P$10=$B597)*(Assumptions!$Q$5:$Q$10&lt;=$A597)*(Assumptions!$R$5:$R$10&gt;=$A597),0)),""))</x:f>
      </x:c>
      <x:c r="M597" t="n">
        <x:f>--($A597&lt;&gt;"")</x:f>
        <x:v>1</x:v>
      </x:c>
    </x:row>
    <x:row r="598">
      <x:c r="A598" s="10" t="n">
        <x:f>IF(Assumptions!$B$5+INT((ROW()-2)/Assumptions!$B$7)&gt;Assumptions!$B$6,"",Assumptions!$B$5+INT((ROW()-2)/Assumptions!$B$7))</x:f>
        <x:v>46142</x:v>
      </x:c>
      <x:c r="B598" t="str">
        <x:f>IF($A598="","",INDEX(Assumptions!$D$5:$D$12,MOD(ROW()-2,Assumptions!$B$7)+1))</x:f>
        <x:v>LV-426 North</x:v>
      </x:c>
      <x:c r="C598" s="11" t="n">
        <x:f>IF($A598="","",INDEX(Assumptions!$F$5:$F$12,MATCH($B598,Assumptions!$D$5:$D$12,0)))</x:f>
        <x:v>930</x:v>
      </x:c>
      <x:c r="D598" s="11" t="n">
        <x:f>IF($A598="","",INDEX(Assumptions!$G$5:$G$12,MATCH($B598,Assumptions!$D$5:$D$12,0)))</x:f>
        <x:v>95</x:v>
      </x:c>
      <x:c r="E598" s="11" t="n">
        <x:f>IF($A598="","",INDEX(Assumptions!$M$5:$M$11,WEEKDAY($A598,2)))</x:f>
        <x:v>1</x:v>
      </x:c>
      <x:c r="F598" s="11" t="n">
        <x:f>IF($A598="","",Assumptions!$B$15)</x:f>
        <x:v>0.35</x:v>
      </x:c>
      <x:c r="G598" s="11" t="n">
        <x:f>IF($A598="","",MAX(INDEX(Assumptions!$H$5:$H$12,MATCH($B598,Assumptions!$D$5:$D$12,0)),MIN(INDEX(Assumptions!$I$5:$I$12,MATCH($B598,Assumptions!$D$5:$D$12,0)),($C598+$D598*SQRT(-2*LN(RAND()))*COS(2*PI()*RAND()))*$E598*$J598*$K598)))</x:f>
        <x:v>921.1064955083483</x:v>
      </x:c>
      <x:c r="H598" s="11" t="n">
        <x:f>IF($A598="","",$G598*$F598+$C598*(1-$F598))</x:f>
        <x:v>926.8872734279219</x:v>
      </x:c>
      <x:c r="I598" s="11" t="n">
        <x:f>IF($A598="","",AVERAGE($H598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914.7670912918218</x:v>
      </x:c>
      <x:c r="J598" s="12" t="n">
        <x:f>IF($A598="","",1+SUMIFS(Assumptions!$S$5:$S$10,Assumptions!$P$5:$P$10,$B598,Assumptions!$Q$5:$Q$10,"&lt;="&amp;$A598,Assumptions!$R$5:$R$10,"&gt;="&amp;$A598))</x:f>
        <x:v>1</x:v>
      </x:c>
      <x:c r="K598" s="12" t="n">
        <x:f>IF($A598="","",1+((($A598-Assumptions!$B$5)/30)*INDEX(Assumptions!$J$5:$J$12,MATCH($B598,Assumptions!$D$5:$D$12,0))))</x:f>
        <x:v>0.9960333333333333</x:v>
      </x:c>
      <x:c r="L598" t="str">
        <x:f>IF($A598="","",IFERROR(INDEX(Assumptions!$O$5:$O$10,MATCH(1,(Assumptions!$P$5:$P$10=$B598)*(Assumptions!$Q$5:$Q$10&lt;=$A598)*(Assumptions!$R$5:$R$10&gt;=$A598),0)),""))</x:f>
      </x:c>
      <x:c r="M598" t="n">
        <x:f>--($A598&lt;&gt;"")</x:f>
        <x:v>1</x:v>
      </x:c>
    </x:row>
    <x:row r="599">
      <x:c r="A599" s="10" t="n">
        <x:f>IF(Assumptions!$B$5+INT((ROW()-2)/Assumptions!$B$7)&gt;Assumptions!$B$6,"",Assumptions!$B$5+INT((ROW()-2)/Assumptions!$B$7))</x:f>
        <x:v>46142</x:v>
      </x:c>
      <x:c r="B599" t="str">
        <x:f>IF($A599="","",INDEX(Assumptions!$D$5:$D$12,MOD(ROW()-2,Assumptions!$B$7)+1))</x:f>
        <x:v>Nostromo Deep</x:v>
      </x:c>
      <x:c r="C599" s="11" t="n">
        <x:f>IF($A599="","",INDEX(Assumptions!$F$5:$F$12,MATCH($B599,Assumptions!$D$5:$D$12,0)))</x:f>
        <x:v>1260</x:v>
      </x:c>
      <x:c r="D599" s="11" t="n">
        <x:f>IF($A599="","",INDEX(Assumptions!$G$5:$G$12,MATCH($B599,Assumptions!$D$5:$D$12,0)))</x:f>
        <x:v>145</x:v>
      </x:c>
      <x:c r="E599" s="11" t="n">
        <x:f>IF($A599="","",INDEX(Assumptions!$M$5:$M$11,WEEKDAY($A599,2)))</x:f>
        <x:v>1</x:v>
      </x:c>
      <x:c r="F599" s="11" t="n">
        <x:f>IF($A599="","",Assumptions!$B$15)</x:f>
        <x:v>0.35</x:v>
      </x:c>
      <x:c r="G599" s="11" t="n">
        <x:f>IF($A599="","",MAX(INDEX(Assumptions!$H$5:$H$12,MATCH($B599,Assumptions!$D$5:$D$12,0)),MIN(INDEX(Assumptions!$I$5:$I$12,MATCH($B599,Assumptions!$D$5:$D$12,0)),($C599+$D599*SQRT(-2*LN(RAND()))*COS(2*PI()*RAND()))*$E599*$J599*$K599)))</x:f>
        <x:v>1335.6253502919205</x:v>
      </x:c>
      <x:c r="H599" s="11" t="n">
        <x:f>IF($A599="","",$G599*$F599+$C599*(1-$F599))</x:f>
        <x:v>1286.4688726021723</x:v>
      </x:c>
      <x:c r="I599" s="11" t="n">
        <x:f>IF($A599="","",AVERAGE($H599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1275.1857902375816</x:v>
      </x:c>
      <x:c r="J599" s="12" t="n">
        <x:f>IF($A599="","",1+SUMIFS(Assumptions!$S$5:$S$10,Assumptions!$P$5:$P$10,$B599,Assumptions!$Q$5:$Q$10,"&lt;="&amp;$A599,Assumptions!$R$5:$R$10,"&gt;="&amp;$A599))</x:f>
        <x:v>1</x:v>
      </x:c>
      <x:c r="K599" s="12" t="n">
        <x:f>IF($A599="","",1+((($A599-Assumptions!$B$5)/30)*INDEX(Assumptions!$J$5:$J$12,MATCH($B599,Assumptions!$D$5:$D$12,0))))</x:f>
        <x:v>1.0119</x:v>
      </x:c>
      <x:c r="L599" t="str">
        <x:f>IF($A599="","",IFERROR(INDEX(Assumptions!$O$5:$O$10,MATCH(1,(Assumptions!$P$5:$P$10=$B599)*(Assumptions!$Q$5:$Q$10&lt;=$A599)*(Assumptions!$R$5:$R$10&gt;=$A599),0)),""))</x:f>
      </x:c>
      <x:c r="M599" t="n">
        <x:f>--($A599&lt;&gt;"")</x:f>
        <x:v>1</x:v>
      </x:c>
    </x:row>
    <x:row r="600">
      <x:c r="A600" s="10" t="n">
        <x:f>IF(Assumptions!$B$5+INT((ROW()-2)/Assumptions!$B$7)&gt;Assumptions!$B$6,"",Assumptions!$B$5+INT((ROW()-2)/Assumptions!$B$7))</x:f>
        <x:v>46142</x:v>
      </x:c>
      <x:c r="B600" t="str">
        <x:f>IF($A600="","",INDEX(Assumptions!$D$5:$D$12,MOD(ROW()-2,Assumptions!$B$7)+1))</x:f>
        <x:v>Hadley's Hope</x:v>
      </x:c>
      <x:c r="C600" s="11" t="n">
        <x:f>IF($A600="","",INDEX(Assumptions!$F$5:$F$12,MATCH($B600,Assumptions!$D$5:$D$12,0)))</x:f>
        <x:v>845</x:v>
      </x:c>
      <x:c r="D600" s="11" t="n">
        <x:f>IF($A600="","",INDEX(Assumptions!$G$5:$G$12,MATCH($B600,Assumptions!$D$5:$D$12,0)))</x:f>
        <x:v>80</x:v>
      </x:c>
      <x:c r="E600" s="11" t="n">
        <x:f>IF($A600="","",INDEX(Assumptions!$M$5:$M$11,WEEKDAY($A600,2)))</x:f>
        <x:v>1</x:v>
      </x:c>
      <x:c r="F600" s="11" t="n">
        <x:f>IF($A600="","",Assumptions!$B$15)</x:f>
        <x:v>0.35</x:v>
      </x:c>
      <x:c r="G600" s="11" t="n">
        <x:f>IF($A600="","",MAX(INDEX(Assumptions!$H$5:$H$12,MATCH($B600,Assumptions!$D$5:$D$12,0)),MIN(INDEX(Assumptions!$I$5:$I$12,MATCH($B600,Assumptions!$D$5:$D$12,0)),($C600+$D600*SQRT(-2*LN(RAND()))*COS(2*PI()*RAND()))*$E600*$J600*$K600)))</x:f>
        <x:v>831.1417266465215</x:v>
      </x:c>
      <x:c r="H600" s="11" t="n">
        <x:f>IF($A600="","",$G600*$F600+$C600*(1-$F600))</x:f>
        <x:v>840.1496043262825</x:v>
      </x:c>
      <x:c r="I600" s="11" t="n">
        <x:f>IF($A600="","",AVERAGE($H600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834.4562356264133</x:v>
      </x:c>
      <x:c r="J600" s="12" t="n">
        <x:f>IF($A600="","",1+SUMIFS(Assumptions!$S$5:$S$10,Assumptions!$P$5:$P$10,$B600,Assumptions!$Q$5:$Q$10,"&lt;="&amp;$A600,Assumptions!$R$5:$R$10,"&gt;="&amp;$A600))</x:f>
        <x:v>1</x:v>
      </x:c>
      <x:c r="K600" s="12" t="n">
        <x:f>IF($A600="","",1+((($A600-Assumptions!$B$5)/30)*INDEX(Assumptions!$J$5:$J$12,MATCH($B600,Assumptions!$D$5:$D$12,0))))</x:f>
        <x:v>1.0039666666666667</x:v>
      </x:c>
      <x:c r="L600" t="str">
        <x:f>IF($A600="","",IFERROR(INDEX(Assumptions!$O$5:$O$10,MATCH(1,(Assumptions!$P$5:$P$10=$B600)*(Assumptions!$Q$5:$Q$10&lt;=$A600)*(Assumptions!$R$5:$R$10&gt;=$A600),0)),""))</x:f>
      </x:c>
      <x:c r="M600" t="n">
        <x:f>--($A600&lt;&gt;"")</x:f>
        <x:v>1</x:v>
      </x:c>
    </x:row>
    <x:row r="601">
      <x:c r="A601" s="10" t="n">
        <x:f>IF(Assumptions!$B$5+INT((ROW()-2)/Assumptions!$B$7)&gt;Assumptions!$B$6,"",Assumptions!$B$5+INT((ROW()-2)/Assumptions!$B$7))</x:f>
        <x:v>46142</x:v>
      </x:c>
      <x:c r="B601" t="str">
        <x:f>IF($A601="","",INDEX(Assumptions!$D$5:$D$12,MOD(ROW()-2,Assumptions!$B$7)+1))</x:f>
        <x:v>Yutani Ridge</x:v>
      </x:c>
      <x:c r="C601" s="11" t="n">
        <x:f>IF($A601="","",INDEX(Assumptions!$F$5:$F$12,MATCH($B601,Assumptions!$D$5:$D$12,0)))</x:f>
        <x:v>1050</x:v>
      </x:c>
      <x:c r="D601" s="11" t="n">
        <x:f>IF($A601="","",INDEX(Assumptions!$G$5:$G$12,MATCH($B601,Assumptions!$D$5:$D$12,0)))</x:f>
        <x:v>125</x:v>
      </x:c>
      <x:c r="E601" s="11" t="n">
        <x:f>IF($A601="","",INDEX(Assumptions!$M$5:$M$11,WEEKDAY($A601,2)))</x:f>
        <x:v>1</x:v>
      </x:c>
      <x:c r="F601" s="11" t="n">
        <x:f>IF($A601="","",Assumptions!$B$15)</x:f>
        <x:v>0.35</x:v>
      </x:c>
      <x:c r="G601" s="11" t="n">
        <x:f>IF($A601="","",MAX(INDEX(Assumptions!$H$5:$H$12,MATCH($B601,Assumptions!$D$5:$D$12,0)),MIN(INDEX(Assumptions!$I$5:$I$12,MATCH($B601,Assumptions!$D$5:$D$12,0)),($C601+$D601*SQRT(-2*LN(RAND()))*COS(2*PI()*RAND()))*$E601*$J601*$K601)))</x:f>
        <x:v>916.8508847649697</x:v>
      </x:c>
      <x:c r="H601" s="11" t="n">
        <x:f>IF($A601="","",$G601*$F601+$C601*(1-$F601))</x:f>
        <x:v>1003.3978096677394</x:v>
      </x:c>
      <x:c r="I601" s="11" t="n">
        <x:f>IF($A601="","",AVERAGE($H601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1050.003485806945</x:v>
      </x:c>
      <x:c r="J601" s="12" t="n">
        <x:f>IF($A601="","",1+SUMIFS(Assumptions!$S$5:$S$10,Assumptions!$P$5:$P$10,$B601,Assumptions!$Q$5:$Q$10,"&lt;="&amp;$A601,Assumptions!$R$5:$R$10,"&gt;="&amp;$A601))</x:f>
        <x:v>1</x:v>
      </x:c>
      <x:c r="K601" s="12" t="n">
        <x:f>IF($A601="","",1+((($A601-Assumptions!$B$5)/30)*INDEX(Assumptions!$J$5:$J$12,MATCH($B601,Assumptions!$D$5:$D$12,0))))</x:f>
        <x:v>1.0099166666666666</x:v>
      </x:c>
      <x:c r="L601" t="str">
        <x:f>IF($A601="","",IFERROR(INDEX(Assumptions!$O$5:$O$10,MATCH(1,(Assumptions!$P$5:$P$10=$B601)*(Assumptions!$Q$5:$Q$10&lt;=$A601)*(Assumptions!$R$5:$R$10&gt;=$A601),0)),""))</x:f>
      </x:c>
      <x:c r="M601" t="n">
        <x:f>--($A601&lt;&gt;"")</x:f>
        <x:v>1</x:v>
      </x:c>
    </x:row>
    <x:row r="602">
      <x:c r="A602" s="10" t="n">
        <x:f>IF(Assumptions!$B$5+INT((ROW()-2)/Assumptions!$B$7)&gt;Assumptions!$B$6,"",Assumptions!$B$5+INT((ROW()-2)/Assumptions!$B$7))</x:f>
        <x:v>46143</x:v>
      </x:c>
      <x:c r="B602" t="str">
        <x:f>IF($A602="","",INDEX(Assumptions!$D$5:$D$12,MOD(ROW()-2,Assumptions!$B$7)+1))</x:f>
        <x:v>Acheron Prime</x:v>
      </x:c>
      <x:c r="C602" s="11" t="n">
        <x:f>IF($A602="","",INDEX(Assumptions!$F$5:$F$12,MATCH($B602,Assumptions!$D$5:$D$12,0)))</x:f>
        <x:v>1120</x:v>
      </x:c>
      <x:c r="D602" s="11" t="n">
        <x:f>IF($A602="","",INDEX(Assumptions!$G$5:$G$12,MATCH($B602,Assumptions!$D$5:$D$12,0)))</x:f>
        <x:v>115</x:v>
      </x:c>
      <x:c r="E602" s="11" t="n">
        <x:f>IF($A602="","",INDEX(Assumptions!$M$5:$M$11,WEEKDAY($A602,2)))</x:f>
        <x:v>0.98</x:v>
      </x:c>
      <x:c r="F602" s="11" t="n">
        <x:f>IF($A602="","",Assumptions!$B$15)</x:f>
        <x:v>0.35</x:v>
      </x:c>
      <x:c r="G602" s="11" t="n">
        <x:f>IF($A602="","",MAX(INDEX(Assumptions!$H$5:$H$12,MATCH($B602,Assumptions!$D$5:$D$12,0)),MIN(INDEX(Assumptions!$I$5:$I$12,MATCH($B602,Assumptions!$D$5:$D$12,0)),($C602+$D602*SQRT(-2*LN(RAND()))*COS(2*PI()*RAND()))*$E602*$J602*$K602)))</x:f>
        <x:v>1038.9077896898045</x:v>
      </x:c>
      <x:c r="H602" s="11" t="n">
        <x:f>IF($A602="","",$G602*$F602+$C602*(1-$F602))</x:f>
        <x:v>1091.6177263914315</x:v>
      </x:c>
      <x:c r="I602" s="11" t="n">
        <x:f>IF($A602="","",AVERAGE($H602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1128.2522102112655</x:v>
      </x:c>
      <x:c r="J602" s="12" t="n">
        <x:f>IF($A602="","",1+SUMIFS(Assumptions!$S$5:$S$10,Assumptions!$P$5:$P$10,$B602,Assumptions!$Q$5:$Q$10,"&lt;="&amp;$A602,Assumptions!$R$5:$R$10,"&gt;="&amp;$A602))</x:f>
        <x:v>1</x:v>
      </x:c>
      <x:c r="K602" s="12" t="n">
        <x:f>IF($A602="","",1+((($A602-Assumptions!$B$5)/30)*INDEX(Assumptions!$J$5:$J$12,MATCH($B602,Assumptions!$D$5:$D$12,0))))</x:f>
        <x:v>1.008</x:v>
      </x:c>
      <x:c r="L602" t="str">
        <x:f>IF($A602="","",IFERROR(INDEX(Assumptions!$O$5:$O$10,MATCH(1,(Assumptions!$P$5:$P$10=$B602)*(Assumptions!$Q$5:$Q$10&lt;=$A602)*(Assumptions!$R$5:$R$10&gt;=$A602),0)),""))</x:f>
      </x:c>
      <x:c r="M602" t="n">
        <x:f>--($A602&lt;&gt;"")</x:f>
        <x:v>1</x:v>
      </x:c>
    </x:row>
    <x:row r="603">
      <x:c r="A603" s="10" t="n">
        <x:f>IF(Assumptions!$B$5+INT((ROW()-2)/Assumptions!$B$7)&gt;Assumptions!$B$6,"",Assumptions!$B$5+INT((ROW()-2)/Assumptions!$B$7))</x:f>
        <x:v>46143</x:v>
      </x:c>
      <x:c r="B603" t="str">
        <x:f>IF($A603="","",INDEX(Assumptions!$D$5:$D$12,MOD(ROW()-2,Assumptions!$B$7)+1))</x:f>
        <x:v>LV-426 North</x:v>
      </x:c>
      <x:c r="C603" s="11" t="n">
        <x:f>IF($A603="","",INDEX(Assumptions!$F$5:$F$12,MATCH($B603,Assumptions!$D$5:$D$12,0)))</x:f>
        <x:v>930</x:v>
      </x:c>
      <x:c r="D603" s="11" t="n">
        <x:f>IF($A603="","",INDEX(Assumptions!$G$5:$G$12,MATCH($B603,Assumptions!$D$5:$D$12,0)))</x:f>
        <x:v>95</x:v>
      </x:c>
      <x:c r="E603" s="11" t="n">
        <x:f>IF($A603="","",INDEX(Assumptions!$M$5:$M$11,WEEKDAY($A603,2)))</x:f>
        <x:v>0.98</x:v>
      </x:c>
      <x:c r="F603" s="11" t="n">
        <x:f>IF($A603="","",Assumptions!$B$15)</x:f>
        <x:v>0.35</x:v>
      </x:c>
      <x:c r="G603" s="11" t="n">
        <x:f>IF($A603="","",MAX(INDEX(Assumptions!$H$5:$H$12,MATCH($B603,Assumptions!$D$5:$D$12,0)),MIN(INDEX(Assumptions!$I$5:$I$12,MATCH($B603,Assumptions!$D$5:$D$12,0)),($C603+$D603*SQRT(-2*LN(RAND()))*COS(2*PI()*RAND()))*$E603*$J603*$K603)))</x:f>
        <x:v>949.3835131245261</x:v>
      </x:c>
      <x:c r="H603" s="11" t="n">
        <x:f>IF($A603="","",$G603*$F603+$C603*(1-$F603))</x:f>
        <x:v>936.7842295935841</x:v>
      </x:c>
      <x:c r="I603" s="11" t="n">
        <x:f>IF($A603="","",AVERAGE($H603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914.8544989218533</x:v>
      </x:c>
      <x:c r="J603" s="12" t="n">
        <x:f>IF($A603="","",1+SUMIFS(Assumptions!$S$5:$S$10,Assumptions!$P$5:$P$10,$B603,Assumptions!$Q$5:$Q$10,"&lt;="&amp;$A603,Assumptions!$R$5:$R$10,"&gt;="&amp;$A603))</x:f>
        <x:v>1</x:v>
      </x:c>
      <x:c r="K603" s="12" t="n">
        <x:f>IF($A603="","",1+((($A603-Assumptions!$B$5)/30)*INDEX(Assumptions!$J$5:$J$12,MATCH($B603,Assumptions!$D$5:$D$12,0))))</x:f>
        <x:v>0.996</x:v>
      </x:c>
      <x:c r="L603" t="str">
        <x:f>IF($A603="","",IFERROR(INDEX(Assumptions!$O$5:$O$10,MATCH(1,(Assumptions!$P$5:$P$10=$B603)*(Assumptions!$Q$5:$Q$10&lt;=$A603)*(Assumptions!$R$5:$R$10&gt;=$A603),0)),""))</x:f>
      </x:c>
      <x:c r="M603" t="n">
        <x:f>--($A603&lt;&gt;"")</x:f>
        <x:v>1</x:v>
      </x:c>
    </x:row>
    <x:row r="604">
      <x:c r="A604" s="10" t="n">
        <x:f>IF(Assumptions!$B$5+INT((ROW()-2)/Assumptions!$B$7)&gt;Assumptions!$B$6,"",Assumptions!$B$5+INT((ROW()-2)/Assumptions!$B$7))</x:f>
        <x:v>46143</x:v>
      </x:c>
      <x:c r="B604" t="str">
        <x:f>IF($A604="","",INDEX(Assumptions!$D$5:$D$12,MOD(ROW()-2,Assumptions!$B$7)+1))</x:f>
        <x:v>Nostromo Deep</x:v>
      </x:c>
      <x:c r="C604" s="11" t="n">
        <x:f>IF($A604="","",INDEX(Assumptions!$F$5:$F$12,MATCH($B604,Assumptions!$D$5:$D$12,0)))</x:f>
        <x:v>1260</x:v>
      </x:c>
      <x:c r="D604" s="11" t="n">
        <x:f>IF($A604="","",INDEX(Assumptions!$G$5:$G$12,MATCH($B604,Assumptions!$D$5:$D$12,0)))</x:f>
        <x:v>145</x:v>
      </x:c>
      <x:c r="E604" s="11" t="n">
        <x:f>IF($A604="","",INDEX(Assumptions!$M$5:$M$11,WEEKDAY($A604,2)))</x:f>
        <x:v>0.98</x:v>
      </x:c>
      <x:c r="F604" s="11" t="n">
        <x:f>IF($A604="","",Assumptions!$B$15)</x:f>
        <x:v>0.35</x:v>
      </x:c>
      <x:c r="G604" s="11" t="n">
        <x:f>IF($A604="","",MAX(INDEX(Assumptions!$H$5:$H$12,MATCH($B604,Assumptions!$D$5:$D$12,0)),MIN(INDEX(Assumptions!$I$5:$I$12,MATCH($B604,Assumptions!$D$5:$D$12,0)),($C604+$D604*SQRT(-2*LN(RAND()))*COS(2*PI()*RAND()))*$E604*$J604*$K604)))</x:f>
        <x:v>1217.3776146016098</x:v>
      </x:c>
      <x:c r="H604" s="11" t="n">
        <x:f>IF($A604="","",$G604*$F604+$C604*(1-$F604))</x:f>
        <x:v>1245.0821651105634</x:v>
      </x:c>
      <x:c r="I604" s="11" t="n">
        <x:f>IF($A604="","",AVERAGE($H604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1272.827967660191</x:v>
      </x:c>
      <x:c r="J604" s="12" t="n">
        <x:f>IF($A604="","",1+SUMIFS(Assumptions!$S$5:$S$10,Assumptions!$P$5:$P$10,$B604,Assumptions!$Q$5:$Q$10,"&lt;="&amp;$A604,Assumptions!$R$5:$R$10,"&gt;="&amp;$A604))</x:f>
        <x:v>1</x:v>
      </x:c>
      <x:c r="K604" s="12" t="n">
        <x:f>IF($A604="","",1+((($A604-Assumptions!$B$5)/30)*INDEX(Assumptions!$J$5:$J$12,MATCH($B604,Assumptions!$D$5:$D$12,0))))</x:f>
        <x:v>1.012</x:v>
      </x:c>
      <x:c r="L604" t="str">
        <x:f>IF($A604="","",IFERROR(INDEX(Assumptions!$O$5:$O$10,MATCH(1,(Assumptions!$P$5:$P$10=$B604)*(Assumptions!$Q$5:$Q$10&lt;=$A604)*(Assumptions!$R$5:$R$10&gt;=$A604),0)),""))</x:f>
      </x:c>
      <x:c r="M604" t="n">
        <x:f>--($A604&lt;&gt;"")</x:f>
        <x:v>1</x:v>
      </x:c>
    </x:row>
    <x:row r="605">
      <x:c r="A605" s="10" t="n">
        <x:f>IF(Assumptions!$B$5+INT((ROW()-2)/Assumptions!$B$7)&gt;Assumptions!$B$6,"",Assumptions!$B$5+INT((ROW()-2)/Assumptions!$B$7))</x:f>
        <x:v>46143</x:v>
      </x:c>
      <x:c r="B605" t="str">
        <x:f>IF($A605="","",INDEX(Assumptions!$D$5:$D$12,MOD(ROW()-2,Assumptions!$B$7)+1))</x:f>
        <x:v>Hadley's Hope</x:v>
      </x:c>
      <x:c r="C605" s="11" t="n">
        <x:f>IF($A605="","",INDEX(Assumptions!$F$5:$F$12,MATCH($B605,Assumptions!$D$5:$D$12,0)))</x:f>
        <x:v>845</x:v>
      </x:c>
      <x:c r="D605" s="11" t="n">
        <x:f>IF($A605="","",INDEX(Assumptions!$G$5:$G$12,MATCH($B605,Assumptions!$D$5:$D$12,0)))</x:f>
        <x:v>80</x:v>
      </x:c>
      <x:c r="E605" s="11" t="n">
        <x:f>IF($A605="","",INDEX(Assumptions!$M$5:$M$11,WEEKDAY($A605,2)))</x:f>
        <x:v>0.98</x:v>
      </x:c>
      <x:c r="F605" s="11" t="n">
        <x:f>IF($A605="","",Assumptions!$B$15)</x:f>
        <x:v>0.35</x:v>
      </x:c>
      <x:c r="G605" s="11" t="n">
        <x:f>IF($A605="","",MAX(INDEX(Assumptions!$H$5:$H$12,MATCH($B605,Assumptions!$D$5:$D$12,0)),MIN(INDEX(Assumptions!$I$5:$I$12,MATCH($B605,Assumptions!$D$5:$D$12,0)),($C605+$D605*SQRT(-2*LN(RAND()))*COS(2*PI()*RAND()))*$E605*$J605*$K605)))</x:f>
        <x:v>871.559163422043</x:v>
      </x:c>
      <x:c r="H605" s="11" t="n">
        <x:f>IF($A605="","",$G605*$F605+$C605*(1-$F605))</x:f>
        <x:v>854.295707197715</x:v>
      </x:c>
      <x:c r="I605" s="11" t="n">
        <x:f>IF($A605="","",AVERAGE($H605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839.1875850301889</x:v>
      </x:c>
      <x:c r="J605" s="12" t="n">
        <x:f>IF($A605="","",1+SUMIFS(Assumptions!$S$5:$S$10,Assumptions!$P$5:$P$10,$B605,Assumptions!$Q$5:$Q$10,"&lt;="&amp;$A605,Assumptions!$R$5:$R$10,"&gt;="&amp;$A605))</x:f>
        <x:v>1</x:v>
      </x:c>
      <x:c r="K605" s="12" t="n">
        <x:f>IF($A605="","",1+((($A605-Assumptions!$B$5)/30)*INDEX(Assumptions!$J$5:$J$12,MATCH($B605,Assumptions!$D$5:$D$12,0))))</x:f>
        <x:v>1.004</x:v>
      </x:c>
      <x:c r="L605" t="str">
        <x:f>IF($A605="","",IFERROR(INDEX(Assumptions!$O$5:$O$10,MATCH(1,(Assumptions!$P$5:$P$10=$B605)*(Assumptions!$Q$5:$Q$10&lt;=$A605)*(Assumptions!$R$5:$R$10&gt;=$A605),0)),""))</x:f>
      </x:c>
      <x:c r="M605" t="n">
        <x:f>--($A605&lt;&gt;"")</x:f>
        <x:v>1</x:v>
      </x:c>
    </x:row>
    <x:row r="606">
      <x:c r="A606" s="10" t="n">
        <x:f>IF(Assumptions!$B$5+INT((ROW()-2)/Assumptions!$B$7)&gt;Assumptions!$B$6,"",Assumptions!$B$5+INT((ROW()-2)/Assumptions!$B$7))</x:f>
        <x:v>46143</x:v>
      </x:c>
      <x:c r="B606" t="str">
        <x:f>IF($A606="","",INDEX(Assumptions!$D$5:$D$12,MOD(ROW()-2,Assumptions!$B$7)+1))</x:f>
        <x:v>Yutani Ridge</x:v>
      </x:c>
      <x:c r="C606" s="11" t="n">
        <x:f>IF($A606="","",INDEX(Assumptions!$F$5:$F$12,MATCH($B606,Assumptions!$D$5:$D$12,0)))</x:f>
        <x:v>1050</x:v>
      </x:c>
      <x:c r="D606" s="11" t="n">
        <x:f>IF($A606="","",INDEX(Assumptions!$G$5:$G$12,MATCH($B606,Assumptions!$D$5:$D$12,0)))</x:f>
        <x:v>125</x:v>
      </x:c>
      <x:c r="E606" s="11" t="n">
        <x:f>IF($A606="","",INDEX(Assumptions!$M$5:$M$11,WEEKDAY($A606,2)))</x:f>
        <x:v>0.98</x:v>
      </x:c>
      <x:c r="F606" s="11" t="n">
        <x:f>IF($A606="","",Assumptions!$B$15)</x:f>
        <x:v>0.35</x:v>
      </x:c>
      <x:c r="G606" s="11" t="n">
        <x:f>IF($A606="","",MAX(INDEX(Assumptions!$H$5:$H$12,MATCH($B606,Assumptions!$D$5:$D$12,0)),MIN(INDEX(Assumptions!$I$5:$I$12,MATCH($B606,Assumptions!$D$5:$D$12,0)),($C606+$D606*SQRT(-2*LN(RAND()))*COS(2*PI()*RAND()))*$E606*$J606*$K606)))</x:f>
        <x:v>1144.2600894252441</x:v>
      </x:c>
      <x:c r="H606" s="11" t="n">
        <x:f>IF($A606="","",$G606*$F606+$C606*(1-$F606))</x:f>
        <x:v>1082.9910312988354</x:v>
      </x:c>
      <x:c r="I606" s="11" t="n">
        <x:f>IF($A606="","",AVERAGE($H606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1054.0250629151528</x:v>
      </x:c>
      <x:c r="J606" s="12" t="n">
        <x:f>IF($A606="","",1+SUMIFS(Assumptions!$S$5:$S$10,Assumptions!$P$5:$P$10,$B606,Assumptions!$Q$5:$Q$10,"&lt;="&amp;$A606,Assumptions!$R$5:$R$10,"&gt;="&amp;$A606))</x:f>
        <x:v>1</x:v>
      </x:c>
      <x:c r="K606" s="12" t="n">
        <x:f>IF($A606="","",1+((($A606-Assumptions!$B$5)/30)*INDEX(Assumptions!$J$5:$J$12,MATCH($B606,Assumptions!$D$5:$D$12,0))))</x:f>
        <x:v>1.01</x:v>
      </x:c>
      <x:c r="L606" t="str">
        <x:f>IF($A606="","",IFERROR(INDEX(Assumptions!$O$5:$O$10,MATCH(1,(Assumptions!$P$5:$P$10=$B606)*(Assumptions!$Q$5:$Q$10&lt;=$A606)*(Assumptions!$R$5:$R$10&gt;=$A606),0)),""))</x:f>
      </x:c>
      <x:c r="M606" t="n">
        <x:f>--($A606&lt;&gt;"")</x:f>
        <x:v>1</x:v>
      </x:c>
    </x:row>
    <x:row r="607">
      <x:c r="A607" s="10" t="n">
        <x:f>IF(Assumptions!$B$5+INT((ROW()-2)/Assumptions!$B$7)&gt;Assumptions!$B$6,"",Assumptions!$B$5+INT((ROW()-2)/Assumptions!$B$7))</x:f>
        <x:v>46144</x:v>
      </x:c>
      <x:c r="B607" t="str">
        <x:f>IF($A607="","",INDEX(Assumptions!$D$5:$D$12,MOD(ROW()-2,Assumptions!$B$7)+1))</x:f>
        <x:v>Acheron Prime</x:v>
      </x:c>
      <x:c r="C607" s="11" t="n">
        <x:f>IF($A607="","",INDEX(Assumptions!$F$5:$F$12,MATCH($B607,Assumptions!$D$5:$D$12,0)))</x:f>
        <x:v>1120</x:v>
      </x:c>
      <x:c r="D607" s="11" t="n">
        <x:f>IF($A607="","",INDEX(Assumptions!$G$5:$G$12,MATCH($B607,Assumptions!$D$5:$D$12,0)))</x:f>
        <x:v>115</x:v>
      </x:c>
      <x:c r="E607" s="11" t="n">
        <x:f>IF($A607="","",INDEX(Assumptions!$M$5:$M$11,WEEKDAY($A607,2)))</x:f>
        <x:v>0.91</x:v>
      </x:c>
      <x:c r="F607" s="11" t="n">
        <x:f>IF($A607="","",Assumptions!$B$15)</x:f>
        <x:v>0.35</x:v>
      </x:c>
      <x:c r="G607" s="11" t="n">
        <x:f>IF($A607="","",MAX(INDEX(Assumptions!$H$5:$H$12,MATCH($B607,Assumptions!$D$5:$D$12,0)),MIN(INDEX(Assumptions!$I$5:$I$12,MATCH($B607,Assumptions!$D$5:$D$12,0)),($C607+$D607*SQRT(-2*LN(RAND()))*COS(2*PI()*RAND()))*$E607*$J607*$K607)))</x:f>
        <x:v>1015.8441681262215</x:v>
      </x:c>
      <x:c r="H607" s="11" t="n">
        <x:f>IF($A607="","",$G607*$F607+$C607*(1-$F607))</x:f>
        <x:v>1083.5454588441776</x:v>
      </x:c>
      <x:c r="I607" s="11" t="n">
        <x:f>IF($A607="","",AVERAGE($H607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1124.5883815343918</x:v>
      </x:c>
      <x:c r="J607" s="12" t="n">
        <x:f>IF($A607="","",1+SUMIFS(Assumptions!$S$5:$S$10,Assumptions!$P$5:$P$10,$B607,Assumptions!$Q$5:$Q$10,"&lt;="&amp;$A607,Assumptions!$R$5:$R$10,"&gt;="&amp;$A607))</x:f>
        <x:v>1</x:v>
      </x:c>
      <x:c r="K607" s="12" t="n">
        <x:f>IF($A607="","",1+((($A607-Assumptions!$B$5)/30)*INDEX(Assumptions!$J$5:$J$12,MATCH($B607,Assumptions!$D$5:$D$12,0))))</x:f>
        <x:v>1.0080666666666667</x:v>
      </x:c>
      <x:c r="L607" t="str">
        <x:f>IF($A607="","",IFERROR(INDEX(Assumptions!$O$5:$O$10,MATCH(1,(Assumptions!$P$5:$P$10=$B607)*(Assumptions!$Q$5:$Q$10&lt;=$A607)*(Assumptions!$R$5:$R$10&gt;=$A607),0)),""))</x:f>
      </x:c>
      <x:c r="M607" t="n">
        <x:f>--($A607&lt;&gt;"")</x:f>
        <x:v>1</x:v>
      </x:c>
    </x:row>
    <x:row r="608">
      <x:c r="A608" s="10" t="n">
        <x:f>IF(Assumptions!$B$5+INT((ROW()-2)/Assumptions!$B$7)&gt;Assumptions!$B$6,"",Assumptions!$B$5+INT((ROW()-2)/Assumptions!$B$7))</x:f>
        <x:v>46144</x:v>
      </x:c>
      <x:c r="B608" t="str">
        <x:f>IF($A608="","",INDEX(Assumptions!$D$5:$D$12,MOD(ROW()-2,Assumptions!$B$7)+1))</x:f>
        <x:v>LV-426 North</x:v>
      </x:c>
      <x:c r="C608" s="11" t="n">
        <x:f>IF($A608="","",INDEX(Assumptions!$F$5:$F$12,MATCH($B608,Assumptions!$D$5:$D$12,0)))</x:f>
        <x:v>930</x:v>
      </x:c>
      <x:c r="D608" s="11" t="n">
        <x:f>IF($A608="","",INDEX(Assumptions!$G$5:$G$12,MATCH($B608,Assumptions!$D$5:$D$12,0)))</x:f>
        <x:v>95</x:v>
      </x:c>
      <x:c r="E608" s="11" t="n">
        <x:f>IF($A608="","",INDEX(Assumptions!$M$5:$M$11,WEEKDAY($A608,2)))</x:f>
        <x:v>0.91</x:v>
      </x:c>
      <x:c r="F608" s="11" t="n">
        <x:f>IF($A608="","",Assumptions!$B$15)</x:f>
        <x:v>0.35</x:v>
      </x:c>
      <x:c r="G608" s="11" t="n">
        <x:f>IF($A608="","",MAX(INDEX(Assumptions!$H$5:$H$12,MATCH($B608,Assumptions!$D$5:$D$12,0)),MIN(INDEX(Assumptions!$I$5:$I$12,MATCH($B608,Assumptions!$D$5:$D$12,0)),($C608+$D608*SQRT(-2*LN(RAND()))*COS(2*PI()*RAND()))*$E608*$J608*$K608)))</x:f>
        <x:v>820.336288878439</x:v>
      </x:c>
      <x:c r="H608" s="11" t="n">
        <x:f>IF($A608="","",$G608*$F608+$C608*(1-$F608))</x:f>
        <x:v>891.6177011074536</x:v>
      </x:c>
      <x:c r="I608" s="11" t="n">
        <x:f>IF($A608="","",AVERAGE($H608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916.4195756544169</x:v>
      </x:c>
      <x:c r="J608" s="12" t="n">
        <x:f>IF($A608="","",1+SUMIFS(Assumptions!$S$5:$S$10,Assumptions!$P$5:$P$10,$B608,Assumptions!$Q$5:$Q$10,"&lt;="&amp;$A608,Assumptions!$R$5:$R$10,"&gt;="&amp;$A608))</x:f>
        <x:v>1</x:v>
      </x:c>
      <x:c r="K608" s="12" t="n">
        <x:f>IF($A608="","",1+((($A608-Assumptions!$B$5)/30)*INDEX(Assumptions!$J$5:$J$12,MATCH($B608,Assumptions!$D$5:$D$12,0))))</x:f>
        <x:v>0.9959666666666667</x:v>
      </x:c>
      <x:c r="L608" t="str">
        <x:f>IF($A608="","",IFERROR(INDEX(Assumptions!$O$5:$O$10,MATCH(1,(Assumptions!$P$5:$P$10=$B608)*(Assumptions!$Q$5:$Q$10&lt;=$A608)*(Assumptions!$R$5:$R$10&gt;=$A608),0)),""))</x:f>
      </x:c>
      <x:c r="M608" t="n">
        <x:f>--($A608&lt;&gt;"")</x:f>
        <x:v>1</x:v>
      </x:c>
    </x:row>
    <x:row r="609">
      <x:c r="A609" s="10" t="n">
        <x:f>IF(Assumptions!$B$5+INT((ROW()-2)/Assumptions!$B$7)&gt;Assumptions!$B$6,"",Assumptions!$B$5+INT((ROW()-2)/Assumptions!$B$7))</x:f>
        <x:v>46144</x:v>
      </x:c>
      <x:c r="B609" t="str">
        <x:f>IF($A609="","",INDEX(Assumptions!$D$5:$D$12,MOD(ROW()-2,Assumptions!$B$7)+1))</x:f>
        <x:v>Nostromo Deep</x:v>
      </x:c>
      <x:c r="C609" s="11" t="n">
        <x:f>IF($A609="","",INDEX(Assumptions!$F$5:$F$12,MATCH($B609,Assumptions!$D$5:$D$12,0)))</x:f>
        <x:v>1260</x:v>
      </x:c>
      <x:c r="D609" s="11" t="n">
        <x:f>IF($A609="","",INDEX(Assumptions!$G$5:$G$12,MATCH($B609,Assumptions!$D$5:$D$12,0)))</x:f>
        <x:v>145</x:v>
      </x:c>
      <x:c r="E609" s="11" t="n">
        <x:f>IF($A609="","",INDEX(Assumptions!$M$5:$M$11,WEEKDAY($A609,2)))</x:f>
        <x:v>0.91</x:v>
      </x:c>
      <x:c r="F609" s="11" t="n">
        <x:f>IF($A609="","",Assumptions!$B$15)</x:f>
        <x:v>0.35</x:v>
      </x:c>
      <x:c r="G609" s="11" t="n">
        <x:f>IF($A609="","",MAX(INDEX(Assumptions!$H$5:$H$12,MATCH($B609,Assumptions!$D$5:$D$12,0)),MIN(INDEX(Assumptions!$I$5:$I$12,MATCH($B609,Assumptions!$D$5:$D$12,0)),($C609+$D609*SQRT(-2*LN(RAND()))*COS(2*PI()*RAND()))*$E609*$J609*$K609)))</x:f>
        <x:v>1067.117904433279</x:v>
      </x:c>
      <x:c r="H609" s="11" t="n">
        <x:f>IF($A609="","",$G609*$F609+$C609*(1-$F609))</x:f>
        <x:v>1192.4912665516476</x:v>
      </x:c>
      <x:c r="I609" s="11" t="n">
        <x:f>IF($A609="","",AVERAGE($H609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1263.7887561456648</x:v>
      </x:c>
      <x:c r="J609" s="12" t="n">
        <x:f>IF($A609="","",1+SUMIFS(Assumptions!$S$5:$S$10,Assumptions!$P$5:$P$10,$B609,Assumptions!$Q$5:$Q$10,"&lt;="&amp;$A609,Assumptions!$R$5:$R$10,"&gt;="&amp;$A609))</x:f>
        <x:v>1</x:v>
      </x:c>
      <x:c r="K609" s="12" t="n">
        <x:f>IF($A609="","",1+((($A609-Assumptions!$B$5)/30)*INDEX(Assumptions!$J$5:$J$12,MATCH($B609,Assumptions!$D$5:$D$12,0))))</x:f>
        <x:v>1.0121</x:v>
      </x:c>
      <x:c r="L609" t="str">
        <x:f>IF($A609="","",IFERROR(INDEX(Assumptions!$O$5:$O$10,MATCH(1,(Assumptions!$P$5:$P$10=$B609)*(Assumptions!$Q$5:$Q$10&lt;=$A609)*(Assumptions!$R$5:$R$10&gt;=$A609),0)),""))</x:f>
      </x:c>
      <x:c r="M609" t="n">
        <x:f>--($A609&lt;&gt;"")</x:f>
        <x:v>1</x:v>
      </x:c>
    </x:row>
    <x:row r="610">
      <x:c r="A610" s="10" t="n">
        <x:f>IF(Assumptions!$B$5+INT((ROW()-2)/Assumptions!$B$7)&gt;Assumptions!$B$6,"",Assumptions!$B$5+INT((ROW()-2)/Assumptions!$B$7))</x:f>
        <x:v>46144</x:v>
      </x:c>
      <x:c r="B610" t="str">
        <x:f>IF($A610="","",INDEX(Assumptions!$D$5:$D$12,MOD(ROW()-2,Assumptions!$B$7)+1))</x:f>
        <x:v>Hadley's Hope</x:v>
      </x:c>
      <x:c r="C610" s="11" t="n">
        <x:f>IF($A610="","",INDEX(Assumptions!$F$5:$F$12,MATCH($B610,Assumptions!$D$5:$D$12,0)))</x:f>
        <x:v>845</x:v>
      </x:c>
      <x:c r="D610" s="11" t="n">
        <x:f>IF($A610="","",INDEX(Assumptions!$G$5:$G$12,MATCH($B610,Assumptions!$D$5:$D$12,0)))</x:f>
        <x:v>80</x:v>
      </x:c>
      <x:c r="E610" s="11" t="n">
        <x:f>IF($A610="","",INDEX(Assumptions!$M$5:$M$11,WEEKDAY($A610,2)))</x:f>
        <x:v>0.91</x:v>
      </x:c>
      <x:c r="F610" s="11" t="n">
        <x:f>IF($A610="","",Assumptions!$B$15)</x:f>
        <x:v>0.35</x:v>
      </x:c>
      <x:c r="G610" s="11" t="n">
        <x:f>IF($A610="","",MAX(INDEX(Assumptions!$H$5:$H$12,MATCH($B610,Assumptions!$D$5:$D$12,0)),MIN(INDEX(Assumptions!$I$5:$I$12,MATCH($B610,Assumptions!$D$5:$D$12,0)),($C610+$D610*SQRT(-2*LN(RAND()))*COS(2*PI()*RAND()))*$E610*$J610*$K610)))</x:f>
        <x:v>672.2544821172403</x:v>
      </x:c>
      <x:c r="H610" s="11" t="n">
        <x:f>IF($A610="","",$G610*$F610+$C610*(1-$F610))</x:f>
        <x:v>784.539068741034</x:v>
      </x:c>
      <x:c r="I610" s="11" t="n">
        <x:f>IF($A610="","",AVERAGE($H610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835.3660415161137</x:v>
      </x:c>
      <x:c r="J610" s="12" t="n">
        <x:f>IF($A610="","",1+SUMIFS(Assumptions!$S$5:$S$10,Assumptions!$P$5:$P$10,$B610,Assumptions!$Q$5:$Q$10,"&lt;="&amp;$A610,Assumptions!$R$5:$R$10,"&gt;="&amp;$A610))</x:f>
        <x:v>1</x:v>
      </x:c>
      <x:c r="K610" s="12" t="n">
        <x:f>IF($A610="","",1+((($A610-Assumptions!$B$5)/30)*INDEX(Assumptions!$J$5:$J$12,MATCH($B610,Assumptions!$D$5:$D$12,0))))</x:f>
        <x:v>1.0040333333333333</x:v>
      </x:c>
      <x:c r="L610" t="str">
        <x:f>IF($A610="","",IFERROR(INDEX(Assumptions!$O$5:$O$10,MATCH(1,(Assumptions!$P$5:$P$10=$B610)*(Assumptions!$Q$5:$Q$10&lt;=$A610)*(Assumptions!$R$5:$R$10&gt;=$A610),0)),""))</x:f>
      </x:c>
      <x:c r="M610" t="n">
        <x:f>--($A610&lt;&gt;"")</x:f>
        <x:v>1</x:v>
      </x:c>
    </x:row>
    <x:row r="611">
      <x:c r="A611" s="10" t="n">
        <x:f>IF(Assumptions!$B$5+INT((ROW()-2)/Assumptions!$B$7)&gt;Assumptions!$B$6,"",Assumptions!$B$5+INT((ROW()-2)/Assumptions!$B$7))</x:f>
        <x:v>46144</x:v>
      </x:c>
      <x:c r="B611" t="str">
        <x:f>IF($A611="","",INDEX(Assumptions!$D$5:$D$12,MOD(ROW()-2,Assumptions!$B$7)+1))</x:f>
        <x:v>Yutani Ridge</x:v>
      </x:c>
      <x:c r="C611" s="11" t="n">
        <x:f>IF($A611="","",INDEX(Assumptions!$F$5:$F$12,MATCH($B611,Assumptions!$D$5:$D$12,0)))</x:f>
        <x:v>1050</x:v>
      </x:c>
      <x:c r="D611" s="11" t="n">
        <x:f>IF($A611="","",INDEX(Assumptions!$G$5:$G$12,MATCH($B611,Assumptions!$D$5:$D$12,0)))</x:f>
        <x:v>125</x:v>
      </x:c>
      <x:c r="E611" s="11" t="n">
        <x:f>IF($A611="","",INDEX(Assumptions!$M$5:$M$11,WEEKDAY($A611,2)))</x:f>
        <x:v>0.91</x:v>
      </x:c>
      <x:c r="F611" s="11" t="n">
        <x:f>IF($A611="","",Assumptions!$B$15)</x:f>
        <x:v>0.35</x:v>
      </x:c>
      <x:c r="G611" s="11" t="n">
        <x:f>IF($A611="","",MAX(INDEX(Assumptions!$H$5:$H$12,MATCH($B611,Assumptions!$D$5:$D$12,0)),MIN(INDEX(Assumptions!$I$5:$I$12,MATCH($B611,Assumptions!$D$5:$D$12,0)),($C611+$D611*SQRT(-2*LN(RAND()))*COS(2*PI()*RAND()))*$E611*$J611*$K611)))</x:f>
        <x:v>840.4917630834315</x:v>
      </x:c>
      <x:c r="H611" s="11" t="n">
        <x:f>IF($A611="","",$G611*$F611+$C611*(1-$F611))</x:f>
        <x:v>976.6721170792009</x:v>
      </x:c>
      <x:c r="I611" s="11" t="n">
        <x:f>IF($A611="","",AVERAGE($H611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1046.1209846037625</x:v>
      </x:c>
      <x:c r="J611" s="12" t="n">
        <x:f>IF($A611="","",1+SUMIFS(Assumptions!$S$5:$S$10,Assumptions!$P$5:$P$10,$B611,Assumptions!$Q$5:$Q$10,"&lt;="&amp;$A611,Assumptions!$R$5:$R$10,"&gt;="&amp;$A611))</x:f>
        <x:v>1</x:v>
      </x:c>
      <x:c r="K611" s="12" t="n">
        <x:f>IF($A611="","",1+((($A611-Assumptions!$B$5)/30)*INDEX(Assumptions!$J$5:$J$12,MATCH($B611,Assumptions!$D$5:$D$12,0))))</x:f>
        <x:v>1.0100833333333332</x:v>
      </x:c>
      <x:c r="L611" t="str">
        <x:f>IF($A611="","",IFERROR(INDEX(Assumptions!$O$5:$O$10,MATCH(1,(Assumptions!$P$5:$P$10=$B611)*(Assumptions!$Q$5:$Q$10&lt;=$A611)*(Assumptions!$R$5:$R$10&gt;=$A611),0)),""))</x:f>
      </x:c>
      <x:c r="M611" t="n">
        <x:f>--($A611&lt;&gt;"")</x:f>
        <x:v>1</x:v>
      </x:c>
    </x:row>
    <x:row r="612">
      <x:c r="A612" s="10" t="n">
        <x:f>IF(Assumptions!$B$5+INT((ROW()-2)/Assumptions!$B$7)&gt;Assumptions!$B$6,"",Assumptions!$B$5+INT((ROW()-2)/Assumptions!$B$7))</x:f>
        <x:v>46145</x:v>
      </x:c>
      <x:c r="B612" t="str">
        <x:f>IF($A612="","",INDEX(Assumptions!$D$5:$D$12,MOD(ROW()-2,Assumptions!$B$7)+1))</x:f>
        <x:v>Acheron Prime</x:v>
      </x:c>
      <x:c r="C612" s="11" t="n">
        <x:f>IF($A612="","",INDEX(Assumptions!$F$5:$F$12,MATCH($B612,Assumptions!$D$5:$D$12,0)))</x:f>
        <x:v>1120</x:v>
      </x:c>
      <x:c r="D612" s="11" t="n">
        <x:f>IF($A612="","",INDEX(Assumptions!$G$5:$G$12,MATCH($B612,Assumptions!$D$5:$D$12,0)))</x:f>
        <x:v>115</x:v>
      </x:c>
      <x:c r="E612" s="11" t="n">
        <x:f>IF($A612="","",INDEX(Assumptions!$M$5:$M$11,WEEKDAY($A612,2)))</x:f>
        <x:v>0.87</x:v>
      </x:c>
      <x:c r="F612" s="11" t="n">
        <x:f>IF($A612="","",Assumptions!$B$15)</x:f>
        <x:v>0.35</x:v>
      </x:c>
      <x:c r="G612" s="11" t="n">
        <x:f>IF($A612="","",MAX(INDEX(Assumptions!$H$5:$H$12,MATCH($B612,Assumptions!$D$5:$D$12,0)),MIN(INDEX(Assumptions!$I$5:$I$12,MATCH($B612,Assumptions!$D$5:$D$12,0)),($C612+$D612*SQRT(-2*LN(RAND()))*COS(2*PI()*RAND()))*$E612*$J612*$K612)))</x:f>
        <x:v>821.2295985922574</x:v>
      </x:c>
      <x:c r="H612" s="11" t="n">
        <x:f>IF($A612="","",$G612*$F612+$C612*(1-$F612))</x:f>
        <x:v>1015.4303595072901</x:v>
      </x:c>
      <x:c r="I612" s="11" t="n">
        <x:f>IF($A612="","",AVERAGE($H612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1120.4770745331239</x:v>
      </x:c>
      <x:c r="J612" s="12" t="n">
        <x:f>IF($A612="","",1+SUMIFS(Assumptions!$S$5:$S$10,Assumptions!$P$5:$P$10,$B612,Assumptions!$Q$5:$Q$10,"&lt;="&amp;$A612,Assumptions!$R$5:$R$10,"&gt;="&amp;$A612))</x:f>
        <x:v>1</x:v>
      </x:c>
      <x:c r="K612" s="12" t="n">
        <x:f>IF($A612="","",1+((($A612-Assumptions!$B$5)/30)*INDEX(Assumptions!$J$5:$J$12,MATCH($B612,Assumptions!$D$5:$D$12,0))))</x:f>
        <x:v>1.0081333333333333</x:v>
      </x:c>
      <x:c r="L612" t="str">
        <x:f>IF($A612="","",IFERROR(INDEX(Assumptions!$O$5:$O$10,MATCH(1,(Assumptions!$P$5:$P$10=$B612)*(Assumptions!$Q$5:$Q$10&lt;=$A612)*(Assumptions!$R$5:$R$10&gt;=$A612),0)),""))</x:f>
      </x:c>
      <x:c r="M612" t="n">
        <x:f>--($A612&lt;&gt;"")</x:f>
        <x:v>1</x:v>
      </x:c>
    </x:row>
    <x:row r="613">
      <x:c r="A613" s="10" t="n">
        <x:f>IF(Assumptions!$B$5+INT((ROW()-2)/Assumptions!$B$7)&gt;Assumptions!$B$6,"",Assumptions!$B$5+INT((ROW()-2)/Assumptions!$B$7))</x:f>
        <x:v>46145</x:v>
      </x:c>
      <x:c r="B613" t="str">
        <x:f>IF($A613="","",INDEX(Assumptions!$D$5:$D$12,MOD(ROW()-2,Assumptions!$B$7)+1))</x:f>
        <x:v>LV-426 North</x:v>
      </x:c>
      <x:c r="C613" s="11" t="n">
        <x:f>IF($A613="","",INDEX(Assumptions!$F$5:$F$12,MATCH($B613,Assumptions!$D$5:$D$12,0)))</x:f>
        <x:v>930</x:v>
      </x:c>
      <x:c r="D613" s="11" t="n">
        <x:f>IF($A613="","",INDEX(Assumptions!$G$5:$G$12,MATCH($B613,Assumptions!$D$5:$D$12,0)))</x:f>
        <x:v>95</x:v>
      </x:c>
      <x:c r="E613" s="11" t="n">
        <x:f>IF($A613="","",INDEX(Assumptions!$M$5:$M$11,WEEKDAY($A613,2)))</x:f>
        <x:v>0.87</x:v>
      </x:c>
      <x:c r="F613" s="11" t="n">
        <x:f>IF($A613="","",Assumptions!$B$15)</x:f>
        <x:v>0.35</x:v>
      </x:c>
      <x:c r="G613" s="11" t="n">
        <x:f>IF($A613="","",MAX(INDEX(Assumptions!$H$5:$H$12,MATCH($B613,Assumptions!$D$5:$D$12,0)),MIN(INDEX(Assumptions!$I$5:$I$12,MATCH($B613,Assumptions!$D$5:$D$12,0)),($C613+$D613*SQRT(-2*LN(RAND()))*COS(2*PI()*RAND()))*$E613*$J613*$K613)))</x:f>
        <x:v>853.9385435135249</x:v>
      </x:c>
      <x:c r="H613" s="11" t="n">
        <x:f>IF($A613="","",$G613*$F613+$C613*(1-$F613))</x:f>
        <x:v>903.3784902297336</x:v>
      </x:c>
      <x:c r="I613" s="11" t="n">
        <x:f>IF($A613="","",AVERAGE($H613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923.0687775546618</x:v>
      </x:c>
      <x:c r="J613" s="12" t="n">
        <x:f>IF($A613="","",1+SUMIFS(Assumptions!$S$5:$S$10,Assumptions!$P$5:$P$10,$B613,Assumptions!$Q$5:$Q$10,"&lt;="&amp;$A613,Assumptions!$R$5:$R$10,"&gt;="&amp;$A613))</x:f>
        <x:v>1</x:v>
      </x:c>
      <x:c r="K613" s="12" t="n">
        <x:f>IF($A613="","",1+((($A613-Assumptions!$B$5)/30)*INDEX(Assumptions!$J$5:$J$12,MATCH($B613,Assumptions!$D$5:$D$12,0))))</x:f>
        <x:v>0.9959333333333333</x:v>
      </x:c>
      <x:c r="L613" t="str">
        <x:f>IF($A613="","",IFERROR(INDEX(Assumptions!$O$5:$O$10,MATCH(1,(Assumptions!$P$5:$P$10=$B613)*(Assumptions!$Q$5:$Q$10&lt;=$A613)*(Assumptions!$R$5:$R$10&gt;=$A613),0)),""))</x:f>
      </x:c>
      <x:c r="M613" t="n">
        <x:f>--($A613&lt;&gt;"")</x:f>
        <x:v>1</x:v>
      </x:c>
    </x:row>
    <x:row r="614">
      <x:c r="A614" s="10" t="n">
        <x:f>IF(Assumptions!$B$5+INT((ROW()-2)/Assumptions!$B$7)&gt;Assumptions!$B$6,"",Assumptions!$B$5+INT((ROW()-2)/Assumptions!$B$7))</x:f>
        <x:v>46145</x:v>
      </x:c>
      <x:c r="B614" t="str">
        <x:f>IF($A614="","",INDEX(Assumptions!$D$5:$D$12,MOD(ROW()-2,Assumptions!$B$7)+1))</x:f>
        <x:v>Nostromo Deep</x:v>
      </x:c>
      <x:c r="C614" s="11" t="n">
        <x:f>IF($A614="","",INDEX(Assumptions!$F$5:$F$12,MATCH($B614,Assumptions!$D$5:$D$12,0)))</x:f>
        <x:v>1260</x:v>
      </x:c>
      <x:c r="D614" s="11" t="n">
        <x:f>IF($A614="","",INDEX(Assumptions!$G$5:$G$12,MATCH($B614,Assumptions!$D$5:$D$12,0)))</x:f>
        <x:v>145</x:v>
      </x:c>
      <x:c r="E614" s="11" t="n">
        <x:f>IF($A614="","",INDEX(Assumptions!$M$5:$M$11,WEEKDAY($A614,2)))</x:f>
        <x:v>0.87</x:v>
      </x:c>
      <x:c r="F614" s="11" t="n">
        <x:f>IF($A614="","",Assumptions!$B$15)</x:f>
        <x:v>0.35</x:v>
      </x:c>
      <x:c r="G614" s="11" t="n">
        <x:f>IF($A614="","",MAX(INDEX(Assumptions!$H$5:$H$12,MATCH($B614,Assumptions!$D$5:$D$12,0)),MIN(INDEX(Assumptions!$I$5:$I$12,MATCH($B614,Assumptions!$D$5:$D$12,0)),($C614+$D614*SQRT(-2*LN(RAND()))*COS(2*PI()*RAND()))*$E614*$J614*$K614)))</x:f>
        <x:v>820</x:v>
      </x:c>
      <x:c r="H614" s="11" t="n">
        <x:f>IF($A614="","",$G614*$F614+$C614*(1-$F614))</x:f>
        <x:v>1106</x:v>
      </x:c>
      <x:c r="I614" s="11" t="n">
        <x:f>IF($A614="","",AVERAGE($H614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1243.6562236512193</x:v>
      </x:c>
      <x:c r="J614" s="12" t="n">
        <x:f>IF($A614="","",1+SUMIFS(Assumptions!$S$5:$S$10,Assumptions!$P$5:$P$10,$B614,Assumptions!$Q$5:$Q$10,"&lt;="&amp;$A614,Assumptions!$R$5:$R$10,"&gt;="&amp;$A614))</x:f>
        <x:v>0.44999999999999996</x:v>
      </x:c>
      <x:c r="K614" s="12" t="n">
        <x:f>IF($A614="","",1+((($A614-Assumptions!$B$5)/30)*INDEX(Assumptions!$J$5:$J$12,MATCH($B614,Assumptions!$D$5:$D$12,0))))</x:f>
        <x:v>1.0122</x:v>
      </x:c>
      <x:c r="L614" t="str">
        <x:f>IF($A614="","",IFERROR(INDEX(Assumptions!$O$5:$O$10,MATCH(1,(Assumptions!$P$5:$P$10=$B614)*(Assumptions!$Q$5:$Q$10&lt;=$A614)*(Assumptions!$R$5:$R$10&gt;=$A614),0)),""))</x:f>
        <x:v>Power interruption</x:v>
      </x:c>
      <x:c r="M614" t="n">
        <x:f>--($A614&lt;&gt;"")</x:f>
        <x:v>1</x:v>
      </x:c>
    </x:row>
    <x:row r="615">
      <x:c r="A615" s="10" t="n">
        <x:f>IF(Assumptions!$B$5+INT((ROW()-2)/Assumptions!$B$7)&gt;Assumptions!$B$6,"",Assumptions!$B$5+INT((ROW()-2)/Assumptions!$B$7))</x:f>
        <x:v>46145</x:v>
      </x:c>
      <x:c r="B615" t="str">
        <x:f>IF($A615="","",INDEX(Assumptions!$D$5:$D$12,MOD(ROW()-2,Assumptions!$B$7)+1))</x:f>
        <x:v>Hadley's Hope</x:v>
      </x:c>
      <x:c r="C615" s="11" t="n">
        <x:f>IF($A615="","",INDEX(Assumptions!$F$5:$F$12,MATCH($B615,Assumptions!$D$5:$D$12,0)))</x:f>
        <x:v>845</x:v>
      </x:c>
      <x:c r="D615" s="11" t="n">
        <x:f>IF($A615="","",INDEX(Assumptions!$G$5:$G$12,MATCH($B615,Assumptions!$D$5:$D$12,0)))</x:f>
        <x:v>80</x:v>
      </x:c>
      <x:c r="E615" s="11" t="n">
        <x:f>IF($A615="","",INDEX(Assumptions!$M$5:$M$11,WEEKDAY($A615,2)))</x:f>
        <x:v>0.87</x:v>
      </x:c>
      <x:c r="F615" s="11" t="n">
        <x:f>IF($A615="","",Assumptions!$B$15)</x:f>
        <x:v>0.35</x:v>
      </x:c>
      <x:c r="G615" s="11" t="n">
        <x:f>IF($A615="","",MAX(INDEX(Assumptions!$H$5:$H$12,MATCH($B615,Assumptions!$D$5:$D$12,0)),MIN(INDEX(Assumptions!$I$5:$I$12,MATCH($B615,Assumptions!$D$5:$D$12,0)),($C615+$D615*SQRT(-2*LN(RAND()))*COS(2*PI()*RAND()))*$E615*$J615*$K615)))</x:f>
        <x:v>687.6446638877363</x:v>
      </x:c>
      <x:c r="H615" s="11" t="n">
        <x:f>IF($A615="","",$G615*$F615+$C615*(1-$F615))</x:f>
        <x:v>789.9256323607077</x:v>
      </x:c>
      <x:c r="I615" s="11" t="n">
        <x:f>IF($A615="","",AVERAGE($H615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832.5584530901106</x:v>
      </x:c>
      <x:c r="J615" s="12" t="n">
        <x:f>IF($A615="","",1+SUMIFS(Assumptions!$S$5:$S$10,Assumptions!$P$5:$P$10,$B615,Assumptions!$Q$5:$Q$10,"&lt;="&amp;$A615,Assumptions!$R$5:$R$10,"&gt;="&amp;$A615))</x:f>
        <x:v>1</x:v>
      </x:c>
      <x:c r="K615" s="12" t="n">
        <x:f>IF($A615="","",1+((($A615-Assumptions!$B$5)/30)*INDEX(Assumptions!$J$5:$J$12,MATCH($B615,Assumptions!$D$5:$D$12,0))))</x:f>
        <x:v>1.0040666666666667</x:v>
      </x:c>
      <x:c r="L615" t="str">
        <x:f>IF($A615="","",IFERROR(INDEX(Assumptions!$O$5:$O$10,MATCH(1,(Assumptions!$P$5:$P$10=$B615)*(Assumptions!$Q$5:$Q$10&lt;=$A615)*(Assumptions!$R$5:$R$10&gt;=$A615),0)),""))</x:f>
      </x:c>
      <x:c r="M615" t="n">
        <x:f>--($A615&lt;&gt;"")</x:f>
        <x:v>1</x:v>
      </x:c>
    </x:row>
    <x:row r="616">
      <x:c r="A616" s="10" t="n">
        <x:f>IF(Assumptions!$B$5+INT((ROW()-2)/Assumptions!$B$7)&gt;Assumptions!$B$6,"",Assumptions!$B$5+INT((ROW()-2)/Assumptions!$B$7))</x:f>
        <x:v>46145</x:v>
      </x:c>
      <x:c r="B616" t="str">
        <x:f>IF($A616="","",INDEX(Assumptions!$D$5:$D$12,MOD(ROW()-2,Assumptions!$B$7)+1))</x:f>
        <x:v>Yutani Ridge</x:v>
      </x:c>
      <x:c r="C616" s="11" t="n">
        <x:f>IF($A616="","",INDEX(Assumptions!$F$5:$F$12,MATCH($B616,Assumptions!$D$5:$D$12,0)))</x:f>
        <x:v>1050</x:v>
      </x:c>
      <x:c r="D616" s="11" t="n">
        <x:f>IF($A616="","",INDEX(Assumptions!$G$5:$G$12,MATCH($B616,Assumptions!$D$5:$D$12,0)))</x:f>
        <x:v>125</x:v>
      </x:c>
      <x:c r="E616" s="11" t="n">
        <x:f>IF($A616="","",INDEX(Assumptions!$M$5:$M$11,WEEKDAY($A616,2)))</x:f>
        <x:v>0.87</x:v>
      </x:c>
      <x:c r="F616" s="11" t="n">
        <x:f>IF($A616="","",Assumptions!$B$15)</x:f>
        <x:v>0.35</x:v>
      </x:c>
      <x:c r="G616" s="11" t="n">
        <x:f>IF($A616="","",MAX(INDEX(Assumptions!$H$5:$H$12,MATCH($B616,Assumptions!$D$5:$D$12,0)),MIN(INDEX(Assumptions!$I$5:$I$12,MATCH($B616,Assumptions!$D$5:$D$12,0)),($C616+$D616*SQRT(-2*LN(RAND()))*COS(2*PI()*RAND()))*$E616*$J616*$K616)))</x:f>
        <x:v>936.7622125847128</x:v>
      </x:c>
      <x:c r="H616" s="11" t="n">
        <x:f>IF($A616="","",$G616*$F616+$C616*(1-$F616))</x:f>
        <x:v>1010.3667744046495</x:v>
      </x:c>
      <x:c r="I616" s="11" t="n">
        <x:f>IF($A616="","",AVERAGE($H616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1047.8867937792131</x:v>
      </x:c>
      <x:c r="J616" s="12" t="n">
        <x:f>IF($A616="","",1+SUMIFS(Assumptions!$S$5:$S$10,Assumptions!$P$5:$P$10,$B616,Assumptions!$Q$5:$Q$10,"&lt;="&amp;$A616,Assumptions!$R$5:$R$10,"&gt;="&amp;$A616))</x:f>
        <x:v>1</x:v>
      </x:c>
      <x:c r="K616" s="12" t="n">
        <x:f>IF($A616="","",1+((($A616-Assumptions!$B$5)/30)*INDEX(Assumptions!$J$5:$J$12,MATCH($B616,Assumptions!$D$5:$D$12,0))))</x:f>
        <x:v>1.0101666666666667</x:v>
      </x:c>
      <x:c r="L616" t="str">
        <x:f>IF($A616="","",IFERROR(INDEX(Assumptions!$O$5:$O$10,MATCH(1,(Assumptions!$P$5:$P$10=$B616)*(Assumptions!$Q$5:$Q$10&lt;=$A616)*(Assumptions!$R$5:$R$10&gt;=$A616),0)),""))</x:f>
      </x:c>
      <x:c r="M616" t="n">
        <x:f>--($A616&lt;&gt;"")</x:f>
        <x:v>1</x:v>
      </x:c>
    </x:row>
    <x:row r="617">
      <x:c r="A617" s="10" t="n">
        <x:f>IF(Assumptions!$B$5+INT((ROW()-2)/Assumptions!$B$7)&gt;Assumptions!$B$6,"",Assumptions!$B$5+INT((ROW()-2)/Assumptions!$B$7))</x:f>
        <x:v>46146</x:v>
      </x:c>
      <x:c r="B617" t="str">
        <x:f>IF($A617="","",INDEX(Assumptions!$D$5:$D$12,MOD(ROW()-2,Assumptions!$B$7)+1))</x:f>
        <x:v>Acheron Prime</x:v>
      </x:c>
      <x:c r="C617" s="11" t="n">
        <x:f>IF($A617="","",INDEX(Assumptions!$F$5:$F$12,MATCH($B617,Assumptions!$D$5:$D$12,0)))</x:f>
        <x:v>1120</x:v>
      </x:c>
      <x:c r="D617" s="11" t="n">
        <x:f>IF($A617="","",INDEX(Assumptions!$G$5:$G$12,MATCH($B617,Assumptions!$D$5:$D$12,0)))</x:f>
        <x:v>115</x:v>
      </x:c>
      <x:c r="E617" s="11" t="n">
        <x:f>IF($A617="","",INDEX(Assumptions!$M$5:$M$11,WEEKDAY($A617,2)))</x:f>
        <x:v>1.03</x:v>
      </x:c>
      <x:c r="F617" s="11" t="n">
        <x:f>IF($A617="","",Assumptions!$B$15)</x:f>
        <x:v>0.35</x:v>
      </x:c>
      <x:c r="G617" s="11" t="n">
        <x:f>IF($A617="","",MAX(INDEX(Assumptions!$H$5:$H$12,MATCH($B617,Assumptions!$D$5:$D$12,0)),MIN(INDEX(Assumptions!$I$5:$I$12,MATCH($B617,Assumptions!$D$5:$D$12,0)),($C617+$D617*SQRT(-2*LN(RAND()))*COS(2*PI()*RAND()))*$E617*$J617*$K617)))</x:f>
        <x:v>1137.5395311115765</x:v>
      </x:c>
      <x:c r="H617" s="11" t="n">
        <x:f>IF($A617="","",$G617*$F617+$C617*(1-$F617))</x:f>
        <x:v>1126.1388358890517</x:v>
      </x:c>
      <x:c r="I617" s="11" t="n">
        <x:f>IF($A617="","",AVERAGE($H617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1108.5952737051934</x:v>
      </x:c>
      <x:c r="J617" s="12" t="n">
        <x:f>IF($A617="","",1+SUMIFS(Assumptions!$S$5:$S$10,Assumptions!$P$5:$P$10,$B617,Assumptions!$Q$5:$Q$10,"&lt;="&amp;$A617,Assumptions!$R$5:$R$10,"&gt;="&amp;$A617))</x:f>
        <x:v>1</x:v>
      </x:c>
      <x:c r="K617" s="12" t="n">
        <x:f>IF($A617="","",1+((($A617-Assumptions!$B$5)/30)*INDEX(Assumptions!$J$5:$J$12,MATCH($B617,Assumptions!$D$5:$D$12,0))))</x:f>
        <x:v>1.0082</x:v>
      </x:c>
      <x:c r="L617" t="str">
        <x:f>IF($A617="","",IFERROR(INDEX(Assumptions!$O$5:$O$10,MATCH(1,(Assumptions!$P$5:$P$10=$B617)*(Assumptions!$Q$5:$Q$10&lt;=$A617)*(Assumptions!$R$5:$R$10&gt;=$A617),0)),""))</x:f>
      </x:c>
      <x:c r="M617" t="n">
        <x:f>--($A617&lt;&gt;"")</x:f>
        <x:v>1</x:v>
      </x:c>
    </x:row>
    <x:row r="618">
      <x:c r="A618" s="10" t="n">
        <x:f>IF(Assumptions!$B$5+INT((ROW()-2)/Assumptions!$B$7)&gt;Assumptions!$B$6,"",Assumptions!$B$5+INT((ROW()-2)/Assumptions!$B$7))</x:f>
        <x:v>46146</x:v>
      </x:c>
      <x:c r="B618" t="str">
        <x:f>IF($A618="","",INDEX(Assumptions!$D$5:$D$12,MOD(ROW()-2,Assumptions!$B$7)+1))</x:f>
        <x:v>LV-426 North</x:v>
      </x:c>
      <x:c r="C618" s="11" t="n">
        <x:f>IF($A618="","",INDEX(Assumptions!$F$5:$F$12,MATCH($B618,Assumptions!$D$5:$D$12,0)))</x:f>
        <x:v>930</x:v>
      </x:c>
      <x:c r="D618" s="11" t="n">
        <x:f>IF($A618="","",INDEX(Assumptions!$G$5:$G$12,MATCH($B618,Assumptions!$D$5:$D$12,0)))</x:f>
        <x:v>95</x:v>
      </x:c>
      <x:c r="E618" s="11" t="n">
        <x:f>IF($A618="","",INDEX(Assumptions!$M$5:$M$11,WEEKDAY($A618,2)))</x:f>
        <x:v>1.03</x:v>
      </x:c>
      <x:c r="F618" s="11" t="n">
        <x:f>IF($A618="","",Assumptions!$B$15)</x:f>
        <x:v>0.35</x:v>
      </x:c>
      <x:c r="G618" s="11" t="n">
        <x:f>IF($A618="","",MAX(INDEX(Assumptions!$H$5:$H$12,MATCH($B618,Assumptions!$D$5:$D$12,0)),MIN(INDEX(Assumptions!$I$5:$I$12,MATCH($B618,Assumptions!$D$5:$D$12,0)),($C618+$D618*SQRT(-2*LN(RAND()))*COS(2*PI()*RAND()))*$E618*$J618*$K618)))</x:f>
        <x:v>1169.8337050579833</x:v>
      </x:c>
      <x:c r="H618" s="11" t="n">
        <x:f>IF($A618="","",$G618*$F618+$C618*(1-$F618))</x:f>
        <x:v>1013.9417967702941</x:v>
      </x:c>
      <x:c r="I618" s="11" t="n">
        <x:f>IF($A618="","",AVERAGE($H618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935.3054036846804</x:v>
      </x:c>
      <x:c r="J618" s="12" t="n">
        <x:f>IF($A618="","",1+SUMIFS(Assumptions!$S$5:$S$10,Assumptions!$P$5:$P$10,$B618,Assumptions!$Q$5:$Q$10,"&lt;="&amp;$A618,Assumptions!$R$5:$R$10,"&gt;="&amp;$A618))</x:f>
        <x:v>1</x:v>
      </x:c>
      <x:c r="K618" s="12" t="n">
        <x:f>IF($A618="","",1+((($A618-Assumptions!$B$5)/30)*INDEX(Assumptions!$J$5:$J$12,MATCH($B618,Assumptions!$D$5:$D$12,0))))</x:f>
        <x:v>0.9959</x:v>
      </x:c>
      <x:c r="L618" t="str">
        <x:f>IF($A618="","",IFERROR(INDEX(Assumptions!$O$5:$O$10,MATCH(1,(Assumptions!$P$5:$P$10=$B618)*(Assumptions!$Q$5:$Q$10&lt;=$A618)*(Assumptions!$R$5:$R$10&gt;=$A618),0)),""))</x:f>
      </x:c>
      <x:c r="M618" t="n">
        <x:f>--($A618&lt;&gt;"")</x:f>
        <x:v>1</x:v>
      </x:c>
    </x:row>
    <x:row r="619">
      <x:c r="A619" s="10" t="n">
        <x:f>IF(Assumptions!$B$5+INT((ROW()-2)/Assumptions!$B$7)&gt;Assumptions!$B$6,"",Assumptions!$B$5+INT((ROW()-2)/Assumptions!$B$7))</x:f>
        <x:v>46146</x:v>
      </x:c>
      <x:c r="B619" t="str">
        <x:f>IF($A619="","",INDEX(Assumptions!$D$5:$D$12,MOD(ROW()-2,Assumptions!$B$7)+1))</x:f>
        <x:v>Nostromo Deep</x:v>
      </x:c>
      <x:c r="C619" s="11" t="n">
        <x:f>IF($A619="","",INDEX(Assumptions!$F$5:$F$12,MATCH($B619,Assumptions!$D$5:$D$12,0)))</x:f>
        <x:v>1260</x:v>
      </x:c>
      <x:c r="D619" s="11" t="n">
        <x:f>IF($A619="","",INDEX(Assumptions!$G$5:$G$12,MATCH($B619,Assumptions!$D$5:$D$12,0)))</x:f>
        <x:v>145</x:v>
      </x:c>
      <x:c r="E619" s="11" t="n">
        <x:f>IF($A619="","",INDEX(Assumptions!$M$5:$M$11,WEEKDAY($A619,2)))</x:f>
        <x:v>1.03</x:v>
      </x:c>
      <x:c r="F619" s="11" t="n">
        <x:f>IF($A619="","",Assumptions!$B$15)</x:f>
        <x:v>0.35</x:v>
      </x:c>
      <x:c r="G619" s="11" t="n">
        <x:f>IF($A619="","",MAX(INDEX(Assumptions!$H$5:$H$12,MATCH($B619,Assumptions!$D$5:$D$12,0)),MIN(INDEX(Assumptions!$I$5:$I$12,MATCH($B619,Assumptions!$D$5:$D$12,0)),($C619+$D619*SQRT(-2*LN(RAND()))*COS(2*PI()*RAND()))*$E619*$J619*$K619)))</x:f>
        <x:v>820</x:v>
      </x:c>
      <x:c r="H619" s="11" t="n">
        <x:f>IF($A619="","",$G619*$F619+$C619*(1-$F619))</x:f>
        <x:v>1106</x:v>
      </x:c>
      <x:c r="I619" s="11" t="n">
        <x:f>IF($A619="","",AVERAGE($H619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1209.5452054186685</x:v>
      </x:c>
      <x:c r="J619" s="12" t="n">
        <x:f>IF($A619="","",1+SUMIFS(Assumptions!$S$5:$S$10,Assumptions!$P$5:$P$10,$B619,Assumptions!$Q$5:$Q$10,"&lt;="&amp;$A619,Assumptions!$R$5:$R$10,"&gt;="&amp;$A619))</x:f>
        <x:v>0.44999999999999996</x:v>
      </x:c>
      <x:c r="K619" s="12" t="n">
        <x:f>IF($A619="","",1+((($A619-Assumptions!$B$5)/30)*INDEX(Assumptions!$J$5:$J$12,MATCH($B619,Assumptions!$D$5:$D$12,0))))</x:f>
        <x:v>1.0123</x:v>
      </x:c>
      <x:c r="L619" t="str">
        <x:f>IF($A619="","",IFERROR(INDEX(Assumptions!$O$5:$O$10,MATCH(1,(Assumptions!$P$5:$P$10=$B619)*(Assumptions!$Q$5:$Q$10&lt;=$A619)*(Assumptions!$R$5:$R$10&gt;=$A619),0)),""))</x:f>
        <x:v>Power interruption</x:v>
      </x:c>
      <x:c r="M619" t="n">
        <x:f>--($A619&lt;&gt;"")</x:f>
        <x:v>1</x:v>
      </x:c>
    </x:row>
    <x:row r="620">
      <x:c r="A620" s="10" t="n">
        <x:f>IF(Assumptions!$B$5+INT((ROW()-2)/Assumptions!$B$7)&gt;Assumptions!$B$6,"",Assumptions!$B$5+INT((ROW()-2)/Assumptions!$B$7))</x:f>
        <x:v>46146</x:v>
      </x:c>
      <x:c r="B620" t="str">
        <x:f>IF($A620="","",INDEX(Assumptions!$D$5:$D$12,MOD(ROW()-2,Assumptions!$B$7)+1))</x:f>
        <x:v>Hadley's Hope</x:v>
      </x:c>
      <x:c r="C620" s="11" t="n">
        <x:f>IF($A620="","",INDEX(Assumptions!$F$5:$F$12,MATCH($B620,Assumptions!$D$5:$D$12,0)))</x:f>
        <x:v>845</x:v>
      </x:c>
      <x:c r="D620" s="11" t="n">
        <x:f>IF($A620="","",INDEX(Assumptions!$G$5:$G$12,MATCH($B620,Assumptions!$D$5:$D$12,0)))</x:f>
        <x:v>80</x:v>
      </x:c>
      <x:c r="E620" s="11" t="n">
        <x:f>IF($A620="","",INDEX(Assumptions!$M$5:$M$11,WEEKDAY($A620,2)))</x:f>
        <x:v>1.03</x:v>
      </x:c>
      <x:c r="F620" s="11" t="n">
        <x:f>IF($A620="","",Assumptions!$B$15)</x:f>
        <x:v>0.35</x:v>
      </x:c>
      <x:c r="G620" s="11" t="n">
        <x:f>IF($A620="","",MAX(INDEX(Assumptions!$H$5:$H$12,MATCH($B620,Assumptions!$D$5:$D$12,0)),MIN(INDEX(Assumptions!$I$5:$I$12,MATCH($B620,Assumptions!$D$5:$D$12,0)),($C620+$D620*SQRT(-2*LN(RAND()))*COS(2*PI()*RAND()))*$E620*$J620*$K620)))</x:f>
        <x:v>904.4694622033508</x:v>
      </x:c>
      <x:c r="H620" s="11" t="n">
        <x:f>IF($A620="","",$G620*$F620+$C620*(1-$F620))</x:f>
        <x:v>865.8143117711727</x:v>
      </x:c>
      <x:c r="I620" s="11" t="n">
        <x:f>IF($A620="","",AVERAGE($H620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839.9543018001519</x:v>
      </x:c>
      <x:c r="J620" s="12" t="n">
        <x:f>IF($A620="","",1+SUMIFS(Assumptions!$S$5:$S$10,Assumptions!$P$5:$P$10,$B620,Assumptions!$Q$5:$Q$10,"&lt;="&amp;$A620,Assumptions!$R$5:$R$10,"&gt;="&amp;$A620))</x:f>
        <x:v>1</x:v>
      </x:c>
      <x:c r="K620" s="12" t="n">
        <x:f>IF($A620="","",1+((($A620-Assumptions!$B$5)/30)*INDEX(Assumptions!$J$5:$J$12,MATCH($B620,Assumptions!$D$5:$D$12,0))))</x:f>
        <x:v>1.0041</x:v>
      </x:c>
      <x:c r="L620" t="str">
        <x:f>IF($A620="","",IFERROR(INDEX(Assumptions!$O$5:$O$10,MATCH(1,(Assumptions!$P$5:$P$10=$B620)*(Assumptions!$Q$5:$Q$10&lt;=$A620)*(Assumptions!$R$5:$R$10&gt;=$A620),0)),""))</x:f>
      </x:c>
      <x:c r="M620" t="n">
        <x:f>--($A620&lt;&gt;"")</x:f>
        <x:v>1</x:v>
      </x:c>
    </x:row>
    <x:row r="621">
      <x:c r="A621" s="10" t="n">
        <x:f>IF(Assumptions!$B$5+INT((ROW()-2)/Assumptions!$B$7)&gt;Assumptions!$B$6,"",Assumptions!$B$5+INT((ROW()-2)/Assumptions!$B$7))</x:f>
        <x:v>46146</x:v>
      </x:c>
      <x:c r="B621" t="str">
        <x:f>IF($A621="","",INDEX(Assumptions!$D$5:$D$12,MOD(ROW()-2,Assumptions!$B$7)+1))</x:f>
        <x:v>Yutani Ridge</x:v>
      </x:c>
      <x:c r="C621" s="11" t="n">
        <x:f>IF($A621="","",INDEX(Assumptions!$F$5:$F$12,MATCH($B621,Assumptions!$D$5:$D$12,0)))</x:f>
        <x:v>1050</x:v>
      </x:c>
      <x:c r="D621" s="11" t="n">
        <x:f>IF($A621="","",INDEX(Assumptions!$G$5:$G$12,MATCH($B621,Assumptions!$D$5:$D$12,0)))</x:f>
        <x:v>125</x:v>
      </x:c>
      <x:c r="E621" s="11" t="n">
        <x:f>IF($A621="","",INDEX(Assumptions!$M$5:$M$11,WEEKDAY($A621,2)))</x:f>
        <x:v>1.03</x:v>
      </x:c>
      <x:c r="F621" s="11" t="n">
        <x:f>IF($A621="","",Assumptions!$B$15)</x:f>
        <x:v>0.35</x:v>
      </x:c>
      <x:c r="G621" s="11" t="n">
        <x:f>IF($A621="","",MAX(INDEX(Assumptions!$H$5:$H$12,MATCH($B621,Assumptions!$D$5:$D$12,0)),MIN(INDEX(Assumptions!$I$5:$I$12,MATCH($B621,Assumptions!$D$5:$D$12,0)),($C621+$D621*SQRT(-2*LN(RAND()))*COS(2*PI()*RAND()))*$E621*$J621*$K621)))</x:f>
        <x:v>1218.7683990764472</x:v>
      </x:c>
      <x:c r="H621" s="11" t="n">
        <x:f>IF($A621="","",$G621*$F621+$C621*(1-$F621))</x:f>
        <x:v>1109.0689396767566</x:v>
      </x:c>
      <x:c r="I621" s="11" t="n">
        <x:f>IF($A621="","",AVERAGE($H621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1047.4929422271975</x:v>
      </x:c>
      <x:c r="J621" s="12" t="n">
        <x:f>IF($A621="","",1+SUMIFS(Assumptions!$S$5:$S$10,Assumptions!$P$5:$P$10,$B621,Assumptions!$Q$5:$Q$10,"&lt;="&amp;$A621,Assumptions!$R$5:$R$10,"&gt;="&amp;$A621))</x:f>
        <x:v>1</x:v>
      </x:c>
      <x:c r="K621" s="12" t="n">
        <x:f>IF($A621="","",1+((($A621-Assumptions!$B$5)/30)*INDEX(Assumptions!$J$5:$J$12,MATCH($B621,Assumptions!$D$5:$D$12,0))))</x:f>
        <x:v>1.01025</x:v>
      </x:c>
      <x:c r="L621" t="str">
        <x:f>IF($A621="","",IFERROR(INDEX(Assumptions!$O$5:$O$10,MATCH(1,(Assumptions!$P$5:$P$10=$B621)*(Assumptions!$Q$5:$Q$10&lt;=$A621)*(Assumptions!$R$5:$R$10&gt;=$A621),0)),""))</x:f>
      </x:c>
      <x:c r="M621" t="n">
        <x:f>--($A621&lt;&gt;"")</x:f>
        <x:v>1</x:v>
      </x:c>
    </x:row>
    <x:row r="622">
      <x:c r="A622" s="10" t="n">
        <x:f>IF(Assumptions!$B$5+INT((ROW()-2)/Assumptions!$B$7)&gt;Assumptions!$B$6,"",Assumptions!$B$5+INT((ROW()-2)/Assumptions!$B$7))</x:f>
        <x:v>46147</x:v>
      </x:c>
      <x:c r="B622" t="str">
        <x:f>IF($A622="","",INDEX(Assumptions!$D$5:$D$12,MOD(ROW()-2,Assumptions!$B$7)+1))</x:f>
        <x:v>Acheron Prime</x:v>
      </x:c>
      <x:c r="C622" s="11" t="n">
        <x:f>IF($A622="","",INDEX(Assumptions!$F$5:$F$12,MATCH($B622,Assumptions!$D$5:$D$12,0)))</x:f>
        <x:v>1120</x:v>
      </x:c>
      <x:c r="D622" s="11" t="n">
        <x:f>IF($A622="","",INDEX(Assumptions!$G$5:$G$12,MATCH($B622,Assumptions!$D$5:$D$12,0)))</x:f>
        <x:v>115</x:v>
      </x:c>
      <x:c r="E622" s="11" t="n">
        <x:f>IF($A622="","",INDEX(Assumptions!$M$5:$M$11,WEEKDAY($A622,2)))</x:f>
        <x:v>1.02</x:v>
      </x:c>
      <x:c r="F622" s="11" t="n">
        <x:f>IF($A622="","",Assumptions!$B$15)</x:f>
        <x:v>0.35</x:v>
      </x:c>
      <x:c r="G622" s="11" t="n">
        <x:f>IF($A622="","",MAX(INDEX(Assumptions!$H$5:$H$12,MATCH($B622,Assumptions!$D$5:$D$12,0)),MIN(INDEX(Assumptions!$I$5:$I$12,MATCH($B622,Assumptions!$D$5:$D$12,0)),($C622+$D622*SQRT(-2*LN(RAND()))*COS(2*PI()*RAND()))*$E622*$J622*$K622)))</x:f>
        <x:v>1147.1802930575866</x:v>
      </x:c>
      <x:c r="H622" s="11" t="n">
        <x:f>IF($A622="","",$G622*$F622+$C622*(1-$F622))</x:f>
        <x:v>1129.5131025701553</x:v>
      </x:c>
      <x:c r="I622" s="11" t="n">
        <x:f>IF($A622="","",AVERAGE($H622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1103.685506239833</x:v>
      </x:c>
      <x:c r="J622" s="12" t="n">
        <x:f>IF($A622="","",1+SUMIFS(Assumptions!$S$5:$S$10,Assumptions!$P$5:$P$10,$B622,Assumptions!$Q$5:$Q$10,"&lt;="&amp;$A622,Assumptions!$R$5:$R$10,"&gt;="&amp;$A622))</x:f>
        <x:v>1</x:v>
      </x:c>
      <x:c r="K622" s="12" t="n">
        <x:f>IF($A622="","",1+((($A622-Assumptions!$B$5)/30)*INDEX(Assumptions!$J$5:$J$12,MATCH($B622,Assumptions!$D$5:$D$12,0))))</x:f>
        <x:v>1.0082666666666666</x:v>
      </x:c>
      <x:c r="L622" t="str">
        <x:f>IF($A622="","",IFERROR(INDEX(Assumptions!$O$5:$O$10,MATCH(1,(Assumptions!$P$5:$P$10=$B622)*(Assumptions!$Q$5:$Q$10&lt;=$A622)*(Assumptions!$R$5:$R$10&gt;=$A622),0)),""))</x:f>
      </x:c>
      <x:c r="M622" t="n">
        <x:f>--($A622&lt;&gt;"")</x:f>
        <x:v>1</x:v>
      </x:c>
    </x:row>
    <x:row r="623">
      <x:c r="A623" s="10" t="n">
        <x:f>IF(Assumptions!$B$5+INT((ROW()-2)/Assumptions!$B$7)&gt;Assumptions!$B$6,"",Assumptions!$B$5+INT((ROW()-2)/Assumptions!$B$7))</x:f>
        <x:v>46147</x:v>
      </x:c>
      <x:c r="B623" t="str">
        <x:f>IF($A623="","",INDEX(Assumptions!$D$5:$D$12,MOD(ROW()-2,Assumptions!$B$7)+1))</x:f>
        <x:v>LV-426 North</x:v>
      </x:c>
      <x:c r="C623" s="11" t="n">
        <x:f>IF($A623="","",INDEX(Assumptions!$F$5:$F$12,MATCH($B623,Assumptions!$D$5:$D$12,0)))</x:f>
        <x:v>930</x:v>
      </x:c>
      <x:c r="D623" s="11" t="n">
        <x:f>IF($A623="","",INDEX(Assumptions!$G$5:$G$12,MATCH($B623,Assumptions!$D$5:$D$12,0)))</x:f>
        <x:v>95</x:v>
      </x:c>
      <x:c r="E623" s="11" t="n">
        <x:f>IF($A623="","",INDEX(Assumptions!$M$5:$M$11,WEEKDAY($A623,2)))</x:f>
        <x:v>1.02</x:v>
      </x:c>
      <x:c r="F623" s="11" t="n">
        <x:f>IF($A623="","",Assumptions!$B$15)</x:f>
        <x:v>0.35</x:v>
      </x:c>
      <x:c r="G623" s="11" t="n">
        <x:f>IF($A623="","",MAX(INDEX(Assumptions!$H$5:$H$12,MATCH($B623,Assumptions!$D$5:$D$12,0)),MIN(INDEX(Assumptions!$I$5:$I$12,MATCH($B623,Assumptions!$D$5:$D$12,0)),($C623+$D623*SQRT(-2*LN(RAND()))*COS(2*PI()*RAND()))*$E623*$J623*$K623)))</x:f>
        <x:v>835.9617619031785</x:v>
      </x:c>
      <x:c r="H623" s="11" t="n">
        <x:f>IF($A623="","",$G623*$F623+$C623*(1-$F623))</x:f>
        <x:v>897.0866166661124</x:v>
      </x:c>
      <x:c r="I623" s="11" t="n">
        <x:f>IF($A623="","",AVERAGE($H623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929.1695486610621</x:v>
      </x:c>
      <x:c r="J623" s="12" t="n">
        <x:f>IF($A623="","",1+SUMIFS(Assumptions!$S$5:$S$10,Assumptions!$P$5:$P$10,$B623,Assumptions!$Q$5:$Q$10,"&lt;="&amp;$A623,Assumptions!$R$5:$R$10,"&gt;="&amp;$A623))</x:f>
        <x:v>1</x:v>
      </x:c>
      <x:c r="K623" s="12" t="n">
        <x:f>IF($A623="","",1+((($A623-Assumptions!$B$5)/30)*INDEX(Assumptions!$J$5:$J$12,MATCH($B623,Assumptions!$D$5:$D$12,0))))</x:f>
        <x:v>0.9958666666666667</x:v>
      </x:c>
      <x:c r="L623" t="str">
        <x:f>IF($A623="","",IFERROR(INDEX(Assumptions!$O$5:$O$10,MATCH(1,(Assumptions!$P$5:$P$10=$B623)*(Assumptions!$Q$5:$Q$10&lt;=$A623)*(Assumptions!$R$5:$R$10&gt;=$A623),0)),""))</x:f>
      </x:c>
      <x:c r="M623" t="n">
        <x:f>--($A623&lt;&gt;"")</x:f>
        <x:v>1</x:v>
      </x:c>
    </x:row>
    <x:row r="624">
      <x:c r="A624" s="10" t="n">
        <x:f>IF(Assumptions!$B$5+INT((ROW()-2)/Assumptions!$B$7)&gt;Assumptions!$B$6,"",Assumptions!$B$5+INT((ROW()-2)/Assumptions!$B$7))</x:f>
        <x:v>46147</x:v>
      </x:c>
      <x:c r="B624" t="str">
        <x:f>IF($A624="","",INDEX(Assumptions!$D$5:$D$12,MOD(ROW()-2,Assumptions!$B$7)+1))</x:f>
        <x:v>Nostromo Deep</x:v>
      </x:c>
      <x:c r="C624" s="11" t="n">
        <x:f>IF($A624="","",INDEX(Assumptions!$F$5:$F$12,MATCH($B624,Assumptions!$D$5:$D$12,0)))</x:f>
        <x:v>1260</x:v>
      </x:c>
      <x:c r="D624" s="11" t="n">
        <x:f>IF($A624="","",INDEX(Assumptions!$G$5:$G$12,MATCH($B624,Assumptions!$D$5:$D$12,0)))</x:f>
        <x:v>145</x:v>
      </x:c>
      <x:c r="E624" s="11" t="n">
        <x:f>IF($A624="","",INDEX(Assumptions!$M$5:$M$11,WEEKDAY($A624,2)))</x:f>
        <x:v>1.02</x:v>
      </x:c>
      <x:c r="F624" s="11" t="n">
        <x:f>IF($A624="","",Assumptions!$B$15)</x:f>
        <x:v>0.35</x:v>
      </x:c>
      <x:c r="G624" s="11" t="n">
        <x:f>IF($A624="","",MAX(INDEX(Assumptions!$H$5:$H$12,MATCH($B624,Assumptions!$D$5:$D$12,0)),MIN(INDEX(Assumptions!$I$5:$I$12,MATCH($B624,Assumptions!$D$5:$D$12,0)),($C624+$D624*SQRT(-2*LN(RAND()))*COS(2*PI()*RAND()))*$E624*$J624*$K624)))</x:f>
        <x:v>820</x:v>
      </x:c>
      <x:c r="H624" s="11" t="n">
        <x:f>IF($A624="","",$G624*$F624+$C624*(1-$F624))</x:f>
        <x:v>1106</x:v>
      </x:c>
      <x:c r="I624" s="11" t="n">
        <x:f>IF($A624="","",AVERAGE($H624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1189.2763919607278</x:v>
      </x:c>
      <x:c r="J624" s="12" t="n">
        <x:f>IF($A624="","",1+SUMIFS(Assumptions!$S$5:$S$10,Assumptions!$P$5:$P$10,$B624,Assumptions!$Q$5:$Q$10,"&lt;="&amp;$A624,Assumptions!$R$5:$R$10,"&gt;="&amp;$A624))</x:f>
        <x:v>0.44999999999999996</x:v>
      </x:c>
      <x:c r="K624" s="12" t="n">
        <x:f>IF($A624="","",1+((($A624-Assumptions!$B$5)/30)*INDEX(Assumptions!$J$5:$J$12,MATCH($B624,Assumptions!$D$5:$D$12,0))))</x:f>
        <x:v>1.0124</x:v>
      </x:c>
      <x:c r="L624" t="str">
        <x:f>IF($A624="","",IFERROR(INDEX(Assumptions!$O$5:$O$10,MATCH(1,(Assumptions!$P$5:$P$10=$B624)*(Assumptions!$Q$5:$Q$10&lt;=$A624)*(Assumptions!$R$5:$R$10&gt;=$A624),0)),""))</x:f>
        <x:v>Power interruption</x:v>
      </x:c>
      <x:c r="M624" t="n">
        <x:f>--($A624&lt;&gt;"")</x:f>
        <x:v>1</x:v>
      </x:c>
    </x:row>
    <x:row r="625">
      <x:c r="A625" s="10" t="n">
        <x:f>IF(Assumptions!$B$5+INT((ROW()-2)/Assumptions!$B$7)&gt;Assumptions!$B$6,"",Assumptions!$B$5+INT((ROW()-2)/Assumptions!$B$7))</x:f>
        <x:v>46147</x:v>
      </x:c>
      <x:c r="B625" t="str">
        <x:f>IF($A625="","",INDEX(Assumptions!$D$5:$D$12,MOD(ROW()-2,Assumptions!$B$7)+1))</x:f>
        <x:v>Hadley's Hope</x:v>
      </x:c>
      <x:c r="C625" s="11" t="n">
        <x:f>IF($A625="","",INDEX(Assumptions!$F$5:$F$12,MATCH($B625,Assumptions!$D$5:$D$12,0)))</x:f>
        <x:v>845</x:v>
      </x:c>
      <x:c r="D625" s="11" t="n">
        <x:f>IF($A625="","",INDEX(Assumptions!$G$5:$G$12,MATCH($B625,Assumptions!$D$5:$D$12,0)))</x:f>
        <x:v>80</x:v>
      </x:c>
      <x:c r="E625" s="11" t="n">
        <x:f>IF($A625="","",INDEX(Assumptions!$M$5:$M$11,WEEKDAY($A625,2)))</x:f>
        <x:v>1.02</x:v>
      </x:c>
      <x:c r="F625" s="11" t="n">
        <x:f>IF($A625="","",Assumptions!$B$15)</x:f>
        <x:v>0.35</x:v>
      </x:c>
      <x:c r="G625" s="11" t="n">
        <x:f>IF($A625="","",MAX(INDEX(Assumptions!$H$5:$H$12,MATCH($B625,Assumptions!$D$5:$D$12,0)),MIN(INDEX(Assumptions!$I$5:$I$12,MATCH($B625,Assumptions!$D$5:$D$12,0)),($C625+$D625*SQRT(-2*LN(RAND()))*COS(2*PI()*RAND()))*$E625*$J625*$K625)))</x:f>
        <x:v>891.6974465760702</x:v>
      </x:c>
      <x:c r="H625" s="11" t="n">
        <x:f>IF($A625="","",$G625*$F625+$C625*(1-$F625))</x:f>
        <x:v>861.3441063016246</x:v>
      </x:c>
      <x:c r="I625" s="11" t="n">
        <x:f>IF($A625="","",AVERAGE($H625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836.4337759100819</x:v>
      </x:c>
      <x:c r="J625" s="12" t="n">
        <x:f>IF($A625="","",1+SUMIFS(Assumptions!$S$5:$S$10,Assumptions!$P$5:$P$10,$B625,Assumptions!$Q$5:$Q$10,"&lt;="&amp;$A625,Assumptions!$R$5:$R$10,"&gt;="&amp;$A625))</x:f>
        <x:v>1</x:v>
      </x:c>
      <x:c r="K625" s="12" t="n">
        <x:f>IF($A625="","",1+((($A625-Assumptions!$B$5)/30)*INDEX(Assumptions!$J$5:$J$12,MATCH($B625,Assumptions!$D$5:$D$12,0))))</x:f>
        <x:v>1.0041333333333333</x:v>
      </x:c>
      <x:c r="L625" t="str">
        <x:f>IF($A625="","",IFERROR(INDEX(Assumptions!$O$5:$O$10,MATCH(1,(Assumptions!$P$5:$P$10=$B625)*(Assumptions!$Q$5:$Q$10&lt;=$A625)*(Assumptions!$R$5:$R$10&gt;=$A625),0)),""))</x:f>
      </x:c>
      <x:c r="M625" t="n">
        <x:f>--($A625&lt;&gt;"")</x:f>
        <x:v>1</x:v>
      </x:c>
    </x:row>
    <x:row r="626">
      <x:c r="A626" s="10" t="n">
        <x:f>IF(Assumptions!$B$5+INT((ROW()-2)/Assumptions!$B$7)&gt;Assumptions!$B$6,"",Assumptions!$B$5+INT((ROW()-2)/Assumptions!$B$7))</x:f>
        <x:v>46147</x:v>
      </x:c>
      <x:c r="B626" t="str">
        <x:f>IF($A626="","",INDEX(Assumptions!$D$5:$D$12,MOD(ROW()-2,Assumptions!$B$7)+1))</x:f>
        <x:v>Yutani Ridge</x:v>
      </x:c>
      <x:c r="C626" s="11" t="n">
        <x:f>IF($A626="","",INDEX(Assumptions!$F$5:$F$12,MATCH($B626,Assumptions!$D$5:$D$12,0)))</x:f>
        <x:v>1050</x:v>
      </x:c>
      <x:c r="D626" s="11" t="n">
        <x:f>IF($A626="","",INDEX(Assumptions!$G$5:$G$12,MATCH($B626,Assumptions!$D$5:$D$12,0)))</x:f>
        <x:v>125</x:v>
      </x:c>
      <x:c r="E626" s="11" t="n">
        <x:f>IF($A626="","",INDEX(Assumptions!$M$5:$M$11,WEEKDAY($A626,2)))</x:f>
        <x:v>1.02</x:v>
      </x:c>
      <x:c r="F626" s="11" t="n">
        <x:f>IF($A626="","",Assumptions!$B$15)</x:f>
        <x:v>0.35</x:v>
      </x:c>
      <x:c r="G626" s="11" t="n">
        <x:f>IF($A626="","",MAX(INDEX(Assumptions!$H$5:$H$12,MATCH($B626,Assumptions!$D$5:$D$12,0)),MIN(INDEX(Assumptions!$I$5:$I$12,MATCH($B626,Assumptions!$D$5:$D$12,0)),($C626+$D626*SQRT(-2*LN(RAND()))*COS(2*PI()*RAND()))*$E626*$J626*$K626)))</x:f>
        <x:v>913.3475239403346</x:v>
      </x:c>
      <x:c r="H626" s="11" t="n">
        <x:f>IF($A626="","",$G626*$F626+$C626*(1-$F626))</x:f>
        <x:v>1002.1716333791171</x:v>
      </x:c>
      <x:c r="I626" s="11" t="n">
        <x:f>IF($A626="","",AVERAGE($H626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1037.5804640587453</x:v>
      </x:c>
      <x:c r="J626" s="12" t="n">
        <x:f>IF($A626="","",1+SUMIFS(Assumptions!$S$5:$S$10,Assumptions!$P$5:$P$10,$B626,Assumptions!$Q$5:$Q$10,"&lt;="&amp;$A626,Assumptions!$R$5:$R$10,"&gt;="&amp;$A626))</x:f>
        <x:v>1</x:v>
      </x:c>
      <x:c r="K626" s="12" t="n">
        <x:f>IF($A626="","",1+((($A626-Assumptions!$B$5)/30)*INDEX(Assumptions!$J$5:$J$12,MATCH($B626,Assumptions!$D$5:$D$12,0))))</x:f>
        <x:v>1.0103333333333333</x:v>
      </x:c>
      <x:c r="L626" t="str">
        <x:f>IF($A626="","",IFERROR(INDEX(Assumptions!$O$5:$O$10,MATCH(1,(Assumptions!$P$5:$P$10=$B626)*(Assumptions!$Q$5:$Q$10&lt;=$A626)*(Assumptions!$R$5:$R$10&gt;=$A626),0)),""))</x:f>
      </x:c>
      <x:c r="M626" t="n">
        <x:f>--($A626&lt;&gt;"")</x:f>
        <x:v>1</x:v>
      </x:c>
    </x:row>
    <x:row r="627">
      <x:c r="A627" s="10" t="n">
        <x:f>IF(Assumptions!$B$5+INT((ROW()-2)/Assumptions!$B$7)&gt;Assumptions!$B$6,"",Assumptions!$B$5+INT((ROW()-2)/Assumptions!$B$7))</x:f>
        <x:v>46148</x:v>
      </x:c>
      <x:c r="B627" t="str">
        <x:f>IF($A627="","",INDEX(Assumptions!$D$5:$D$12,MOD(ROW()-2,Assumptions!$B$7)+1))</x:f>
        <x:v>Acheron Prime</x:v>
      </x:c>
      <x:c r="C627" s="11" t="n">
        <x:f>IF($A627="","",INDEX(Assumptions!$F$5:$F$12,MATCH($B627,Assumptions!$D$5:$D$12,0)))</x:f>
        <x:v>1120</x:v>
      </x:c>
      <x:c r="D627" s="11" t="n">
        <x:f>IF($A627="","",INDEX(Assumptions!$G$5:$G$12,MATCH($B627,Assumptions!$D$5:$D$12,0)))</x:f>
        <x:v>115</x:v>
      </x:c>
      <x:c r="E627" s="11" t="n">
        <x:f>IF($A627="","",INDEX(Assumptions!$M$5:$M$11,WEEKDAY($A627,2)))</x:f>
        <x:v>1.01</x:v>
      </x:c>
      <x:c r="F627" s="11" t="n">
        <x:f>IF($A627="","",Assumptions!$B$15)</x:f>
        <x:v>0.35</x:v>
      </x:c>
      <x:c r="G627" s="11" t="n">
        <x:f>IF($A627="","",MAX(INDEX(Assumptions!$H$5:$H$12,MATCH($B627,Assumptions!$D$5:$D$12,0)),MIN(INDEX(Assumptions!$I$5:$I$12,MATCH($B627,Assumptions!$D$5:$D$12,0)),($C627+$D627*SQRT(-2*LN(RAND()))*COS(2*PI()*RAND()))*$E627*$J627*$K627)))</x:f>
        <x:v>1134.801542900145</x:v>
      </x:c>
      <x:c r="H627" s="11" t="n">
        <x:f>IF($A627="","",$G627*$F627+$C627*(1-$F627))</x:f>
        <x:v>1125.1805400150506</x:v>
      </x:c>
      <x:c r="I627" s="11" t="n">
        <x:f>IF($A627="","",AVERAGE($H627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1099.1797544240633</x:v>
      </x:c>
      <x:c r="J627" s="12" t="n">
        <x:f>IF($A627="","",1+SUMIFS(Assumptions!$S$5:$S$10,Assumptions!$P$5:$P$10,$B627,Assumptions!$Q$5:$Q$10,"&lt;="&amp;$A627,Assumptions!$R$5:$R$10,"&gt;="&amp;$A627))</x:f>
        <x:v>1</x:v>
      </x:c>
      <x:c r="K627" s="12" t="n">
        <x:f>IF($A627="","",1+((($A627-Assumptions!$B$5)/30)*INDEX(Assumptions!$J$5:$J$12,MATCH($B627,Assumptions!$D$5:$D$12,0))))</x:f>
        <x:v>1.0083333333333333</x:v>
      </x:c>
      <x:c r="L627" t="str">
        <x:f>IF($A627="","",IFERROR(INDEX(Assumptions!$O$5:$O$10,MATCH(1,(Assumptions!$P$5:$P$10=$B627)*(Assumptions!$Q$5:$Q$10&lt;=$A627)*(Assumptions!$R$5:$R$10&gt;=$A627),0)),""))</x:f>
      </x:c>
      <x:c r="M627" t="n">
        <x:f>--($A627&lt;&gt;"")</x:f>
        <x:v>1</x:v>
      </x:c>
    </x:row>
    <x:row r="628">
      <x:c r="A628" s="10" t="n">
        <x:f>IF(Assumptions!$B$5+INT((ROW()-2)/Assumptions!$B$7)&gt;Assumptions!$B$6,"",Assumptions!$B$5+INT((ROW()-2)/Assumptions!$B$7))</x:f>
        <x:v>46148</x:v>
      </x:c>
      <x:c r="B628" t="str">
        <x:f>IF($A628="","",INDEX(Assumptions!$D$5:$D$12,MOD(ROW()-2,Assumptions!$B$7)+1))</x:f>
        <x:v>LV-426 North</x:v>
      </x:c>
      <x:c r="C628" s="11" t="n">
        <x:f>IF($A628="","",INDEX(Assumptions!$F$5:$F$12,MATCH($B628,Assumptions!$D$5:$D$12,0)))</x:f>
        <x:v>930</x:v>
      </x:c>
      <x:c r="D628" s="11" t="n">
        <x:f>IF($A628="","",INDEX(Assumptions!$G$5:$G$12,MATCH($B628,Assumptions!$D$5:$D$12,0)))</x:f>
        <x:v>95</x:v>
      </x:c>
      <x:c r="E628" s="11" t="n">
        <x:f>IF($A628="","",INDEX(Assumptions!$M$5:$M$11,WEEKDAY($A628,2)))</x:f>
        <x:v>1.01</x:v>
      </x:c>
      <x:c r="F628" s="11" t="n">
        <x:f>IF($A628="","",Assumptions!$B$15)</x:f>
        <x:v>0.35</x:v>
      </x:c>
      <x:c r="G628" s="11" t="n">
        <x:f>IF($A628="","",MAX(INDEX(Assumptions!$H$5:$H$12,MATCH($B628,Assumptions!$D$5:$D$12,0)),MIN(INDEX(Assumptions!$I$5:$I$12,MATCH($B628,Assumptions!$D$5:$D$12,0)),($C628+$D628*SQRT(-2*LN(RAND()))*COS(2*PI()*RAND()))*$E628*$J628*$K628)))</x:f>
        <x:v>1055.1463326054497</x:v>
      </x:c>
      <x:c r="H628" s="11" t="n">
        <x:f>IF($A628="","",$G628*$F628+$C628*(1-$F628))</x:f>
        <x:v>973.8012164119074</x:v>
      </x:c>
      <x:c r="I628" s="11" t="n">
        <x:f>IF($A628="","",AVERAGE($H628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934.7853320295725</x:v>
      </x:c>
      <x:c r="J628" s="12" t="n">
        <x:f>IF($A628="","",1+SUMIFS(Assumptions!$S$5:$S$10,Assumptions!$P$5:$P$10,$B628,Assumptions!$Q$5:$Q$10,"&lt;="&amp;$A628,Assumptions!$R$5:$R$10,"&gt;="&amp;$A628))</x:f>
        <x:v>1</x:v>
      </x:c>
      <x:c r="K628" s="12" t="n">
        <x:f>IF($A628="","",1+((($A628-Assumptions!$B$5)/30)*INDEX(Assumptions!$J$5:$J$12,MATCH($B628,Assumptions!$D$5:$D$12,0))))</x:f>
        <x:v>0.9958333333333333</x:v>
      </x:c>
      <x:c r="L628" t="str">
        <x:f>IF($A628="","",IFERROR(INDEX(Assumptions!$O$5:$O$10,MATCH(1,(Assumptions!$P$5:$P$10=$B628)*(Assumptions!$Q$5:$Q$10&lt;=$A628)*(Assumptions!$R$5:$R$10&gt;=$A628),0)),""))</x:f>
      </x:c>
      <x:c r="M628" t="n">
        <x:f>--($A628&lt;&gt;"")</x:f>
        <x:v>1</x:v>
      </x:c>
    </x:row>
    <x:row r="629">
      <x:c r="A629" s="10" t="n">
        <x:f>IF(Assumptions!$B$5+INT((ROW()-2)/Assumptions!$B$7)&gt;Assumptions!$B$6,"",Assumptions!$B$5+INT((ROW()-2)/Assumptions!$B$7))</x:f>
        <x:v>46148</x:v>
      </x:c>
      <x:c r="B629" t="str">
        <x:f>IF($A629="","",INDEX(Assumptions!$D$5:$D$12,MOD(ROW()-2,Assumptions!$B$7)+1))</x:f>
        <x:v>Nostromo Deep</x:v>
      </x:c>
      <x:c r="C629" s="11" t="n">
        <x:f>IF($A629="","",INDEX(Assumptions!$F$5:$F$12,MATCH($B629,Assumptions!$D$5:$D$12,0)))</x:f>
        <x:v>1260</x:v>
      </x:c>
      <x:c r="D629" s="11" t="n">
        <x:f>IF($A629="","",INDEX(Assumptions!$G$5:$G$12,MATCH($B629,Assumptions!$D$5:$D$12,0)))</x:f>
        <x:v>145</x:v>
      </x:c>
      <x:c r="E629" s="11" t="n">
        <x:f>IF($A629="","",INDEX(Assumptions!$M$5:$M$11,WEEKDAY($A629,2)))</x:f>
        <x:v>1.01</x:v>
      </x:c>
      <x:c r="F629" s="11" t="n">
        <x:f>IF($A629="","",Assumptions!$B$15)</x:f>
        <x:v>0.35</x:v>
      </x:c>
      <x:c r="G629" s="11" t="n">
        <x:f>IF($A629="","",MAX(INDEX(Assumptions!$H$5:$H$12,MATCH($B629,Assumptions!$D$5:$D$12,0)),MIN(INDEX(Assumptions!$I$5:$I$12,MATCH($B629,Assumptions!$D$5:$D$12,0)),($C629+$D629*SQRT(-2*LN(RAND()))*COS(2*PI()*RAND()))*$E629*$J629*$K629)))</x:f>
        <x:v>820</x:v>
      </x:c>
      <x:c r="H629" s="11" t="n">
        <x:f>IF($A629="","",$G629*$F629+$C629*(1-$F629))</x:f>
        <x:v>1106</x:v>
      </x:c>
      <x:c r="I629" s="11" t="n">
        <x:f>IF($A629="","",AVERAGE($H629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1164.0060434663405</x:v>
      </x:c>
      <x:c r="J629" s="12" t="n">
        <x:f>IF($A629="","",1+SUMIFS(Assumptions!$S$5:$S$10,Assumptions!$P$5:$P$10,$B629,Assumptions!$Q$5:$Q$10,"&lt;="&amp;$A629,Assumptions!$R$5:$R$10,"&gt;="&amp;$A629))</x:f>
        <x:v>0.44999999999999996</x:v>
      </x:c>
      <x:c r="K629" s="12" t="n">
        <x:f>IF($A629="","",1+((($A629-Assumptions!$B$5)/30)*INDEX(Assumptions!$J$5:$J$12,MATCH($B629,Assumptions!$D$5:$D$12,0))))</x:f>
        <x:v>1.0125</x:v>
      </x:c>
      <x:c r="L629" t="str">
        <x:f>IF($A629="","",IFERROR(INDEX(Assumptions!$O$5:$O$10,MATCH(1,(Assumptions!$P$5:$P$10=$B629)*(Assumptions!$Q$5:$Q$10&lt;=$A629)*(Assumptions!$R$5:$R$10&gt;=$A629),0)),""))</x:f>
        <x:v>Power interruption</x:v>
      </x:c>
      <x:c r="M629" t="n">
        <x:f>--($A629&lt;&gt;"")</x:f>
        <x:v>1</x:v>
      </x:c>
    </x:row>
    <x:row r="630">
      <x:c r="A630" s="10" t="n">
        <x:f>IF(Assumptions!$B$5+INT((ROW()-2)/Assumptions!$B$7)&gt;Assumptions!$B$6,"",Assumptions!$B$5+INT((ROW()-2)/Assumptions!$B$7))</x:f>
        <x:v>46148</x:v>
      </x:c>
      <x:c r="B630" t="str">
        <x:f>IF($A630="","",INDEX(Assumptions!$D$5:$D$12,MOD(ROW()-2,Assumptions!$B$7)+1))</x:f>
        <x:v>Hadley's Hope</x:v>
      </x:c>
      <x:c r="C630" s="11" t="n">
        <x:f>IF($A630="","",INDEX(Assumptions!$F$5:$F$12,MATCH($B630,Assumptions!$D$5:$D$12,0)))</x:f>
        <x:v>845</x:v>
      </x:c>
      <x:c r="D630" s="11" t="n">
        <x:f>IF($A630="","",INDEX(Assumptions!$G$5:$G$12,MATCH($B630,Assumptions!$D$5:$D$12,0)))</x:f>
        <x:v>80</x:v>
      </x:c>
      <x:c r="E630" s="11" t="n">
        <x:f>IF($A630="","",INDEX(Assumptions!$M$5:$M$11,WEEKDAY($A630,2)))</x:f>
        <x:v>1.01</x:v>
      </x:c>
      <x:c r="F630" s="11" t="n">
        <x:f>IF($A630="","",Assumptions!$B$15)</x:f>
        <x:v>0.35</x:v>
      </x:c>
      <x:c r="G630" s="11" t="n">
        <x:f>IF($A630="","",MAX(INDEX(Assumptions!$H$5:$H$12,MATCH($B630,Assumptions!$D$5:$D$12,0)),MIN(INDEX(Assumptions!$I$5:$I$12,MATCH($B630,Assumptions!$D$5:$D$12,0)),($C630+$D630*SQRT(-2*LN(RAND()))*COS(2*PI()*RAND()))*$E630*$J630*$K630)))</x:f>
        <x:v>890.9151196390354</x:v>
      </x:c>
      <x:c r="H630" s="11" t="n">
        <x:f>IF($A630="","",$G630*$F630+$C630*(1-$F630))</x:f>
        <x:v>861.0702918736624</x:v>
      </x:c>
      <x:c r="I630" s="11" t="n">
        <x:f>IF($A630="","",AVERAGE($H630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836.7341032245998</x:v>
      </x:c>
      <x:c r="J630" s="12" t="n">
        <x:f>IF($A630="","",1+SUMIFS(Assumptions!$S$5:$S$10,Assumptions!$P$5:$P$10,$B630,Assumptions!$Q$5:$Q$10,"&lt;="&amp;$A630,Assumptions!$R$5:$R$10,"&gt;="&amp;$A630))</x:f>
        <x:v>1</x:v>
      </x:c>
      <x:c r="K630" s="12" t="n">
        <x:f>IF($A630="","",1+((($A630-Assumptions!$B$5)/30)*INDEX(Assumptions!$J$5:$J$12,MATCH($B630,Assumptions!$D$5:$D$12,0))))</x:f>
        <x:v>1.0041666666666667</x:v>
      </x:c>
      <x:c r="L630" t="str">
        <x:f>IF($A630="","",IFERROR(INDEX(Assumptions!$O$5:$O$10,MATCH(1,(Assumptions!$P$5:$P$10=$B630)*(Assumptions!$Q$5:$Q$10&lt;=$A630)*(Assumptions!$R$5:$R$10&gt;=$A630),0)),""))</x:f>
      </x:c>
      <x:c r="M630" t="n">
        <x:f>--($A630&lt;&gt;"")</x:f>
        <x:v>1</x:v>
      </x:c>
    </x:row>
    <x:row r="631">
      <x:c r="A631" s="10" t="n">
        <x:f>IF(Assumptions!$B$5+INT((ROW()-2)/Assumptions!$B$7)&gt;Assumptions!$B$6,"",Assumptions!$B$5+INT((ROW()-2)/Assumptions!$B$7))</x:f>
        <x:v>46148</x:v>
      </x:c>
      <x:c r="B631" t="str">
        <x:f>IF($A631="","",INDEX(Assumptions!$D$5:$D$12,MOD(ROW()-2,Assumptions!$B$7)+1))</x:f>
        <x:v>Yutani Ridge</x:v>
      </x:c>
      <x:c r="C631" s="11" t="n">
        <x:f>IF($A631="","",INDEX(Assumptions!$F$5:$F$12,MATCH($B631,Assumptions!$D$5:$D$12,0)))</x:f>
        <x:v>1050</x:v>
      </x:c>
      <x:c r="D631" s="11" t="n">
        <x:f>IF($A631="","",INDEX(Assumptions!$G$5:$G$12,MATCH($B631,Assumptions!$D$5:$D$12,0)))</x:f>
        <x:v>125</x:v>
      </x:c>
      <x:c r="E631" s="11" t="n">
        <x:f>IF($A631="","",INDEX(Assumptions!$M$5:$M$11,WEEKDAY($A631,2)))</x:f>
        <x:v>1.01</x:v>
      </x:c>
      <x:c r="F631" s="11" t="n">
        <x:f>IF($A631="","",Assumptions!$B$15)</x:f>
        <x:v>0.35</x:v>
      </x:c>
      <x:c r="G631" s="11" t="n">
        <x:f>IF($A631="","",MAX(INDEX(Assumptions!$H$5:$H$12,MATCH($B631,Assumptions!$D$5:$D$12,0)),MIN(INDEX(Assumptions!$I$5:$I$12,MATCH($B631,Assumptions!$D$5:$D$12,0)),($C631+$D631*SQRT(-2*LN(RAND()))*COS(2*PI()*RAND()))*$E631*$J631*$K631)))</x:f>
        <x:v>1095.5844767599294</x:v>
      </x:c>
      <x:c r="H631" s="11" t="n">
        <x:f>IF($A631="","",$G631*$F631+$C631*(1-$F631))</x:f>
        <x:v>1065.9545668659753</x:v>
      </x:c>
      <x:c r="I631" s="11" t="n">
        <x:f>IF($A631="","",AVERAGE($H631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1035.8032674817534</x:v>
      </x:c>
      <x:c r="J631" s="12" t="n">
        <x:f>IF($A631="","",1+SUMIFS(Assumptions!$S$5:$S$10,Assumptions!$P$5:$P$10,$B631,Assumptions!$Q$5:$Q$10,"&lt;="&amp;$A631,Assumptions!$R$5:$R$10,"&gt;="&amp;$A631))</x:f>
        <x:v>1</x:v>
      </x:c>
      <x:c r="K631" s="12" t="n">
        <x:f>IF($A631="","",1+((($A631-Assumptions!$B$5)/30)*INDEX(Assumptions!$J$5:$J$12,MATCH($B631,Assumptions!$D$5:$D$12,0))))</x:f>
        <x:v>1.0104166666666667</x:v>
      </x:c>
      <x:c r="L631" t="str">
        <x:f>IF($A631="","",IFERROR(INDEX(Assumptions!$O$5:$O$10,MATCH(1,(Assumptions!$P$5:$P$10=$B631)*(Assumptions!$Q$5:$Q$10&lt;=$A631)*(Assumptions!$R$5:$R$10&gt;=$A631),0)),""))</x:f>
      </x:c>
      <x:c r="M631" t="n">
        <x:f>--($A631&lt;&gt;"")</x:f>
        <x:v>1</x:v>
      </x:c>
    </x:row>
    <x:row r="632">
      <x:c r="A632" s="10" t="n">
        <x:f>IF(Assumptions!$B$5+INT((ROW()-2)/Assumptions!$B$7)&gt;Assumptions!$B$6,"",Assumptions!$B$5+INT((ROW()-2)/Assumptions!$B$7))</x:f>
        <x:v>46149</x:v>
      </x:c>
      <x:c r="B632" t="str">
        <x:f>IF($A632="","",INDEX(Assumptions!$D$5:$D$12,MOD(ROW()-2,Assumptions!$B$7)+1))</x:f>
        <x:v>Acheron Prime</x:v>
      </x:c>
      <x:c r="C632" s="11" t="n">
        <x:f>IF($A632="","",INDEX(Assumptions!$F$5:$F$12,MATCH($B632,Assumptions!$D$5:$D$12,0)))</x:f>
        <x:v>1120</x:v>
      </x:c>
      <x:c r="D632" s="11" t="n">
        <x:f>IF($A632="","",INDEX(Assumptions!$G$5:$G$12,MATCH($B632,Assumptions!$D$5:$D$12,0)))</x:f>
        <x:v>115</x:v>
      </x:c>
      <x:c r="E632" s="11" t="n">
        <x:f>IF($A632="","",INDEX(Assumptions!$M$5:$M$11,WEEKDAY($A632,2)))</x:f>
        <x:v>1</x:v>
      </x:c>
      <x:c r="F632" s="11" t="n">
        <x:f>IF($A632="","",Assumptions!$B$15)</x:f>
        <x:v>0.35</x:v>
      </x:c>
      <x:c r="G632" s="11" t="n">
        <x:f>IF($A632="","",MAX(INDEX(Assumptions!$H$5:$H$12,MATCH($B632,Assumptions!$D$5:$D$12,0)),MIN(INDEX(Assumptions!$I$5:$I$12,MATCH($B632,Assumptions!$D$5:$D$12,0)),($C632+$D632*SQRT(-2*LN(RAND()))*COS(2*PI()*RAND()))*$E632*$J632*$K632)))</x:f>
        <x:v>1152.539150238139</x:v>
      </x:c>
      <x:c r="H632" s="11" t="n">
        <x:f>IF($A632="","",$G632*$F632+$C632*(1-$F632))</x:f>
        <x:v>1131.3887025833487</x:v>
      </x:c>
      <x:c r="I632" s="11" t="n">
        <x:f>IF($A632="","",AVERAGE($H632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1100.4021036857864</x:v>
      </x:c>
      <x:c r="J632" s="12" t="n">
        <x:f>IF($A632="","",1+SUMIFS(Assumptions!$S$5:$S$10,Assumptions!$P$5:$P$10,$B632,Assumptions!$Q$5:$Q$10,"&lt;="&amp;$A632,Assumptions!$R$5:$R$10,"&gt;="&amp;$A632))</x:f>
        <x:v>1</x:v>
      </x:c>
      <x:c r="K632" s="12" t="n">
        <x:f>IF($A632="","",1+((($A632-Assumptions!$B$5)/30)*INDEX(Assumptions!$J$5:$J$12,MATCH($B632,Assumptions!$D$5:$D$12,0))))</x:f>
        <x:v>1.0084</x:v>
      </x:c>
      <x:c r="L632" t="str">
        <x:f>IF($A632="","",IFERROR(INDEX(Assumptions!$O$5:$O$10,MATCH(1,(Assumptions!$P$5:$P$10=$B632)*(Assumptions!$Q$5:$Q$10&lt;=$A632)*(Assumptions!$R$5:$R$10&gt;=$A632),0)),""))</x:f>
      </x:c>
      <x:c r="M632" t="n">
        <x:f>--($A632&lt;&gt;"")</x:f>
        <x:v>1</x:v>
      </x:c>
    </x:row>
    <x:row r="633">
      <x:c r="A633" s="10" t="n">
        <x:f>IF(Assumptions!$B$5+INT((ROW()-2)/Assumptions!$B$7)&gt;Assumptions!$B$6,"",Assumptions!$B$5+INT((ROW()-2)/Assumptions!$B$7))</x:f>
        <x:v>46149</x:v>
      </x:c>
      <x:c r="B633" t="str">
        <x:f>IF($A633="","",INDEX(Assumptions!$D$5:$D$12,MOD(ROW()-2,Assumptions!$B$7)+1))</x:f>
        <x:v>LV-426 North</x:v>
      </x:c>
      <x:c r="C633" s="11" t="n">
        <x:f>IF($A633="","",INDEX(Assumptions!$F$5:$F$12,MATCH($B633,Assumptions!$D$5:$D$12,0)))</x:f>
        <x:v>930</x:v>
      </x:c>
      <x:c r="D633" s="11" t="n">
        <x:f>IF($A633="","",INDEX(Assumptions!$G$5:$G$12,MATCH($B633,Assumptions!$D$5:$D$12,0)))</x:f>
        <x:v>95</x:v>
      </x:c>
      <x:c r="E633" s="11" t="n">
        <x:f>IF($A633="","",INDEX(Assumptions!$M$5:$M$11,WEEKDAY($A633,2)))</x:f>
        <x:v>1</x:v>
      </x:c>
      <x:c r="F633" s="11" t="n">
        <x:f>IF($A633="","",Assumptions!$B$15)</x:f>
        <x:v>0.35</x:v>
      </x:c>
      <x:c r="G633" s="11" t="n">
        <x:f>IF($A633="","",MAX(INDEX(Assumptions!$H$5:$H$12,MATCH($B633,Assumptions!$D$5:$D$12,0)),MIN(INDEX(Assumptions!$I$5:$I$12,MATCH($B633,Assumptions!$D$5:$D$12,0)),($C633+$D633*SQRT(-2*LN(RAND()))*COS(2*PI()*RAND()))*$E633*$J633*$K633)))</x:f>
        <x:v>1099.4190077597116</x:v>
      </x:c>
      <x:c r="H633" s="11" t="n">
        <x:f>IF($A633="","",$G633*$F633+$C633*(1-$F633))</x:f>
        <x:v>989.296652715899</x:v>
      </x:c>
      <x:c r="I633" s="11" t="n">
        <x:f>IF($A633="","",AVERAGE($H633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943.7009576421406</x:v>
      </x:c>
      <x:c r="J633" s="12" t="n">
        <x:f>IF($A633="","",1+SUMIFS(Assumptions!$S$5:$S$10,Assumptions!$P$5:$P$10,$B633,Assumptions!$Q$5:$Q$10,"&lt;="&amp;$A633,Assumptions!$R$5:$R$10,"&gt;="&amp;$A633))</x:f>
        <x:v>1</x:v>
      </x:c>
      <x:c r="K633" s="12" t="n">
        <x:f>IF($A633="","",1+((($A633-Assumptions!$B$5)/30)*INDEX(Assumptions!$J$5:$J$12,MATCH($B633,Assumptions!$D$5:$D$12,0))))</x:f>
        <x:v>0.9958</x:v>
      </x:c>
      <x:c r="L633" t="str">
        <x:f>IF($A633="","",IFERROR(INDEX(Assumptions!$O$5:$O$10,MATCH(1,(Assumptions!$P$5:$P$10=$B633)*(Assumptions!$Q$5:$Q$10&lt;=$A633)*(Assumptions!$R$5:$R$10&gt;=$A633),0)),""))</x:f>
      </x:c>
      <x:c r="M633" t="n">
        <x:f>--($A633&lt;&gt;"")</x:f>
        <x:v>1</x:v>
      </x:c>
    </x:row>
    <x:row r="634">
      <x:c r="A634" s="10" t="n">
        <x:f>IF(Assumptions!$B$5+INT((ROW()-2)/Assumptions!$B$7)&gt;Assumptions!$B$6,"",Assumptions!$B$5+INT((ROW()-2)/Assumptions!$B$7))</x:f>
        <x:v>46149</x:v>
      </x:c>
      <x:c r="B634" t="str">
        <x:f>IF($A634="","",INDEX(Assumptions!$D$5:$D$12,MOD(ROW()-2,Assumptions!$B$7)+1))</x:f>
        <x:v>Nostromo Deep</x:v>
      </x:c>
      <x:c r="C634" s="11" t="n">
        <x:f>IF($A634="","",INDEX(Assumptions!$F$5:$F$12,MATCH($B634,Assumptions!$D$5:$D$12,0)))</x:f>
        <x:v>1260</x:v>
      </x:c>
      <x:c r="D634" s="11" t="n">
        <x:f>IF($A634="","",INDEX(Assumptions!$G$5:$G$12,MATCH($B634,Assumptions!$D$5:$D$12,0)))</x:f>
        <x:v>145</x:v>
      </x:c>
      <x:c r="E634" s="11" t="n">
        <x:f>IF($A634="","",INDEX(Assumptions!$M$5:$M$11,WEEKDAY($A634,2)))</x:f>
        <x:v>1</x:v>
      </x:c>
      <x:c r="F634" s="11" t="n">
        <x:f>IF($A634="","",Assumptions!$B$15)</x:f>
        <x:v>0.35</x:v>
      </x:c>
      <x:c r="G634" s="11" t="n">
        <x:f>IF($A634="","",MAX(INDEX(Assumptions!$H$5:$H$12,MATCH($B634,Assumptions!$D$5:$D$12,0)),MIN(INDEX(Assumptions!$I$5:$I$12,MATCH($B634,Assumptions!$D$5:$D$12,0)),($C634+$D634*SQRT(-2*LN(RAND()))*COS(2*PI()*RAND()))*$E634*$J634*$K634)))</x:f>
        <x:v>1378.8943516535624</x:v>
      </x:c>
      <x:c r="H634" s="11" t="n">
        <x:f>IF($A634="","",$G634*$F634+$C634*(1-$F634))</x:f>
        <x:v>1301.6130230787467</x:v>
      </x:c>
      <x:c r="I634" s="11" t="n">
        <x:f>IF($A634="","",AVERAGE($H634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1166.1694935344226</x:v>
      </x:c>
      <x:c r="J634" s="12" t="n">
        <x:f>IF($A634="","",1+SUMIFS(Assumptions!$S$5:$S$10,Assumptions!$P$5:$P$10,$B634,Assumptions!$Q$5:$Q$10,"&lt;="&amp;$A634,Assumptions!$R$5:$R$10,"&gt;="&amp;$A634))</x:f>
        <x:v>1</x:v>
      </x:c>
      <x:c r="K634" s="12" t="n">
        <x:f>IF($A634="","",1+((($A634-Assumptions!$B$5)/30)*INDEX(Assumptions!$J$5:$J$12,MATCH($B634,Assumptions!$D$5:$D$12,0))))</x:f>
        <x:v>1.0126</x:v>
      </x:c>
      <x:c r="L634" t="str">
        <x:f>IF($A634="","",IFERROR(INDEX(Assumptions!$O$5:$O$10,MATCH(1,(Assumptions!$P$5:$P$10=$B634)*(Assumptions!$Q$5:$Q$10&lt;=$A634)*(Assumptions!$R$5:$R$10&gt;=$A634),0)),""))</x:f>
      </x:c>
      <x:c r="M634" t="n">
        <x:f>--($A634&lt;&gt;"")</x:f>
        <x:v>1</x:v>
      </x:c>
    </x:row>
    <x:row r="635">
      <x:c r="A635" s="10" t="n">
        <x:f>IF(Assumptions!$B$5+INT((ROW()-2)/Assumptions!$B$7)&gt;Assumptions!$B$6,"",Assumptions!$B$5+INT((ROW()-2)/Assumptions!$B$7))</x:f>
        <x:v>46149</x:v>
      </x:c>
      <x:c r="B635" t="str">
        <x:f>IF($A635="","",INDEX(Assumptions!$D$5:$D$12,MOD(ROW()-2,Assumptions!$B$7)+1))</x:f>
        <x:v>Hadley's Hope</x:v>
      </x:c>
      <x:c r="C635" s="11" t="n">
        <x:f>IF($A635="","",INDEX(Assumptions!$F$5:$F$12,MATCH($B635,Assumptions!$D$5:$D$12,0)))</x:f>
        <x:v>845</x:v>
      </x:c>
      <x:c r="D635" s="11" t="n">
        <x:f>IF($A635="","",INDEX(Assumptions!$G$5:$G$12,MATCH($B635,Assumptions!$D$5:$D$12,0)))</x:f>
        <x:v>80</x:v>
      </x:c>
      <x:c r="E635" s="11" t="n">
        <x:f>IF($A635="","",INDEX(Assumptions!$M$5:$M$11,WEEKDAY($A635,2)))</x:f>
        <x:v>1</x:v>
      </x:c>
      <x:c r="F635" s="11" t="n">
        <x:f>IF($A635="","",Assumptions!$B$15)</x:f>
        <x:v>0.35</x:v>
      </x:c>
      <x:c r="G635" s="11" t="n">
        <x:f>IF($A635="","",MAX(INDEX(Assumptions!$H$5:$H$12,MATCH($B635,Assumptions!$D$5:$D$12,0)),MIN(INDEX(Assumptions!$I$5:$I$12,MATCH($B635,Assumptions!$D$5:$D$12,0)),($C635+$D635*SQRT(-2*LN(RAND()))*COS(2*PI()*RAND()))*$E635*$J635*$K635)))</x:f>
        <x:v>906.2333080125328</x:v>
      </x:c>
      <x:c r="H635" s="11" t="n">
        <x:f>IF($A635="","",$G635*$F635+$C635*(1-$F635))</x:f>
        <x:v>866.4316578043865</x:v>
      </x:c>
      <x:c r="I635" s="11" t="n">
        <x:f>IF($A635="","",AVERAGE($H635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840.4886822929005</x:v>
      </x:c>
      <x:c r="J635" s="12" t="n">
        <x:f>IF($A635="","",1+SUMIFS(Assumptions!$S$5:$S$10,Assumptions!$P$5:$P$10,$B635,Assumptions!$Q$5:$Q$10,"&lt;="&amp;$A635,Assumptions!$R$5:$R$10,"&gt;="&amp;$A635))</x:f>
        <x:v>1</x:v>
      </x:c>
      <x:c r="K635" s="12" t="n">
        <x:f>IF($A635="","",1+((($A635-Assumptions!$B$5)/30)*INDEX(Assumptions!$J$5:$J$12,MATCH($B635,Assumptions!$D$5:$D$12,0))))</x:f>
        <x:v>1.0042</x:v>
      </x:c>
      <x:c r="L635" t="str">
        <x:f>IF($A635="","",IFERROR(INDEX(Assumptions!$O$5:$O$10,MATCH(1,(Assumptions!$P$5:$P$10=$B635)*(Assumptions!$Q$5:$Q$10&lt;=$A635)*(Assumptions!$R$5:$R$10&gt;=$A635),0)),""))</x:f>
      </x:c>
      <x:c r="M635" t="n">
        <x:f>--($A635&lt;&gt;"")</x:f>
        <x:v>1</x:v>
      </x:c>
    </x:row>
    <x:row r="636">
      <x:c r="A636" s="10" t="n">
        <x:f>IF(Assumptions!$B$5+INT((ROW()-2)/Assumptions!$B$7)&gt;Assumptions!$B$6,"",Assumptions!$B$5+INT((ROW()-2)/Assumptions!$B$7))</x:f>
        <x:v>46149</x:v>
      </x:c>
      <x:c r="B636" t="str">
        <x:f>IF($A636="","",INDEX(Assumptions!$D$5:$D$12,MOD(ROW()-2,Assumptions!$B$7)+1))</x:f>
        <x:v>Yutani Ridge</x:v>
      </x:c>
      <x:c r="C636" s="11" t="n">
        <x:f>IF($A636="","",INDEX(Assumptions!$F$5:$F$12,MATCH($B636,Assumptions!$D$5:$D$12,0)))</x:f>
        <x:v>1050</x:v>
      </x:c>
      <x:c r="D636" s="11" t="n">
        <x:f>IF($A636="","",INDEX(Assumptions!$G$5:$G$12,MATCH($B636,Assumptions!$D$5:$D$12,0)))</x:f>
        <x:v>125</x:v>
      </x:c>
      <x:c r="E636" s="11" t="n">
        <x:f>IF($A636="","",INDEX(Assumptions!$M$5:$M$11,WEEKDAY($A636,2)))</x:f>
        <x:v>1</x:v>
      </x:c>
      <x:c r="F636" s="11" t="n">
        <x:f>IF($A636="","",Assumptions!$B$15)</x:f>
        <x:v>0.35</x:v>
      </x:c>
      <x:c r="G636" s="11" t="n">
        <x:f>IF($A636="","",MAX(INDEX(Assumptions!$H$5:$H$12,MATCH($B636,Assumptions!$D$5:$D$12,0)),MIN(INDEX(Assumptions!$I$5:$I$12,MATCH($B636,Assumptions!$D$5:$D$12,0)),($C636+$D636*SQRT(-2*LN(RAND()))*COS(2*PI()*RAND()))*$E636*$J636*$K636)))</x:f>
        <x:v>825.9033960281149</x:v>
      </x:c>
      <x:c r="H636" s="11" t="n">
        <x:f>IF($A636="","",$G636*$F636+$C636*(1-$F636))</x:f>
        <x:v>971.5661886098402</x:v>
      </x:c>
      <x:c r="I636" s="11" t="n">
        <x:f>IF($A636="","",AVERAGE($H636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1031.2558930449106</x:v>
      </x:c>
      <x:c r="J636" s="12" t="n">
        <x:f>IF($A636="","",1+SUMIFS(Assumptions!$S$5:$S$10,Assumptions!$P$5:$P$10,$B636,Assumptions!$Q$5:$Q$10,"&lt;="&amp;$A636,Assumptions!$R$5:$R$10,"&gt;="&amp;$A636))</x:f>
        <x:v>1</x:v>
      </x:c>
      <x:c r="K636" s="12" t="n">
        <x:f>IF($A636="","",1+((($A636-Assumptions!$B$5)/30)*INDEX(Assumptions!$J$5:$J$12,MATCH($B636,Assumptions!$D$5:$D$12,0))))</x:f>
        <x:v>1.0105</x:v>
      </x:c>
      <x:c r="L636" t="str">
        <x:f>IF($A636="","",IFERROR(INDEX(Assumptions!$O$5:$O$10,MATCH(1,(Assumptions!$P$5:$P$10=$B636)*(Assumptions!$Q$5:$Q$10&lt;=$A636)*(Assumptions!$R$5:$R$10&gt;=$A636),0)),""))</x:f>
      </x:c>
      <x:c r="M636" t="n">
        <x:f>--($A636&lt;&gt;"")</x:f>
        <x:v>1</x:v>
      </x:c>
    </x:row>
    <x:row r="637">
      <x:c r="A637" s="10" t="n">
        <x:f>IF(Assumptions!$B$5+INT((ROW()-2)/Assumptions!$B$7)&gt;Assumptions!$B$6,"",Assumptions!$B$5+INT((ROW()-2)/Assumptions!$B$7))</x:f>
        <x:v>46150</x:v>
      </x:c>
      <x:c r="B637" t="str">
        <x:f>IF($A637="","",INDEX(Assumptions!$D$5:$D$12,MOD(ROW()-2,Assumptions!$B$7)+1))</x:f>
        <x:v>Acheron Prime</x:v>
      </x:c>
      <x:c r="C637" s="11" t="n">
        <x:f>IF($A637="","",INDEX(Assumptions!$F$5:$F$12,MATCH($B637,Assumptions!$D$5:$D$12,0)))</x:f>
        <x:v>1120</x:v>
      </x:c>
      <x:c r="D637" s="11" t="n">
        <x:f>IF($A637="","",INDEX(Assumptions!$G$5:$G$12,MATCH($B637,Assumptions!$D$5:$D$12,0)))</x:f>
        <x:v>115</x:v>
      </x:c>
      <x:c r="E637" s="11" t="n">
        <x:f>IF($A637="","",INDEX(Assumptions!$M$5:$M$11,WEEKDAY($A637,2)))</x:f>
        <x:v>0.98</x:v>
      </x:c>
      <x:c r="F637" s="11" t="n">
        <x:f>IF($A637="","",Assumptions!$B$15)</x:f>
        <x:v>0.35</x:v>
      </x:c>
      <x:c r="G637" s="11" t="n">
        <x:f>IF($A637="","",MAX(INDEX(Assumptions!$H$5:$H$12,MATCH($B637,Assumptions!$D$5:$D$12,0)),MIN(INDEX(Assumptions!$I$5:$I$12,MATCH($B637,Assumptions!$D$5:$D$12,0)),($C637+$D637*SQRT(-2*LN(RAND()))*COS(2*PI()*RAND()))*$E637*$J637*$K637)))</x:f>
        <x:v>1077.7962727487488</x:v>
      </x:c>
      <x:c r="H637" s="11" t="n">
        <x:f>IF($A637="","",$G637*$F637+$C637*(1-$F637))</x:f>
        <x:v>1105.2286954620622</x:v>
      </x:c>
      <x:c r="I637" s="11" t="n">
        <x:f>IF($A637="","",AVERAGE($H637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1102.3465278387337</x:v>
      </x:c>
      <x:c r="J637" s="12" t="n">
        <x:f>IF($A637="","",1+SUMIFS(Assumptions!$S$5:$S$10,Assumptions!$P$5:$P$10,$B637,Assumptions!$Q$5:$Q$10,"&lt;="&amp;$A637,Assumptions!$R$5:$R$10,"&gt;="&amp;$A637))</x:f>
        <x:v>1</x:v>
      </x:c>
      <x:c r="K637" s="12" t="n">
        <x:f>IF($A637="","",1+((($A637-Assumptions!$B$5)/30)*INDEX(Assumptions!$J$5:$J$12,MATCH($B637,Assumptions!$D$5:$D$12,0))))</x:f>
        <x:v>1.0084666666666666</x:v>
      </x:c>
      <x:c r="L637" t="str">
        <x:f>IF($A637="","",IFERROR(INDEX(Assumptions!$O$5:$O$10,MATCH(1,(Assumptions!$P$5:$P$10=$B637)*(Assumptions!$Q$5:$Q$10&lt;=$A637)*(Assumptions!$R$5:$R$10&gt;=$A637),0)),""))</x:f>
      </x:c>
      <x:c r="M637" t="n">
        <x:f>--($A637&lt;&gt;"")</x:f>
        <x:v>1</x:v>
      </x:c>
    </x:row>
    <x:row r="638">
      <x:c r="A638" s="10" t="n">
        <x:f>IF(Assumptions!$B$5+INT((ROW()-2)/Assumptions!$B$7)&gt;Assumptions!$B$6,"",Assumptions!$B$5+INT((ROW()-2)/Assumptions!$B$7))</x:f>
        <x:v>46150</x:v>
      </x:c>
      <x:c r="B638" t="str">
        <x:f>IF($A638="","",INDEX(Assumptions!$D$5:$D$12,MOD(ROW()-2,Assumptions!$B$7)+1))</x:f>
        <x:v>LV-426 North</x:v>
      </x:c>
      <x:c r="C638" s="11" t="n">
        <x:f>IF($A638="","",INDEX(Assumptions!$F$5:$F$12,MATCH($B638,Assumptions!$D$5:$D$12,0)))</x:f>
        <x:v>930</x:v>
      </x:c>
      <x:c r="D638" s="11" t="n">
        <x:f>IF($A638="","",INDEX(Assumptions!$G$5:$G$12,MATCH($B638,Assumptions!$D$5:$D$12,0)))</x:f>
        <x:v>95</x:v>
      </x:c>
      <x:c r="E638" s="11" t="n">
        <x:f>IF($A638="","",INDEX(Assumptions!$M$5:$M$11,WEEKDAY($A638,2)))</x:f>
        <x:v>0.98</x:v>
      </x:c>
      <x:c r="F638" s="11" t="n">
        <x:f>IF($A638="","",Assumptions!$B$15)</x:f>
        <x:v>0.35</x:v>
      </x:c>
      <x:c r="G638" s="11" t="n">
        <x:f>IF($A638="","",MAX(INDEX(Assumptions!$H$5:$H$12,MATCH($B638,Assumptions!$D$5:$D$12,0)),MIN(INDEX(Assumptions!$I$5:$I$12,MATCH($B638,Assumptions!$D$5:$D$12,0)),($C638+$D638*SQRT(-2*LN(RAND()))*COS(2*PI()*RAND()))*$E638*$J638*$K638)))</x:f>
        <x:v>742.3541678375175</x:v>
      </x:c>
      <x:c r="H638" s="11" t="n">
        <x:f>IF($A638="","",$G638*$F638+$C638*(1-$F638))</x:f>
        <x:v>864.3239587431311</x:v>
      </x:c>
      <x:c r="I638" s="11" t="n">
        <x:f>IF($A638="","",AVERAGE($H638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933.3494903777901</x:v>
      </x:c>
      <x:c r="J638" s="12" t="n">
        <x:f>IF($A638="","",1+SUMIFS(Assumptions!$S$5:$S$10,Assumptions!$P$5:$P$10,$B638,Assumptions!$Q$5:$Q$10,"&lt;="&amp;$A638,Assumptions!$R$5:$R$10,"&gt;="&amp;$A638))</x:f>
        <x:v>1</x:v>
      </x:c>
      <x:c r="K638" s="12" t="n">
        <x:f>IF($A638="","",1+((($A638-Assumptions!$B$5)/30)*INDEX(Assumptions!$J$5:$J$12,MATCH($B638,Assumptions!$D$5:$D$12,0))))</x:f>
        <x:v>0.9957666666666667</x:v>
      </x:c>
      <x:c r="L638" t="str">
        <x:f>IF($A638="","",IFERROR(INDEX(Assumptions!$O$5:$O$10,MATCH(1,(Assumptions!$P$5:$P$10=$B638)*(Assumptions!$Q$5:$Q$10&lt;=$A638)*(Assumptions!$R$5:$R$10&gt;=$A638),0)),""))</x:f>
      </x:c>
      <x:c r="M638" t="n">
        <x:f>--($A638&lt;&gt;"")</x:f>
        <x:v>1</x:v>
      </x:c>
    </x:row>
    <x:row r="639">
      <x:c r="A639" s="10" t="n">
        <x:f>IF(Assumptions!$B$5+INT((ROW()-2)/Assumptions!$B$7)&gt;Assumptions!$B$6,"",Assumptions!$B$5+INT((ROW()-2)/Assumptions!$B$7))</x:f>
        <x:v>46150</x:v>
      </x:c>
      <x:c r="B639" t="str">
        <x:f>IF($A639="","",INDEX(Assumptions!$D$5:$D$12,MOD(ROW()-2,Assumptions!$B$7)+1))</x:f>
        <x:v>Nostromo Deep</x:v>
      </x:c>
      <x:c r="C639" s="11" t="n">
        <x:f>IF($A639="","",INDEX(Assumptions!$F$5:$F$12,MATCH($B639,Assumptions!$D$5:$D$12,0)))</x:f>
        <x:v>1260</x:v>
      </x:c>
      <x:c r="D639" s="11" t="n">
        <x:f>IF($A639="","",INDEX(Assumptions!$G$5:$G$12,MATCH($B639,Assumptions!$D$5:$D$12,0)))</x:f>
        <x:v>145</x:v>
      </x:c>
      <x:c r="E639" s="11" t="n">
        <x:f>IF($A639="","",INDEX(Assumptions!$M$5:$M$11,WEEKDAY($A639,2)))</x:f>
        <x:v>0.98</x:v>
      </x:c>
      <x:c r="F639" s="11" t="n">
        <x:f>IF($A639="","",Assumptions!$B$15)</x:f>
        <x:v>0.35</x:v>
      </x:c>
      <x:c r="G639" s="11" t="n">
        <x:f>IF($A639="","",MAX(INDEX(Assumptions!$H$5:$H$12,MATCH($B639,Assumptions!$D$5:$D$12,0)),MIN(INDEX(Assumptions!$I$5:$I$12,MATCH($B639,Assumptions!$D$5:$D$12,0)),($C639+$D639*SQRT(-2*LN(RAND()))*COS(2*PI()*RAND()))*$E639*$J639*$K639)))</x:f>
        <x:v>1535.6823857533982</x:v>
      </x:c>
      <x:c r="H639" s="11" t="n">
        <x:f>IF($A639="","",$G639*$F639+$C639*(1-$F639))</x:f>
        <x:v>1356.4888350136894</x:v>
      </x:c>
      <x:c r="I639" s="11" t="n">
        <x:f>IF($A639="","",AVERAGE($H639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1182.0847320920118</x:v>
      </x:c>
      <x:c r="J639" s="12" t="n">
        <x:f>IF($A639="","",1+SUMIFS(Assumptions!$S$5:$S$10,Assumptions!$P$5:$P$10,$B639,Assumptions!$Q$5:$Q$10,"&lt;="&amp;$A639,Assumptions!$R$5:$R$10,"&gt;="&amp;$A639))</x:f>
        <x:v>1</x:v>
      </x:c>
      <x:c r="K639" s="12" t="n">
        <x:f>IF($A639="","",1+((($A639-Assumptions!$B$5)/30)*INDEX(Assumptions!$J$5:$J$12,MATCH($B639,Assumptions!$D$5:$D$12,0))))</x:f>
        <x:v>1.0127</x:v>
      </x:c>
      <x:c r="L639" t="str">
        <x:f>IF($A639="","",IFERROR(INDEX(Assumptions!$O$5:$O$10,MATCH(1,(Assumptions!$P$5:$P$10=$B639)*(Assumptions!$Q$5:$Q$10&lt;=$A639)*(Assumptions!$R$5:$R$10&gt;=$A639),0)),""))</x:f>
      </x:c>
      <x:c r="M639" t="n">
        <x:f>--($A639&lt;&gt;"")</x:f>
        <x:v>1</x:v>
      </x:c>
    </x:row>
    <x:row r="640">
      <x:c r="A640" s="10" t="n">
        <x:f>IF(Assumptions!$B$5+INT((ROW()-2)/Assumptions!$B$7)&gt;Assumptions!$B$6,"",Assumptions!$B$5+INT((ROW()-2)/Assumptions!$B$7))</x:f>
        <x:v>46150</x:v>
      </x:c>
      <x:c r="B640" t="str">
        <x:f>IF($A640="","",INDEX(Assumptions!$D$5:$D$12,MOD(ROW()-2,Assumptions!$B$7)+1))</x:f>
        <x:v>Hadley's Hope</x:v>
      </x:c>
      <x:c r="C640" s="11" t="n">
        <x:f>IF($A640="","",INDEX(Assumptions!$F$5:$F$12,MATCH($B640,Assumptions!$D$5:$D$12,0)))</x:f>
        <x:v>845</x:v>
      </x:c>
      <x:c r="D640" s="11" t="n">
        <x:f>IF($A640="","",INDEX(Assumptions!$G$5:$G$12,MATCH($B640,Assumptions!$D$5:$D$12,0)))</x:f>
        <x:v>80</x:v>
      </x:c>
      <x:c r="E640" s="11" t="n">
        <x:f>IF($A640="","",INDEX(Assumptions!$M$5:$M$11,WEEKDAY($A640,2)))</x:f>
        <x:v>0.98</x:v>
      </x:c>
      <x:c r="F640" s="11" t="n">
        <x:f>IF($A640="","",Assumptions!$B$15)</x:f>
        <x:v>0.35</x:v>
      </x:c>
      <x:c r="G640" s="11" t="n">
        <x:f>IF($A640="","",MAX(INDEX(Assumptions!$H$5:$H$12,MATCH($B640,Assumptions!$D$5:$D$12,0)),MIN(INDEX(Assumptions!$I$5:$I$12,MATCH($B640,Assumptions!$D$5:$D$12,0)),($C640+$D640*SQRT(-2*LN(RAND()))*COS(2*PI()*RAND()))*$E640*$J640*$K640)))</x:f>
        <x:v>610.6966685869737</x:v>
      </x:c>
      <x:c r="H640" s="11" t="n">
        <x:f>IF($A640="","",$G640*$F640+$C640*(1-$F640))</x:f>
        <x:v>762.9938340054408</x:v>
      </x:c>
      <x:c r="I640" s="11" t="n">
        <x:f>IF($A640="","",AVERAGE($H640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827.4455575511469</x:v>
      </x:c>
      <x:c r="J640" s="12" t="n">
        <x:f>IF($A640="","",1+SUMIFS(Assumptions!$S$5:$S$10,Assumptions!$P$5:$P$10,$B640,Assumptions!$Q$5:$Q$10,"&lt;="&amp;$A640,Assumptions!$R$5:$R$10,"&gt;="&amp;$A640))</x:f>
        <x:v>1</x:v>
      </x:c>
      <x:c r="K640" s="12" t="n">
        <x:f>IF($A640="","",1+((($A640-Assumptions!$B$5)/30)*INDEX(Assumptions!$J$5:$J$12,MATCH($B640,Assumptions!$D$5:$D$12,0))))</x:f>
        <x:v>1.0042333333333333</x:v>
      </x:c>
      <x:c r="L640" t="str">
        <x:f>IF($A640="","",IFERROR(INDEX(Assumptions!$O$5:$O$10,MATCH(1,(Assumptions!$P$5:$P$10=$B640)*(Assumptions!$Q$5:$Q$10&lt;=$A640)*(Assumptions!$R$5:$R$10&gt;=$A640),0)),""))</x:f>
      </x:c>
      <x:c r="M640" t="n">
        <x:f>--($A640&lt;&gt;"")</x:f>
        <x:v>1</x:v>
      </x:c>
    </x:row>
    <x:row r="641">
      <x:c r="A641" s="10" t="n">
        <x:f>IF(Assumptions!$B$5+INT((ROW()-2)/Assumptions!$B$7)&gt;Assumptions!$B$6,"",Assumptions!$B$5+INT((ROW()-2)/Assumptions!$B$7))</x:f>
        <x:v>46150</x:v>
      </x:c>
      <x:c r="B641" t="str">
        <x:f>IF($A641="","",INDEX(Assumptions!$D$5:$D$12,MOD(ROW()-2,Assumptions!$B$7)+1))</x:f>
        <x:v>Yutani Ridge</x:v>
      </x:c>
      <x:c r="C641" s="11" t="n">
        <x:f>IF($A641="","",INDEX(Assumptions!$F$5:$F$12,MATCH($B641,Assumptions!$D$5:$D$12,0)))</x:f>
        <x:v>1050</x:v>
      </x:c>
      <x:c r="D641" s="11" t="n">
        <x:f>IF($A641="","",INDEX(Assumptions!$G$5:$G$12,MATCH($B641,Assumptions!$D$5:$D$12,0)))</x:f>
        <x:v>125</x:v>
      </x:c>
      <x:c r="E641" s="11" t="n">
        <x:f>IF($A641="","",INDEX(Assumptions!$M$5:$M$11,WEEKDAY($A641,2)))</x:f>
        <x:v>0.98</x:v>
      </x:c>
      <x:c r="F641" s="11" t="n">
        <x:f>IF($A641="","",Assumptions!$B$15)</x:f>
        <x:v>0.35</x:v>
      </x:c>
      <x:c r="G641" s="11" t="n">
        <x:f>IF($A641="","",MAX(INDEX(Assumptions!$H$5:$H$12,MATCH($B641,Assumptions!$D$5:$D$12,0)),MIN(INDEX(Assumptions!$I$5:$I$12,MATCH($B641,Assumptions!$D$5:$D$12,0)),($C641+$D641*SQRT(-2*LN(RAND()))*COS(2*PI()*RAND()))*$E641*$J641*$K641)))</x:f>
        <x:v>1107.099877096919</x:v>
      </x:c>
      <x:c r="H641" s="11" t="n">
        <x:f>IF($A641="","",$G641*$F641+$C641*(1-$F641))</x:f>
        <x:v>1069.9849569839216</x:v>
      </x:c>
      <x:c r="I641" s="11" t="n">
        <x:f>IF($A641="","",AVERAGE($H641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1029.3978824284945</x:v>
      </x:c>
      <x:c r="J641" s="12" t="n">
        <x:f>IF($A641="","",1+SUMIFS(Assumptions!$S$5:$S$10,Assumptions!$P$5:$P$10,$B641,Assumptions!$Q$5:$Q$10,"&lt;="&amp;$A641,Assumptions!$R$5:$R$10,"&gt;="&amp;$A641))</x:f>
        <x:v>1</x:v>
      </x:c>
      <x:c r="K641" s="12" t="n">
        <x:f>IF($A641="","",1+((($A641-Assumptions!$B$5)/30)*INDEX(Assumptions!$J$5:$J$12,MATCH($B641,Assumptions!$D$5:$D$12,0))))</x:f>
        <x:v>1.0105833333333334</x:v>
      </x:c>
      <x:c r="L641" t="str">
        <x:f>IF($A641="","",IFERROR(INDEX(Assumptions!$O$5:$O$10,MATCH(1,(Assumptions!$P$5:$P$10=$B641)*(Assumptions!$Q$5:$Q$10&lt;=$A641)*(Assumptions!$R$5:$R$10&gt;=$A641),0)),""))</x:f>
      </x:c>
      <x:c r="M641" t="n">
        <x:f>--($A641&lt;&gt;"")</x:f>
        <x:v>1</x:v>
      </x:c>
    </x:row>
    <x:row r="642">
      <x:c r="A642" s="10" t="n">
        <x:f>IF(Assumptions!$B$5+INT((ROW()-2)/Assumptions!$B$7)&gt;Assumptions!$B$6,"",Assumptions!$B$5+INT((ROW()-2)/Assumptions!$B$7))</x:f>
        <x:v>46151</x:v>
      </x:c>
      <x:c r="B642" t="str">
        <x:f>IF($A642="","",INDEX(Assumptions!$D$5:$D$12,MOD(ROW()-2,Assumptions!$B$7)+1))</x:f>
        <x:v>Acheron Prime</x:v>
      </x:c>
      <x:c r="C642" s="11" t="n">
        <x:f>IF($A642="","",INDEX(Assumptions!$F$5:$F$12,MATCH($B642,Assumptions!$D$5:$D$12,0)))</x:f>
        <x:v>1120</x:v>
      </x:c>
      <x:c r="D642" s="11" t="n">
        <x:f>IF($A642="","",INDEX(Assumptions!$G$5:$G$12,MATCH($B642,Assumptions!$D$5:$D$12,0)))</x:f>
        <x:v>115</x:v>
      </x:c>
      <x:c r="E642" s="11" t="n">
        <x:f>IF($A642="","",INDEX(Assumptions!$M$5:$M$11,WEEKDAY($A642,2)))</x:f>
        <x:v>0.91</x:v>
      </x:c>
      <x:c r="F642" s="11" t="n">
        <x:f>IF($A642="","",Assumptions!$B$15)</x:f>
        <x:v>0.35</x:v>
      </x:c>
      <x:c r="G642" s="11" t="n">
        <x:f>IF($A642="","",MAX(INDEX(Assumptions!$H$5:$H$12,MATCH($B642,Assumptions!$D$5:$D$12,0)),MIN(INDEX(Assumptions!$I$5:$I$12,MATCH($B642,Assumptions!$D$5:$D$12,0)),($C642+$D642*SQRT(-2*LN(RAND()))*COS(2*PI()*RAND()))*$E642*$J642*$K642)))</x:f>
        <x:v>1123.0221245851137</x:v>
      </x:c>
      <x:c r="H642" s="11" t="n">
        <x:f>IF($A642="","",$G642*$F642+$C642*(1-$F642))</x:f>
        <x:v>1121.0577436047897</x:v>
      </x:c>
      <x:c r="I642" s="11" t="n">
        <x:f>IF($A642="","",AVERAGE($H642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1107.7054256616782</x:v>
      </x:c>
      <x:c r="J642" s="12" t="n">
        <x:f>IF($A642="","",1+SUMIFS(Assumptions!$S$5:$S$10,Assumptions!$P$5:$P$10,$B642,Assumptions!$Q$5:$Q$10,"&lt;="&amp;$A642,Assumptions!$R$5:$R$10,"&gt;="&amp;$A642))</x:f>
        <x:v>1</x:v>
      </x:c>
      <x:c r="K642" s="12" t="n">
        <x:f>IF($A642="","",1+((($A642-Assumptions!$B$5)/30)*INDEX(Assumptions!$J$5:$J$12,MATCH($B642,Assumptions!$D$5:$D$12,0))))</x:f>
        <x:v>1.0085333333333333</x:v>
      </x:c>
      <x:c r="L642" t="str">
        <x:f>IF($A642="","",IFERROR(INDEX(Assumptions!$O$5:$O$10,MATCH(1,(Assumptions!$P$5:$P$10=$B642)*(Assumptions!$Q$5:$Q$10&lt;=$A642)*(Assumptions!$R$5:$R$10&gt;=$A642),0)),""))</x:f>
      </x:c>
      <x:c r="M642" t="n">
        <x:f>--($A642&lt;&gt;"")</x:f>
        <x:v>1</x:v>
      </x:c>
    </x:row>
    <x:row r="643">
      <x:c r="A643" s="10" t="n">
        <x:f>IF(Assumptions!$B$5+INT((ROW()-2)/Assumptions!$B$7)&gt;Assumptions!$B$6,"",Assumptions!$B$5+INT((ROW()-2)/Assumptions!$B$7))</x:f>
        <x:v>46151</x:v>
      </x:c>
      <x:c r="B643" t="str">
        <x:f>IF($A643="","",INDEX(Assumptions!$D$5:$D$12,MOD(ROW()-2,Assumptions!$B$7)+1))</x:f>
        <x:v>LV-426 North</x:v>
      </x:c>
      <x:c r="C643" s="11" t="n">
        <x:f>IF($A643="","",INDEX(Assumptions!$F$5:$F$12,MATCH($B643,Assumptions!$D$5:$D$12,0)))</x:f>
        <x:v>930</x:v>
      </x:c>
      <x:c r="D643" s="11" t="n">
        <x:f>IF($A643="","",INDEX(Assumptions!$G$5:$G$12,MATCH($B643,Assumptions!$D$5:$D$12,0)))</x:f>
        <x:v>95</x:v>
      </x:c>
      <x:c r="E643" s="11" t="n">
        <x:f>IF($A643="","",INDEX(Assumptions!$M$5:$M$11,WEEKDAY($A643,2)))</x:f>
        <x:v>0.91</x:v>
      </x:c>
      <x:c r="F643" s="11" t="n">
        <x:f>IF($A643="","",Assumptions!$B$15)</x:f>
        <x:v>0.35</x:v>
      </x:c>
      <x:c r="G643" s="11" t="n">
        <x:f>IF($A643="","",MAX(INDEX(Assumptions!$H$5:$H$12,MATCH($B643,Assumptions!$D$5:$D$12,0)),MIN(INDEX(Assumptions!$I$5:$I$12,MATCH($B643,Assumptions!$D$5:$D$12,0)),($C643+$D643*SQRT(-2*LN(RAND()))*COS(2*PI()*RAND()))*$E643*$J643*$K643)))</x:f>
        <x:v>838.1251466911164</x:v>
      </x:c>
      <x:c r="H643" s="11" t="n">
        <x:f>IF($A643="","",$G643*$F643+$C643*(1-$F643))</x:f>
        <x:v>897.8438013418906</x:v>
      </x:c>
      <x:c r="I643" s="11" t="n">
        <x:f>IF($A643="","",AVERAGE($H643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934.238933268424</x:v>
      </x:c>
      <x:c r="J643" s="12" t="n">
        <x:f>IF($A643="","",1+SUMIFS(Assumptions!$S$5:$S$10,Assumptions!$P$5:$P$10,$B643,Assumptions!$Q$5:$Q$10,"&lt;="&amp;$A643,Assumptions!$R$5:$R$10,"&gt;="&amp;$A643))</x:f>
        <x:v>1</x:v>
      </x:c>
      <x:c r="K643" s="12" t="n">
        <x:f>IF($A643="","",1+((($A643-Assumptions!$B$5)/30)*INDEX(Assumptions!$J$5:$J$12,MATCH($B643,Assumptions!$D$5:$D$12,0))))</x:f>
        <x:v>0.9957333333333334</x:v>
      </x:c>
      <x:c r="L643" t="str">
        <x:f>IF($A643="","",IFERROR(INDEX(Assumptions!$O$5:$O$10,MATCH(1,(Assumptions!$P$5:$P$10=$B643)*(Assumptions!$Q$5:$Q$10&lt;=$A643)*(Assumptions!$R$5:$R$10&gt;=$A643),0)),""))</x:f>
      </x:c>
      <x:c r="M643" t="n">
        <x:f>--($A643&lt;&gt;"")</x:f>
        <x:v>1</x:v>
      </x:c>
    </x:row>
    <x:row r="644">
      <x:c r="A644" s="10" t="n">
        <x:f>IF(Assumptions!$B$5+INT((ROW()-2)/Assumptions!$B$7)&gt;Assumptions!$B$6,"",Assumptions!$B$5+INT((ROW()-2)/Assumptions!$B$7))</x:f>
        <x:v>46151</x:v>
      </x:c>
      <x:c r="B644" t="str">
        <x:f>IF($A644="","",INDEX(Assumptions!$D$5:$D$12,MOD(ROW()-2,Assumptions!$B$7)+1))</x:f>
        <x:v>Nostromo Deep</x:v>
      </x:c>
      <x:c r="C644" s="11" t="n">
        <x:f>IF($A644="","",INDEX(Assumptions!$F$5:$F$12,MATCH($B644,Assumptions!$D$5:$D$12,0)))</x:f>
        <x:v>1260</x:v>
      </x:c>
      <x:c r="D644" s="11" t="n">
        <x:f>IF($A644="","",INDEX(Assumptions!$G$5:$G$12,MATCH($B644,Assumptions!$D$5:$D$12,0)))</x:f>
        <x:v>145</x:v>
      </x:c>
      <x:c r="E644" s="11" t="n">
        <x:f>IF($A644="","",INDEX(Assumptions!$M$5:$M$11,WEEKDAY($A644,2)))</x:f>
        <x:v>0.91</x:v>
      </x:c>
      <x:c r="F644" s="11" t="n">
        <x:f>IF($A644="","",Assumptions!$B$15)</x:f>
        <x:v>0.35</x:v>
      </x:c>
      <x:c r="G644" s="11" t="n">
        <x:f>IF($A644="","",MAX(INDEX(Assumptions!$H$5:$H$12,MATCH($B644,Assumptions!$D$5:$D$12,0)),MIN(INDEX(Assumptions!$I$5:$I$12,MATCH($B644,Assumptions!$D$5:$D$12,0)),($C644+$D644*SQRT(-2*LN(RAND()))*COS(2*PI()*RAND()))*$E644*$J644*$K644)))</x:f>
        <x:v>1020.1064758049348</x:v>
      </x:c>
      <x:c r="H644" s="11" t="n">
        <x:f>IF($A644="","",$G644*$F644+$C644*(1-$F644))</x:f>
        <x:v>1176.0372665317273</x:v>
      </x:c>
      <x:c r="I644" s="11" t="n">
        <x:f>IF($A644="","",AVERAGE($H644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1179.7341606605949</x:v>
      </x:c>
      <x:c r="J644" s="12" t="n">
        <x:f>IF($A644="","",1+SUMIFS(Assumptions!$S$5:$S$10,Assumptions!$P$5:$P$10,$B644,Assumptions!$Q$5:$Q$10,"&lt;="&amp;$A644,Assumptions!$R$5:$R$10,"&gt;="&amp;$A644))</x:f>
        <x:v>1</x:v>
      </x:c>
      <x:c r="K644" s="12" t="n">
        <x:f>IF($A644="","",1+((($A644-Assumptions!$B$5)/30)*INDEX(Assumptions!$J$5:$J$12,MATCH($B644,Assumptions!$D$5:$D$12,0))))</x:f>
        <x:v>1.0128</x:v>
      </x:c>
      <x:c r="L644" t="str">
        <x:f>IF($A644="","",IFERROR(INDEX(Assumptions!$O$5:$O$10,MATCH(1,(Assumptions!$P$5:$P$10=$B644)*(Assumptions!$Q$5:$Q$10&lt;=$A644)*(Assumptions!$R$5:$R$10&gt;=$A644),0)),""))</x:f>
      </x:c>
      <x:c r="M644" t="n">
        <x:f>--($A644&lt;&gt;"")</x:f>
        <x:v>1</x:v>
      </x:c>
    </x:row>
    <x:row r="645">
      <x:c r="A645" s="10" t="n">
        <x:f>IF(Assumptions!$B$5+INT((ROW()-2)/Assumptions!$B$7)&gt;Assumptions!$B$6,"",Assumptions!$B$5+INT((ROW()-2)/Assumptions!$B$7))</x:f>
        <x:v>46151</x:v>
      </x:c>
      <x:c r="B645" t="str">
        <x:f>IF($A645="","",INDEX(Assumptions!$D$5:$D$12,MOD(ROW()-2,Assumptions!$B$7)+1))</x:f>
        <x:v>Hadley's Hope</x:v>
      </x:c>
      <x:c r="C645" s="11" t="n">
        <x:f>IF($A645="","",INDEX(Assumptions!$F$5:$F$12,MATCH($B645,Assumptions!$D$5:$D$12,0)))</x:f>
        <x:v>845</x:v>
      </x:c>
      <x:c r="D645" s="11" t="n">
        <x:f>IF($A645="","",INDEX(Assumptions!$G$5:$G$12,MATCH($B645,Assumptions!$D$5:$D$12,0)))</x:f>
        <x:v>80</x:v>
      </x:c>
      <x:c r="E645" s="11" t="n">
        <x:f>IF($A645="","",INDEX(Assumptions!$M$5:$M$11,WEEKDAY($A645,2)))</x:f>
        <x:v>0.91</x:v>
      </x:c>
      <x:c r="F645" s="11" t="n">
        <x:f>IF($A645="","",Assumptions!$B$15)</x:f>
        <x:v>0.35</x:v>
      </x:c>
      <x:c r="G645" s="11" t="n">
        <x:f>IF($A645="","",MAX(INDEX(Assumptions!$H$5:$H$12,MATCH($B645,Assumptions!$D$5:$D$12,0)),MIN(INDEX(Assumptions!$I$5:$I$12,MATCH($B645,Assumptions!$D$5:$D$12,0)),($C645+$D645*SQRT(-2*LN(RAND()))*COS(2*PI()*RAND()))*$E645*$J645*$K645)))</x:f>
        <x:v>780.1331230565088</x:v>
      </x:c>
      <x:c r="H645" s="11" t="n">
        <x:f>IF($A645="","",$G645*$F645+$C645*(1-$F645))</x:f>
        <x:v>822.296593069778</x:v>
      </x:c>
      <x:c r="I645" s="11" t="n">
        <x:f>IF($A645="","",AVERAGE($H645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832.8394895981103</x:v>
      </x:c>
      <x:c r="J645" s="12" t="n">
        <x:f>IF($A645="","",1+SUMIFS(Assumptions!$S$5:$S$10,Assumptions!$P$5:$P$10,$B645,Assumptions!$Q$5:$Q$10,"&lt;="&amp;$A645,Assumptions!$R$5:$R$10,"&gt;="&amp;$A645))</x:f>
        <x:v>1</x:v>
      </x:c>
      <x:c r="K645" s="12" t="n">
        <x:f>IF($A645="","",1+((($A645-Assumptions!$B$5)/30)*INDEX(Assumptions!$J$5:$J$12,MATCH($B645,Assumptions!$D$5:$D$12,0))))</x:f>
        <x:v>1.0042666666666666</x:v>
      </x:c>
      <x:c r="L645" t="str">
        <x:f>IF($A645="","",IFERROR(INDEX(Assumptions!$O$5:$O$10,MATCH(1,(Assumptions!$P$5:$P$10=$B645)*(Assumptions!$Q$5:$Q$10&lt;=$A645)*(Assumptions!$R$5:$R$10&gt;=$A645),0)),""))</x:f>
      </x:c>
      <x:c r="M645" t="n">
        <x:f>--($A645&lt;&gt;"")</x:f>
        <x:v>1</x:v>
      </x:c>
    </x:row>
    <x:row r="646">
      <x:c r="A646" s="10" t="n">
        <x:f>IF(Assumptions!$B$5+INT((ROW()-2)/Assumptions!$B$7)&gt;Assumptions!$B$6,"",Assumptions!$B$5+INT((ROW()-2)/Assumptions!$B$7))</x:f>
        <x:v>46151</x:v>
      </x:c>
      <x:c r="B646" t="str">
        <x:f>IF($A646="","",INDEX(Assumptions!$D$5:$D$12,MOD(ROW()-2,Assumptions!$B$7)+1))</x:f>
        <x:v>Yutani Ridge</x:v>
      </x:c>
      <x:c r="C646" s="11" t="n">
        <x:f>IF($A646="","",INDEX(Assumptions!$F$5:$F$12,MATCH($B646,Assumptions!$D$5:$D$12,0)))</x:f>
        <x:v>1050</x:v>
      </x:c>
      <x:c r="D646" s="11" t="n">
        <x:f>IF($A646="","",INDEX(Assumptions!$G$5:$G$12,MATCH($B646,Assumptions!$D$5:$D$12,0)))</x:f>
        <x:v>125</x:v>
      </x:c>
      <x:c r="E646" s="11" t="n">
        <x:f>IF($A646="","",INDEX(Assumptions!$M$5:$M$11,WEEKDAY($A646,2)))</x:f>
        <x:v>0.91</x:v>
      </x:c>
      <x:c r="F646" s="11" t="n">
        <x:f>IF($A646="","",Assumptions!$B$15)</x:f>
        <x:v>0.35</x:v>
      </x:c>
      <x:c r="G646" s="11" t="n">
        <x:f>IF($A646="","",MAX(INDEX(Assumptions!$H$5:$H$12,MATCH($B646,Assumptions!$D$5:$D$12,0)),MIN(INDEX(Assumptions!$I$5:$I$12,MATCH($B646,Assumptions!$D$5:$D$12,0)),($C646+$D646*SQRT(-2*LN(RAND()))*COS(2*PI()*RAND()))*$E646*$J646*$K646)))</x:f>
        <x:v>781.0189166791224</x:v>
      </x:c>
      <x:c r="H646" s="11" t="n">
        <x:f>IF($A646="","",$G646*$F646+$C646*(1-$F646))</x:f>
        <x:v>955.8566208376928</x:v>
      </x:c>
      <x:c r="I646" s="11" t="n">
        <x:f>IF($A646="","",AVERAGE($H646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1026.424240108279</x:v>
      </x:c>
      <x:c r="J646" s="12" t="n">
        <x:f>IF($A646="","",1+SUMIFS(Assumptions!$S$5:$S$10,Assumptions!$P$5:$P$10,$B646,Assumptions!$Q$5:$Q$10,"&lt;="&amp;$A646,Assumptions!$R$5:$R$10,"&gt;="&amp;$A646))</x:f>
        <x:v>1</x:v>
      </x:c>
      <x:c r="K646" s="12" t="n">
        <x:f>IF($A646="","",1+((($A646-Assumptions!$B$5)/30)*INDEX(Assumptions!$J$5:$J$12,MATCH($B646,Assumptions!$D$5:$D$12,0))))</x:f>
        <x:v>1.0106666666666666</x:v>
      </x:c>
      <x:c r="L646" t="str">
        <x:f>IF($A646="","",IFERROR(INDEX(Assumptions!$O$5:$O$10,MATCH(1,(Assumptions!$P$5:$P$10=$B646)*(Assumptions!$Q$5:$Q$10&lt;=$A646)*(Assumptions!$R$5:$R$10&gt;=$A646),0)),""))</x:f>
      </x:c>
      <x:c r="M646" t="n">
        <x:f>--($A646&lt;&gt;"")</x:f>
        <x:v>1</x:v>
      </x:c>
    </x:row>
    <x:row r="647">
      <x:c r="A647" s="10" t="n">
        <x:f>IF(Assumptions!$B$5+INT((ROW()-2)/Assumptions!$B$7)&gt;Assumptions!$B$6,"",Assumptions!$B$5+INT((ROW()-2)/Assumptions!$B$7))</x:f>
        <x:v>46152</x:v>
      </x:c>
      <x:c r="B647" t="str">
        <x:f>IF($A647="","",INDEX(Assumptions!$D$5:$D$12,MOD(ROW()-2,Assumptions!$B$7)+1))</x:f>
        <x:v>Acheron Prime</x:v>
      </x:c>
      <x:c r="C647" s="11" t="n">
        <x:f>IF($A647="","",INDEX(Assumptions!$F$5:$F$12,MATCH($B647,Assumptions!$D$5:$D$12,0)))</x:f>
        <x:v>1120</x:v>
      </x:c>
      <x:c r="D647" s="11" t="n">
        <x:f>IF($A647="","",INDEX(Assumptions!$G$5:$G$12,MATCH($B647,Assumptions!$D$5:$D$12,0)))</x:f>
        <x:v>115</x:v>
      </x:c>
      <x:c r="E647" s="11" t="n">
        <x:f>IF($A647="","",INDEX(Assumptions!$M$5:$M$11,WEEKDAY($A647,2)))</x:f>
        <x:v>0.87</x:v>
      </x:c>
      <x:c r="F647" s="11" t="n">
        <x:f>IF($A647="","",Assumptions!$B$15)</x:f>
        <x:v>0.35</x:v>
      </x:c>
      <x:c r="G647" s="11" t="n">
        <x:f>IF($A647="","",MAX(INDEX(Assumptions!$H$5:$H$12,MATCH($B647,Assumptions!$D$5:$D$12,0)),MIN(INDEX(Assumptions!$I$5:$I$12,MATCH($B647,Assumptions!$D$5:$D$12,0)),($C647+$D647*SQRT(-2*LN(RAND()))*COS(2*PI()*RAND()))*$E647*$J647*$K647)))</x:f>
        <x:v>986.0224537873715</x:v>
      </x:c>
      <x:c r="H647" s="11" t="n">
        <x:f>IF($A647="","",$G647*$F647+$C647*(1-$F647))</x:f>
        <x:v>1073.10785882558</x:v>
      </x:c>
      <x:c r="I647" s="11" t="n">
        <x:f>IF($A647="","",AVERAGE($H647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1115.9450684214341</x:v>
      </x:c>
      <x:c r="J647" s="12" t="n">
        <x:f>IF($A647="","",1+SUMIFS(Assumptions!$S$5:$S$10,Assumptions!$P$5:$P$10,$B647,Assumptions!$Q$5:$Q$10,"&lt;="&amp;$A647,Assumptions!$R$5:$R$10,"&gt;="&amp;$A647))</x:f>
        <x:v>1</x:v>
      </x:c>
      <x:c r="K647" s="12" t="n">
        <x:f>IF($A647="","",1+((($A647-Assumptions!$B$5)/30)*INDEX(Assumptions!$J$5:$J$12,MATCH($B647,Assumptions!$D$5:$D$12,0))))</x:f>
        <x:v>1.0086</x:v>
      </x:c>
      <x:c r="L647" t="str">
        <x:f>IF($A647="","",IFERROR(INDEX(Assumptions!$O$5:$O$10,MATCH(1,(Assumptions!$P$5:$P$10=$B647)*(Assumptions!$Q$5:$Q$10&lt;=$A647)*(Assumptions!$R$5:$R$10&gt;=$A647),0)),""))</x:f>
      </x:c>
      <x:c r="M647" t="n">
        <x:f>--($A647&lt;&gt;"")</x:f>
        <x:v>1</x:v>
      </x:c>
    </x:row>
    <x:row r="648">
      <x:c r="A648" s="10" t="n">
        <x:f>IF(Assumptions!$B$5+INT((ROW()-2)/Assumptions!$B$7)&gt;Assumptions!$B$6,"",Assumptions!$B$5+INT((ROW()-2)/Assumptions!$B$7))</x:f>
        <x:v>46152</x:v>
      </x:c>
      <x:c r="B648" t="str">
        <x:f>IF($A648="","",INDEX(Assumptions!$D$5:$D$12,MOD(ROW()-2,Assumptions!$B$7)+1))</x:f>
        <x:v>LV-426 North</x:v>
      </x:c>
      <x:c r="C648" s="11" t="n">
        <x:f>IF($A648="","",INDEX(Assumptions!$F$5:$F$12,MATCH($B648,Assumptions!$D$5:$D$12,0)))</x:f>
        <x:v>930</x:v>
      </x:c>
      <x:c r="D648" s="11" t="n">
        <x:f>IF($A648="","",INDEX(Assumptions!$G$5:$G$12,MATCH($B648,Assumptions!$D$5:$D$12,0)))</x:f>
        <x:v>95</x:v>
      </x:c>
      <x:c r="E648" s="11" t="n">
        <x:f>IF($A648="","",INDEX(Assumptions!$M$5:$M$11,WEEKDAY($A648,2)))</x:f>
        <x:v>0.87</x:v>
      </x:c>
      <x:c r="F648" s="11" t="n">
        <x:f>IF($A648="","",Assumptions!$B$15)</x:f>
        <x:v>0.35</x:v>
      </x:c>
      <x:c r="G648" s="11" t="n">
        <x:f>IF($A648="","",MAX(INDEX(Assumptions!$H$5:$H$12,MATCH($B648,Assumptions!$D$5:$D$12,0)),MIN(INDEX(Assumptions!$I$5:$I$12,MATCH($B648,Assumptions!$D$5:$D$12,0)),($C648+$D648*SQRT(-2*LN(RAND()))*COS(2*PI()*RAND()))*$E648*$J648*$K648)))</x:f>
        <x:v>653.5329638620104</x:v>
      </x:c>
      <x:c r="H648" s="11" t="n">
        <x:f>IF($A648="","",$G648*$F648+$C648*(1-$F648))</x:f>
        <x:v>833.2365373517036</x:v>
      </x:c>
      <x:c r="I648" s="11" t="n">
        <x:f>IF($A648="","",AVERAGE($H648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924.2186542858483</x:v>
      </x:c>
      <x:c r="J648" s="12" t="n">
        <x:f>IF($A648="","",1+SUMIFS(Assumptions!$S$5:$S$10,Assumptions!$P$5:$P$10,$B648,Assumptions!$Q$5:$Q$10,"&lt;="&amp;$A648,Assumptions!$R$5:$R$10,"&gt;="&amp;$A648))</x:f>
        <x:v>1</x:v>
      </x:c>
      <x:c r="K648" s="12" t="n">
        <x:f>IF($A648="","",1+((($A648-Assumptions!$B$5)/30)*INDEX(Assumptions!$J$5:$J$12,MATCH($B648,Assumptions!$D$5:$D$12,0))))</x:f>
        <x:v>0.9957</x:v>
      </x:c>
      <x:c r="L648" t="str">
        <x:f>IF($A648="","",IFERROR(INDEX(Assumptions!$O$5:$O$10,MATCH(1,(Assumptions!$P$5:$P$10=$B648)*(Assumptions!$Q$5:$Q$10&lt;=$A648)*(Assumptions!$R$5:$R$10&gt;=$A648),0)),""))</x:f>
      </x:c>
      <x:c r="M648" t="n">
        <x:f>--($A648&lt;&gt;"")</x:f>
        <x:v>1</x:v>
      </x:c>
    </x:row>
    <x:row r="649">
      <x:c r="A649" s="10" t="n">
        <x:f>IF(Assumptions!$B$5+INT((ROW()-2)/Assumptions!$B$7)&gt;Assumptions!$B$6,"",Assumptions!$B$5+INT((ROW()-2)/Assumptions!$B$7))</x:f>
        <x:v>46152</x:v>
      </x:c>
      <x:c r="B649" t="str">
        <x:f>IF($A649="","",INDEX(Assumptions!$D$5:$D$12,MOD(ROW()-2,Assumptions!$B$7)+1))</x:f>
        <x:v>Nostromo Deep</x:v>
      </x:c>
      <x:c r="C649" s="11" t="n">
        <x:f>IF($A649="","",INDEX(Assumptions!$F$5:$F$12,MATCH($B649,Assumptions!$D$5:$D$12,0)))</x:f>
        <x:v>1260</x:v>
      </x:c>
      <x:c r="D649" s="11" t="n">
        <x:f>IF($A649="","",INDEX(Assumptions!$G$5:$G$12,MATCH($B649,Assumptions!$D$5:$D$12,0)))</x:f>
        <x:v>145</x:v>
      </x:c>
      <x:c r="E649" s="11" t="n">
        <x:f>IF($A649="","",INDEX(Assumptions!$M$5:$M$11,WEEKDAY($A649,2)))</x:f>
        <x:v>0.87</x:v>
      </x:c>
      <x:c r="F649" s="11" t="n">
        <x:f>IF($A649="","",Assumptions!$B$15)</x:f>
        <x:v>0.35</x:v>
      </x:c>
      <x:c r="G649" s="11" t="n">
        <x:f>IF($A649="","",MAX(INDEX(Assumptions!$H$5:$H$12,MATCH($B649,Assumptions!$D$5:$D$12,0)),MIN(INDEX(Assumptions!$I$5:$I$12,MATCH($B649,Assumptions!$D$5:$D$12,0)),($C649+$D649*SQRT(-2*LN(RAND()))*COS(2*PI()*RAND()))*$E649*$J649*$K649)))</x:f>
        <x:v>1002.0453443619383</x:v>
      </x:c>
      <x:c r="H649" s="11" t="n">
        <x:f>IF($A649="","",$G649*$F649+$C649*(1-$F649))</x:f>
        <x:v>1169.7158705266784</x:v>
      </x:c>
      <x:c r="I649" s="11" t="n">
        <x:f>IF($A649="","",AVERAGE($H649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1188.8364278786917</x:v>
      </x:c>
      <x:c r="J649" s="12" t="n">
        <x:f>IF($A649="","",1+SUMIFS(Assumptions!$S$5:$S$10,Assumptions!$P$5:$P$10,$B649,Assumptions!$Q$5:$Q$10,"&lt;="&amp;$A649,Assumptions!$R$5:$R$10,"&gt;="&amp;$A649))</x:f>
        <x:v>1</x:v>
      </x:c>
      <x:c r="K649" s="12" t="n">
        <x:f>IF($A649="","",1+((($A649-Assumptions!$B$5)/30)*INDEX(Assumptions!$J$5:$J$12,MATCH($B649,Assumptions!$D$5:$D$12,0))))</x:f>
        <x:v>1.0129</x:v>
      </x:c>
      <x:c r="L649" t="str">
        <x:f>IF($A649="","",IFERROR(INDEX(Assumptions!$O$5:$O$10,MATCH(1,(Assumptions!$P$5:$P$10=$B649)*(Assumptions!$Q$5:$Q$10&lt;=$A649)*(Assumptions!$R$5:$R$10&gt;=$A649),0)),""))</x:f>
      </x:c>
      <x:c r="M649" t="n">
        <x:f>--($A649&lt;&gt;"")</x:f>
        <x:v>1</x:v>
      </x:c>
    </x:row>
    <x:row r="650">
      <x:c r="A650" s="10" t="n">
        <x:f>IF(Assumptions!$B$5+INT((ROW()-2)/Assumptions!$B$7)&gt;Assumptions!$B$6,"",Assumptions!$B$5+INT((ROW()-2)/Assumptions!$B$7))</x:f>
        <x:v>46152</x:v>
      </x:c>
      <x:c r="B650" t="str">
        <x:f>IF($A650="","",INDEX(Assumptions!$D$5:$D$12,MOD(ROW()-2,Assumptions!$B$7)+1))</x:f>
        <x:v>Hadley's Hope</x:v>
      </x:c>
      <x:c r="C650" s="11" t="n">
        <x:f>IF($A650="","",INDEX(Assumptions!$F$5:$F$12,MATCH($B650,Assumptions!$D$5:$D$12,0)))</x:f>
        <x:v>845</x:v>
      </x:c>
      <x:c r="D650" s="11" t="n">
        <x:f>IF($A650="","",INDEX(Assumptions!$G$5:$G$12,MATCH($B650,Assumptions!$D$5:$D$12,0)))</x:f>
        <x:v>80</x:v>
      </x:c>
      <x:c r="E650" s="11" t="n">
        <x:f>IF($A650="","",INDEX(Assumptions!$M$5:$M$11,WEEKDAY($A650,2)))</x:f>
        <x:v>0.87</x:v>
      </x:c>
      <x:c r="F650" s="11" t="n">
        <x:f>IF($A650="","",Assumptions!$B$15)</x:f>
        <x:v>0.35</x:v>
      </x:c>
      <x:c r="G650" s="11" t="n">
        <x:f>IF($A650="","",MAX(INDEX(Assumptions!$H$5:$H$12,MATCH($B650,Assumptions!$D$5:$D$12,0)),MIN(INDEX(Assumptions!$I$5:$I$12,MATCH($B650,Assumptions!$D$5:$D$12,0)),($C650+$D650*SQRT(-2*LN(RAND()))*COS(2*PI()*RAND()))*$E650*$J650*$K650)))</x:f>
        <x:v>767.0499318894899</x:v>
      </x:c>
      <x:c r="H650" s="11" t="n">
        <x:f>IF($A650="","",$G650*$F650+$C650*(1-$F650))</x:f>
        <x:v>817.7174761613214</x:v>
      </x:c>
      <x:c r="I650" s="11" t="n">
        <x:f>IF($A650="","",AVERAGE($H650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836.809752998198</x:v>
      </x:c>
      <x:c r="J650" s="12" t="n">
        <x:f>IF($A650="","",1+SUMIFS(Assumptions!$S$5:$S$10,Assumptions!$P$5:$P$10,$B650,Assumptions!$Q$5:$Q$10,"&lt;="&amp;$A650,Assumptions!$R$5:$R$10,"&gt;="&amp;$A650))</x:f>
        <x:v>1</x:v>
      </x:c>
      <x:c r="K650" s="12" t="n">
        <x:f>IF($A650="","",1+((($A650-Assumptions!$B$5)/30)*INDEX(Assumptions!$J$5:$J$12,MATCH($B650,Assumptions!$D$5:$D$12,0))))</x:f>
        <x:v>1.0043</x:v>
      </x:c>
      <x:c r="L650" t="str">
        <x:f>IF($A650="","",IFERROR(INDEX(Assumptions!$O$5:$O$10,MATCH(1,(Assumptions!$P$5:$P$10=$B650)*(Assumptions!$Q$5:$Q$10&lt;=$A650)*(Assumptions!$R$5:$R$10&gt;=$A650),0)),""))</x:f>
      </x:c>
      <x:c r="M650" t="n">
        <x:f>--($A650&lt;&gt;"")</x:f>
        <x:v>1</x:v>
      </x:c>
    </x:row>
    <x:row r="651">
      <x:c r="A651" s="10" t="n">
        <x:f>IF(Assumptions!$B$5+INT((ROW()-2)/Assumptions!$B$7)&gt;Assumptions!$B$6,"",Assumptions!$B$5+INT((ROW()-2)/Assumptions!$B$7))</x:f>
        <x:v>46152</x:v>
      </x:c>
      <x:c r="B651" t="str">
        <x:f>IF($A651="","",INDEX(Assumptions!$D$5:$D$12,MOD(ROW()-2,Assumptions!$B$7)+1))</x:f>
        <x:v>Yutani Ridge</x:v>
      </x:c>
      <x:c r="C651" s="11" t="n">
        <x:f>IF($A651="","",INDEX(Assumptions!$F$5:$F$12,MATCH($B651,Assumptions!$D$5:$D$12,0)))</x:f>
        <x:v>1050</x:v>
      </x:c>
      <x:c r="D651" s="11" t="n">
        <x:f>IF($A651="","",INDEX(Assumptions!$G$5:$G$12,MATCH($B651,Assumptions!$D$5:$D$12,0)))</x:f>
        <x:v>125</x:v>
      </x:c>
      <x:c r="E651" s="11" t="n">
        <x:f>IF($A651="","",INDEX(Assumptions!$M$5:$M$11,WEEKDAY($A651,2)))</x:f>
        <x:v>0.87</x:v>
      </x:c>
      <x:c r="F651" s="11" t="n">
        <x:f>IF($A651="","",Assumptions!$B$15)</x:f>
        <x:v>0.35</x:v>
      </x:c>
      <x:c r="G651" s="11" t="n">
        <x:f>IF($A651="","",MAX(INDEX(Assumptions!$H$5:$H$12,MATCH($B651,Assumptions!$D$5:$D$12,0)),MIN(INDEX(Assumptions!$I$5:$I$12,MATCH($B651,Assumptions!$D$5:$D$12,0)),($C651+$D651*SQRT(-2*LN(RAND()))*COS(2*PI()*RAND()))*$E651*$J651*$K651)))</x:f>
        <x:v>928.984334458494</x:v>
      </x:c>
      <x:c r="H651" s="11" t="n">
        <x:f>IF($A651="","",$G651*$F651+$C651*(1-$F651))</x:f>
        <x:v>1007.6445170604729</x:v>
      </x:c>
      <x:c r="I651" s="11" t="n">
        <x:f>IF($A651="","",AVERAGE($H651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1026.035346201968</x:v>
      </x:c>
      <x:c r="J651" s="12" t="n">
        <x:f>IF($A651="","",1+SUMIFS(Assumptions!$S$5:$S$10,Assumptions!$P$5:$P$10,$B651,Assumptions!$Q$5:$Q$10,"&lt;="&amp;$A651,Assumptions!$R$5:$R$10,"&gt;="&amp;$A651))</x:f>
        <x:v>1</x:v>
      </x:c>
      <x:c r="K651" s="12" t="n">
        <x:f>IF($A651="","",1+((($A651-Assumptions!$B$5)/30)*INDEX(Assumptions!$J$5:$J$12,MATCH($B651,Assumptions!$D$5:$D$12,0))))</x:f>
        <x:v>1.01075</x:v>
      </x:c>
      <x:c r="L651" t="str">
        <x:f>IF($A651="","",IFERROR(INDEX(Assumptions!$O$5:$O$10,MATCH(1,(Assumptions!$P$5:$P$10=$B651)*(Assumptions!$Q$5:$Q$10&lt;=$A651)*(Assumptions!$R$5:$R$10&gt;=$A651),0)),""))</x:f>
      </x:c>
      <x:c r="M651" t="n">
        <x:f>--($A651&lt;&gt;"")</x:f>
        <x:v>1</x:v>
      </x:c>
    </x:row>
    <x:row r="652">
      <x:c r="A652" s="10" t="n">
        <x:f>IF(Assumptions!$B$5+INT((ROW()-2)/Assumptions!$B$7)&gt;Assumptions!$B$6,"",Assumptions!$B$5+INT((ROW()-2)/Assumptions!$B$7))</x:f>
        <x:v>46153</x:v>
      </x:c>
      <x:c r="B652" t="str">
        <x:f>IF($A652="","",INDEX(Assumptions!$D$5:$D$12,MOD(ROW()-2,Assumptions!$B$7)+1))</x:f>
        <x:v>Acheron Prime</x:v>
      </x:c>
      <x:c r="C652" s="11" t="n">
        <x:f>IF($A652="","",INDEX(Assumptions!$F$5:$F$12,MATCH($B652,Assumptions!$D$5:$D$12,0)))</x:f>
        <x:v>1120</x:v>
      </x:c>
      <x:c r="D652" s="11" t="n">
        <x:f>IF($A652="","",INDEX(Assumptions!$G$5:$G$12,MATCH($B652,Assumptions!$D$5:$D$12,0)))</x:f>
        <x:v>115</x:v>
      </x:c>
      <x:c r="E652" s="11" t="n">
        <x:f>IF($A652="","",INDEX(Assumptions!$M$5:$M$11,WEEKDAY($A652,2)))</x:f>
        <x:v>1.03</x:v>
      </x:c>
      <x:c r="F652" s="11" t="n">
        <x:f>IF($A652="","",Assumptions!$B$15)</x:f>
        <x:v>0.35</x:v>
      </x:c>
      <x:c r="G652" s="11" t="n">
        <x:f>IF($A652="","",MAX(INDEX(Assumptions!$H$5:$H$12,MATCH($B652,Assumptions!$D$5:$D$12,0)),MIN(INDEX(Assumptions!$I$5:$I$12,MATCH($B652,Assumptions!$D$5:$D$12,0)),($C652+$D652*SQRT(-2*LN(RAND()))*COS(2*PI()*RAND()))*$E652*$J652*$K652)))</x:f>
        <x:v>1204.5339213789782</x:v>
      </x:c>
      <x:c r="H652" s="11" t="n">
        <x:f>IF($A652="","",$G652*$F652+$C652*(1-$F652))</x:f>
        <x:v>1149.5868724826423</x:v>
      </x:c>
      <x:c r="I652" s="11" t="n">
        <x:f>IF($A652="","",AVERAGE($H652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1119.2947879348042</x:v>
      </x:c>
      <x:c r="J652" s="12" t="n">
        <x:f>IF($A652="","",1+SUMIFS(Assumptions!$S$5:$S$10,Assumptions!$P$5:$P$10,$B652,Assumptions!$Q$5:$Q$10,"&lt;="&amp;$A652,Assumptions!$R$5:$R$10,"&gt;="&amp;$A652))</x:f>
        <x:v>1</x:v>
      </x:c>
      <x:c r="K652" s="12" t="n">
        <x:f>IF($A652="","",1+((($A652-Assumptions!$B$5)/30)*INDEX(Assumptions!$J$5:$J$12,MATCH($B652,Assumptions!$D$5:$D$12,0))))</x:f>
        <x:v>1.0086666666666666</x:v>
      </x:c>
      <x:c r="L652" t="str">
        <x:f>IF($A652="","",IFERROR(INDEX(Assumptions!$O$5:$O$10,MATCH(1,(Assumptions!$P$5:$P$10=$B652)*(Assumptions!$Q$5:$Q$10&lt;=$A652)*(Assumptions!$R$5:$R$10&gt;=$A652),0)),""))</x:f>
      </x:c>
      <x:c r="M652" t="n">
        <x:f>--($A652&lt;&gt;"")</x:f>
        <x:v>1</x:v>
      </x:c>
    </x:row>
    <x:row r="653">
      <x:c r="A653" s="10" t="n">
        <x:f>IF(Assumptions!$B$5+INT((ROW()-2)/Assumptions!$B$7)&gt;Assumptions!$B$6,"",Assumptions!$B$5+INT((ROW()-2)/Assumptions!$B$7))</x:f>
        <x:v>46153</x:v>
      </x:c>
      <x:c r="B653" t="str">
        <x:f>IF($A653="","",INDEX(Assumptions!$D$5:$D$12,MOD(ROW()-2,Assumptions!$B$7)+1))</x:f>
        <x:v>LV-426 North</x:v>
      </x:c>
      <x:c r="C653" s="11" t="n">
        <x:f>IF($A653="","",INDEX(Assumptions!$F$5:$F$12,MATCH($B653,Assumptions!$D$5:$D$12,0)))</x:f>
        <x:v>930</x:v>
      </x:c>
      <x:c r="D653" s="11" t="n">
        <x:f>IF($A653="","",INDEX(Assumptions!$G$5:$G$12,MATCH($B653,Assumptions!$D$5:$D$12,0)))</x:f>
        <x:v>95</x:v>
      </x:c>
      <x:c r="E653" s="11" t="n">
        <x:f>IF($A653="","",INDEX(Assumptions!$M$5:$M$11,WEEKDAY($A653,2)))</x:f>
        <x:v>1.03</x:v>
      </x:c>
      <x:c r="F653" s="11" t="n">
        <x:f>IF($A653="","",Assumptions!$B$15)</x:f>
        <x:v>0.35</x:v>
      </x:c>
      <x:c r="G653" s="11" t="n">
        <x:f>IF($A653="","",MAX(INDEX(Assumptions!$H$5:$H$12,MATCH($B653,Assumptions!$D$5:$D$12,0)),MIN(INDEX(Assumptions!$I$5:$I$12,MATCH($B653,Assumptions!$D$5:$D$12,0)),($C653+$D653*SQRT(-2*LN(RAND()))*COS(2*PI()*RAND()))*$E653*$J653*$K653)))</x:f>
        <x:v>998.7547657898522</x:v>
      </x:c>
      <x:c r="H653" s="11" t="n">
        <x:f>IF($A653="","",$G653*$F653+$C653*(1-$F653))</x:f>
        <x:v>954.0641680264482</x:v>
      </x:c>
      <x:c r="I653" s="11" t="n">
        <x:f>IF($A653="","",AVERAGE($H653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915.6647073224418</x:v>
      </x:c>
      <x:c r="J653" s="12" t="n">
        <x:f>IF($A653="","",1+SUMIFS(Assumptions!$S$5:$S$10,Assumptions!$P$5:$P$10,$B653,Assumptions!$Q$5:$Q$10,"&lt;="&amp;$A653,Assumptions!$R$5:$R$10,"&gt;="&amp;$A653))</x:f>
        <x:v>1</x:v>
      </x:c>
      <x:c r="K653" s="12" t="n">
        <x:f>IF($A653="","",1+((($A653-Assumptions!$B$5)/30)*INDEX(Assumptions!$J$5:$J$12,MATCH($B653,Assumptions!$D$5:$D$12,0))))</x:f>
        <x:v>0.9956666666666667</x:v>
      </x:c>
      <x:c r="L653" t="str">
        <x:f>IF($A653="","",IFERROR(INDEX(Assumptions!$O$5:$O$10,MATCH(1,(Assumptions!$P$5:$P$10=$B653)*(Assumptions!$Q$5:$Q$10&lt;=$A653)*(Assumptions!$R$5:$R$10&gt;=$A653),0)),""))</x:f>
      </x:c>
      <x:c r="M653" t="n">
        <x:f>--($A653&lt;&gt;"")</x:f>
        <x:v>1</x:v>
      </x:c>
    </x:row>
    <x:row r="654">
      <x:c r="A654" s="10" t="n">
        <x:f>IF(Assumptions!$B$5+INT((ROW()-2)/Assumptions!$B$7)&gt;Assumptions!$B$6,"",Assumptions!$B$5+INT((ROW()-2)/Assumptions!$B$7))</x:f>
        <x:v>46153</x:v>
      </x:c>
      <x:c r="B654" t="str">
        <x:f>IF($A654="","",INDEX(Assumptions!$D$5:$D$12,MOD(ROW()-2,Assumptions!$B$7)+1))</x:f>
        <x:v>Nostromo Deep</x:v>
      </x:c>
      <x:c r="C654" s="11" t="n">
        <x:f>IF($A654="","",INDEX(Assumptions!$F$5:$F$12,MATCH($B654,Assumptions!$D$5:$D$12,0)))</x:f>
        <x:v>1260</x:v>
      </x:c>
      <x:c r="D654" s="11" t="n">
        <x:f>IF($A654="","",INDEX(Assumptions!$G$5:$G$12,MATCH($B654,Assumptions!$D$5:$D$12,0)))</x:f>
        <x:v>145</x:v>
      </x:c>
      <x:c r="E654" s="11" t="n">
        <x:f>IF($A654="","",INDEX(Assumptions!$M$5:$M$11,WEEKDAY($A654,2)))</x:f>
        <x:v>1.03</x:v>
      </x:c>
      <x:c r="F654" s="11" t="n">
        <x:f>IF($A654="","",Assumptions!$B$15)</x:f>
        <x:v>0.35</x:v>
      </x:c>
      <x:c r="G654" s="11" t="n">
        <x:f>IF($A654="","",MAX(INDEX(Assumptions!$H$5:$H$12,MATCH($B654,Assumptions!$D$5:$D$12,0)),MIN(INDEX(Assumptions!$I$5:$I$12,MATCH($B654,Assumptions!$D$5:$D$12,0)),($C654+$D654*SQRT(-2*LN(RAND()))*COS(2*PI()*RAND()))*$E654*$J654*$K654)))</x:f>
        <x:v>1529.0463170365192</x:v>
      </x:c>
      <x:c r="H654" s="11" t="n">
        <x:f>IF($A654="","",$G654*$F654+$C654*(1-$F654))</x:f>
        <x:v>1354.1662109627819</x:v>
      </x:c>
      <x:c r="I654" s="11" t="n">
        <x:f>IF($A654="","",AVERAGE($H654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1224.2887437305176</x:v>
      </x:c>
      <x:c r="J654" s="12" t="n">
        <x:f>IF($A654="","",1+SUMIFS(Assumptions!$S$5:$S$10,Assumptions!$P$5:$P$10,$B654,Assumptions!$Q$5:$Q$10,"&lt;="&amp;$A654,Assumptions!$R$5:$R$10,"&gt;="&amp;$A654))</x:f>
        <x:v>1</x:v>
      </x:c>
      <x:c r="K654" s="12" t="n">
        <x:f>IF($A654="","",1+((($A654-Assumptions!$B$5)/30)*INDEX(Assumptions!$J$5:$J$12,MATCH($B654,Assumptions!$D$5:$D$12,0))))</x:f>
        <x:v>1.013</x:v>
      </x:c>
      <x:c r="L654" t="str">
        <x:f>IF($A654="","",IFERROR(INDEX(Assumptions!$O$5:$O$10,MATCH(1,(Assumptions!$P$5:$P$10=$B654)*(Assumptions!$Q$5:$Q$10&lt;=$A654)*(Assumptions!$R$5:$R$10&gt;=$A654),0)),""))</x:f>
      </x:c>
      <x:c r="M654" t="n">
        <x:f>--($A654&lt;&gt;"")</x:f>
        <x:v>1</x:v>
      </x:c>
    </x:row>
    <x:row r="655">
      <x:c r="A655" s="10" t="n">
        <x:f>IF(Assumptions!$B$5+INT((ROW()-2)/Assumptions!$B$7)&gt;Assumptions!$B$6,"",Assumptions!$B$5+INT((ROW()-2)/Assumptions!$B$7))</x:f>
        <x:v>46153</x:v>
      </x:c>
      <x:c r="B655" t="str">
        <x:f>IF($A655="","",INDEX(Assumptions!$D$5:$D$12,MOD(ROW()-2,Assumptions!$B$7)+1))</x:f>
        <x:v>Hadley's Hope</x:v>
      </x:c>
      <x:c r="C655" s="11" t="n">
        <x:f>IF($A655="","",INDEX(Assumptions!$F$5:$F$12,MATCH($B655,Assumptions!$D$5:$D$12,0)))</x:f>
        <x:v>845</x:v>
      </x:c>
      <x:c r="D655" s="11" t="n">
        <x:f>IF($A655="","",INDEX(Assumptions!$G$5:$G$12,MATCH($B655,Assumptions!$D$5:$D$12,0)))</x:f>
        <x:v>80</x:v>
      </x:c>
      <x:c r="E655" s="11" t="n">
        <x:f>IF($A655="","",INDEX(Assumptions!$M$5:$M$11,WEEKDAY($A655,2)))</x:f>
        <x:v>1.03</x:v>
      </x:c>
      <x:c r="F655" s="11" t="n">
        <x:f>IF($A655="","",Assumptions!$B$15)</x:f>
        <x:v>0.35</x:v>
      </x:c>
      <x:c r="G655" s="11" t="n">
        <x:f>IF($A655="","",MAX(INDEX(Assumptions!$H$5:$H$12,MATCH($B655,Assumptions!$D$5:$D$12,0)),MIN(INDEX(Assumptions!$I$5:$I$12,MATCH($B655,Assumptions!$D$5:$D$12,0)),($C655+$D655*SQRT(-2*LN(RAND()))*COS(2*PI()*RAND()))*$E655*$J655*$K655)))</x:f>
        <x:v>949.4373714402446</x:v>
      </x:c>
      <x:c r="H655" s="11" t="n">
        <x:f>IF($A655="","",$G655*$F655+$C655*(1-$F655))</x:f>
        <x:v>881.5530800040856</x:v>
      </x:c>
      <x:c r="I655" s="11" t="n">
        <x:f>IF($A655="","",AVERAGE($H655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839.0581484600427</x:v>
      </x:c>
      <x:c r="J655" s="12" t="n">
        <x:f>IF($A655="","",1+SUMIFS(Assumptions!$S$5:$S$10,Assumptions!$P$5:$P$10,$B655,Assumptions!$Q$5:$Q$10,"&lt;="&amp;$A655,Assumptions!$R$5:$R$10,"&gt;="&amp;$A655))</x:f>
        <x:v>1</x:v>
      </x:c>
      <x:c r="K655" s="12" t="n">
        <x:f>IF($A655="","",1+((($A655-Assumptions!$B$5)/30)*INDEX(Assumptions!$J$5:$J$12,MATCH($B655,Assumptions!$D$5:$D$12,0))))</x:f>
        <x:v>1.0043333333333333</x:v>
      </x:c>
      <x:c r="L655" t="str">
        <x:f>IF($A655="","",IFERROR(INDEX(Assumptions!$O$5:$O$10,MATCH(1,(Assumptions!$P$5:$P$10=$B655)*(Assumptions!$Q$5:$Q$10&lt;=$A655)*(Assumptions!$R$5:$R$10&gt;=$A655),0)),""))</x:f>
      </x:c>
      <x:c r="M655" t="n">
        <x:f>--($A655&lt;&gt;"")</x:f>
        <x:v>1</x:v>
      </x:c>
    </x:row>
    <x:row r="656">
      <x:c r="A656" s="10" t="n">
        <x:f>IF(Assumptions!$B$5+INT((ROW()-2)/Assumptions!$B$7)&gt;Assumptions!$B$6,"",Assumptions!$B$5+INT((ROW()-2)/Assumptions!$B$7))</x:f>
        <x:v>46153</x:v>
      </x:c>
      <x:c r="B656" t="str">
        <x:f>IF($A656="","",INDEX(Assumptions!$D$5:$D$12,MOD(ROW()-2,Assumptions!$B$7)+1))</x:f>
        <x:v>Yutani Ridge</x:v>
      </x:c>
      <x:c r="C656" s="11" t="n">
        <x:f>IF($A656="","",INDEX(Assumptions!$F$5:$F$12,MATCH($B656,Assumptions!$D$5:$D$12,0)))</x:f>
        <x:v>1050</x:v>
      </x:c>
      <x:c r="D656" s="11" t="n">
        <x:f>IF($A656="","",INDEX(Assumptions!$G$5:$G$12,MATCH($B656,Assumptions!$D$5:$D$12,0)))</x:f>
        <x:v>125</x:v>
      </x:c>
      <x:c r="E656" s="11" t="n">
        <x:f>IF($A656="","",INDEX(Assumptions!$M$5:$M$11,WEEKDAY($A656,2)))</x:f>
        <x:v>1.03</x:v>
      </x:c>
      <x:c r="F656" s="11" t="n">
        <x:f>IF($A656="","",Assumptions!$B$15)</x:f>
        <x:v>0.35</x:v>
      </x:c>
      <x:c r="G656" s="11" t="n">
        <x:f>IF($A656="","",MAX(INDEX(Assumptions!$H$5:$H$12,MATCH($B656,Assumptions!$D$5:$D$12,0)),MIN(INDEX(Assumptions!$I$5:$I$12,MATCH($B656,Assumptions!$D$5:$D$12,0)),($C656+$D656*SQRT(-2*LN(RAND()))*COS(2*PI()*RAND()))*$E656*$J656*$K656)))</x:f>
        <x:v>1007.8448670879915</x:v>
      </x:c>
      <x:c r="H656" s="11" t="n">
        <x:f>IF($A656="","",$G656*$F656+$C656*(1-$F656))</x:f>
        <x:v>1035.245703480797</x:v>
      </x:c>
      <x:c r="I656" s="11" t="n">
        <x:f>IF($A656="","",AVERAGE($H656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1015.4891696025453</x:v>
      </x:c>
      <x:c r="J656" s="12" t="n">
        <x:f>IF($A656="","",1+SUMIFS(Assumptions!$S$5:$S$10,Assumptions!$P$5:$P$10,$B656,Assumptions!$Q$5:$Q$10,"&lt;="&amp;$A656,Assumptions!$R$5:$R$10,"&gt;="&amp;$A656))</x:f>
        <x:v>1</x:v>
      </x:c>
      <x:c r="K656" s="12" t="n">
        <x:f>IF($A656="","",1+((($A656-Assumptions!$B$5)/30)*INDEX(Assumptions!$J$5:$J$12,MATCH($B656,Assumptions!$D$5:$D$12,0))))</x:f>
        <x:v>1.0108333333333333</x:v>
      </x:c>
      <x:c r="L656" t="str">
        <x:f>IF($A656="","",IFERROR(INDEX(Assumptions!$O$5:$O$10,MATCH(1,(Assumptions!$P$5:$P$10=$B656)*(Assumptions!$Q$5:$Q$10&lt;=$A656)*(Assumptions!$R$5:$R$10&gt;=$A656),0)),""))</x:f>
      </x:c>
      <x:c r="M656" t="n">
        <x:f>--($A656&lt;&gt;"")</x:f>
        <x:v>1</x:v>
      </x:c>
    </x:row>
    <x:row r="657">
      <x:c r="A657" s="10" t="n">
        <x:f>IF(Assumptions!$B$5+INT((ROW()-2)/Assumptions!$B$7)&gt;Assumptions!$B$6,"",Assumptions!$B$5+INT((ROW()-2)/Assumptions!$B$7))</x:f>
        <x:v>46154</x:v>
      </x:c>
      <x:c r="B657" t="str">
        <x:f>IF($A657="","",INDEX(Assumptions!$D$5:$D$12,MOD(ROW()-2,Assumptions!$B$7)+1))</x:f>
        <x:v>Acheron Prime</x:v>
      </x:c>
      <x:c r="C657" s="11" t="n">
        <x:f>IF($A657="","",INDEX(Assumptions!$F$5:$F$12,MATCH($B657,Assumptions!$D$5:$D$12,0)))</x:f>
        <x:v>1120</x:v>
      </x:c>
      <x:c r="D657" s="11" t="n">
        <x:f>IF($A657="","",INDEX(Assumptions!$G$5:$G$12,MATCH($B657,Assumptions!$D$5:$D$12,0)))</x:f>
        <x:v>115</x:v>
      </x:c>
      <x:c r="E657" s="11" t="n">
        <x:f>IF($A657="","",INDEX(Assumptions!$M$5:$M$11,WEEKDAY($A657,2)))</x:f>
        <x:v>1.02</x:v>
      </x:c>
      <x:c r="F657" s="11" t="n">
        <x:f>IF($A657="","",Assumptions!$B$15)</x:f>
        <x:v>0.35</x:v>
      </x:c>
      <x:c r="G657" s="11" t="n">
        <x:f>IF($A657="","",MAX(INDEX(Assumptions!$H$5:$H$12,MATCH($B657,Assumptions!$D$5:$D$12,0)),MIN(INDEX(Assumptions!$I$5:$I$12,MATCH($B657,Assumptions!$D$5:$D$12,0)),($C657+$D657*SQRT(-2*LN(RAND()))*COS(2*PI()*RAND()))*$E657*$J657*$K657)))</x:f>
        <x:v>1300.6587178828565</x:v>
      </x:c>
      <x:c r="H657" s="11" t="n">
        <x:f>IF($A657="","",$G657*$F657+$C657*(1-$F657))</x:f>
        <x:v>1183.2305512589996</x:v>
      </x:c>
      <x:c r="I657" s="11" t="n">
        <x:f>IF($A657="","",AVERAGE($H657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1126.9687091760675</x:v>
      </x:c>
      <x:c r="J657" s="12" t="n">
        <x:f>IF($A657="","",1+SUMIFS(Assumptions!$S$5:$S$10,Assumptions!$P$5:$P$10,$B657,Assumptions!$Q$5:$Q$10,"&lt;="&amp;$A657,Assumptions!$R$5:$R$10,"&gt;="&amp;$A657))</x:f>
        <x:v>1</x:v>
      </x:c>
      <x:c r="K657" s="12" t="n">
        <x:f>IF($A657="","",1+((($A657-Assumptions!$B$5)/30)*INDEX(Assumptions!$J$5:$J$12,MATCH($B657,Assumptions!$D$5:$D$12,0))))</x:f>
        <x:v>1.0087333333333333</x:v>
      </x:c>
      <x:c r="L657" t="str">
        <x:f>IF($A657="","",IFERROR(INDEX(Assumptions!$O$5:$O$10,MATCH(1,(Assumptions!$P$5:$P$10=$B657)*(Assumptions!$Q$5:$Q$10&lt;=$A657)*(Assumptions!$R$5:$R$10&gt;=$A657),0)),""))</x:f>
      </x:c>
      <x:c r="M657" t="n">
        <x:f>--($A657&lt;&gt;"")</x:f>
        <x:v>1</x:v>
      </x:c>
    </x:row>
    <x:row r="658">
      <x:c r="A658" s="10" t="n">
        <x:f>IF(Assumptions!$B$5+INT((ROW()-2)/Assumptions!$B$7)&gt;Assumptions!$B$6,"",Assumptions!$B$5+INT((ROW()-2)/Assumptions!$B$7))</x:f>
        <x:v>46154</x:v>
      </x:c>
      <x:c r="B658" t="str">
        <x:f>IF($A658="","",INDEX(Assumptions!$D$5:$D$12,MOD(ROW()-2,Assumptions!$B$7)+1))</x:f>
        <x:v>LV-426 North</x:v>
      </x:c>
      <x:c r="C658" s="11" t="n">
        <x:f>IF($A658="","",INDEX(Assumptions!$F$5:$F$12,MATCH($B658,Assumptions!$D$5:$D$12,0)))</x:f>
        <x:v>930</x:v>
      </x:c>
      <x:c r="D658" s="11" t="n">
        <x:f>IF($A658="","",INDEX(Assumptions!$G$5:$G$12,MATCH($B658,Assumptions!$D$5:$D$12,0)))</x:f>
        <x:v>95</x:v>
      </x:c>
      <x:c r="E658" s="11" t="n">
        <x:f>IF($A658="","",INDEX(Assumptions!$M$5:$M$11,WEEKDAY($A658,2)))</x:f>
        <x:v>1.02</x:v>
      </x:c>
      <x:c r="F658" s="11" t="n">
        <x:f>IF($A658="","",Assumptions!$B$15)</x:f>
        <x:v>0.35</x:v>
      </x:c>
      <x:c r="G658" s="11" t="n">
        <x:f>IF($A658="","",MAX(INDEX(Assumptions!$H$5:$H$12,MATCH($B658,Assumptions!$D$5:$D$12,0)),MIN(INDEX(Assumptions!$I$5:$I$12,MATCH($B658,Assumptions!$D$5:$D$12,0)),($C658+$D658*SQRT(-2*LN(RAND()))*COS(2*PI()*RAND()))*$E658*$J658*$K658)))</x:f>
        <x:v>1073.2990321138034</x:v>
      </x:c>
      <x:c r="H658" s="11" t="n">
        <x:f>IF($A658="","",$G658*$F658+$C658*(1-$F658))</x:f>
        <x:v>980.1546612398312</x:v>
      </x:c>
      <x:c r="I658" s="11" t="n">
        <x:f>IF($A658="","",AVERAGE($H658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927.5315708329729</x:v>
      </x:c>
      <x:c r="J658" s="12" t="n">
        <x:f>IF($A658="","",1+SUMIFS(Assumptions!$S$5:$S$10,Assumptions!$P$5:$P$10,$B658,Assumptions!$Q$5:$Q$10,"&lt;="&amp;$A658,Assumptions!$R$5:$R$10,"&gt;="&amp;$A658))</x:f>
        <x:v>1</x:v>
      </x:c>
      <x:c r="K658" s="12" t="n">
        <x:f>IF($A658="","",1+((($A658-Assumptions!$B$5)/30)*INDEX(Assumptions!$J$5:$J$12,MATCH($B658,Assumptions!$D$5:$D$12,0))))</x:f>
        <x:v>0.9956333333333334</x:v>
      </x:c>
      <x:c r="L658" t="str">
        <x:f>IF($A658="","",IFERROR(INDEX(Assumptions!$O$5:$O$10,MATCH(1,(Assumptions!$P$5:$P$10=$B658)*(Assumptions!$Q$5:$Q$10&lt;=$A658)*(Assumptions!$R$5:$R$10&gt;=$A658),0)),""))</x:f>
      </x:c>
      <x:c r="M658" t="n">
        <x:f>--($A658&lt;&gt;"")</x:f>
        <x:v>1</x:v>
      </x:c>
    </x:row>
    <x:row r="659">
      <x:c r="A659" s="10" t="n">
        <x:f>IF(Assumptions!$B$5+INT((ROW()-2)/Assumptions!$B$7)&gt;Assumptions!$B$6,"",Assumptions!$B$5+INT((ROW()-2)/Assumptions!$B$7))</x:f>
        <x:v>46154</x:v>
      </x:c>
      <x:c r="B659" t="str">
        <x:f>IF($A659="","",INDEX(Assumptions!$D$5:$D$12,MOD(ROW()-2,Assumptions!$B$7)+1))</x:f>
        <x:v>Nostromo Deep</x:v>
      </x:c>
      <x:c r="C659" s="11" t="n">
        <x:f>IF($A659="","",INDEX(Assumptions!$F$5:$F$12,MATCH($B659,Assumptions!$D$5:$D$12,0)))</x:f>
        <x:v>1260</x:v>
      </x:c>
      <x:c r="D659" s="11" t="n">
        <x:f>IF($A659="","",INDEX(Assumptions!$G$5:$G$12,MATCH($B659,Assumptions!$D$5:$D$12,0)))</x:f>
        <x:v>145</x:v>
      </x:c>
      <x:c r="E659" s="11" t="n">
        <x:f>IF($A659="","",INDEX(Assumptions!$M$5:$M$11,WEEKDAY($A659,2)))</x:f>
        <x:v>1.02</x:v>
      </x:c>
      <x:c r="F659" s="11" t="n">
        <x:f>IF($A659="","",Assumptions!$B$15)</x:f>
        <x:v>0.35</x:v>
      </x:c>
      <x:c r="G659" s="11" t="n">
        <x:f>IF($A659="","",MAX(INDEX(Assumptions!$H$5:$H$12,MATCH($B659,Assumptions!$D$5:$D$12,0)),MIN(INDEX(Assumptions!$I$5:$I$12,MATCH($B659,Assumptions!$D$5:$D$12,0)),($C659+$D659*SQRT(-2*LN(RAND()))*COS(2*PI()*RAND()))*$E659*$J659*$K659)))</x:f>
        <x:v>1409.400436240361</x:v>
      </x:c>
      <x:c r="H659" s="11" t="n">
        <x:f>IF($A659="","",$G659*$F659+$C659*(1-$F659))</x:f>
        <x:v>1312.2901526841263</x:v>
      </x:c>
      <x:c r="I659" s="11" t="n">
        <x:f>IF($A659="","",AVERAGE($H659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1253.7587655425357</x:v>
      </x:c>
      <x:c r="J659" s="12" t="n">
        <x:f>IF($A659="","",1+SUMIFS(Assumptions!$S$5:$S$10,Assumptions!$P$5:$P$10,$B659,Assumptions!$Q$5:$Q$10,"&lt;="&amp;$A659,Assumptions!$R$5:$R$10,"&gt;="&amp;$A659))</x:f>
        <x:v>1</x:v>
      </x:c>
      <x:c r="K659" s="12" t="n">
        <x:f>IF($A659="","",1+((($A659-Assumptions!$B$5)/30)*INDEX(Assumptions!$J$5:$J$12,MATCH($B659,Assumptions!$D$5:$D$12,0))))</x:f>
        <x:v>1.0131</x:v>
      </x:c>
      <x:c r="L659" t="str">
        <x:f>IF($A659="","",IFERROR(INDEX(Assumptions!$O$5:$O$10,MATCH(1,(Assumptions!$P$5:$P$10=$B659)*(Assumptions!$Q$5:$Q$10&lt;=$A659)*(Assumptions!$R$5:$R$10&gt;=$A659),0)),""))</x:f>
      </x:c>
      <x:c r="M659" t="n">
        <x:f>--($A659&lt;&gt;"")</x:f>
        <x:v>1</x:v>
      </x:c>
    </x:row>
    <x:row r="660">
      <x:c r="A660" s="10" t="n">
        <x:f>IF(Assumptions!$B$5+INT((ROW()-2)/Assumptions!$B$7)&gt;Assumptions!$B$6,"",Assumptions!$B$5+INT((ROW()-2)/Assumptions!$B$7))</x:f>
        <x:v>46154</x:v>
      </x:c>
      <x:c r="B660" t="str">
        <x:f>IF($A660="","",INDEX(Assumptions!$D$5:$D$12,MOD(ROW()-2,Assumptions!$B$7)+1))</x:f>
        <x:v>Hadley's Hope</x:v>
      </x:c>
      <x:c r="C660" s="11" t="n">
        <x:f>IF($A660="","",INDEX(Assumptions!$F$5:$F$12,MATCH($B660,Assumptions!$D$5:$D$12,0)))</x:f>
        <x:v>845</x:v>
      </x:c>
      <x:c r="D660" s="11" t="n">
        <x:f>IF($A660="","",INDEX(Assumptions!$G$5:$G$12,MATCH($B660,Assumptions!$D$5:$D$12,0)))</x:f>
        <x:v>80</x:v>
      </x:c>
      <x:c r="E660" s="11" t="n">
        <x:f>IF($A660="","",INDEX(Assumptions!$M$5:$M$11,WEEKDAY($A660,2)))</x:f>
        <x:v>1.02</x:v>
      </x:c>
      <x:c r="F660" s="11" t="n">
        <x:f>IF($A660="","",Assumptions!$B$15)</x:f>
        <x:v>0.35</x:v>
      </x:c>
      <x:c r="G660" s="11" t="n">
        <x:f>IF($A660="","",MAX(INDEX(Assumptions!$H$5:$H$12,MATCH($B660,Assumptions!$D$5:$D$12,0)),MIN(INDEX(Assumptions!$I$5:$I$12,MATCH($B660,Assumptions!$D$5:$D$12,0)),($C660+$D660*SQRT(-2*LN(RAND()))*COS(2*PI()*RAND()))*$E660*$J660*$K660)))</x:f>
        <x:v>826.7275063924708</x:v>
      </x:c>
      <x:c r="H660" s="11" t="n">
        <x:f>IF($A660="","",$G660*$F660+$C660*(1-$F660))</x:f>
        <x:v>838.6046272373648</x:v>
      </x:c>
      <x:c r="I660" s="11" t="n">
        <x:f>IF($A660="","",AVERAGE($H660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835.8096514508627</x:v>
      </x:c>
      <x:c r="J660" s="12" t="n">
        <x:f>IF($A660="","",1+SUMIFS(Assumptions!$S$5:$S$10,Assumptions!$P$5:$P$10,$B660,Assumptions!$Q$5:$Q$10,"&lt;="&amp;$A660,Assumptions!$R$5:$R$10,"&gt;="&amp;$A660))</x:f>
        <x:v>1</x:v>
      </x:c>
      <x:c r="K660" s="12" t="n">
        <x:f>IF($A660="","",1+((($A660-Assumptions!$B$5)/30)*INDEX(Assumptions!$J$5:$J$12,MATCH($B660,Assumptions!$D$5:$D$12,0))))</x:f>
        <x:v>1.0043666666666666</x:v>
      </x:c>
      <x:c r="L660" t="str">
        <x:f>IF($A660="","",IFERROR(INDEX(Assumptions!$O$5:$O$10,MATCH(1,(Assumptions!$P$5:$P$10=$B660)*(Assumptions!$Q$5:$Q$10&lt;=$A660)*(Assumptions!$R$5:$R$10&gt;=$A660),0)),""))</x:f>
      </x:c>
      <x:c r="M660" t="n">
        <x:f>--($A660&lt;&gt;"")</x:f>
        <x:v>1</x:v>
      </x:c>
    </x:row>
    <x:row r="661">
      <x:c r="A661" s="10" t="n">
        <x:f>IF(Assumptions!$B$5+INT((ROW()-2)/Assumptions!$B$7)&gt;Assumptions!$B$6,"",Assumptions!$B$5+INT((ROW()-2)/Assumptions!$B$7))</x:f>
        <x:v>46154</x:v>
      </x:c>
      <x:c r="B661" t="str">
        <x:f>IF($A661="","",INDEX(Assumptions!$D$5:$D$12,MOD(ROW()-2,Assumptions!$B$7)+1))</x:f>
        <x:v>Yutani Ridge</x:v>
      </x:c>
      <x:c r="C661" s="11" t="n">
        <x:f>IF($A661="","",INDEX(Assumptions!$F$5:$F$12,MATCH($B661,Assumptions!$D$5:$D$12,0)))</x:f>
        <x:v>1050</x:v>
      </x:c>
      <x:c r="D661" s="11" t="n">
        <x:f>IF($A661="","",INDEX(Assumptions!$G$5:$G$12,MATCH($B661,Assumptions!$D$5:$D$12,0)))</x:f>
        <x:v>125</x:v>
      </x:c>
      <x:c r="E661" s="11" t="n">
        <x:f>IF($A661="","",INDEX(Assumptions!$M$5:$M$11,WEEKDAY($A661,2)))</x:f>
        <x:v>1.02</x:v>
      </x:c>
      <x:c r="F661" s="11" t="n">
        <x:f>IF($A661="","",Assumptions!$B$15)</x:f>
        <x:v>0.35</x:v>
      </x:c>
      <x:c r="G661" s="11" t="n">
        <x:f>IF($A661="","",MAX(INDEX(Assumptions!$H$5:$H$12,MATCH($B661,Assumptions!$D$5:$D$12,0)),MIN(INDEX(Assumptions!$I$5:$I$12,MATCH($B661,Assumptions!$D$5:$D$12,0)),($C661+$D661*SQRT(-2*LN(RAND()))*COS(2*PI()*RAND()))*$E661*$J661*$K661)))</x:f>
        <x:v>1335.4628681128438</x:v>
      </x:c>
      <x:c r="H661" s="11" t="n">
        <x:f>IF($A661="","",$G661*$F661+$C661*(1-$F661))</x:f>
        <x:v>1149.9120038394954</x:v>
      </x:c>
      <x:c r="I661" s="11" t="n">
        <x:f>IF($A661="","",AVERAGE($H661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1036.5949368111708</x:v>
      </x:c>
      <x:c r="J661" s="12" t="n">
        <x:f>IF($A661="","",1+SUMIFS(Assumptions!$S$5:$S$10,Assumptions!$P$5:$P$10,$B661,Assumptions!$Q$5:$Q$10,"&lt;="&amp;$A661,Assumptions!$R$5:$R$10,"&gt;="&amp;$A661))</x:f>
        <x:v>1</x:v>
      </x:c>
      <x:c r="K661" s="12" t="n">
        <x:f>IF($A661="","",1+((($A661-Assumptions!$B$5)/30)*INDEX(Assumptions!$J$5:$J$12,MATCH($B661,Assumptions!$D$5:$D$12,0))))</x:f>
        <x:v>1.0109166666666667</x:v>
      </x:c>
      <x:c r="L661" t="str">
        <x:f>IF($A661="","",IFERROR(INDEX(Assumptions!$O$5:$O$10,MATCH(1,(Assumptions!$P$5:$P$10=$B661)*(Assumptions!$Q$5:$Q$10&lt;=$A661)*(Assumptions!$R$5:$R$10&gt;=$A661),0)),""))</x:f>
      </x:c>
      <x:c r="M661" t="n">
        <x:f>--($A661&lt;&gt;"")</x:f>
        <x:v>1</x:v>
      </x:c>
    </x:row>
    <x:row r="662">
      <x:c r="A662" s="10" t="n">
        <x:f>IF(Assumptions!$B$5+INT((ROW()-2)/Assumptions!$B$7)&gt;Assumptions!$B$6,"",Assumptions!$B$5+INT((ROW()-2)/Assumptions!$B$7))</x:f>
        <x:v>46155</x:v>
      </x:c>
      <x:c r="B662" t="str">
        <x:f>IF($A662="","",INDEX(Assumptions!$D$5:$D$12,MOD(ROW()-2,Assumptions!$B$7)+1))</x:f>
        <x:v>Acheron Prime</x:v>
      </x:c>
      <x:c r="C662" s="11" t="n">
        <x:f>IF($A662="","",INDEX(Assumptions!$F$5:$F$12,MATCH($B662,Assumptions!$D$5:$D$12,0)))</x:f>
        <x:v>1120</x:v>
      </x:c>
      <x:c r="D662" s="11" t="n">
        <x:f>IF($A662="","",INDEX(Assumptions!$G$5:$G$12,MATCH($B662,Assumptions!$D$5:$D$12,0)))</x:f>
        <x:v>115</x:v>
      </x:c>
      <x:c r="E662" s="11" t="n">
        <x:f>IF($A662="","",INDEX(Assumptions!$M$5:$M$11,WEEKDAY($A662,2)))</x:f>
        <x:v>1.01</x:v>
      </x:c>
      <x:c r="F662" s="11" t="n">
        <x:f>IF($A662="","",Assumptions!$B$15)</x:f>
        <x:v>0.35</x:v>
      </x:c>
      <x:c r="G662" s="11" t="n">
        <x:f>IF($A662="","",MAX(INDEX(Assumptions!$H$5:$H$12,MATCH($B662,Assumptions!$D$5:$D$12,0)),MIN(INDEX(Assumptions!$I$5:$I$12,MATCH($B662,Assumptions!$D$5:$D$12,0)),($C662+$D662*SQRT(-2*LN(RAND()))*COS(2*PI()*RAND()))*$E662*$J662*$K662)))</x:f>
        <x:v>1304.1792844994807</x:v>
      </x:c>
      <x:c r="H662" s="11" t="n">
        <x:f>IF($A662="","",$G662*$F662+$C662*(1-$F662))</x:f>
        <x:v>1184.4627495748182</x:v>
      </x:c>
      <x:c r="I662" s="11" t="n">
        <x:f>IF($A662="","",AVERAGE($H662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1135.4375962560346</x:v>
      </x:c>
      <x:c r="J662" s="12" t="n">
        <x:f>IF($A662="","",1+SUMIFS(Assumptions!$S$5:$S$10,Assumptions!$P$5:$P$10,$B662,Assumptions!$Q$5:$Q$10,"&lt;="&amp;$A662,Assumptions!$R$5:$R$10,"&gt;="&amp;$A662))</x:f>
        <x:v>1</x:v>
      </x:c>
      <x:c r="K662" s="12" t="n">
        <x:f>IF($A662="","",1+((($A662-Assumptions!$B$5)/30)*INDEX(Assumptions!$J$5:$J$12,MATCH($B662,Assumptions!$D$5:$D$12,0))))</x:f>
        <x:v>1.0088</x:v>
      </x:c>
      <x:c r="L662" t="str">
        <x:f>IF($A662="","",IFERROR(INDEX(Assumptions!$O$5:$O$10,MATCH(1,(Assumptions!$P$5:$P$10=$B662)*(Assumptions!$Q$5:$Q$10&lt;=$A662)*(Assumptions!$R$5:$R$10&gt;=$A662),0)),""))</x:f>
      </x:c>
      <x:c r="M662" t="n">
        <x:f>--($A662&lt;&gt;"")</x:f>
        <x:v>1</x:v>
      </x:c>
    </x:row>
    <x:row r="663">
      <x:c r="A663" s="10" t="n">
        <x:f>IF(Assumptions!$B$5+INT((ROW()-2)/Assumptions!$B$7)&gt;Assumptions!$B$6,"",Assumptions!$B$5+INT((ROW()-2)/Assumptions!$B$7))</x:f>
        <x:v>46155</x:v>
      </x:c>
      <x:c r="B663" t="str">
        <x:f>IF($A663="","",INDEX(Assumptions!$D$5:$D$12,MOD(ROW()-2,Assumptions!$B$7)+1))</x:f>
        <x:v>LV-426 North</x:v>
      </x:c>
      <x:c r="C663" s="11" t="n">
        <x:f>IF($A663="","",INDEX(Assumptions!$F$5:$F$12,MATCH($B663,Assumptions!$D$5:$D$12,0)))</x:f>
        <x:v>930</x:v>
      </x:c>
      <x:c r="D663" s="11" t="n">
        <x:f>IF($A663="","",INDEX(Assumptions!$G$5:$G$12,MATCH($B663,Assumptions!$D$5:$D$12,0)))</x:f>
        <x:v>95</x:v>
      </x:c>
      <x:c r="E663" s="11" t="n">
        <x:f>IF($A663="","",INDEX(Assumptions!$M$5:$M$11,WEEKDAY($A663,2)))</x:f>
        <x:v>1.01</x:v>
      </x:c>
      <x:c r="F663" s="11" t="n">
        <x:f>IF($A663="","",Assumptions!$B$15)</x:f>
        <x:v>0.35</x:v>
      </x:c>
      <x:c r="G663" s="11" t="n">
        <x:f>IF($A663="","",MAX(INDEX(Assumptions!$H$5:$H$12,MATCH($B663,Assumptions!$D$5:$D$12,0)),MIN(INDEX(Assumptions!$I$5:$I$12,MATCH($B663,Assumptions!$D$5:$D$12,0)),($C663+$D663*SQRT(-2*LN(RAND()))*COS(2*PI()*RAND()))*$E663*$J663*$K663)))</x:f>
        <x:v>818.751160149147</x:v>
      </x:c>
      <x:c r="H663" s="11" t="n">
        <x:f>IF($A663="","",$G663*$F663+$C663*(1-$F663))</x:f>
        <x:v>891.0629060522015</x:v>
      </x:c>
      <x:c r="I663" s="11" t="n">
        <x:f>IF($A663="","",AVERAGE($H663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915.7118122101577</x:v>
      </x:c>
      <x:c r="J663" s="12" t="n">
        <x:f>IF($A663="","",1+SUMIFS(Assumptions!$S$5:$S$10,Assumptions!$P$5:$P$10,$B663,Assumptions!$Q$5:$Q$10,"&lt;="&amp;$A663,Assumptions!$R$5:$R$10,"&gt;="&amp;$A663))</x:f>
        <x:v>1</x:v>
      </x:c>
      <x:c r="K663" s="12" t="n">
        <x:f>IF($A663="","",1+((($A663-Assumptions!$B$5)/30)*INDEX(Assumptions!$J$5:$J$12,MATCH($B663,Assumptions!$D$5:$D$12,0))))</x:f>
        <x:v>0.9956</x:v>
      </x:c>
      <x:c r="L663" t="str">
        <x:f>IF($A663="","",IFERROR(INDEX(Assumptions!$O$5:$O$10,MATCH(1,(Assumptions!$P$5:$P$10=$B663)*(Assumptions!$Q$5:$Q$10&lt;=$A663)*(Assumptions!$R$5:$R$10&gt;=$A663),0)),""))</x:f>
      </x:c>
      <x:c r="M663" t="n">
        <x:f>--($A663&lt;&gt;"")</x:f>
        <x:v>1</x:v>
      </x:c>
    </x:row>
    <x:row r="664">
      <x:c r="A664" s="10" t="n">
        <x:f>IF(Assumptions!$B$5+INT((ROW()-2)/Assumptions!$B$7)&gt;Assumptions!$B$6,"",Assumptions!$B$5+INT((ROW()-2)/Assumptions!$B$7))</x:f>
        <x:v>46155</x:v>
      </x:c>
      <x:c r="B664" t="str">
        <x:f>IF($A664="","",INDEX(Assumptions!$D$5:$D$12,MOD(ROW()-2,Assumptions!$B$7)+1))</x:f>
        <x:v>Nostromo Deep</x:v>
      </x:c>
      <x:c r="C664" s="11" t="n">
        <x:f>IF($A664="","",INDEX(Assumptions!$F$5:$F$12,MATCH($B664,Assumptions!$D$5:$D$12,0)))</x:f>
        <x:v>1260</x:v>
      </x:c>
      <x:c r="D664" s="11" t="n">
        <x:f>IF($A664="","",INDEX(Assumptions!$G$5:$G$12,MATCH($B664,Assumptions!$D$5:$D$12,0)))</x:f>
        <x:v>145</x:v>
      </x:c>
      <x:c r="E664" s="11" t="n">
        <x:f>IF($A664="","",INDEX(Assumptions!$M$5:$M$11,WEEKDAY($A664,2)))</x:f>
        <x:v>1.01</x:v>
      </x:c>
      <x:c r="F664" s="11" t="n">
        <x:f>IF($A664="","",Assumptions!$B$15)</x:f>
        <x:v>0.35</x:v>
      </x:c>
      <x:c r="G664" s="11" t="n">
        <x:f>IF($A664="","",MAX(INDEX(Assumptions!$H$5:$H$12,MATCH($B664,Assumptions!$D$5:$D$12,0)),MIN(INDEX(Assumptions!$I$5:$I$12,MATCH($B664,Assumptions!$D$5:$D$12,0)),($C664+$D664*SQRT(-2*LN(RAND()))*COS(2*PI()*RAND()))*$E664*$J664*$K664)))</x:f>
        <x:v>1321.2544143939817</x:v>
      </x:c>
      <x:c r="H664" s="11" t="n">
        <x:f>IF($A664="","",$G664*$F664+$C664*(1-$F664))</x:f>
        <x:v>1281.4390450378935</x:v>
      </x:c>
      <x:c r="I664" s="11" t="n">
        <x:f>IF($A664="","",AVERAGE($H664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1278.8214862622347</x:v>
      </x:c>
      <x:c r="J664" s="12" t="n">
        <x:f>IF($A664="","",1+SUMIFS(Assumptions!$S$5:$S$10,Assumptions!$P$5:$P$10,$B664,Assumptions!$Q$5:$Q$10,"&lt;="&amp;$A664,Assumptions!$R$5:$R$10,"&gt;="&amp;$A664))</x:f>
        <x:v>1</x:v>
      </x:c>
      <x:c r="K664" s="12" t="n">
        <x:f>IF($A664="","",1+((($A664-Assumptions!$B$5)/30)*INDEX(Assumptions!$J$5:$J$12,MATCH($B664,Assumptions!$D$5:$D$12,0))))</x:f>
        <x:v>1.0132</x:v>
      </x:c>
      <x:c r="L664" t="str">
        <x:f>IF($A664="","",IFERROR(INDEX(Assumptions!$O$5:$O$10,MATCH(1,(Assumptions!$P$5:$P$10=$B664)*(Assumptions!$Q$5:$Q$10&lt;=$A664)*(Assumptions!$R$5:$R$10&gt;=$A664),0)),""))</x:f>
      </x:c>
      <x:c r="M664" t="n">
        <x:f>--($A664&lt;&gt;"")</x:f>
        <x:v>1</x:v>
      </x:c>
    </x:row>
    <x:row r="665">
      <x:c r="A665" s="10" t="n">
        <x:f>IF(Assumptions!$B$5+INT((ROW()-2)/Assumptions!$B$7)&gt;Assumptions!$B$6,"",Assumptions!$B$5+INT((ROW()-2)/Assumptions!$B$7))</x:f>
        <x:v>46155</x:v>
      </x:c>
      <x:c r="B665" t="str">
        <x:f>IF($A665="","",INDEX(Assumptions!$D$5:$D$12,MOD(ROW()-2,Assumptions!$B$7)+1))</x:f>
        <x:v>Hadley's Hope</x:v>
      </x:c>
      <x:c r="C665" s="11" t="n">
        <x:f>IF($A665="","",INDEX(Assumptions!$F$5:$F$12,MATCH($B665,Assumptions!$D$5:$D$12,0)))</x:f>
        <x:v>845</x:v>
      </x:c>
      <x:c r="D665" s="11" t="n">
        <x:f>IF($A665="","",INDEX(Assumptions!$G$5:$G$12,MATCH($B665,Assumptions!$D$5:$D$12,0)))</x:f>
        <x:v>80</x:v>
      </x:c>
      <x:c r="E665" s="11" t="n">
        <x:f>IF($A665="","",INDEX(Assumptions!$M$5:$M$11,WEEKDAY($A665,2)))</x:f>
        <x:v>1.01</x:v>
      </x:c>
      <x:c r="F665" s="11" t="n">
        <x:f>IF($A665="","",Assumptions!$B$15)</x:f>
        <x:v>0.35</x:v>
      </x:c>
      <x:c r="G665" s="11" t="n">
        <x:f>IF($A665="","",MAX(INDEX(Assumptions!$H$5:$H$12,MATCH($B665,Assumptions!$D$5:$D$12,0)),MIN(INDEX(Assumptions!$I$5:$I$12,MATCH($B665,Assumptions!$D$5:$D$12,0)),($C665+$D665*SQRT(-2*LN(RAND()))*COS(2*PI()*RAND()))*$E665*$J665*$K665)))</x:f>
        <x:v>904.8347481108046</x:v>
      </x:c>
      <x:c r="H665" s="11" t="n">
        <x:f>IF($A665="","",$G665*$F665+$C665*(1-$F665))</x:f>
        <x:v>865.9421618387817</x:v>
      </x:c>
      <x:c r="I665" s="11" t="n">
        <x:f>IF($A665="","",AVERAGE($H665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836.5056328744512</x:v>
      </x:c>
      <x:c r="J665" s="12" t="n">
        <x:f>IF($A665="","",1+SUMIFS(Assumptions!$S$5:$S$10,Assumptions!$P$5:$P$10,$B665,Assumptions!$Q$5:$Q$10,"&lt;="&amp;$A665,Assumptions!$R$5:$R$10,"&gt;="&amp;$A665))</x:f>
        <x:v>1</x:v>
      </x:c>
      <x:c r="K665" s="12" t="n">
        <x:f>IF($A665="","",1+((($A665-Assumptions!$B$5)/30)*INDEX(Assumptions!$J$5:$J$12,MATCH($B665,Assumptions!$D$5:$D$12,0))))</x:f>
        <x:v>1.0044</x:v>
      </x:c>
      <x:c r="L665" t="str">
        <x:f>IF($A665="","",IFERROR(INDEX(Assumptions!$O$5:$O$10,MATCH(1,(Assumptions!$P$5:$P$10=$B665)*(Assumptions!$Q$5:$Q$10&lt;=$A665)*(Assumptions!$R$5:$R$10&gt;=$A665),0)),""))</x:f>
      </x:c>
      <x:c r="M665" t="n">
        <x:f>--($A665&lt;&gt;"")</x:f>
        <x:v>1</x:v>
      </x:c>
    </x:row>
    <x:row r="666">
      <x:c r="A666" s="10" t="n">
        <x:f>IF(Assumptions!$B$5+INT((ROW()-2)/Assumptions!$B$7)&gt;Assumptions!$B$6,"",Assumptions!$B$5+INT((ROW()-2)/Assumptions!$B$7))</x:f>
        <x:v>46155</x:v>
      </x:c>
      <x:c r="B666" t="str">
        <x:f>IF($A666="","",INDEX(Assumptions!$D$5:$D$12,MOD(ROW()-2,Assumptions!$B$7)+1))</x:f>
        <x:v>Yutani Ridge</x:v>
      </x:c>
      <x:c r="C666" s="11" t="n">
        <x:f>IF($A666="","",INDEX(Assumptions!$F$5:$F$12,MATCH($B666,Assumptions!$D$5:$D$12,0)))</x:f>
        <x:v>1050</x:v>
      </x:c>
      <x:c r="D666" s="11" t="n">
        <x:f>IF($A666="","",INDEX(Assumptions!$G$5:$G$12,MATCH($B666,Assumptions!$D$5:$D$12,0)))</x:f>
        <x:v>125</x:v>
      </x:c>
      <x:c r="E666" s="11" t="n">
        <x:f>IF($A666="","",INDEX(Assumptions!$M$5:$M$11,WEEKDAY($A666,2)))</x:f>
        <x:v>1.01</x:v>
      </x:c>
      <x:c r="F666" s="11" t="n">
        <x:f>IF($A666="","",Assumptions!$B$15)</x:f>
        <x:v>0.35</x:v>
      </x:c>
      <x:c r="G666" s="11" t="n">
        <x:f>IF($A666="","",MAX(INDEX(Assumptions!$H$5:$H$12,MATCH($B666,Assumptions!$D$5:$D$12,0)),MIN(INDEX(Assumptions!$I$5:$I$12,MATCH($B666,Assumptions!$D$5:$D$12,0)),($C666+$D666*SQRT(-2*LN(RAND()))*COS(2*PI()*RAND()))*$E666*$J666*$K666)))</x:f>
        <x:v>949.0054415543783</x:v>
      </x:c>
      <x:c r="H666" s="11" t="n">
        <x:f>IF($A666="","",$G666*$F666+$C666*(1-$F666))</x:f>
        <x:v>1014.6519045440324</x:v>
      </x:c>
      <x:c r="I666" s="11" t="n">
        <x:f>IF($A666="","",AVERAGE($H666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1029.265985050893</x:v>
      </x:c>
      <x:c r="J666" s="12" t="n">
        <x:f>IF($A666="","",1+SUMIFS(Assumptions!$S$5:$S$10,Assumptions!$P$5:$P$10,$B666,Assumptions!$Q$5:$Q$10,"&lt;="&amp;$A666,Assumptions!$R$5:$R$10,"&gt;="&amp;$A666))</x:f>
        <x:v>1</x:v>
      </x:c>
      <x:c r="K666" s="12" t="n">
        <x:f>IF($A666="","",1+((($A666-Assumptions!$B$5)/30)*INDEX(Assumptions!$J$5:$J$12,MATCH($B666,Assumptions!$D$5:$D$12,0))))</x:f>
        <x:v>1.011</x:v>
      </x:c>
      <x:c r="L666" t="str">
        <x:f>IF($A666="","",IFERROR(INDEX(Assumptions!$O$5:$O$10,MATCH(1,(Assumptions!$P$5:$P$10=$B666)*(Assumptions!$Q$5:$Q$10&lt;=$A666)*(Assumptions!$R$5:$R$10&gt;=$A666),0)),""))</x:f>
      </x:c>
      <x:c r="M666" t="n">
        <x:f>--($A666&lt;&gt;"")</x:f>
        <x:v>1</x:v>
      </x:c>
    </x:row>
    <x:row r="667">
      <x:c r="A667" s="10" t="n">
        <x:f>IF(Assumptions!$B$5+INT((ROW()-2)/Assumptions!$B$7)&gt;Assumptions!$B$6,"",Assumptions!$B$5+INT((ROW()-2)/Assumptions!$B$7))</x:f>
        <x:v>46156</x:v>
      </x:c>
      <x:c r="B667" t="str">
        <x:f>IF($A667="","",INDEX(Assumptions!$D$5:$D$12,MOD(ROW()-2,Assumptions!$B$7)+1))</x:f>
        <x:v>Acheron Prime</x:v>
      </x:c>
      <x:c r="C667" s="11" t="n">
        <x:f>IF($A667="","",INDEX(Assumptions!$F$5:$F$12,MATCH($B667,Assumptions!$D$5:$D$12,0)))</x:f>
        <x:v>1120</x:v>
      </x:c>
      <x:c r="D667" s="11" t="n">
        <x:f>IF($A667="","",INDEX(Assumptions!$G$5:$G$12,MATCH($B667,Assumptions!$D$5:$D$12,0)))</x:f>
        <x:v>115</x:v>
      </x:c>
      <x:c r="E667" s="11" t="n">
        <x:f>IF($A667="","",INDEX(Assumptions!$M$5:$M$11,WEEKDAY($A667,2)))</x:f>
        <x:v>1</x:v>
      </x:c>
      <x:c r="F667" s="11" t="n">
        <x:f>IF($A667="","",Assumptions!$B$15)</x:f>
        <x:v>0.35</x:v>
      </x:c>
      <x:c r="G667" s="11" t="n">
        <x:f>IF($A667="","",MAX(INDEX(Assumptions!$H$5:$H$12,MATCH($B667,Assumptions!$D$5:$D$12,0)),MIN(INDEX(Assumptions!$I$5:$I$12,MATCH($B667,Assumptions!$D$5:$D$12,0)),($C667+$D667*SQRT(-2*LN(RAND()))*COS(2*PI()*RAND()))*$E667*$J667*$K667)))</x:f>
        <x:v>1090.45325174062</x:v>
      </x:c>
      <x:c r="H667" s="11" t="n">
        <x:f>IF($A667="","",$G667*$F667+$C667*(1-$F667))</x:f>
        <x:v>1109.658638109217</x:v>
      </x:c>
      <x:c r="I667" s="11" t="n">
        <x:f>IF($A667="","",AVERAGE($H667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1132.3333013311583</x:v>
      </x:c>
      <x:c r="J667" s="12" t="n">
        <x:f>IF($A667="","",1+SUMIFS(Assumptions!$S$5:$S$10,Assumptions!$P$5:$P$10,$B667,Assumptions!$Q$5:$Q$10,"&lt;="&amp;$A667,Assumptions!$R$5:$R$10,"&gt;="&amp;$A667))</x:f>
        <x:v>1</x:v>
      </x:c>
      <x:c r="K667" s="12" t="n">
        <x:f>IF($A667="","",1+((($A667-Assumptions!$B$5)/30)*INDEX(Assumptions!$J$5:$J$12,MATCH($B667,Assumptions!$D$5:$D$12,0))))</x:f>
        <x:v>1.0088666666666666</x:v>
      </x:c>
      <x:c r="L667" t="str">
        <x:f>IF($A667="","",IFERROR(INDEX(Assumptions!$O$5:$O$10,MATCH(1,(Assumptions!$P$5:$P$10=$B667)*(Assumptions!$Q$5:$Q$10&lt;=$A667)*(Assumptions!$R$5:$R$10&gt;=$A667),0)),""))</x:f>
      </x:c>
      <x:c r="M667" t="n">
        <x:f>--($A667&lt;&gt;"")</x:f>
        <x:v>1</x:v>
      </x:c>
    </x:row>
    <x:row r="668">
      <x:c r="A668" s="10" t="n">
        <x:f>IF(Assumptions!$B$5+INT((ROW()-2)/Assumptions!$B$7)&gt;Assumptions!$B$6,"",Assumptions!$B$5+INT((ROW()-2)/Assumptions!$B$7))</x:f>
        <x:v>46156</x:v>
      </x:c>
      <x:c r="B668" t="str">
        <x:f>IF($A668="","",INDEX(Assumptions!$D$5:$D$12,MOD(ROW()-2,Assumptions!$B$7)+1))</x:f>
        <x:v>LV-426 North</x:v>
      </x:c>
      <x:c r="C668" s="11" t="n">
        <x:f>IF($A668="","",INDEX(Assumptions!$F$5:$F$12,MATCH($B668,Assumptions!$D$5:$D$12,0)))</x:f>
        <x:v>930</x:v>
      </x:c>
      <x:c r="D668" s="11" t="n">
        <x:f>IF($A668="","",INDEX(Assumptions!$G$5:$G$12,MATCH($B668,Assumptions!$D$5:$D$12,0)))</x:f>
        <x:v>95</x:v>
      </x:c>
      <x:c r="E668" s="11" t="n">
        <x:f>IF($A668="","",INDEX(Assumptions!$M$5:$M$11,WEEKDAY($A668,2)))</x:f>
        <x:v>1</x:v>
      </x:c>
      <x:c r="F668" s="11" t="n">
        <x:f>IF($A668="","",Assumptions!$B$15)</x:f>
        <x:v>0.35</x:v>
      </x:c>
      <x:c r="G668" s="11" t="n">
        <x:f>IF($A668="","",MAX(INDEX(Assumptions!$H$5:$H$12,MATCH($B668,Assumptions!$D$5:$D$12,0)),MIN(INDEX(Assumptions!$I$5:$I$12,MATCH($B668,Assumptions!$D$5:$D$12,0)),($C668+$D668*SQRT(-2*LN(RAND()))*COS(2*PI()*RAND()))*$E668*$J668*$K668)))</x:f>
        <x:v>870.2351357711541</x:v>
      </x:c>
      <x:c r="H668" s="11" t="n">
        <x:f>IF($A668="","",$G668*$F668+$C668*(1-$F668))</x:f>
        <x:v>909.0822975199039</x:v>
      </x:c>
      <x:c r="I668" s="11" t="n">
        <x:f>IF($A668="","",AVERAGE($H668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904.25261861073</x:v>
      </x:c>
      <x:c r="J668" s="12" t="n">
        <x:f>IF($A668="","",1+SUMIFS(Assumptions!$S$5:$S$10,Assumptions!$P$5:$P$10,$B668,Assumptions!$Q$5:$Q$10,"&lt;="&amp;$A668,Assumptions!$R$5:$R$10,"&gt;="&amp;$A668))</x:f>
        <x:v>1</x:v>
      </x:c>
      <x:c r="K668" s="12" t="n">
        <x:f>IF($A668="","",1+((($A668-Assumptions!$B$5)/30)*INDEX(Assumptions!$J$5:$J$12,MATCH($B668,Assumptions!$D$5:$D$12,0))))</x:f>
        <x:v>0.9955666666666667</x:v>
      </x:c>
      <x:c r="L668" t="str">
        <x:f>IF($A668="","",IFERROR(INDEX(Assumptions!$O$5:$O$10,MATCH(1,(Assumptions!$P$5:$P$10=$B668)*(Assumptions!$Q$5:$Q$10&lt;=$A668)*(Assumptions!$R$5:$R$10&gt;=$A668),0)),""))</x:f>
      </x:c>
      <x:c r="M668" t="n">
        <x:f>--($A668&lt;&gt;"")</x:f>
        <x:v>1</x:v>
      </x:c>
    </x:row>
    <x:row r="669">
      <x:c r="A669" s="10" t="n">
        <x:f>IF(Assumptions!$B$5+INT((ROW()-2)/Assumptions!$B$7)&gt;Assumptions!$B$6,"",Assumptions!$B$5+INT((ROW()-2)/Assumptions!$B$7))</x:f>
        <x:v>46156</x:v>
      </x:c>
      <x:c r="B669" t="str">
        <x:f>IF($A669="","",INDEX(Assumptions!$D$5:$D$12,MOD(ROW()-2,Assumptions!$B$7)+1))</x:f>
        <x:v>Nostromo Deep</x:v>
      </x:c>
      <x:c r="C669" s="11" t="n">
        <x:f>IF($A669="","",INDEX(Assumptions!$F$5:$F$12,MATCH($B669,Assumptions!$D$5:$D$12,0)))</x:f>
        <x:v>1260</x:v>
      </x:c>
      <x:c r="D669" s="11" t="n">
        <x:f>IF($A669="","",INDEX(Assumptions!$G$5:$G$12,MATCH($B669,Assumptions!$D$5:$D$12,0)))</x:f>
        <x:v>145</x:v>
      </x:c>
      <x:c r="E669" s="11" t="n">
        <x:f>IF($A669="","",INDEX(Assumptions!$M$5:$M$11,WEEKDAY($A669,2)))</x:f>
        <x:v>1</x:v>
      </x:c>
      <x:c r="F669" s="11" t="n">
        <x:f>IF($A669="","",Assumptions!$B$15)</x:f>
        <x:v>0.35</x:v>
      </x:c>
      <x:c r="G669" s="11" t="n">
        <x:f>IF($A669="","",MAX(INDEX(Assumptions!$H$5:$H$12,MATCH($B669,Assumptions!$D$5:$D$12,0)),MIN(INDEX(Assumptions!$I$5:$I$12,MATCH($B669,Assumptions!$D$5:$D$12,0)),($C669+$D669*SQRT(-2*LN(RAND()))*COS(2*PI()*RAND()))*$E669*$J669*$K669)))</x:f>
        <x:v>1435.9044308849216</x:v>
      </x:c>
      <x:c r="H669" s="11" t="n">
        <x:f>IF($A669="","",$G669*$F669+$C669*(1-$F669))</x:f>
        <x:v>1321.5665508097225</x:v>
      </x:c>
      <x:c r="I669" s="11" t="n">
        <x:f>IF($A669="","",AVERAGE($H669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1281.6719902238026</x:v>
      </x:c>
      <x:c r="J669" s="12" t="n">
        <x:f>IF($A669="","",1+SUMIFS(Assumptions!$S$5:$S$10,Assumptions!$P$5:$P$10,$B669,Assumptions!$Q$5:$Q$10,"&lt;="&amp;$A669,Assumptions!$R$5:$R$10,"&gt;="&amp;$A669))</x:f>
        <x:v>1</x:v>
      </x:c>
      <x:c r="K669" s="12" t="n">
        <x:f>IF($A669="","",1+((($A669-Assumptions!$B$5)/30)*INDEX(Assumptions!$J$5:$J$12,MATCH($B669,Assumptions!$D$5:$D$12,0))))</x:f>
        <x:v>1.0133</x:v>
      </x:c>
      <x:c r="L669" t="str">
        <x:f>IF($A669="","",IFERROR(INDEX(Assumptions!$O$5:$O$10,MATCH(1,(Assumptions!$P$5:$P$10=$B669)*(Assumptions!$Q$5:$Q$10&lt;=$A669)*(Assumptions!$R$5:$R$10&gt;=$A669),0)),""))</x:f>
      </x:c>
      <x:c r="M669" t="n">
        <x:f>--($A669&lt;&gt;"")</x:f>
        <x:v>1</x:v>
      </x:c>
    </x:row>
    <x:row r="670">
      <x:c r="A670" s="10" t="n">
        <x:f>IF(Assumptions!$B$5+INT((ROW()-2)/Assumptions!$B$7)&gt;Assumptions!$B$6,"",Assumptions!$B$5+INT((ROW()-2)/Assumptions!$B$7))</x:f>
        <x:v>46156</x:v>
      </x:c>
      <x:c r="B670" t="str">
        <x:f>IF($A670="","",INDEX(Assumptions!$D$5:$D$12,MOD(ROW()-2,Assumptions!$B$7)+1))</x:f>
        <x:v>Hadley's Hope</x:v>
      </x:c>
      <x:c r="C670" s="11" t="n">
        <x:f>IF($A670="","",INDEX(Assumptions!$F$5:$F$12,MATCH($B670,Assumptions!$D$5:$D$12,0)))</x:f>
        <x:v>845</x:v>
      </x:c>
      <x:c r="D670" s="11" t="n">
        <x:f>IF($A670="","",INDEX(Assumptions!$G$5:$G$12,MATCH($B670,Assumptions!$D$5:$D$12,0)))</x:f>
        <x:v>80</x:v>
      </x:c>
      <x:c r="E670" s="11" t="n">
        <x:f>IF($A670="","",INDEX(Assumptions!$M$5:$M$11,WEEKDAY($A670,2)))</x:f>
        <x:v>1</x:v>
      </x:c>
      <x:c r="F670" s="11" t="n">
        <x:f>IF($A670="","",Assumptions!$B$15)</x:f>
        <x:v>0.35</x:v>
      </x:c>
      <x:c r="G670" s="11" t="n">
        <x:f>IF($A670="","",MAX(INDEX(Assumptions!$H$5:$H$12,MATCH($B670,Assumptions!$D$5:$D$12,0)),MIN(INDEX(Assumptions!$I$5:$I$12,MATCH($B670,Assumptions!$D$5:$D$12,0)),($C670+$D670*SQRT(-2*LN(RAND()))*COS(2*PI()*RAND()))*$E670*$J670*$K670)))</x:f>
        <x:v>751.5262944583419</x:v>
      </x:c>
      <x:c r="H670" s="11" t="n">
        <x:f>IF($A670="","",$G670*$F670+$C670*(1-$F670))</x:f>
        <x:v>812.2842030604197</x:v>
      </x:c>
      <x:c r="I670" s="11" t="n">
        <x:f>IF($A670="","",AVERAGE($H670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828.7702821967416</x:v>
      </x:c>
      <x:c r="J670" s="12" t="n">
        <x:f>IF($A670="","",1+SUMIFS(Assumptions!$S$5:$S$10,Assumptions!$P$5:$P$10,$B670,Assumptions!$Q$5:$Q$10,"&lt;="&amp;$A670,Assumptions!$R$5:$R$10,"&gt;="&amp;$A670))</x:f>
        <x:v>1</x:v>
      </x:c>
      <x:c r="K670" s="12" t="n">
        <x:f>IF($A670="","",1+((($A670-Assumptions!$B$5)/30)*INDEX(Assumptions!$J$5:$J$12,MATCH($B670,Assumptions!$D$5:$D$12,0))))</x:f>
        <x:v>1.0044333333333333</x:v>
      </x:c>
      <x:c r="L670" t="str">
        <x:f>IF($A670="","",IFERROR(INDEX(Assumptions!$O$5:$O$10,MATCH(1,(Assumptions!$P$5:$P$10=$B670)*(Assumptions!$Q$5:$Q$10&lt;=$A670)*(Assumptions!$R$5:$R$10&gt;=$A670),0)),""))</x:f>
      </x:c>
      <x:c r="M670" t="n">
        <x:f>--($A670&lt;&gt;"")</x:f>
        <x:v>1</x:v>
      </x:c>
    </x:row>
    <x:row r="671">
      <x:c r="A671" s="10" t="n">
        <x:f>IF(Assumptions!$B$5+INT((ROW()-2)/Assumptions!$B$7)&gt;Assumptions!$B$6,"",Assumptions!$B$5+INT((ROW()-2)/Assumptions!$B$7))</x:f>
        <x:v>46156</x:v>
      </x:c>
      <x:c r="B671" t="str">
        <x:f>IF($A671="","",INDEX(Assumptions!$D$5:$D$12,MOD(ROW()-2,Assumptions!$B$7)+1))</x:f>
        <x:v>Yutani Ridge</x:v>
      </x:c>
      <x:c r="C671" s="11" t="n">
        <x:f>IF($A671="","",INDEX(Assumptions!$F$5:$F$12,MATCH($B671,Assumptions!$D$5:$D$12,0)))</x:f>
        <x:v>1050</x:v>
      </x:c>
      <x:c r="D671" s="11" t="n">
        <x:f>IF($A671="","",INDEX(Assumptions!$G$5:$G$12,MATCH($B671,Assumptions!$D$5:$D$12,0)))</x:f>
        <x:v>125</x:v>
      </x:c>
      <x:c r="E671" s="11" t="n">
        <x:f>IF($A671="","",INDEX(Assumptions!$M$5:$M$11,WEEKDAY($A671,2)))</x:f>
        <x:v>1</x:v>
      </x:c>
      <x:c r="F671" s="11" t="n">
        <x:f>IF($A671="","",Assumptions!$B$15)</x:f>
        <x:v>0.35</x:v>
      </x:c>
      <x:c r="G671" s="11" t="n">
        <x:f>IF($A671="","",MAX(INDEX(Assumptions!$H$5:$H$12,MATCH($B671,Assumptions!$D$5:$D$12,0)),MIN(INDEX(Assumptions!$I$5:$I$12,MATCH($B671,Assumptions!$D$5:$D$12,0)),($C671+$D671*SQRT(-2*LN(RAND()))*COS(2*PI()*RAND()))*$E671*$J671*$K671)))</x:f>
        <x:v>1111.4720851517336</x:v>
      </x:c>
      <x:c r="H671" s="11" t="n">
        <x:f>IF($A671="","",$G671*$F671+$C671*(1-$F671))</x:f>
        <x:v>1071.5152298031066</x:v>
      </x:c>
      <x:c r="I671" s="11" t="n">
        <x:f>IF($A671="","",AVERAGE($H671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1043.5444195070743</x:v>
      </x:c>
      <x:c r="J671" s="12" t="n">
        <x:f>IF($A671="","",1+SUMIFS(Assumptions!$S$5:$S$10,Assumptions!$P$5:$P$10,$B671,Assumptions!$Q$5:$Q$10,"&lt;="&amp;$A671,Assumptions!$R$5:$R$10,"&gt;="&amp;$A671))</x:f>
        <x:v>1</x:v>
      </x:c>
      <x:c r="K671" s="12" t="n">
        <x:f>IF($A671="","",1+((($A671-Assumptions!$B$5)/30)*INDEX(Assumptions!$J$5:$J$12,MATCH($B671,Assumptions!$D$5:$D$12,0))))</x:f>
        <x:v>1.0110833333333333</x:v>
      </x:c>
      <x:c r="L671" t="str">
        <x:f>IF($A671="","",IFERROR(INDEX(Assumptions!$O$5:$O$10,MATCH(1,(Assumptions!$P$5:$P$10=$B671)*(Assumptions!$Q$5:$Q$10&lt;=$A671)*(Assumptions!$R$5:$R$10&gt;=$A671),0)),""))</x:f>
      </x:c>
      <x:c r="M671" t="n">
        <x:f>--($A671&lt;&gt;"")</x:f>
        <x:v>1</x:v>
      </x:c>
    </x:row>
    <x:row r="672">
      <x:c r="A672" s="10" t="n">
        <x:f>IF(Assumptions!$B$5+INT((ROW()-2)/Assumptions!$B$7)&gt;Assumptions!$B$6,"",Assumptions!$B$5+INT((ROW()-2)/Assumptions!$B$7))</x:f>
        <x:v>46157</x:v>
      </x:c>
      <x:c r="B672" t="str">
        <x:f>IF($A672="","",INDEX(Assumptions!$D$5:$D$12,MOD(ROW()-2,Assumptions!$B$7)+1))</x:f>
        <x:v>Acheron Prime</x:v>
      </x:c>
      <x:c r="C672" s="11" t="n">
        <x:f>IF($A672="","",INDEX(Assumptions!$F$5:$F$12,MATCH($B672,Assumptions!$D$5:$D$12,0)))</x:f>
        <x:v>1120</x:v>
      </x:c>
      <x:c r="D672" s="11" t="n">
        <x:f>IF($A672="","",INDEX(Assumptions!$G$5:$G$12,MATCH($B672,Assumptions!$D$5:$D$12,0)))</x:f>
        <x:v>115</x:v>
      </x:c>
      <x:c r="E672" s="11" t="n">
        <x:f>IF($A672="","",INDEX(Assumptions!$M$5:$M$11,WEEKDAY($A672,2)))</x:f>
        <x:v>0.98</x:v>
      </x:c>
      <x:c r="F672" s="11" t="n">
        <x:f>IF($A672="","",Assumptions!$B$15)</x:f>
        <x:v>0.35</x:v>
      </x:c>
      <x:c r="G672" s="11" t="n">
        <x:f>IF($A672="","",MAX(INDEX(Assumptions!$H$5:$H$12,MATCH($B672,Assumptions!$D$5:$D$12,0)),MIN(INDEX(Assumptions!$I$5:$I$12,MATCH($B672,Assumptions!$D$5:$D$12,0)),($C672+$D672*SQRT(-2*LN(RAND()))*COS(2*PI()*RAND()))*$E672*$J672*$K672)))</x:f>
        <x:v>1021.5863537768694</x:v>
      </x:c>
      <x:c r="H672" s="11" t="n">
        <x:f>IF($A672="","",$G672*$F672+$C672*(1-$F672))</x:f>
        <x:v>1085.5552238219043</x:v>
      </x:c>
      <x:c r="I672" s="11" t="n">
        <x:f>IF($A672="","",AVERAGE($H672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1129.5228053825645</x:v>
      </x:c>
      <x:c r="J672" s="12" t="n">
        <x:f>IF($A672="","",1+SUMIFS(Assumptions!$S$5:$S$10,Assumptions!$P$5:$P$10,$B672,Assumptions!$Q$5:$Q$10,"&lt;="&amp;$A672,Assumptions!$R$5:$R$10,"&gt;="&amp;$A672))</x:f>
        <x:v>1</x:v>
      </x:c>
      <x:c r="K672" s="12" t="n">
        <x:f>IF($A672="","",1+((($A672-Assumptions!$B$5)/30)*INDEX(Assumptions!$J$5:$J$12,MATCH($B672,Assumptions!$D$5:$D$12,0))))</x:f>
        <x:v>1.0089333333333332</x:v>
      </x:c>
      <x:c r="L672" t="str">
        <x:f>IF($A672="","",IFERROR(INDEX(Assumptions!$O$5:$O$10,MATCH(1,(Assumptions!$P$5:$P$10=$B672)*(Assumptions!$Q$5:$Q$10&lt;=$A672)*(Assumptions!$R$5:$R$10&gt;=$A672),0)),""))</x:f>
      </x:c>
      <x:c r="M672" t="n">
        <x:f>--($A672&lt;&gt;"")</x:f>
        <x:v>1</x:v>
      </x:c>
    </x:row>
    <x:row r="673">
      <x:c r="A673" s="10" t="n">
        <x:f>IF(Assumptions!$B$5+INT((ROW()-2)/Assumptions!$B$7)&gt;Assumptions!$B$6,"",Assumptions!$B$5+INT((ROW()-2)/Assumptions!$B$7))</x:f>
        <x:v>46157</x:v>
      </x:c>
      <x:c r="B673" t="str">
        <x:f>IF($A673="","",INDEX(Assumptions!$D$5:$D$12,MOD(ROW()-2,Assumptions!$B$7)+1))</x:f>
        <x:v>LV-426 North</x:v>
      </x:c>
      <x:c r="C673" s="11" t="n">
        <x:f>IF($A673="","",INDEX(Assumptions!$F$5:$F$12,MATCH($B673,Assumptions!$D$5:$D$12,0)))</x:f>
        <x:v>930</x:v>
      </x:c>
      <x:c r="D673" s="11" t="n">
        <x:f>IF($A673="","",INDEX(Assumptions!$G$5:$G$12,MATCH($B673,Assumptions!$D$5:$D$12,0)))</x:f>
        <x:v>95</x:v>
      </x:c>
      <x:c r="E673" s="11" t="n">
        <x:f>IF($A673="","",INDEX(Assumptions!$M$5:$M$11,WEEKDAY($A673,2)))</x:f>
        <x:v>0.98</x:v>
      </x:c>
      <x:c r="F673" s="11" t="n">
        <x:f>IF($A673="","",Assumptions!$B$15)</x:f>
        <x:v>0.35</x:v>
      </x:c>
      <x:c r="G673" s="11" t="n">
        <x:f>IF($A673="","",MAX(INDEX(Assumptions!$H$5:$H$12,MATCH($B673,Assumptions!$D$5:$D$12,0)),MIN(INDEX(Assumptions!$I$5:$I$12,MATCH($B673,Assumptions!$D$5:$D$12,0)),($C673+$D673*SQRT(-2*LN(RAND()))*COS(2*PI()*RAND()))*$E673*$J673*$K673)))</x:f>
        <x:v>998.5179422541173</x:v>
      </x:c>
      <x:c r="H673" s="11" t="n">
        <x:f>IF($A673="","",$G673*$F673+$C673*(1-$F673))</x:f>
        <x:v>953.981279788941</x:v>
      </x:c>
      <x:c r="I673" s="11" t="n">
        <x:f>IF($A673="","",AVERAGE($H673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917.06080733156</x:v>
      </x:c>
      <x:c r="J673" s="12" t="n">
        <x:f>IF($A673="","",1+SUMIFS(Assumptions!$S$5:$S$10,Assumptions!$P$5:$P$10,$B673,Assumptions!$Q$5:$Q$10,"&lt;="&amp;$A673,Assumptions!$R$5:$R$10,"&gt;="&amp;$A673))</x:f>
        <x:v>1</x:v>
      </x:c>
      <x:c r="K673" s="12" t="n">
        <x:f>IF($A673="","",1+((($A673-Assumptions!$B$5)/30)*INDEX(Assumptions!$J$5:$J$12,MATCH($B673,Assumptions!$D$5:$D$12,0))))</x:f>
        <x:v>0.9955333333333334</x:v>
      </x:c>
      <x:c r="L673" t="str">
        <x:f>IF($A673="","",IFERROR(INDEX(Assumptions!$O$5:$O$10,MATCH(1,(Assumptions!$P$5:$P$10=$B673)*(Assumptions!$Q$5:$Q$10&lt;=$A673)*(Assumptions!$R$5:$R$10&gt;=$A673),0)),""))</x:f>
      </x:c>
      <x:c r="M673" t="n">
        <x:f>--($A673&lt;&gt;"")</x:f>
        <x:v>1</x:v>
      </x:c>
    </x:row>
    <x:row r="674">
      <x:c r="A674" s="10" t="n">
        <x:f>IF(Assumptions!$B$5+INT((ROW()-2)/Assumptions!$B$7)&gt;Assumptions!$B$6,"",Assumptions!$B$5+INT((ROW()-2)/Assumptions!$B$7))</x:f>
        <x:v>46157</x:v>
      </x:c>
      <x:c r="B674" t="str">
        <x:f>IF($A674="","",INDEX(Assumptions!$D$5:$D$12,MOD(ROW()-2,Assumptions!$B$7)+1))</x:f>
        <x:v>Nostromo Deep</x:v>
      </x:c>
      <x:c r="C674" s="11" t="n">
        <x:f>IF($A674="","",INDEX(Assumptions!$F$5:$F$12,MATCH($B674,Assumptions!$D$5:$D$12,0)))</x:f>
        <x:v>1260</x:v>
      </x:c>
      <x:c r="D674" s="11" t="n">
        <x:f>IF($A674="","",INDEX(Assumptions!$G$5:$G$12,MATCH($B674,Assumptions!$D$5:$D$12,0)))</x:f>
        <x:v>145</x:v>
      </x:c>
      <x:c r="E674" s="11" t="n">
        <x:f>IF($A674="","",INDEX(Assumptions!$M$5:$M$11,WEEKDAY($A674,2)))</x:f>
        <x:v>0.98</x:v>
      </x:c>
      <x:c r="F674" s="11" t="n">
        <x:f>IF($A674="","",Assumptions!$B$15)</x:f>
        <x:v>0.35</x:v>
      </x:c>
      <x:c r="G674" s="11" t="n">
        <x:f>IF($A674="","",MAX(INDEX(Assumptions!$H$5:$H$12,MATCH($B674,Assumptions!$D$5:$D$12,0)),MIN(INDEX(Assumptions!$I$5:$I$12,MATCH($B674,Assumptions!$D$5:$D$12,0)),($C674+$D674*SQRT(-2*LN(RAND()))*COS(2*PI()*RAND()))*$E674*$J674*$K674)))</x:f>
        <x:v>1239.50999258875</x:v>
      </x:c>
      <x:c r="H674" s="11" t="n">
        <x:f>IF($A674="","",$G674*$F674+$C674*(1-$F674))</x:f>
        <x:v>1252.8284974060625</x:v>
      </x:c>
      <x:c r="I674" s="11" t="n">
        <x:f>IF($A674="","",AVERAGE($H674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1266.8633705655702</x:v>
      </x:c>
      <x:c r="J674" s="12" t="n">
        <x:f>IF($A674="","",1+SUMIFS(Assumptions!$S$5:$S$10,Assumptions!$P$5:$P$10,$B674,Assumptions!$Q$5:$Q$10,"&lt;="&amp;$A674,Assumptions!$R$5:$R$10,"&gt;="&amp;$A674))</x:f>
        <x:v>1</x:v>
      </x:c>
      <x:c r="K674" s="12" t="n">
        <x:f>IF($A674="","",1+((($A674-Assumptions!$B$5)/30)*INDEX(Assumptions!$J$5:$J$12,MATCH($B674,Assumptions!$D$5:$D$12,0))))</x:f>
        <x:v>1.0134</x:v>
      </x:c>
      <x:c r="L674" t="str">
        <x:f>IF($A674="","",IFERROR(INDEX(Assumptions!$O$5:$O$10,MATCH(1,(Assumptions!$P$5:$P$10=$B674)*(Assumptions!$Q$5:$Q$10&lt;=$A674)*(Assumptions!$R$5:$R$10&gt;=$A674),0)),""))</x:f>
      </x:c>
      <x:c r="M674" t="n">
        <x:f>--($A674&lt;&gt;"")</x:f>
        <x:v>1</x:v>
      </x:c>
    </x:row>
    <x:row r="675">
      <x:c r="A675" s="10" t="n">
        <x:f>IF(Assumptions!$B$5+INT((ROW()-2)/Assumptions!$B$7)&gt;Assumptions!$B$6,"",Assumptions!$B$5+INT((ROW()-2)/Assumptions!$B$7))</x:f>
        <x:v>46157</x:v>
      </x:c>
      <x:c r="B675" t="str">
        <x:f>IF($A675="","",INDEX(Assumptions!$D$5:$D$12,MOD(ROW()-2,Assumptions!$B$7)+1))</x:f>
        <x:v>Hadley's Hope</x:v>
      </x:c>
      <x:c r="C675" s="11" t="n">
        <x:f>IF($A675="","",INDEX(Assumptions!$F$5:$F$12,MATCH($B675,Assumptions!$D$5:$D$12,0)))</x:f>
        <x:v>845</x:v>
      </x:c>
      <x:c r="D675" s="11" t="n">
        <x:f>IF($A675="","",INDEX(Assumptions!$G$5:$G$12,MATCH($B675,Assumptions!$D$5:$D$12,0)))</x:f>
        <x:v>80</x:v>
      </x:c>
      <x:c r="E675" s="11" t="n">
        <x:f>IF($A675="","",INDEX(Assumptions!$M$5:$M$11,WEEKDAY($A675,2)))</x:f>
        <x:v>0.98</x:v>
      </x:c>
      <x:c r="F675" s="11" t="n">
        <x:f>IF($A675="","",Assumptions!$B$15)</x:f>
        <x:v>0.35</x:v>
      </x:c>
      <x:c r="G675" s="11" t="n">
        <x:f>IF($A675="","",MAX(INDEX(Assumptions!$H$5:$H$12,MATCH($B675,Assumptions!$D$5:$D$12,0)),MIN(INDEX(Assumptions!$I$5:$I$12,MATCH($B675,Assumptions!$D$5:$D$12,0)),($C675+$D675*SQRT(-2*LN(RAND()))*COS(2*PI()*RAND()))*$E675*$J675*$K675)))</x:f>
        <x:v>783.3691295695276</x:v>
      </x:c>
      <x:c r="H675" s="11" t="n">
        <x:f>IF($A675="","",$G675*$F675+$C675*(1-$F675))</x:f>
        <x:v>823.4291953493346</x:v>
      </x:c>
      <x:c r="I675" s="11" t="n">
        <x:f>IF($A675="","",AVERAGE($H675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837.4039052458694</x:v>
      </x:c>
      <x:c r="J675" s="12" t="n">
        <x:f>IF($A675="","",1+SUMIFS(Assumptions!$S$5:$S$10,Assumptions!$P$5:$P$10,$B675,Assumptions!$Q$5:$Q$10,"&lt;="&amp;$A675,Assumptions!$R$5:$R$10,"&gt;="&amp;$A675))</x:f>
        <x:v>1</x:v>
      </x:c>
      <x:c r="K675" s="12" t="n">
        <x:f>IF($A675="","",1+((($A675-Assumptions!$B$5)/30)*INDEX(Assumptions!$J$5:$J$12,MATCH($B675,Assumptions!$D$5:$D$12,0))))</x:f>
        <x:v>1.0044666666666666</x:v>
      </x:c>
      <x:c r="L675" t="str">
        <x:f>IF($A675="","",IFERROR(INDEX(Assumptions!$O$5:$O$10,MATCH(1,(Assumptions!$P$5:$P$10=$B675)*(Assumptions!$Q$5:$Q$10&lt;=$A675)*(Assumptions!$R$5:$R$10&gt;=$A675),0)),""))</x:f>
      </x:c>
      <x:c r="M675" t="n">
        <x:f>--($A675&lt;&gt;"")</x:f>
        <x:v>1</x:v>
      </x:c>
    </x:row>
    <x:row r="676">
      <x:c r="A676" s="10" t="n">
        <x:f>IF(Assumptions!$B$5+INT((ROW()-2)/Assumptions!$B$7)&gt;Assumptions!$B$6,"",Assumptions!$B$5+INT((ROW()-2)/Assumptions!$B$7))</x:f>
        <x:v>46157</x:v>
      </x:c>
      <x:c r="B676" t="str">
        <x:f>IF($A676="","",INDEX(Assumptions!$D$5:$D$12,MOD(ROW()-2,Assumptions!$B$7)+1))</x:f>
        <x:v>Yutani Ridge</x:v>
      </x:c>
      <x:c r="C676" s="11" t="n">
        <x:f>IF($A676="","",INDEX(Assumptions!$F$5:$F$12,MATCH($B676,Assumptions!$D$5:$D$12,0)))</x:f>
        <x:v>1050</x:v>
      </x:c>
      <x:c r="D676" s="11" t="n">
        <x:f>IF($A676="","",INDEX(Assumptions!$G$5:$G$12,MATCH($B676,Assumptions!$D$5:$D$12,0)))</x:f>
        <x:v>125</x:v>
      </x:c>
      <x:c r="E676" s="11" t="n">
        <x:f>IF($A676="","",INDEX(Assumptions!$M$5:$M$11,WEEKDAY($A676,2)))</x:f>
        <x:v>0.98</x:v>
      </x:c>
      <x:c r="F676" s="11" t="n">
        <x:f>IF($A676="","",Assumptions!$B$15)</x:f>
        <x:v>0.35</x:v>
      </x:c>
      <x:c r="G676" s="11" t="n">
        <x:f>IF($A676="","",MAX(INDEX(Assumptions!$H$5:$H$12,MATCH($B676,Assumptions!$D$5:$D$12,0)),MIN(INDEX(Assumptions!$I$5:$I$12,MATCH($B676,Assumptions!$D$5:$D$12,0)),($C676+$D676*SQRT(-2*LN(RAND()))*COS(2*PI()*RAND()))*$E676*$J676*$K676)))</x:f>
        <x:v>1067.6620895861029</x:v>
      </x:c>
      <x:c r="H676" s="11" t="n">
        <x:f>IF($A676="","",$G676*$F676+$C676*(1-$F676))</x:f>
        <x:v>1056.181731355136</x:v>
      </x:c>
      <x:c r="I676" s="11" t="n">
        <x:f>IF($A676="","",AVERAGE($H676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1041.572530131533</x:v>
      </x:c>
      <x:c r="J676" s="12" t="n">
        <x:f>IF($A676="","",1+SUMIFS(Assumptions!$S$5:$S$10,Assumptions!$P$5:$P$10,$B676,Assumptions!$Q$5:$Q$10,"&lt;="&amp;$A676,Assumptions!$R$5:$R$10,"&gt;="&amp;$A676))</x:f>
        <x:v>1</x:v>
      </x:c>
      <x:c r="K676" s="12" t="n">
        <x:f>IF($A676="","",1+((($A676-Assumptions!$B$5)/30)*INDEX(Assumptions!$J$5:$J$12,MATCH($B676,Assumptions!$D$5:$D$12,0))))</x:f>
        <x:v>1.0111666666666668</x:v>
      </x:c>
      <x:c r="L676" t="str">
        <x:f>IF($A676="","",IFERROR(INDEX(Assumptions!$O$5:$O$10,MATCH(1,(Assumptions!$P$5:$P$10=$B676)*(Assumptions!$Q$5:$Q$10&lt;=$A676)*(Assumptions!$R$5:$R$10&gt;=$A676),0)),""))</x:f>
      </x:c>
      <x:c r="M676" t="n">
        <x:f>--($A676&lt;&gt;"")</x:f>
        <x:v>1</x:v>
      </x:c>
    </x:row>
    <x:row r="677">
      <x:c r="A677" s="10" t="n">
        <x:f>IF(Assumptions!$B$5+INT((ROW()-2)/Assumptions!$B$7)&gt;Assumptions!$B$6,"",Assumptions!$B$5+INT((ROW()-2)/Assumptions!$B$7))</x:f>
        <x:v>46158</x:v>
      </x:c>
      <x:c r="B677" t="str">
        <x:f>IF($A677="","",INDEX(Assumptions!$D$5:$D$12,MOD(ROW()-2,Assumptions!$B$7)+1))</x:f>
        <x:v>Acheron Prime</x:v>
      </x:c>
      <x:c r="C677" s="11" t="n">
        <x:f>IF($A677="","",INDEX(Assumptions!$F$5:$F$12,MATCH($B677,Assumptions!$D$5:$D$12,0)))</x:f>
        <x:v>1120</x:v>
      </x:c>
      <x:c r="D677" s="11" t="n">
        <x:f>IF($A677="","",INDEX(Assumptions!$G$5:$G$12,MATCH($B677,Assumptions!$D$5:$D$12,0)))</x:f>
        <x:v>115</x:v>
      </x:c>
      <x:c r="E677" s="11" t="n">
        <x:f>IF($A677="","",INDEX(Assumptions!$M$5:$M$11,WEEKDAY($A677,2)))</x:f>
        <x:v>0.91</x:v>
      </x:c>
      <x:c r="F677" s="11" t="n">
        <x:f>IF($A677="","",Assumptions!$B$15)</x:f>
        <x:v>0.35</x:v>
      </x:c>
      <x:c r="G677" s="11" t="n">
        <x:f>IF($A677="","",MAX(INDEX(Assumptions!$H$5:$H$12,MATCH($B677,Assumptions!$D$5:$D$12,0)),MIN(INDEX(Assumptions!$I$5:$I$12,MATCH($B677,Assumptions!$D$5:$D$12,0)),($C677+$D677*SQRT(-2*LN(RAND()))*COS(2*PI()*RAND()))*$E677*$J677*$K677)))</x:f>
        <x:v>1057.8579616027712</x:v>
      </x:c>
      <x:c r="H677" s="11" t="n">
        <x:f>IF($A677="","",$G677*$F677+$C677*(1-$F677))</x:f>
        <x:v>1098.25028656097</x:v>
      </x:c>
      <x:c r="I677" s="11" t="n">
        <x:f>IF($A677="","",AVERAGE($H677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1126.2645972334471</x:v>
      </x:c>
      <x:c r="J677" s="12" t="n">
        <x:f>IF($A677="","",1+SUMIFS(Assumptions!$S$5:$S$10,Assumptions!$P$5:$P$10,$B677,Assumptions!$Q$5:$Q$10,"&lt;="&amp;$A677,Assumptions!$R$5:$R$10,"&gt;="&amp;$A677))</x:f>
        <x:v>1</x:v>
      </x:c>
      <x:c r="K677" s="12" t="n">
        <x:f>IF($A677="","",1+((($A677-Assumptions!$B$5)/30)*INDEX(Assumptions!$J$5:$J$12,MATCH($B677,Assumptions!$D$5:$D$12,0))))</x:f>
        <x:v>1.009</x:v>
      </x:c>
      <x:c r="L677" t="str">
        <x:f>IF($A677="","",IFERROR(INDEX(Assumptions!$O$5:$O$10,MATCH(1,(Assumptions!$P$5:$P$10=$B677)*(Assumptions!$Q$5:$Q$10&lt;=$A677)*(Assumptions!$R$5:$R$10&gt;=$A677),0)),""))</x:f>
      </x:c>
      <x:c r="M677" t="n">
        <x:f>--($A677&lt;&gt;"")</x:f>
        <x:v>1</x:v>
      </x:c>
    </x:row>
    <x:row r="678">
      <x:c r="A678" s="10" t="n">
        <x:f>IF(Assumptions!$B$5+INT((ROW()-2)/Assumptions!$B$7)&gt;Assumptions!$B$6,"",Assumptions!$B$5+INT((ROW()-2)/Assumptions!$B$7))</x:f>
        <x:v>46158</x:v>
      </x:c>
      <x:c r="B678" t="str">
        <x:f>IF($A678="","",INDEX(Assumptions!$D$5:$D$12,MOD(ROW()-2,Assumptions!$B$7)+1))</x:f>
        <x:v>LV-426 North</x:v>
      </x:c>
      <x:c r="C678" s="11" t="n">
        <x:f>IF($A678="","",INDEX(Assumptions!$F$5:$F$12,MATCH($B678,Assumptions!$D$5:$D$12,0)))</x:f>
        <x:v>930</x:v>
      </x:c>
      <x:c r="D678" s="11" t="n">
        <x:f>IF($A678="","",INDEX(Assumptions!$G$5:$G$12,MATCH($B678,Assumptions!$D$5:$D$12,0)))</x:f>
        <x:v>95</x:v>
      </x:c>
      <x:c r="E678" s="11" t="n">
        <x:f>IF($A678="","",INDEX(Assumptions!$M$5:$M$11,WEEKDAY($A678,2)))</x:f>
        <x:v>0.91</x:v>
      </x:c>
      <x:c r="F678" s="11" t="n">
        <x:f>IF($A678="","",Assumptions!$B$15)</x:f>
        <x:v>0.35</x:v>
      </x:c>
      <x:c r="G678" s="11" t="n">
        <x:f>IF($A678="","",MAX(INDEX(Assumptions!$H$5:$H$12,MATCH($B678,Assumptions!$D$5:$D$12,0)),MIN(INDEX(Assumptions!$I$5:$I$12,MATCH($B678,Assumptions!$D$5:$D$12,0)),($C678+$D678*SQRT(-2*LN(RAND()))*COS(2*PI()*RAND()))*$E678*$J678*$K678)))</x:f>
        <x:v>955.667987929043</x:v>
      </x:c>
      <x:c r="H678" s="11" t="n">
        <x:f>IF($A678="","",$G678*$F678+$C678*(1-$F678))</x:f>
        <x:v>938.9837957751649</x:v>
      </x:c>
      <x:c r="I678" s="11" t="n">
        <x:f>IF($A678="","",AVERAGE($H678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922.9379493934563</x:v>
      </x:c>
      <x:c r="J678" s="12" t="n">
        <x:f>IF($A678="","",1+SUMIFS(Assumptions!$S$5:$S$10,Assumptions!$P$5:$P$10,$B678,Assumptions!$Q$5:$Q$10,"&lt;="&amp;$A678,Assumptions!$R$5:$R$10,"&gt;="&amp;$A678))</x:f>
        <x:v>1</x:v>
      </x:c>
      <x:c r="K678" s="12" t="n">
        <x:f>IF($A678="","",1+((($A678-Assumptions!$B$5)/30)*INDEX(Assumptions!$J$5:$J$12,MATCH($B678,Assumptions!$D$5:$D$12,0))))</x:f>
        <x:v>0.9955</x:v>
      </x:c>
      <x:c r="L678" t="str">
        <x:f>IF($A678="","",IFERROR(INDEX(Assumptions!$O$5:$O$10,MATCH(1,(Assumptions!$P$5:$P$10=$B678)*(Assumptions!$Q$5:$Q$10&lt;=$A678)*(Assumptions!$R$5:$R$10&gt;=$A678),0)),""))</x:f>
      </x:c>
      <x:c r="M678" t="n">
        <x:f>--($A678&lt;&gt;"")</x:f>
        <x:v>1</x:v>
      </x:c>
    </x:row>
    <x:row r="679">
      <x:c r="A679" s="10" t="n">
        <x:f>IF(Assumptions!$B$5+INT((ROW()-2)/Assumptions!$B$7)&gt;Assumptions!$B$6,"",Assumptions!$B$5+INT((ROW()-2)/Assumptions!$B$7))</x:f>
        <x:v>46158</x:v>
      </x:c>
      <x:c r="B679" t="str">
        <x:f>IF($A679="","",INDEX(Assumptions!$D$5:$D$12,MOD(ROW()-2,Assumptions!$B$7)+1))</x:f>
        <x:v>Nostromo Deep</x:v>
      </x:c>
      <x:c r="C679" s="11" t="n">
        <x:f>IF($A679="","",INDEX(Assumptions!$F$5:$F$12,MATCH($B679,Assumptions!$D$5:$D$12,0)))</x:f>
        <x:v>1260</x:v>
      </x:c>
      <x:c r="D679" s="11" t="n">
        <x:f>IF($A679="","",INDEX(Assumptions!$G$5:$G$12,MATCH($B679,Assumptions!$D$5:$D$12,0)))</x:f>
        <x:v>145</x:v>
      </x:c>
      <x:c r="E679" s="11" t="n">
        <x:f>IF($A679="","",INDEX(Assumptions!$M$5:$M$11,WEEKDAY($A679,2)))</x:f>
        <x:v>0.91</x:v>
      </x:c>
      <x:c r="F679" s="11" t="n">
        <x:f>IF($A679="","",Assumptions!$B$15)</x:f>
        <x:v>0.35</x:v>
      </x:c>
      <x:c r="G679" s="11" t="n">
        <x:f>IF($A679="","",MAX(INDEX(Assumptions!$H$5:$H$12,MATCH($B679,Assumptions!$D$5:$D$12,0)),MIN(INDEX(Assumptions!$I$5:$I$12,MATCH($B679,Assumptions!$D$5:$D$12,0)),($C679+$D679*SQRT(-2*LN(RAND()))*COS(2*PI()*RAND()))*$E679*$J679*$K679)))</x:f>
        <x:v>835.51093443306</x:v>
      </x:c>
      <x:c r="H679" s="11" t="n">
        <x:f>IF($A679="","",$G679*$F679+$C679*(1-$F679))</x:f>
        <x:v>1111.428827051571</x:v>
      </x:c>
      <x:c r="I679" s="11" t="n">
        <x:f>IF($A679="","",AVERAGE($H679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1257.6335934969768</x:v>
      </x:c>
      <x:c r="J679" s="12" t="n">
        <x:f>IF($A679="","",1+SUMIFS(Assumptions!$S$5:$S$10,Assumptions!$P$5:$P$10,$B679,Assumptions!$Q$5:$Q$10,"&lt;="&amp;$A679,Assumptions!$R$5:$R$10,"&gt;="&amp;$A679))</x:f>
        <x:v>1</x:v>
      </x:c>
      <x:c r="K679" s="12" t="n">
        <x:f>IF($A679="","",1+((($A679-Assumptions!$B$5)/30)*INDEX(Assumptions!$J$5:$J$12,MATCH($B679,Assumptions!$D$5:$D$12,0))))</x:f>
        <x:v>1.0135</x:v>
      </x:c>
      <x:c r="L679" t="str">
        <x:f>IF($A679="","",IFERROR(INDEX(Assumptions!$O$5:$O$10,MATCH(1,(Assumptions!$P$5:$P$10=$B679)*(Assumptions!$Q$5:$Q$10&lt;=$A679)*(Assumptions!$R$5:$R$10&gt;=$A679),0)),""))</x:f>
      </x:c>
      <x:c r="M679" t="n">
        <x:f>--($A679&lt;&gt;"")</x:f>
        <x:v>1</x:v>
      </x:c>
    </x:row>
    <x:row r="680">
      <x:c r="A680" s="10" t="n">
        <x:f>IF(Assumptions!$B$5+INT((ROW()-2)/Assumptions!$B$7)&gt;Assumptions!$B$6,"",Assumptions!$B$5+INT((ROW()-2)/Assumptions!$B$7))</x:f>
        <x:v>46158</x:v>
      </x:c>
      <x:c r="B680" t="str">
        <x:f>IF($A680="","",INDEX(Assumptions!$D$5:$D$12,MOD(ROW()-2,Assumptions!$B$7)+1))</x:f>
        <x:v>Hadley's Hope</x:v>
      </x:c>
      <x:c r="C680" s="11" t="n">
        <x:f>IF($A680="","",INDEX(Assumptions!$F$5:$F$12,MATCH($B680,Assumptions!$D$5:$D$12,0)))</x:f>
        <x:v>845</x:v>
      </x:c>
      <x:c r="D680" s="11" t="n">
        <x:f>IF($A680="","",INDEX(Assumptions!$G$5:$G$12,MATCH($B680,Assumptions!$D$5:$D$12,0)))</x:f>
        <x:v>80</x:v>
      </x:c>
      <x:c r="E680" s="11" t="n">
        <x:f>IF($A680="","",INDEX(Assumptions!$M$5:$M$11,WEEKDAY($A680,2)))</x:f>
        <x:v>0.91</x:v>
      </x:c>
      <x:c r="F680" s="11" t="n">
        <x:f>IF($A680="","",Assumptions!$B$15)</x:f>
        <x:v>0.35</x:v>
      </x:c>
      <x:c r="G680" s="11" t="n">
        <x:f>IF($A680="","",MAX(INDEX(Assumptions!$H$5:$H$12,MATCH($B680,Assumptions!$D$5:$D$12,0)),MIN(INDEX(Assumptions!$I$5:$I$12,MATCH($B680,Assumptions!$D$5:$D$12,0)),($C680+$D680*SQRT(-2*LN(RAND()))*COS(2*PI()*RAND()))*$E680*$J680*$K680)))</x:f>
        <x:v>784.3892010072309</x:v>
      </x:c>
      <x:c r="H680" s="11" t="n">
        <x:f>IF($A680="","",$G680*$F680+$C680*(1-$F680))</x:f>
        <x:v>823.7862203525308</x:v>
      </x:c>
      <x:c r="I680" s="11" t="n">
        <x:f>IF($A680="","",AVERAGE($H680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837.6167091434055</x:v>
      </x:c>
      <x:c r="J680" s="12" t="n">
        <x:f>IF($A680="","",1+SUMIFS(Assumptions!$S$5:$S$10,Assumptions!$P$5:$P$10,$B680,Assumptions!$Q$5:$Q$10,"&lt;="&amp;$A680,Assumptions!$R$5:$R$10,"&gt;="&amp;$A680))</x:f>
        <x:v>1</x:v>
      </x:c>
      <x:c r="K680" s="12" t="n">
        <x:f>IF($A680="","",1+((($A680-Assumptions!$B$5)/30)*INDEX(Assumptions!$J$5:$J$12,MATCH($B680,Assumptions!$D$5:$D$12,0))))</x:f>
        <x:v>1.0045</x:v>
      </x:c>
      <x:c r="L680" t="str">
        <x:f>IF($A680="","",IFERROR(INDEX(Assumptions!$O$5:$O$10,MATCH(1,(Assumptions!$P$5:$P$10=$B680)*(Assumptions!$Q$5:$Q$10&lt;=$A680)*(Assumptions!$R$5:$R$10&gt;=$A680),0)),""))</x:f>
      </x:c>
      <x:c r="M680" t="n">
        <x:f>--($A680&lt;&gt;"")</x:f>
        <x:v>1</x:v>
      </x:c>
    </x:row>
    <x:row r="681">
      <x:c r="A681" s="10" t="n">
        <x:f>IF(Assumptions!$B$5+INT((ROW()-2)/Assumptions!$B$7)&gt;Assumptions!$B$6,"",Assumptions!$B$5+INT((ROW()-2)/Assumptions!$B$7))</x:f>
        <x:v>46158</x:v>
      </x:c>
      <x:c r="B681" t="str">
        <x:f>IF($A681="","",INDEX(Assumptions!$D$5:$D$12,MOD(ROW()-2,Assumptions!$B$7)+1))</x:f>
        <x:v>Yutani Ridge</x:v>
      </x:c>
      <x:c r="C681" s="11" t="n">
        <x:f>IF($A681="","",INDEX(Assumptions!$F$5:$F$12,MATCH($B681,Assumptions!$D$5:$D$12,0)))</x:f>
        <x:v>1050</x:v>
      </x:c>
      <x:c r="D681" s="11" t="n">
        <x:f>IF($A681="","",INDEX(Assumptions!$G$5:$G$12,MATCH($B681,Assumptions!$D$5:$D$12,0)))</x:f>
        <x:v>125</x:v>
      </x:c>
      <x:c r="E681" s="11" t="n">
        <x:f>IF($A681="","",INDEX(Assumptions!$M$5:$M$11,WEEKDAY($A681,2)))</x:f>
        <x:v>0.91</x:v>
      </x:c>
      <x:c r="F681" s="11" t="n">
        <x:f>IF($A681="","",Assumptions!$B$15)</x:f>
        <x:v>0.35</x:v>
      </x:c>
      <x:c r="G681" s="11" t="n">
        <x:f>IF($A681="","",MAX(INDEX(Assumptions!$H$5:$H$12,MATCH($B681,Assumptions!$D$5:$D$12,0)),MIN(INDEX(Assumptions!$I$5:$I$12,MATCH($B681,Assumptions!$D$5:$D$12,0)),($C681+$D681*SQRT(-2*LN(RAND()))*COS(2*PI()*RAND()))*$E681*$J681*$K681)))</x:f>
        <x:v>1165.9237150750066</x:v>
      </x:c>
      <x:c r="H681" s="11" t="n">
        <x:f>IF($A681="","",$G681*$F681+$C681*(1-$F681))</x:f>
        <x:v>1090.5733002762522</x:v>
      </x:c>
      <x:c r="I681" s="11" t="n">
        <x:f>IF($A681="","",AVERAGE($H681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1060.8177700513274</x:v>
      </x:c>
      <x:c r="J681" s="12" t="n">
        <x:f>IF($A681="","",1+SUMIFS(Assumptions!$S$5:$S$10,Assumptions!$P$5:$P$10,$B681,Assumptions!$Q$5:$Q$10,"&lt;="&amp;$A681,Assumptions!$R$5:$R$10,"&gt;="&amp;$A681))</x:f>
        <x:v>1</x:v>
      </x:c>
      <x:c r="K681" s="12" t="n">
        <x:f>IF($A681="","",1+((($A681-Assumptions!$B$5)/30)*INDEX(Assumptions!$J$5:$J$12,MATCH($B681,Assumptions!$D$5:$D$12,0))))</x:f>
        <x:v>1.01125</x:v>
      </x:c>
      <x:c r="L681" t="str">
        <x:f>IF($A681="","",IFERROR(INDEX(Assumptions!$O$5:$O$10,MATCH(1,(Assumptions!$P$5:$P$10=$B681)*(Assumptions!$Q$5:$Q$10&lt;=$A681)*(Assumptions!$R$5:$R$10&gt;=$A681),0)),""))</x:f>
      </x:c>
      <x:c r="M681" t="n">
        <x:f>--($A681&lt;&gt;"")</x:f>
        <x:v>1</x:v>
      </x:c>
    </x:row>
    <x:row r="682">
      <x:c r="A682" s="10" t="n">
        <x:f>IF(Assumptions!$B$5+INT((ROW()-2)/Assumptions!$B$7)&gt;Assumptions!$B$6,"",Assumptions!$B$5+INT((ROW()-2)/Assumptions!$B$7))</x:f>
        <x:v>46159</x:v>
      </x:c>
      <x:c r="B682" t="str">
        <x:f>IF($A682="","",INDEX(Assumptions!$D$5:$D$12,MOD(ROW()-2,Assumptions!$B$7)+1))</x:f>
        <x:v>Acheron Prime</x:v>
      </x:c>
      <x:c r="C682" s="11" t="n">
        <x:f>IF($A682="","",INDEX(Assumptions!$F$5:$F$12,MATCH($B682,Assumptions!$D$5:$D$12,0)))</x:f>
        <x:v>1120</x:v>
      </x:c>
      <x:c r="D682" s="11" t="n">
        <x:f>IF($A682="","",INDEX(Assumptions!$G$5:$G$12,MATCH($B682,Assumptions!$D$5:$D$12,0)))</x:f>
        <x:v>115</x:v>
      </x:c>
      <x:c r="E682" s="11" t="n">
        <x:f>IF($A682="","",INDEX(Assumptions!$M$5:$M$11,WEEKDAY($A682,2)))</x:f>
        <x:v>0.87</x:v>
      </x:c>
      <x:c r="F682" s="11" t="n">
        <x:f>IF($A682="","",Assumptions!$B$15)</x:f>
        <x:v>0.35</x:v>
      </x:c>
      <x:c r="G682" s="11" t="n">
        <x:f>IF($A682="","",MAX(INDEX(Assumptions!$H$5:$H$12,MATCH($B682,Assumptions!$D$5:$D$12,0)),MIN(INDEX(Assumptions!$I$5:$I$12,MATCH($B682,Assumptions!$D$5:$D$12,0)),($C682+$D682*SQRT(-2*LN(RAND()))*COS(2*PI()*RAND()))*$E682*$J682*$K682)))</x:f>
        <x:v>943.6249702026133</x:v>
      </x:c>
      <x:c r="H682" s="11" t="n">
        <x:f>IF($A682="","",$G682*$F682+$C682*(1-$F682))</x:f>
        <x:v>1058.2687395709147</x:v>
      </x:c>
      <x:c r="I682" s="11" t="n">
        <x:f>IF($A682="","",AVERAGE($H682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1124.1447230542096</x:v>
      </x:c>
      <x:c r="J682" s="12" t="n">
        <x:f>IF($A682="","",1+SUMIFS(Assumptions!$S$5:$S$10,Assumptions!$P$5:$P$10,$B682,Assumptions!$Q$5:$Q$10,"&lt;="&amp;$A682,Assumptions!$R$5:$R$10,"&gt;="&amp;$A682))</x:f>
        <x:v>1</x:v>
      </x:c>
      <x:c r="K682" s="12" t="n">
        <x:f>IF($A682="","",1+((($A682-Assumptions!$B$5)/30)*INDEX(Assumptions!$J$5:$J$12,MATCH($B682,Assumptions!$D$5:$D$12,0))))</x:f>
        <x:v>1.0090666666666666</x:v>
      </x:c>
      <x:c r="L682" t="str">
        <x:f>IF($A682="","",IFERROR(INDEX(Assumptions!$O$5:$O$10,MATCH(1,(Assumptions!$P$5:$P$10=$B682)*(Assumptions!$Q$5:$Q$10&lt;=$A682)*(Assumptions!$R$5:$R$10&gt;=$A682),0)),""))</x:f>
      </x:c>
      <x:c r="M682" t="n">
        <x:f>--($A682&lt;&gt;"")</x:f>
        <x:v>1</x:v>
      </x:c>
    </x:row>
    <x:row r="683">
      <x:c r="A683" s="10" t="n">
        <x:f>IF(Assumptions!$B$5+INT((ROW()-2)/Assumptions!$B$7)&gt;Assumptions!$B$6,"",Assumptions!$B$5+INT((ROW()-2)/Assumptions!$B$7))</x:f>
        <x:v>46159</x:v>
      </x:c>
      <x:c r="B683" t="str">
        <x:f>IF($A683="","",INDEX(Assumptions!$D$5:$D$12,MOD(ROW()-2,Assumptions!$B$7)+1))</x:f>
        <x:v>LV-426 North</x:v>
      </x:c>
      <x:c r="C683" s="11" t="n">
        <x:f>IF($A683="","",INDEX(Assumptions!$F$5:$F$12,MATCH($B683,Assumptions!$D$5:$D$12,0)))</x:f>
        <x:v>930</x:v>
      </x:c>
      <x:c r="D683" s="11" t="n">
        <x:f>IF($A683="","",INDEX(Assumptions!$G$5:$G$12,MATCH($B683,Assumptions!$D$5:$D$12,0)))</x:f>
        <x:v>95</x:v>
      </x:c>
      <x:c r="E683" s="11" t="n">
        <x:f>IF($A683="","",INDEX(Assumptions!$M$5:$M$11,WEEKDAY($A683,2)))</x:f>
        <x:v>0.87</x:v>
      </x:c>
      <x:c r="F683" s="11" t="n">
        <x:f>IF($A683="","",Assumptions!$B$15)</x:f>
        <x:v>0.35</x:v>
      </x:c>
      <x:c r="G683" s="11" t="n">
        <x:f>IF($A683="","",MAX(INDEX(Assumptions!$H$5:$H$12,MATCH($B683,Assumptions!$D$5:$D$12,0)),MIN(INDEX(Assumptions!$I$5:$I$12,MATCH($B683,Assumptions!$D$5:$D$12,0)),($C683+$D683*SQRT(-2*LN(RAND()))*COS(2*PI()*RAND()))*$E683*$J683*$K683)))</x:f>
        <x:v>929.5443956916289</x:v>
      </x:c>
      <x:c r="H683" s="11" t="n">
        <x:f>IF($A683="","",$G683*$F683+$C683*(1-$F683))</x:f>
        <x:v>929.8405384920701</x:v>
      </x:c>
      <x:c r="I683" s="11" t="n">
        <x:f>IF($A683="","",AVERAGE($H683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936.7385209849373</x:v>
      </x:c>
      <x:c r="J683" s="12" t="n">
        <x:f>IF($A683="","",1+SUMIFS(Assumptions!$S$5:$S$10,Assumptions!$P$5:$P$10,$B683,Assumptions!$Q$5:$Q$10,"&lt;="&amp;$A683,Assumptions!$R$5:$R$10,"&gt;="&amp;$A683))</x:f>
        <x:v>1</x:v>
      </x:c>
      <x:c r="K683" s="12" t="n">
        <x:f>IF($A683="","",1+((($A683-Assumptions!$B$5)/30)*INDEX(Assumptions!$J$5:$J$12,MATCH($B683,Assumptions!$D$5:$D$12,0))))</x:f>
        <x:v>0.9954666666666667</x:v>
      </x:c>
      <x:c r="L683" t="str">
        <x:f>IF($A683="","",IFERROR(INDEX(Assumptions!$O$5:$O$10,MATCH(1,(Assumptions!$P$5:$P$10=$B683)*(Assumptions!$Q$5:$Q$10&lt;=$A683)*(Assumptions!$R$5:$R$10&gt;=$A683),0)),""))</x:f>
      </x:c>
      <x:c r="M683" t="n">
        <x:f>--($A683&lt;&gt;"")</x:f>
        <x:v>1</x:v>
      </x:c>
    </x:row>
    <x:row r="684">
      <x:c r="A684" s="10" t="n">
        <x:f>IF(Assumptions!$B$5+INT((ROW()-2)/Assumptions!$B$7)&gt;Assumptions!$B$6,"",Assumptions!$B$5+INT((ROW()-2)/Assumptions!$B$7))</x:f>
        <x:v>46159</x:v>
      </x:c>
      <x:c r="B684" t="str">
        <x:f>IF($A684="","",INDEX(Assumptions!$D$5:$D$12,MOD(ROW()-2,Assumptions!$B$7)+1))</x:f>
        <x:v>Nostromo Deep</x:v>
      </x:c>
      <x:c r="C684" s="11" t="n">
        <x:f>IF($A684="","",INDEX(Assumptions!$F$5:$F$12,MATCH($B684,Assumptions!$D$5:$D$12,0)))</x:f>
        <x:v>1260</x:v>
      </x:c>
      <x:c r="D684" s="11" t="n">
        <x:f>IF($A684="","",INDEX(Assumptions!$G$5:$G$12,MATCH($B684,Assumptions!$D$5:$D$12,0)))</x:f>
        <x:v>145</x:v>
      </x:c>
      <x:c r="E684" s="11" t="n">
        <x:f>IF($A684="","",INDEX(Assumptions!$M$5:$M$11,WEEKDAY($A684,2)))</x:f>
        <x:v>0.87</x:v>
      </x:c>
      <x:c r="F684" s="11" t="n">
        <x:f>IF($A684="","",Assumptions!$B$15)</x:f>
        <x:v>0.35</x:v>
      </x:c>
      <x:c r="G684" s="11" t="n">
        <x:f>IF($A684="","",MAX(INDEX(Assumptions!$H$5:$H$12,MATCH($B684,Assumptions!$D$5:$D$12,0)),MIN(INDEX(Assumptions!$I$5:$I$12,MATCH($B684,Assumptions!$D$5:$D$12,0)),($C684+$D684*SQRT(-2*LN(RAND()))*COS(2*PI()*RAND()))*$E684*$J684*$K684)))</x:f>
        <x:v>820</x:v>
      </x:c>
      <x:c r="H684" s="11" t="n">
        <x:f>IF($A684="","",$G684*$F684+$C684*(1-$F684))</x:f>
        <x:v>1106</x:v>
      </x:c>
      <x:c r="I684" s="11" t="n">
        <x:f>IF($A684="","",AVERAGE($H684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1248.5313262788798</x:v>
      </x:c>
      <x:c r="J684" s="12" t="n">
        <x:f>IF($A684="","",1+SUMIFS(Assumptions!$S$5:$S$10,Assumptions!$P$5:$P$10,$B684,Assumptions!$Q$5:$Q$10,"&lt;="&amp;$A684,Assumptions!$R$5:$R$10,"&gt;="&amp;$A684))</x:f>
        <x:v>1</x:v>
      </x:c>
      <x:c r="K684" s="12" t="n">
        <x:f>IF($A684="","",1+((($A684-Assumptions!$B$5)/30)*INDEX(Assumptions!$J$5:$J$12,MATCH($B684,Assumptions!$D$5:$D$12,0))))</x:f>
        <x:v>1.0136</x:v>
      </x:c>
      <x:c r="L684" t="str">
        <x:f>IF($A684="","",IFERROR(INDEX(Assumptions!$O$5:$O$10,MATCH(1,(Assumptions!$P$5:$P$10=$B684)*(Assumptions!$Q$5:$Q$10&lt;=$A684)*(Assumptions!$R$5:$R$10&gt;=$A684),0)),""))</x:f>
      </x:c>
      <x:c r="M684" t="n">
        <x:f>--($A684&lt;&gt;"")</x:f>
        <x:v>1</x:v>
      </x:c>
    </x:row>
    <x:row r="685">
      <x:c r="A685" s="10" t="n">
        <x:f>IF(Assumptions!$B$5+INT((ROW()-2)/Assumptions!$B$7)&gt;Assumptions!$B$6,"",Assumptions!$B$5+INT((ROW()-2)/Assumptions!$B$7))</x:f>
        <x:v>46159</x:v>
      </x:c>
      <x:c r="B685" t="str">
        <x:f>IF($A685="","",INDEX(Assumptions!$D$5:$D$12,MOD(ROW()-2,Assumptions!$B$7)+1))</x:f>
        <x:v>Hadley's Hope</x:v>
      </x:c>
      <x:c r="C685" s="11" t="n">
        <x:f>IF($A685="","",INDEX(Assumptions!$F$5:$F$12,MATCH($B685,Assumptions!$D$5:$D$12,0)))</x:f>
        <x:v>845</x:v>
      </x:c>
      <x:c r="D685" s="11" t="n">
        <x:f>IF($A685="","",INDEX(Assumptions!$G$5:$G$12,MATCH($B685,Assumptions!$D$5:$D$12,0)))</x:f>
        <x:v>80</x:v>
      </x:c>
      <x:c r="E685" s="11" t="n">
        <x:f>IF($A685="","",INDEX(Assumptions!$M$5:$M$11,WEEKDAY($A685,2)))</x:f>
        <x:v>0.87</x:v>
      </x:c>
      <x:c r="F685" s="11" t="n">
        <x:f>IF($A685="","",Assumptions!$B$15)</x:f>
        <x:v>0.35</x:v>
      </x:c>
      <x:c r="G685" s="11" t="n">
        <x:f>IF($A685="","",MAX(INDEX(Assumptions!$H$5:$H$12,MATCH($B685,Assumptions!$D$5:$D$12,0)),MIN(INDEX(Assumptions!$I$5:$I$12,MATCH($B685,Assumptions!$D$5:$D$12,0)),($C685+$D685*SQRT(-2*LN(RAND()))*COS(2*PI()*RAND()))*$E685*$J685*$K685)))</x:f>
        <x:v>728.5900807644425</x:v>
      </x:c>
      <x:c r="H685" s="11" t="n">
        <x:f>IF($A685="","",$G685*$F685+$C685*(1-$F685))</x:f>
        <x:v>804.2565282675548</x:v>
      </x:c>
      <x:c r="I685" s="11" t="n">
        <x:f>IF($A685="","",AVERAGE($H685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835.6937165871532</x:v>
      </x:c>
      <x:c r="J685" s="12" t="n">
        <x:f>IF($A685="","",1+SUMIFS(Assumptions!$S$5:$S$10,Assumptions!$P$5:$P$10,$B685,Assumptions!$Q$5:$Q$10,"&lt;="&amp;$A685,Assumptions!$R$5:$R$10,"&gt;="&amp;$A685))</x:f>
        <x:v>1</x:v>
      </x:c>
      <x:c r="K685" s="12" t="n">
        <x:f>IF($A685="","",1+((($A685-Assumptions!$B$5)/30)*INDEX(Assumptions!$J$5:$J$12,MATCH($B685,Assumptions!$D$5:$D$12,0))))</x:f>
        <x:v>1.0045333333333333</x:v>
      </x:c>
      <x:c r="L685" t="str">
        <x:f>IF($A685="","",IFERROR(INDEX(Assumptions!$O$5:$O$10,MATCH(1,(Assumptions!$P$5:$P$10=$B685)*(Assumptions!$Q$5:$Q$10&lt;=$A685)*(Assumptions!$R$5:$R$10&gt;=$A685),0)),""))</x:f>
      </x:c>
      <x:c r="M685" t="n">
        <x:f>--($A685&lt;&gt;"")</x:f>
        <x:v>1</x:v>
      </x:c>
    </x:row>
    <x:row r="686">
      <x:c r="A686" s="10" t="n">
        <x:f>IF(Assumptions!$B$5+INT((ROW()-2)/Assumptions!$B$7)&gt;Assumptions!$B$6,"",Assumptions!$B$5+INT((ROW()-2)/Assumptions!$B$7))</x:f>
        <x:v>46159</x:v>
      </x:c>
      <x:c r="B686" t="str">
        <x:f>IF($A686="","",INDEX(Assumptions!$D$5:$D$12,MOD(ROW()-2,Assumptions!$B$7)+1))</x:f>
        <x:v>Yutani Ridge</x:v>
      </x:c>
      <x:c r="C686" s="11" t="n">
        <x:f>IF($A686="","",INDEX(Assumptions!$F$5:$F$12,MATCH($B686,Assumptions!$D$5:$D$12,0)))</x:f>
        <x:v>1050</x:v>
      </x:c>
      <x:c r="D686" s="11" t="n">
        <x:f>IF($A686="","",INDEX(Assumptions!$G$5:$G$12,MATCH($B686,Assumptions!$D$5:$D$12,0)))</x:f>
        <x:v>125</x:v>
      </x:c>
      <x:c r="E686" s="11" t="n">
        <x:f>IF($A686="","",INDEX(Assumptions!$M$5:$M$11,WEEKDAY($A686,2)))</x:f>
        <x:v>0.87</x:v>
      </x:c>
      <x:c r="F686" s="11" t="n">
        <x:f>IF($A686="","",Assumptions!$B$15)</x:f>
        <x:v>0.35</x:v>
      </x:c>
      <x:c r="G686" s="11" t="n">
        <x:f>IF($A686="","",MAX(INDEX(Assumptions!$H$5:$H$12,MATCH($B686,Assumptions!$D$5:$D$12,0)),MIN(INDEX(Assumptions!$I$5:$I$12,MATCH($B686,Assumptions!$D$5:$D$12,0)),($C686+$D686*SQRT(-2*LN(RAND()))*COS(2*PI()*RAND()))*$E686*$J686*$K686)))</x:f>
        <x:v>1023.4664016965286</x:v>
      </x:c>
      <x:c r="H686" s="11" t="n">
        <x:f>IF($A686="","",$G686*$F686+$C686*(1-$F686))</x:f>
        <x:v>1040.713240593785</x:v>
      </x:c>
      <x:c r="I686" s="11" t="n">
        <x:f>IF($A686="","",AVERAGE($H686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1065.5418734132293</x:v>
      </x:c>
      <x:c r="J686" s="12" t="n">
        <x:f>IF($A686="","",1+SUMIFS(Assumptions!$S$5:$S$10,Assumptions!$P$5:$P$10,$B686,Assumptions!$Q$5:$Q$10,"&lt;="&amp;$A686,Assumptions!$R$5:$R$10,"&gt;="&amp;$A686))</x:f>
        <x:v>1</x:v>
      </x:c>
      <x:c r="K686" s="12" t="n">
        <x:f>IF($A686="","",1+((($A686-Assumptions!$B$5)/30)*INDEX(Assumptions!$J$5:$J$12,MATCH($B686,Assumptions!$D$5:$D$12,0))))</x:f>
        <x:v>1.0113333333333334</x:v>
      </x:c>
      <x:c r="L686" t="str">
        <x:f>IF($A686="","",IFERROR(INDEX(Assumptions!$O$5:$O$10,MATCH(1,(Assumptions!$P$5:$P$10=$B686)*(Assumptions!$Q$5:$Q$10&lt;=$A686)*(Assumptions!$R$5:$R$10&gt;=$A686),0)),""))</x:f>
      </x:c>
      <x:c r="M686" t="n">
        <x:f>--($A686&lt;&gt;"")</x:f>
        <x:v>1</x:v>
      </x:c>
    </x:row>
    <x:row r="687">
      <x:c r="A687" s="10" t="n">
        <x:f>IF(Assumptions!$B$5+INT((ROW()-2)/Assumptions!$B$7)&gt;Assumptions!$B$6,"",Assumptions!$B$5+INT((ROW()-2)/Assumptions!$B$7))</x:f>
        <x:v>46160</x:v>
      </x:c>
      <x:c r="B687" t="str">
        <x:f>IF($A687="","",INDEX(Assumptions!$D$5:$D$12,MOD(ROW()-2,Assumptions!$B$7)+1))</x:f>
        <x:v>Acheron Prime</x:v>
      </x:c>
      <x:c r="C687" s="11" t="n">
        <x:f>IF($A687="","",INDEX(Assumptions!$F$5:$F$12,MATCH($B687,Assumptions!$D$5:$D$12,0)))</x:f>
        <x:v>1120</x:v>
      </x:c>
      <x:c r="D687" s="11" t="n">
        <x:f>IF($A687="","",INDEX(Assumptions!$G$5:$G$12,MATCH($B687,Assumptions!$D$5:$D$12,0)))</x:f>
        <x:v>115</x:v>
      </x:c>
      <x:c r="E687" s="11" t="n">
        <x:f>IF($A687="","",INDEX(Assumptions!$M$5:$M$11,WEEKDAY($A687,2)))</x:f>
        <x:v>1.03</x:v>
      </x:c>
      <x:c r="F687" s="11" t="n">
        <x:f>IF($A687="","",Assumptions!$B$15)</x:f>
        <x:v>0.35</x:v>
      </x:c>
      <x:c r="G687" s="11" t="n">
        <x:f>IF($A687="","",MAX(INDEX(Assumptions!$H$5:$H$12,MATCH($B687,Assumptions!$D$5:$D$12,0)),MIN(INDEX(Assumptions!$I$5:$I$12,MATCH($B687,Assumptions!$D$5:$D$12,0)),($C687+$D687*SQRT(-2*LN(RAND()))*COS(2*PI()*RAND()))*$E687*$J687*$K687)))</x:f>
        <x:v>1227.4583418669815</x:v>
      </x:c>
      <x:c r="H687" s="11" t="n">
        <x:f>IF($A687="","",$G687*$F687+$C687*(1-$F687))</x:f>
        <x:v>1157.6104196534434</x:v>
      </x:c>
      <x:c r="I687" s="11" t="n">
        <x:f>IF($A687="","",AVERAGE($H687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1125.2909440786095</x:v>
      </x:c>
      <x:c r="J687" s="12" t="n">
        <x:f>IF($A687="","",1+SUMIFS(Assumptions!$S$5:$S$10,Assumptions!$P$5:$P$10,$B687,Assumptions!$Q$5:$Q$10,"&lt;="&amp;$A687,Assumptions!$R$5:$R$10,"&gt;="&amp;$A687))</x:f>
        <x:v>1</x:v>
      </x:c>
      <x:c r="K687" s="12" t="n">
        <x:f>IF($A687="","",1+((($A687-Assumptions!$B$5)/30)*INDEX(Assumptions!$J$5:$J$12,MATCH($B687,Assumptions!$D$5:$D$12,0))))</x:f>
        <x:v>1.0091333333333334</x:v>
      </x:c>
      <x:c r="L687" t="str">
        <x:f>IF($A687="","",IFERROR(INDEX(Assumptions!$O$5:$O$10,MATCH(1,(Assumptions!$P$5:$P$10=$B687)*(Assumptions!$Q$5:$Q$10&lt;=$A687)*(Assumptions!$R$5:$R$10&gt;=$A687),0)),""))</x:f>
      </x:c>
      <x:c r="M687" t="n">
        <x:f>--($A687&lt;&gt;"")</x:f>
        <x:v>1</x:v>
      </x:c>
    </x:row>
    <x:row r="688">
      <x:c r="A688" s="10" t="n">
        <x:f>IF(Assumptions!$B$5+INT((ROW()-2)/Assumptions!$B$7)&gt;Assumptions!$B$6,"",Assumptions!$B$5+INT((ROW()-2)/Assumptions!$B$7))</x:f>
        <x:v>46160</x:v>
      </x:c>
      <x:c r="B688" t="str">
        <x:f>IF($A688="","",INDEX(Assumptions!$D$5:$D$12,MOD(ROW()-2,Assumptions!$B$7)+1))</x:f>
        <x:v>LV-426 North</x:v>
      </x:c>
      <x:c r="C688" s="11" t="n">
        <x:f>IF($A688="","",INDEX(Assumptions!$F$5:$F$12,MATCH($B688,Assumptions!$D$5:$D$12,0)))</x:f>
        <x:v>930</x:v>
      </x:c>
      <x:c r="D688" s="11" t="n">
        <x:f>IF($A688="","",INDEX(Assumptions!$G$5:$G$12,MATCH($B688,Assumptions!$D$5:$D$12,0)))</x:f>
        <x:v>95</x:v>
      </x:c>
      <x:c r="E688" s="11" t="n">
        <x:f>IF($A688="","",INDEX(Assumptions!$M$5:$M$11,WEEKDAY($A688,2)))</x:f>
        <x:v>1.03</x:v>
      </x:c>
      <x:c r="F688" s="11" t="n">
        <x:f>IF($A688="","",Assumptions!$B$15)</x:f>
        <x:v>0.35</x:v>
      </x:c>
      <x:c r="G688" s="11" t="n">
        <x:f>IF($A688="","",MAX(INDEX(Assumptions!$H$5:$H$12,MATCH($B688,Assumptions!$D$5:$D$12,0)),MIN(INDEX(Assumptions!$I$5:$I$12,MATCH($B688,Assumptions!$D$5:$D$12,0)),($C688+$D688*SQRT(-2*LN(RAND()))*COS(2*PI()*RAND()))*$E688*$J688*$K688)))</x:f>
        <x:v>912.1942668123227</x:v>
      </x:c>
      <x:c r="H688" s="11" t="n">
        <x:f>IF($A688="","",$G688*$F688+$C688*(1-$F688))</x:f>
        <x:v>923.7679933843128</x:v>
      </x:c>
      <x:c r="I688" s="11" t="n">
        <x:f>IF($A688="","",AVERAGE($H688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932.4104960360609</x:v>
      </x:c>
      <x:c r="J688" s="12" t="n">
        <x:f>IF($A688="","",1+SUMIFS(Assumptions!$S$5:$S$10,Assumptions!$P$5:$P$10,$B688,Assumptions!$Q$5:$Q$10,"&lt;="&amp;$A688,Assumptions!$R$5:$R$10,"&gt;="&amp;$A688))</x:f>
        <x:v>1</x:v>
      </x:c>
      <x:c r="K688" s="12" t="n">
        <x:f>IF($A688="","",1+((($A688-Assumptions!$B$5)/30)*INDEX(Assumptions!$J$5:$J$12,MATCH($B688,Assumptions!$D$5:$D$12,0))))</x:f>
        <x:v>0.9954333333333333</x:v>
      </x:c>
      <x:c r="L688" t="str">
        <x:f>IF($A688="","",IFERROR(INDEX(Assumptions!$O$5:$O$10,MATCH(1,(Assumptions!$P$5:$P$10=$B688)*(Assumptions!$Q$5:$Q$10&lt;=$A688)*(Assumptions!$R$5:$R$10&gt;=$A688),0)),""))</x:f>
      </x:c>
      <x:c r="M688" t="n">
        <x:f>--($A688&lt;&gt;"")</x:f>
        <x:v>1</x:v>
      </x:c>
    </x:row>
    <x:row r="689">
      <x:c r="A689" s="10" t="n">
        <x:f>IF(Assumptions!$B$5+INT((ROW()-2)/Assumptions!$B$7)&gt;Assumptions!$B$6,"",Assumptions!$B$5+INT((ROW()-2)/Assumptions!$B$7))</x:f>
        <x:v>46160</x:v>
      </x:c>
      <x:c r="B689" t="str">
        <x:f>IF($A689="","",INDEX(Assumptions!$D$5:$D$12,MOD(ROW()-2,Assumptions!$B$7)+1))</x:f>
        <x:v>Nostromo Deep</x:v>
      </x:c>
      <x:c r="C689" s="11" t="n">
        <x:f>IF($A689="","",INDEX(Assumptions!$F$5:$F$12,MATCH($B689,Assumptions!$D$5:$D$12,0)))</x:f>
        <x:v>1260</x:v>
      </x:c>
      <x:c r="D689" s="11" t="n">
        <x:f>IF($A689="","",INDEX(Assumptions!$G$5:$G$12,MATCH($B689,Assumptions!$D$5:$D$12,0)))</x:f>
        <x:v>145</x:v>
      </x:c>
      <x:c r="E689" s="11" t="n">
        <x:f>IF($A689="","",INDEX(Assumptions!$M$5:$M$11,WEEKDAY($A689,2)))</x:f>
        <x:v>1.03</x:v>
      </x:c>
      <x:c r="F689" s="11" t="n">
        <x:f>IF($A689="","",Assumptions!$B$15)</x:f>
        <x:v>0.35</x:v>
      </x:c>
      <x:c r="G689" s="11" t="n">
        <x:f>IF($A689="","",MAX(INDEX(Assumptions!$H$5:$H$12,MATCH($B689,Assumptions!$D$5:$D$12,0)),MIN(INDEX(Assumptions!$I$5:$I$12,MATCH($B689,Assumptions!$D$5:$D$12,0)),($C689+$D689*SQRT(-2*LN(RAND()))*COS(2*PI()*RAND()))*$E689*$J689*$K689)))</x:f>
        <x:v>1495.8909215785911</x:v>
      </x:c>
      <x:c r="H689" s="11" t="n">
        <x:f>IF($A689="","",$G689*$F689+$C689*(1-$F689))</x:f>
        <x:v>1342.5618225525068</x:v>
      </x:c>
      <x:c r="I689" s="11" t="n">
        <x:f>IF($A689="","",AVERAGE($H689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1246.8735565059833</x:v>
      </x:c>
      <x:c r="J689" s="12" t="n">
        <x:f>IF($A689="","",1+SUMIFS(Assumptions!$S$5:$S$10,Assumptions!$P$5:$P$10,$B689,Assumptions!$Q$5:$Q$10,"&lt;="&amp;$A689,Assumptions!$R$5:$R$10,"&gt;="&amp;$A689))</x:f>
        <x:v>1</x:v>
      </x:c>
      <x:c r="K689" s="12" t="n">
        <x:f>IF($A689="","",1+((($A689-Assumptions!$B$5)/30)*INDEX(Assumptions!$J$5:$J$12,MATCH($B689,Assumptions!$D$5:$D$12,0))))</x:f>
        <x:v>1.0137</x:v>
      </x:c>
      <x:c r="L689" t="str">
        <x:f>IF($A689="","",IFERROR(INDEX(Assumptions!$O$5:$O$10,MATCH(1,(Assumptions!$P$5:$P$10=$B689)*(Assumptions!$Q$5:$Q$10&lt;=$A689)*(Assumptions!$R$5:$R$10&gt;=$A689),0)),""))</x:f>
      </x:c>
      <x:c r="M689" t="n">
        <x:f>--($A689&lt;&gt;"")</x:f>
        <x:v>1</x:v>
      </x:c>
    </x:row>
    <x:row r="690">
      <x:c r="A690" s="10" t="n">
        <x:f>IF(Assumptions!$B$5+INT((ROW()-2)/Assumptions!$B$7)&gt;Assumptions!$B$6,"",Assumptions!$B$5+INT((ROW()-2)/Assumptions!$B$7))</x:f>
        <x:v>46160</x:v>
      </x:c>
      <x:c r="B690" t="str">
        <x:f>IF($A690="","",INDEX(Assumptions!$D$5:$D$12,MOD(ROW()-2,Assumptions!$B$7)+1))</x:f>
        <x:v>Hadley's Hope</x:v>
      </x:c>
      <x:c r="C690" s="11" t="n">
        <x:f>IF($A690="","",INDEX(Assumptions!$F$5:$F$12,MATCH($B690,Assumptions!$D$5:$D$12,0)))</x:f>
        <x:v>845</x:v>
      </x:c>
      <x:c r="D690" s="11" t="n">
        <x:f>IF($A690="","",INDEX(Assumptions!$G$5:$G$12,MATCH($B690,Assumptions!$D$5:$D$12,0)))</x:f>
        <x:v>80</x:v>
      </x:c>
      <x:c r="E690" s="11" t="n">
        <x:f>IF($A690="","",INDEX(Assumptions!$M$5:$M$11,WEEKDAY($A690,2)))</x:f>
        <x:v>1.03</x:v>
      </x:c>
      <x:c r="F690" s="11" t="n">
        <x:f>IF($A690="","",Assumptions!$B$15)</x:f>
        <x:v>0.35</x:v>
      </x:c>
      <x:c r="G690" s="11" t="n">
        <x:f>IF($A690="","",MAX(INDEX(Assumptions!$H$5:$H$12,MATCH($B690,Assumptions!$D$5:$D$12,0)),MIN(INDEX(Assumptions!$I$5:$I$12,MATCH($B690,Assumptions!$D$5:$D$12,0)),($C690+$D690*SQRT(-2*LN(RAND()))*COS(2*PI()*RAND()))*$E690*$J690*$K690)))</x:f>
        <x:v>867.9904377330198</x:v>
      </x:c>
      <x:c r="H690" s="11" t="n">
        <x:f>IF($A690="","",$G690*$F690+$C690*(1-$F690))</x:f>
        <x:v>853.0466532065569</x:v>
      </x:c>
      <x:c r="I690" s="11" t="n">
        <x:f>IF($A690="","",AVERAGE($H690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831.6213699017919</x:v>
      </x:c>
      <x:c r="J690" s="12" t="n">
        <x:f>IF($A690="","",1+SUMIFS(Assumptions!$S$5:$S$10,Assumptions!$P$5:$P$10,$B690,Assumptions!$Q$5:$Q$10,"&lt;="&amp;$A690,Assumptions!$R$5:$R$10,"&gt;="&amp;$A690))</x:f>
        <x:v>1</x:v>
      </x:c>
      <x:c r="K690" s="12" t="n">
        <x:f>IF($A690="","",1+((($A690-Assumptions!$B$5)/30)*INDEX(Assumptions!$J$5:$J$12,MATCH($B690,Assumptions!$D$5:$D$12,0))))</x:f>
        <x:v>1.0045666666666666</x:v>
      </x:c>
      <x:c r="L690" t="str">
        <x:f>IF($A690="","",IFERROR(INDEX(Assumptions!$O$5:$O$10,MATCH(1,(Assumptions!$P$5:$P$10=$B690)*(Assumptions!$Q$5:$Q$10&lt;=$A690)*(Assumptions!$R$5:$R$10&gt;=$A690),0)),""))</x:f>
      </x:c>
      <x:c r="M690" t="n">
        <x:f>--($A690&lt;&gt;"")</x:f>
        <x:v>1</x:v>
      </x:c>
    </x:row>
    <x:row r="691">
      <x:c r="A691" s="10" t="n">
        <x:f>IF(Assumptions!$B$5+INT((ROW()-2)/Assumptions!$B$7)&gt;Assumptions!$B$6,"",Assumptions!$B$5+INT((ROW()-2)/Assumptions!$B$7))</x:f>
        <x:v>46160</x:v>
      </x:c>
      <x:c r="B691" t="str">
        <x:f>IF($A691="","",INDEX(Assumptions!$D$5:$D$12,MOD(ROW()-2,Assumptions!$B$7)+1))</x:f>
        <x:v>Yutani Ridge</x:v>
      </x:c>
      <x:c r="C691" s="11" t="n">
        <x:f>IF($A691="","",INDEX(Assumptions!$F$5:$F$12,MATCH($B691,Assumptions!$D$5:$D$12,0)))</x:f>
        <x:v>1050</x:v>
      </x:c>
      <x:c r="D691" s="11" t="n">
        <x:f>IF($A691="","",INDEX(Assumptions!$G$5:$G$12,MATCH($B691,Assumptions!$D$5:$D$12,0)))</x:f>
        <x:v>125</x:v>
      </x:c>
      <x:c r="E691" s="11" t="n">
        <x:f>IF($A691="","",INDEX(Assumptions!$M$5:$M$11,WEEKDAY($A691,2)))</x:f>
        <x:v>1.03</x:v>
      </x:c>
      <x:c r="F691" s="11" t="n">
        <x:f>IF($A691="","",Assumptions!$B$15)</x:f>
        <x:v>0.35</x:v>
      </x:c>
      <x:c r="G691" s="11" t="n">
        <x:f>IF($A691="","",MAX(INDEX(Assumptions!$H$5:$H$12,MATCH($B691,Assumptions!$D$5:$D$12,0)),MIN(INDEX(Assumptions!$I$5:$I$12,MATCH($B691,Assumptions!$D$5:$D$12,0)),($C691+$D691*SQRT(-2*LN(RAND()))*COS(2*PI()*RAND()))*$E691*$J691*$K691)))</x:f>
        <x:v>1122.5924458767588</x:v>
      </x:c>
      <x:c r="H691" s="11" t="n">
        <x:f>IF($A691="","",$G691*$F691+$C691*(1-$F691))</x:f>
        <x:v>1075.4073560568656</x:v>
      </x:c>
      <x:c r="I691" s="11" t="n">
        <x:f>IF($A691="","",AVERAGE($H691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1071.2792523526678</x:v>
      </x:c>
      <x:c r="J691" s="12" t="n">
        <x:f>IF($A691="","",1+SUMIFS(Assumptions!$S$5:$S$10,Assumptions!$P$5:$P$10,$B691,Assumptions!$Q$5:$Q$10,"&lt;="&amp;$A691,Assumptions!$R$5:$R$10,"&gt;="&amp;$A691))</x:f>
        <x:v>1</x:v>
      </x:c>
      <x:c r="K691" s="12" t="n">
        <x:f>IF($A691="","",1+((($A691-Assumptions!$B$5)/30)*INDEX(Assumptions!$J$5:$J$12,MATCH($B691,Assumptions!$D$5:$D$12,0))))</x:f>
        <x:v>1.0114166666666666</x:v>
      </x:c>
      <x:c r="L691" t="str">
        <x:f>IF($A691="","",IFERROR(INDEX(Assumptions!$O$5:$O$10,MATCH(1,(Assumptions!$P$5:$P$10=$B691)*(Assumptions!$Q$5:$Q$10&lt;=$A691)*(Assumptions!$R$5:$R$10&gt;=$A691),0)),""))</x:f>
      </x:c>
      <x:c r="M691" t="n">
        <x:f>--($A691&lt;&gt;"")</x:f>
        <x:v>1</x:v>
      </x:c>
    </x:row>
    <x:row r="692">
      <x:c r="A692" s="10" t="n">
        <x:f>IF(Assumptions!$B$5+INT((ROW()-2)/Assumptions!$B$7)&gt;Assumptions!$B$6,"",Assumptions!$B$5+INT((ROW()-2)/Assumptions!$B$7))</x:f>
        <x:v>46161</x:v>
      </x:c>
      <x:c r="B692" t="str">
        <x:f>IF($A692="","",INDEX(Assumptions!$D$5:$D$12,MOD(ROW()-2,Assumptions!$B$7)+1))</x:f>
        <x:v>Acheron Prime</x:v>
      </x:c>
      <x:c r="C692" s="11" t="n">
        <x:f>IF($A692="","",INDEX(Assumptions!$F$5:$F$12,MATCH($B692,Assumptions!$D$5:$D$12,0)))</x:f>
        <x:v>1120</x:v>
      </x:c>
      <x:c r="D692" s="11" t="n">
        <x:f>IF($A692="","",INDEX(Assumptions!$G$5:$G$12,MATCH($B692,Assumptions!$D$5:$D$12,0)))</x:f>
        <x:v>115</x:v>
      </x:c>
      <x:c r="E692" s="11" t="n">
        <x:f>IF($A692="","",INDEX(Assumptions!$M$5:$M$11,WEEKDAY($A692,2)))</x:f>
        <x:v>1.02</x:v>
      </x:c>
      <x:c r="F692" s="11" t="n">
        <x:f>IF($A692="","",Assumptions!$B$15)</x:f>
        <x:v>0.35</x:v>
      </x:c>
      <x:c r="G692" s="11" t="n">
        <x:f>IF($A692="","",MAX(INDEX(Assumptions!$H$5:$H$12,MATCH($B692,Assumptions!$D$5:$D$12,0)),MIN(INDEX(Assumptions!$I$5:$I$12,MATCH($B692,Assumptions!$D$5:$D$12,0)),($C692+$D692*SQRT(-2*LN(RAND()))*COS(2*PI()*RAND()))*$E692*$J692*$K692)))</x:f>
        <x:v>1136.8082721105256</x:v>
      </x:c>
      <x:c r="H692" s="11" t="n">
        <x:f>IF($A692="","",$G692*$F692+$C692*(1-$F692))</x:f>
        <x:v>1125.882895238684</x:v>
      </x:c>
      <x:c r="I692" s="11" t="n">
        <x:f>IF($A692="","",AVERAGE($H692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1117.098421789993</x:v>
      </x:c>
      <x:c r="J692" s="12" t="n">
        <x:f>IF($A692="","",1+SUMIFS(Assumptions!$S$5:$S$10,Assumptions!$P$5:$P$10,$B692,Assumptions!$Q$5:$Q$10,"&lt;="&amp;$A692,Assumptions!$R$5:$R$10,"&gt;="&amp;$A692))</x:f>
        <x:v>1</x:v>
      </x:c>
      <x:c r="K692" s="12" t="n">
        <x:f>IF($A692="","",1+((($A692-Assumptions!$B$5)/30)*INDEX(Assumptions!$J$5:$J$12,MATCH($B692,Assumptions!$D$5:$D$12,0))))</x:f>
        <x:v>1.0092</x:v>
      </x:c>
      <x:c r="L692" t="str">
        <x:f>IF($A692="","",IFERROR(INDEX(Assumptions!$O$5:$O$10,MATCH(1,(Assumptions!$P$5:$P$10=$B692)*(Assumptions!$Q$5:$Q$10&lt;=$A692)*(Assumptions!$R$5:$R$10&gt;=$A692),0)),""))</x:f>
      </x:c>
      <x:c r="M692" t="n">
        <x:f>--($A692&lt;&gt;"")</x:f>
        <x:v>1</x:v>
      </x:c>
    </x:row>
    <x:row r="693">
      <x:c r="A693" s="10" t="n">
        <x:f>IF(Assumptions!$B$5+INT((ROW()-2)/Assumptions!$B$7)&gt;Assumptions!$B$6,"",Assumptions!$B$5+INT((ROW()-2)/Assumptions!$B$7))</x:f>
        <x:v>46161</x:v>
      </x:c>
      <x:c r="B693" t="str">
        <x:f>IF($A693="","",INDEX(Assumptions!$D$5:$D$12,MOD(ROW()-2,Assumptions!$B$7)+1))</x:f>
        <x:v>LV-426 North</x:v>
      </x:c>
      <x:c r="C693" s="11" t="n">
        <x:f>IF($A693="","",INDEX(Assumptions!$F$5:$F$12,MATCH($B693,Assumptions!$D$5:$D$12,0)))</x:f>
        <x:v>930</x:v>
      </x:c>
      <x:c r="D693" s="11" t="n">
        <x:f>IF($A693="","",INDEX(Assumptions!$G$5:$G$12,MATCH($B693,Assumptions!$D$5:$D$12,0)))</x:f>
        <x:v>95</x:v>
      </x:c>
      <x:c r="E693" s="11" t="n">
        <x:f>IF($A693="","",INDEX(Assumptions!$M$5:$M$11,WEEKDAY($A693,2)))</x:f>
        <x:v>1.02</x:v>
      </x:c>
      <x:c r="F693" s="11" t="n">
        <x:f>IF($A693="","",Assumptions!$B$15)</x:f>
        <x:v>0.35</x:v>
      </x:c>
      <x:c r="G693" s="11" t="n">
        <x:f>IF($A693="","",MAX(INDEX(Assumptions!$H$5:$H$12,MATCH($B693,Assumptions!$D$5:$D$12,0)),MIN(INDEX(Assumptions!$I$5:$I$12,MATCH($B693,Assumptions!$D$5:$D$12,0)),($C693+$D693*SQRT(-2*LN(RAND()))*COS(2*PI()*RAND()))*$E693*$J693*$K693)))</x:f>
        <x:v>1014.9953863509863</x:v>
      </x:c>
      <x:c r="H693" s="11" t="n">
        <x:f>IF($A693="","",$G693*$F693+$C693*(1-$F693))</x:f>
        <x:v>959.7483852228452</x:v>
      </x:c>
      <x:c r="I693" s="11" t="n">
        <x:f>IF($A693="","",AVERAGE($H693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929.4953137479199</x:v>
      </x:c>
      <x:c r="J693" s="12" t="n">
        <x:f>IF($A693="","",1+SUMIFS(Assumptions!$S$5:$S$10,Assumptions!$P$5:$P$10,$B693,Assumptions!$Q$5:$Q$10,"&lt;="&amp;$A693,Assumptions!$R$5:$R$10,"&gt;="&amp;$A693))</x:f>
        <x:v>1</x:v>
      </x:c>
      <x:c r="K693" s="12" t="n">
        <x:f>IF($A693="","",1+((($A693-Assumptions!$B$5)/30)*INDEX(Assumptions!$J$5:$J$12,MATCH($B693,Assumptions!$D$5:$D$12,0))))</x:f>
        <x:v>0.9954</x:v>
      </x:c>
      <x:c r="L693" t="str">
        <x:f>IF($A693="","",IFERROR(INDEX(Assumptions!$O$5:$O$10,MATCH(1,(Assumptions!$P$5:$P$10=$B693)*(Assumptions!$Q$5:$Q$10&lt;=$A693)*(Assumptions!$R$5:$R$10&gt;=$A693),0)),""))</x:f>
      </x:c>
      <x:c r="M693" t="n">
        <x:f>--($A693&lt;&gt;"")</x:f>
        <x:v>1</x:v>
      </x:c>
    </x:row>
    <x:row r="694">
      <x:c r="A694" s="10" t="n">
        <x:f>IF(Assumptions!$B$5+INT((ROW()-2)/Assumptions!$B$7)&gt;Assumptions!$B$6,"",Assumptions!$B$5+INT((ROW()-2)/Assumptions!$B$7))</x:f>
        <x:v>46161</x:v>
      </x:c>
      <x:c r="B694" t="str">
        <x:f>IF($A694="","",INDEX(Assumptions!$D$5:$D$12,MOD(ROW()-2,Assumptions!$B$7)+1))</x:f>
        <x:v>Nostromo Deep</x:v>
      </x:c>
      <x:c r="C694" s="11" t="n">
        <x:f>IF($A694="","",INDEX(Assumptions!$F$5:$F$12,MATCH($B694,Assumptions!$D$5:$D$12,0)))</x:f>
        <x:v>1260</x:v>
      </x:c>
      <x:c r="D694" s="11" t="n">
        <x:f>IF($A694="","",INDEX(Assumptions!$G$5:$G$12,MATCH($B694,Assumptions!$D$5:$D$12,0)))</x:f>
        <x:v>145</x:v>
      </x:c>
      <x:c r="E694" s="11" t="n">
        <x:f>IF($A694="","",INDEX(Assumptions!$M$5:$M$11,WEEKDAY($A694,2)))</x:f>
        <x:v>1.02</x:v>
      </x:c>
      <x:c r="F694" s="11" t="n">
        <x:f>IF($A694="","",Assumptions!$B$15)</x:f>
        <x:v>0.35</x:v>
      </x:c>
      <x:c r="G694" s="11" t="n">
        <x:f>IF($A694="","",MAX(INDEX(Assumptions!$H$5:$H$12,MATCH($B694,Assumptions!$D$5:$D$12,0)),MIN(INDEX(Assumptions!$I$5:$I$12,MATCH($B694,Assumptions!$D$5:$D$12,0)),($C694+$D694*SQRT(-2*LN(RAND()))*COS(2*PI()*RAND()))*$E694*$J694*$K694)))</x:f>
        <x:v>1413.5988665381321</x:v>
      </x:c>
      <x:c r="H694" s="11" t="n">
        <x:f>IF($A694="","",$G694*$F694+$C694*(1-$F694))</x:f>
        <x:v>1313.7596032883462</x:v>
      </x:c>
      <x:c r="I694" s="11" t="n">
        <x:f>IF($A694="","",AVERAGE($H694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1247.0834780208718</x:v>
      </x:c>
      <x:c r="J694" s="12" t="n">
        <x:f>IF($A694="","",1+SUMIFS(Assumptions!$S$5:$S$10,Assumptions!$P$5:$P$10,$B694,Assumptions!$Q$5:$Q$10,"&lt;="&amp;$A694,Assumptions!$R$5:$R$10,"&gt;="&amp;$A694))</x:f>
        <x:v>1</x:v>
      </x:c>
      <x:c r="K694" s="12" t="n">
        <x:f>IF($A694="","",1+((($A694-Assumptions!$B$5)/30)*INDEX(Assumptions!$J$5:$J$12,MATCH($B694,Assumptions!$D$5:$D$12,0))))</x:f>
        <x:v>1.0138</x:v>
      </x:c>
      <x:c r="L694" t="str">
        <x:f>IF($A694="","",IFERROR(INDEX(Assumptions!$O$5:$O$10,MATCH(1,(Assumptions!$P$5:$P$10=$B694)*(Assumptions!$Q$5:$Q$10&lt;=$A694)*(Assumptions!$R$5:$R$10&gt;=$A694),0)),""))</x:f>
      </x:c>
      <x:c r="M694" t="n">
        <x:f>--($A694&lt;&gt;"")</x:f>
        <x:v>1</x:v>
      </x:c>
    </x:row>
    <x:row r="695">
      <x:c r="A695" s="10" t="n">
        <x:f>IF(Assumptions!$B$5+INT((ROW()-2)/Assumptions!$B$7)&gt;Assumptions!$B$6,"",Assumptions!$B$5+INT((ROW()-2)/Assumptions!$B$7))</x:f>
        <x:v>46161</x:v>
      </x:c>
      <x:c r="B695" t="str">
        <x:f>IF($A695="","",INDEX(Assumptions!$D$5:$D$12,MOD(ROW()-2,Assumptions!$B$7)+1))</x:f>
        <x:v>Hadley's Hope</x:v>
      </x:c>
      <x:c r="C695" s="11" t="n">
        <x:f>IF($A695="","",INDEX(Assumptions!$F$5:$F$12,MATCH($B695,Assumptions!$D$5:$D$12,0)))</x:f>
        <x:v>845</x:v>
      </x:c>
      <x:c r="D695" s="11" t="n">
        <x:f>IF($A695="","",INDEX(Assumptions!$G$5:$G$12,MATCH($B695,Assumptions!$D$5:$D$12,0)))</x:f>
        <x:v>80</x:v>
      </x:c>
      <x:c r="E695" s="11" t="n">
        <x:f>IF($A695="","",INDEX(Assumptions!$M$5:$M$11,WEEKDAY($A695,2)))</x:f>
        <x:v>1.02</x:v>
      </x:c>
      <x:c r="F695" s="11" t="n">
        <x:f>IF($A695="","",Assumptions!$B$15)</x:f>
        <x:v>0.35</x:v>
      </x:c>
      <x:c r="G695" s="11" t="n">
        <x:f>IF($A695="","",MAX(INDEX(Assumptions!$H$5:$H$12,MATCH($B695,Assumptions!$D$5:$D$12,0)),MIN(INDEX(Assumptions!$I$5:$I$12,MATCH($B695,Assumptions!$D$5:$D$12,0)),($C695+$D695*SQRT(-2*LN(RAND()))*COS(2*PI()*RAND()))*$E695*$J695*$K695)))</x:f>
        <x:v>818.7976091711066</x:v>
      </x:c>
      <x:c r="H695" s="11" t="n">
        <x:f>IF($A695="","",$G695*$F695+$C695*(1-$F695))</x:f>
        <x:v>835.8291632098873</x:v>
      </x:c>
      <x:c r="I695" s="11" t="n">
        <x:f>IF($A695="","",AVERAGE($H695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831.2248750407236</x:v>
      </x:c>
      <x:c r="J695" s="12" t="n">
        <x:f>IF($A695="","",1+SUMIFS(Assumptions!$S$5:$S$10,Assumptions!$P$5:$P$10,$B695,Assumptions!$Q$5:$Q$10,"&lt;="&amp;$A695,Assumptions!$R$5:$R$10,"&gt;="&amp;$A695))</x:f>
        <x:v>1</x:v>
      </x:c>
      <x:c r="K695" s="12" t="n">
        <x:f>IF($A695="","",1+((($A695-Assumptions!$B$5)/30)*INDEX(Assumptions!$J$5:$J$12,MATCH($B695,Assumptions!$D$5:$D$12,0))))</x:f>
        <x:v>1.0046</x:v>
      </x:c>
      <x:c r="L695" t="str">
        <x:f>IF($A695="","",IFERROR(INDEX(Assumptions!$O$5:$O$10,MATCH(1,(Assumptions!$P$5:$P$10=$B695)*(Assumptions!$Q$5:$Q$10&lt;=$A695)*(Assumptions!$R$5:$R$10&gt;=$A695),0)),""))</x:f>
      </x:c>
      <x:c r="M695" t="n">
        <x:f>--($A695&lt;&gt;"")</x:f>
        <x:v>1</x:v>
      </x:c>
    </x:row>
    <x:row r="696">
      <x:c r="A696" s="10" t="n">
        <x:f>IF(Assumptions!$B$5+INT((ROW()-2)/Assumptions!$B$7)&gt;Assumptions!$B$6,"",Assumptions!$B$5+INT((ROW()-2)/Assumptions!$B$7))</x:f>
        <x:v>46161</x:v>
      </x:c>
      <x:c r="B696" t="str">
        <x:f>IF($A696="","",INDEX(Assumptions!$D$5:$D$12,MOD(ROW()-2,Assumptions!$B$7)+1))</x:f>
        <x:v>Yutani Ridge</x:v>
      </x:c>
      <x:c r="C696" s="11" t="n">
        <x:f>IF($A696="","",INDEX(Assumptions!$F$5:$F$12,MATCH($B696,Assumptions!$D$5:$D$12,0)))</x:f>
        <x:v>1050</x:v>
      </x:c>
      <x:c r="D696" s="11" t="n">
        <x:f>IF($A696="","",INDEX(Assumptions!$G$5:$G$12,MATCH($B696,Assumptions!$D$5:$D$12,0)))</x:f>
        <x:v>125</x:v>
      </x:c>
      <x:c r="E696" s="11" t="n">
        <x:f>IF($A696="","",INDEX(Assumptions!$M$5:$M$11,WEEKDAY($A696,2)))</x:f>
        <x:v>1.02</x:v>
      </x:c>
      <x:c r="F696" s="11" t="n">
        <x:f>IF($A696="","",Assumptions!$B$15)</x:f>
        <x:v>0.35</x:v>
      </x:c>
      <x:c r="G696" s="11" t="n">
        <x:f>IF($A696="","",MAX(INDEX(Assumptions!$H$5:$H$12,MATCH($B696,Assumptions!$D$5:$D$12,0)),MIN(INDEX(Assumptions!$I$5:$I$12,MATCH($B696,Assumptions!$D$5:$D$12,0)),($C696+$D696*SQRT(-2*LN(RAND()))*COS(2*PI()*RAND()))*$E696*$J696*$K696)))</x:f>
        <x:v>1238.2018202477568</x:v>
      </x:c>
      <x:c r="H696" s="11" t="n">
        <x:f>IF($A696="","",$G696*$F696+$C696*(1-$F696))</x:f>
        <x:v>1115.8706370867149</x:v>
      </x:c>
      <x:c r="I696" s="11" t="n">
        <x:f>IF($A696="","",AVERAGE($H696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1066.4161999594132</x:v>
      </x:c>
      <x:c r="J696" s="12" t="n">
        <x:f>IF($A696="","",1+SUMIFS(Assumptions!$S$5:$S$10,Assumptions!$P$5:$P$10,$B696,Assumptions!$Q$5:$Q$10,"&lt;="&amp;$A696,Assumptions!$R$5:$R$10,"&gt;="&amp;$A696))</x:f>
        <x:v>1</x:v>
      </x:c>
      <x:c r="K696" s="12" t="n">
        <x:f>IF($A696="","",1+((($A696-Assumptions!$B$5)/30)*INDEX(Assumptions!$J$5:$J$12,MATCH($B696,Assumptions!$D$5:$D$12,0))))</x:f>
        <x:v>1.0115</x:v>
      </x:c>
      <x:c r="L696" t="str">
        <x:f>IF($A696="","",IFERROR(INDEX(Assumptions!$O$5:$O$10,MATCH(1,(Assumptions!$P$5:$P$10=$B696)*(Assumptions!$Q$5:$Q$10&lt;=$A696)*(Assumptions!$R$5:$R$10&gt;=$A696),0)),""))</x:f>
      </x:c>
      <x:c r="M696" t="n">
        <x:f>--($A696&lt;&gt;"")</x:f>
        <x:v>1</x:v>
      </x:c>
    </x:row>
    <x:row r="697">
      <x:c r="A697" s="10" t="n">
        <x:f>IF(Assumptions!$B$5+INT((ROW()-2)/Assumptions!$B$7)&gt;Assumptions!$B$6,"",Assumptions!$B$5+INT((ROW()-2)/Assumptions!$B$7))</x:f>
        <x:v>46162</x:v>
      </x:c>
      <x:c r="B697" t="str">
        <x:f>IF($A697="","",INDEX(Assumptions!$D$5:$D$12,MOD(ROW()-2,Assumptions!$B$7)+1))</x:f>
        <x:v>Acheron Prime</x:v>
      </x:c>
      <x:c r="C697" s="11" t="n">
        <x:f>IF($A697="","",INDEX(Assumptions!$F$5:$F$12,MATCH($B697,Assumptions!$D$5:$D$12,0)))</x:f>
        <x:v>1120</x:v>
      </x:c>
      <x:c r="D697" s="11" t="n">
        <x:f>IF($A697="","",INDEX(Assumptions!$G$5:$G$12,MATCH($B697,Assumptions!$D$5:$D$12,0)))</x:f>
        <x:v>115</x:v>
      </x:c>
      <x:c r="E697" s="11" t="n">
        <x:f>IF($A697="","",INDEX(Assumptions!$M$5:$M$11,WEEKDAY($A697,2)))</x:f>
        <x:v>1.01</x:v>
      </x:c>
      <x:c r="F697" s="11" t="n">
        <x:f>IF($A697="","",Assumptions!$B$15)</x:f>
        <x:v>0.35</x:v>
      </x:c>
      <x:c r="G697" s="11" t="n">
        <x:f>IF($A697="","",MAX(INDEX(Assumptions!$H$5:$H$12,MATCH($B697,Assumptions!$D$5:$D$12,0)),MIN(INDEX(Assumptions!$I$5:$I$12,MATCH($B697,Assumptions!$D$5:$D$12,0)),($C697+$D697*SQRT(-2*LN(RAND()))*COS(2*PI()*RAND()))*$E697*$J697*$K697)))</x:f>
        <x:v>1307.6763081571523</x:v>
      </x:c>
      <x:c r="H697" s="11" t="n">
        <x:f>IF($A697="","",$G697*$F697+$C697*(1-$F697))</x:f>
        <x:v>1185.6867078550033</x:v>
      </x:c>
      <x:c r="I697" s="11" t="n">
        <x:f>IF($A697="","",AVERAGE($H697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1117.2732729728764</x:v>
      </x:c>
      <x:c r="J697" s="12" t="n">
        <x:f>IF($A697="","",1+SUMIFS(Assumptions!$S$5:$S$10,Assumptions!$P$5:$P$10,$B697,Assumptions!$Q$5:$Q$10,"&lt;="&amp;$A697,Assumptions!$R$5:$R$10,"&gt;="&amp;$A697))</x:f>
        <x:v>1</x:v>
      </x:c>
      <x:c r="K697" s="12" t="n">
        <x:f>IF($A697="","",1+((($A697-Assumptions!$B$5)/30)*INDEX(Assumptions!$J$5:$J$12,MATCH($B697,Assumptions!$D$5:$D$12,0))))</x:f>
        <x:v>1.0092666666666668</x:v>
      </x:c>
      <x:c r="L697" t="str">
        <x:f>IF($A697="","",IFERROR(INDEX(Assumptions!$O$5:$O$10,MATCH(1,(Assumptions!$P$5:$P$10=$B697)*(Assumptions!$Q$5:$Q$10&lt;=$A697)*(Assumptions!$R$5:$R$10&gt;=$A697),0)),""))</x:f>
      </x:c>
      <x:c r="M697" t="n">
        <x:f>--($A697&lt;&gt;"")</x:f>
        <x:v>1</x:v>
      </x:c>
    </x:row>
    <x:row r="698">
      <x:c r="A698" s="10" t="n">
        <x:f>IF(Assumptions!$B$5+INT((ROW()-2)/Assumptions!$B$7)&gt;Assumptions!$B$6,"",Assumptions!$B$5+INT((ROW()-2)/Assumptions!$B$7))</x:f>
        <x:v>46162</x:v>
      </x:c>
      <x:c r="B698" t="str">
        <x:f>IF($A698="","",INDEX(Assumptions!$D$5:$D$12,MOD(ROW()-2,Assumptions!$B$7)+1))</x:f>
        <x:v>LV-426 North</x:v>
      </x:c>
      <x:c r="C698" s="11" t="n">
        <x:f>IF($A698="","",INDEX(Assumptions!$F$5:$F$12,MATCH($B698,Assumptions!$D$5:$D$12,0)))</x:f>
        <x:v>930</x:v>
      </x:c>
      <x:c r="D698" s="11" t="n">
        <x:f>IF($A698="","",INDEX(Assumptions!$G$5:$G$12,MATCH($B698,Assumptions!$D$5:$D$12,0)))</x:f>
        <x:v>95</x:v>
      </x:c>
      <x:c r="E698" s="11" t="n">
        <x:f>IF($A698="","",INDEX(Assumptions!$M$5:$M$11,WEEKDAY($A698,2)))</x:f>
        <x:v>1.01</x:v>
      </x:c>
      <x:c r="F698" s="11" t="n">
        <x:f>IF($A698="","",Assumptions!$B$15)</x:f>
        <x:v>0.35</x:v>
      </x:c>
      <x:c r="G698" s="11" t="n">
        <x:f>IF($A698="","",MAX(INDEX(Assumptions!$H$5:$H$12,MATCH($B698,Assumptions!$D$5:$D$12,0)),MIN(INDEX(Assumptions!$I$5:$I$12,MATCH($B698,Assumptions!$D$5:$D$12,0)),($C698+$D698*SQRT(-2*LN(RAND()))*COS(2*PI()*RAND()))*$E698*$J698*$K698)))</x:f>
        <x:v>1029.746113743912</x:v>
      </x:c>
      <x:c r="H698" s="11" t="n">
        <x:f>IF($A698="","",$G698*$F698+$C698*(1-$F698))</x:f>
        <x:v>964.9111398103691</x:v>
      </x:c>
      <x:c r="I698" s="11" t="n">
        <x:f>IF($A698="","",AVERAGE($H698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940.0450614276581</x:v>
      </x:c>
      <x:c r="J698" s="12" t="n">
        <x:f>IF($A698="","",1+SUMIFS(Assumptions!$S$5:$S$10,Assumptions!$P$5:$P$10,$B698,Assumptions!$Q$5:$Q$10,"&lt;="&amp;$A698,Assumptions!$R$5:$R$10,"&gt;="&amp;$A698))</x:f>
        <x:v>1</x:v>
      </x:c>
      <x:c r="K698" s="12" t="n">
        <x:f>IF($A698="","",1+((($A698-Assumptions!$B$5)/30)*INDEX(Assumptions!$J$5:$J$12,MATCH($B698,Assumptions!$D$5:$D$12,0))))</x:f>
        <x:v>0.9953666666666666</x:v>
      </x:c>
      <x:c r="L698" t="str">
        <x:f>IF($A698="","",IFERROR(INDEX(Assumptions!$O$5:$O$10,MATCH(1,(Assumptions!$P$5:$P$10=$B698)*(Assumptions!$Q$5:$Q$10&lt;=$A698)*(Assumptions!$R$5:$R$10&gt;=$A698),0)),""))</x:f>
      </x:c>
      <x:c r="M698" t="n">
        <x:f>--($A698&lt;&gt;"")</x:f>
        <x:v>1</x:v>
      </x:c>
    </x:row>
    <x:row r="699">
      <x:c r="A699" s="10" t="n">
        <x:f>IF(Assumptions!$B$5+INT((ROW()-2)/Assumptions!$B$7)&gt;Assumptions!$B$6,"",Assumptions!$B$5+INT((ROW()-2)/Assumptions!$B$7))</x:f>
        <x:v>46162</x:v>
      </x:c>
      <x:c r="B699" t="str">
        <x:f>IF($A699="","",INDEX(Assumptions!$D$5:$D$12,MOD(ROW()-2,Assumptions!$B$7)+1))</x:f>
        <x:v>Nostromo Deep</x:v>
      </x:c>
      <x:c r="C699" s="11" t="n">
        <x:f>IF($A699="","",INDEX(Assumptions!$F$5:$F$12,MATCH($B699,Assumptions!$D$5:$D$12,0)))</x:f>
        <x:v>1260</x:v>
      </x:c>
      <x:c r="D699" s="11" t="n">
        <x:f>IF($A699="","",INDEX(Assumptions!$G$5:$G$12,MATCH($B699,Assumptions!$D$5:$D$12,0)))</x:f>
        <x:v>145</x:v>
      </x:c>
      <x:c r="E699" s="11" t="n">
        <x:f>IF($A699="","",INDEX(Assumptions!$M$5:$M$11,WEEKDAY($A699,2)))</x:f>
        <x:v>1.01</x:v>
      </x:c>
      <x:c r="F699" s="11" t="n">
        <x:f>IF($A699="","",Assumptions!$B$15)</x:f>
        <x:v>0.35</x:v>
      </x:c>
      <x:c r="G699" s="11" t="n">
        <x:f>IF($A699="","",MAX(INDEX(Assumptions!$H$5:$H$12,MATCH($B699,Assumptions!$D$5:$D$12,0)),MIN(INDEX(Assumptions!$I$5:$I$12,MATCH($B699,Assumptions!$D$5:$D$12,0)),($C699+$D699*SQRT(-2*LN(RAND()))*COS(2*PI()*RAND()))*$E699*$J699*$K699)))</x:f>
        <x:v>1451.7837210232565</x:v>
      </x:c>
      <x:c r="H699" s="11" t="n">
        <x:f>IF($A699="","",$G699*$F699+$C699*(1-$F699))</x:f>
        <x:v>1327.1243023581396</x:v>
      </x:c>
      <x:c r="I699" s="11" t="n">
        <x:f>IF($A699="","",AVERAGE($H699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1253.6099433523354</x:v>
      </x:c>
      <x:c r="J699" s="12" t="n">
        <x:f>IF($A699="","",1+SUMIFS(Assumptions!$S$5:$S$10,Assumptions!$P$5:$P$10,$B699,Assumptions!$Q$5:$Q$10,"&lt;="&amp;$A699,Assumptions!$R$5:$R$10,"&gt;="&amp;$A699))</x:f>
        <x:v>1</x:v>
      </x:c>
      <x:c r="K699" s="12" t="n">
        <x:f>IF($A699="","",1+((($A699-Assumptions!$B$5)/30)*INDEX(Assumptions!$J$5:$J$12,MATCH($B699,Assumptions!$D$5:$D$12,0))))</x:f>
        <x:v>1.0139</x:v>
      </x:c>
      <x:c r="L699" t="str">
        <x:f>IF($A699="","",IFERROR(INDEX(Assumptions!$O$5:$O$10,MATCH(1,(Assumptions!$P$5:$P$10=$B699)*(Assumptions!$Q$5:$Q$10&lt;=$A699)*(Assumptions!$R$5:$R$10&gt;=$A699),0)),""))</x:f>
      </x:c>
      <x:c r="M699" t="n">
        <x:f>--($A699&lt;&gt;"")</x:f>
        <x:v>1</x:v>
      </x:c>
    </x:row>
    <x:row r="700">
      <x:c r="A700" s="10" t="n">
        <x:f>IF(Assumptions!$B$5+INT((ROW()-2)/Assumptions!$B$7)&gt;Assumptions!$B$6,"",Assumptions!$B$5+INT((ROW()-2)/Assumptions!$B$7))</x:f>
        <x:v>46162</x:v>
      </x:c>
      <x:c r="B700" t="str">
        <x:f>IF($A700="","",INDEX(Assumptions!$D$5:$D$12,MOD(ROW()-2,Assumptions!$B$7)+1))</x:f>
        <x:v>Hadley's Hope</x:v>
      </x:c>
      <x:c r="C700" s="11" t="n">
        <x:f>IF($A700="","",INDEX(Assumptions!$F$5:$F$12,MATCH($B700,Assumptions!$D$5:$D$12,0)))</x:f>
        <x:v>845</x:v>
      </x:c>
      <x:c r="D700" s="11" t="n">
        <x:f>IF($A700="","",INDEX(Assumptions!$G$5:$G$12,MATCH($B700,Assumptions!$D$5:$D$12,0)))</x:f>
        <x:v>80</x:v>
      </x:c>
      <x:c r="E700" s="11" t="n">
        <x:f>IF($A700="","",INDEX(Assumptions!$M$5:$M$11,WEEKDAY($A700,2)))</x:f>
        <x:v>1.01</x:v>
      </x:c>
      <x:c r="F700" s="11" t="n">
        <x:f>IF($A700="","",Assumptions!$B$15)</x:f>
        <x:v>0.35</x:v>
      </x:c>
      <x:c r="G700" s="11" t="n">
        <x:f>IF($A700="","",MAX(INDEX(Assumptions!$H$5:$H$12,MATCH($B700,Assumptions!$D$5:$D$12,0)),MIN(INDEX(Assumptions!$I$5:$I$12,MATCH($B700,Assumptions!$D$5:$D$12,0)),($C700+$D700*SQRT(-2*LN(RAND()))*COS(2*PI()*RAND()))*$E700*$J700*$K700)))</x:f>
        <x:v>741.8455754996014</x:v>
      </x:c>
      <x:c r="H700" s="11" t="n">
        <x:f>IF($A700="","",$G700*$F700+$C700*(1-$F700))</x:f>
        <x:v>808.8959514248604</x:v>
      </x:c>
      <x:c r="I700" s="11" t="n">
        <x:f>IF($A700="","",AVERAGE($H700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823.0754164101636</x:v>
      </x:c>
      <x:c r="J700" s="12" t="n">
        <x:f>IF($A700="","",1+SUMIFS(Assumptions!$S$5:$S$10,Assumptions!$P$5:$P$10,$B700,Assumptions!$Q$5:$Q$10,"&lt;="&amp;$A700,Assumptions!$R$5:$R$10,"&gt;="&amp;$A700))</x:f>
        <x:v>1</x:v>
      </x:c>
      <x:c r="K700" s="12" t="n">
        <x:f>IF($A700="","",1+((($A700-Assumptions!$B$5)/30)*INDEX(Assumptions!$J$5:$J$12,MATCH($B700,Assumptions!$D$5:$D$12,0))))</x:f>
        <x:v>1.0046333333333333</x:v>
      </x:c>
      <x:c r="L700" t="str">
        <x:f>IF($A700="","",IFERROR(INDEX(Assumptions!$O$5:$O$10,MATCH(1,(Assumptions!$P$5:$P$10=$B700)*(Assumptions!$Q$5:$Q$10&lt;=$A700)*(Assumptions!$R$5:$R$10&gt;=$A700),0)),""))</x:f>
      </x:c>
      <x:c r="M700" t="n">
        <x:f>--($A700&lt;&gt;"")</x:f>
        <x:v>1</x:v>
      </x:c>
    </x:row>
    <x:row r="701">
      <x:c r="A701" s="10" t="n">
        <x:f>IF(Assumptions!$B$5+INT((ROW()-2)/Assumptions!$B$7)&gt;Assumptions!$B$6,"",Assumptions!$B$5+INT((ROW()-2)/Assumptions!$B$7))</x:f>
        <x:v>46162</x:v>
      </x:c>
      <x:c r="B701" t="str">
        <x:f>IF($A701="","",INDEX(Assumptions!$D$5:$D$12,MOD(ROW()-2,Assumptions!$B$7)+1))</x:f>
        <x:v>Yutani Ridge</x:v>
      </x:c>
      <x:c r="C701" s="11" t="n">
        <x:f>IF($A701="","",INDEX(Assumptions!$F$5:$F$12,MATCH($B701,Assumptions!$D$5:$D$12,0)))</x:f>
        <x:v>1050</x:v>
      </x:c>
      <x:c r="D701" s="11" t="n">
        <x:f>IF($A701="","",INDEX(Assumptions!$G$5:$G$12,MATCH($B701,Assumptions!$D$5:$D$12,0)))</x:f>
        <x:v>125</x:v>
      </x:c>
      <x:c r="E701" s="11" t="n">
        <x:f>IF($A701="","",INDEX(Assumptions!$M$5:$M$11,WEEKDAY($A701,2)))</x:f>
        <x:v>1.01</x:v>
      </x:c>
      <x:c r="F701" s="11" t="n">
        <x:f>IF($A701="","",Assumptions!$B$15)</x:f>
        <x:v>0.35</x:v>
      </x:c>
      <x:c r="G701" s="11" t="n">
        <x:f>IF($A701="","",MAX(INDEX(Assumptions!$H$5:$H$12,MATCH($B701,Assumptions!$D$5:$D$12,0)),MIN(INDEX(Assumptions!$I$5:$I$12,MATCH($B701,Assumptions!$D$5:$D$12,0)),($C701+$D701*SQRT(-2*LN(RAND()))*COS(2*PI()*RAND()))*$E701*$J701*$K701)))</x:f>
        <x:v>902.0936582830552</x:v>
      </x:c>
      <x:c r="H701" s="11" t="n">
        <x:f>IF($A701="","",$G701*$F701+$C701*(1-$F701))</x:f>
        <x:v>998.2327803990693</x:v>
      </x:c>
      <x:c r="I701" s="11" t="n">
        <x:f>IF($A701="","",AVERAGE($H701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1064.070610795847</x:v>
      </x:c>
      <x:c r="J701" s="12" t="n">
        <x:f>IF($A701="","",1+SUMIFS(Assumptions!$S$5:$S$10,Assumptions!$P$5:$P$10,$B701,Assumptions!$Q$5:$Q$10,"&lt;="&amp;$A701,Assumptions!$R$5:$R$10,"&gt;="&amp;$A701))</x:f>
        <x:v>1</x:v>
      </x:c>
      <x:c r="K701" s="12" t="n">
        <x:f>IF($A701="","",1+((($A701-Assumptions!$B$5)/30)*INDEX(Assumptions!$J$5:$J$12,MATCH($B701,Assumptions!$D$5:$D$12,0))))</x:f>
        <x:v>1.0115833333333333</x:v>
      </x:c>
      <x:c r="L701" t="str">
        <x:f>IF($A701="","",IFERROR(INDEX(Assumptions!$O$5:$O$10,MATCH(1,(Assumptions!$P$5:$P$10=$B701)*(Assumptions!$Q$5:$Q$10&lt;=$A701)*(Assumptions!$R$5:$R$10&gt;=$A701),0)),""))</x:f>
      </x:c>
      <x:c r="M701" t="n">
        <x:f>--($A701&lt;&gt;"")</x:f>
        <x:v>1</x:v>
      </x:c>
    </x:row>
    <x:row r="702">
      <x:c r="A702" s="10" t="n">
        <x:f>IF(Assumptions!$B$5+INT((ROW()-2)/Assumptions!$B$7)&gt;Assumptions!$B$6,"",Assumptions!$B$5+INT((ROW()-2)/Assumptions!$B$7))</x:f>
        <x:v>46163</x:v>
      </x:c>
      <x:c r="B702" t="str">
        <x:f>IF($A702="","",INDEX(Assumptions!$D$5:$D$12,MOD(ROW()-2,Assumptions!$B$7)+1))</x:f>
        <x:v>Acheron Prime</x:v>
      </x:c>
      <x:c r="C702" s="11" t="n">
        <x:f>IF($A702="","",INDEX(Assumptions!$F$5:$F$12,MATCH($B702,Assumptions!$D$5:$D$12,0)))</x:f>
        <x:v>1120</x:v>
      </x:c>
      <x:c r="D702" s="11" t="n">
        <x:f>IF($A702="","",INDEX(Assumptions!$G$5:$G$12,MATCH($B702,Assumptions!$D$5:$D$12,0)))</x:f>
        <x:v>115</x:v>
      </x:c>
      <x:c r="E702" s="11" t="n">
        <x:f>IF($A702="","",INDEX(Assumptions!$M$5:$M$11,WEEKDAY($A702,2)))</x:f>
        <x:v>1</x:v>
      </x:c>
      <x:c r="F702" s="11" t="n">
        <x:f>IF($A702="","",Assumptions!$B$15)</x:f>
        <x:v>0.35</x:v>
      </x:c>
      <x:c r="G702" s="11" t="n">
        <x:f>IF($A702="","",MAX(INDEX(Assumptions!$H$5:$H$12,MATCH($B702,Assumptions!$D$5:$D$12,0)),MIN(INDEX(Assumptions!$I$5:$I$12,MATCH($B702,Assumptions!$D$5:$D$12,0)),($C702+$D702*SQRT(-2*LN(RAND()))*COS(2*PI()*RAND()))*$E702*$J702*$K702)))</x:f>
        <x:v>1220.7342121171096</x:v>
      </x:c>
      <x:c r="H702" s="11" t="n">
        <x:f>IF($A702="","",$G702*$F702+$C702*(1-$F702))</x:f>
        <x:v>1155.2569742409883</x:v>
      </x:c>
      <x:c r="I702" s="11" t="n">
        <x:f>IF($A702="","",AVERAGE($H702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1123.787320991701</x:v>
      </x:c>
      <x:c r="J702" s="12" t="n">
        <x:f>IF($A702="","",1+SUMIFS(Assumptions!$S$5:$S$10,Assumptions!$P$5:$P$10,$B702,Assumptions!$Q$5:$Q$10,"&lt;="&amp;$A702,Assumptions!$R$5:$R$10,"&gt;="&amp;$A702))</x:f>
        <x:v>1</x:v>
      </x:c>
      <x:c r="K702" s="12" t="n">
        <x:f>IF($A702="","",1+((($A702-Assumptions!$B$5)/30)*INDEX(Assumptions!$J$5:$J$12,MATCH($B702,Assumptions!$D$5:$D$12,0))))</x:f>
        <x:v>1.0093333333333334</x:v>
      </x:c>
      <x:c r="L702" t="str">
        <x:f>IF($A702="","",IFERROR(INDEX(Assumptions!$O$5:$O$10,MATCH(1,(Assumptions!$P$5:$P$10=$B702)*(Assumptions!$Q$5:$Q$10&lt;=$A702)*(Assumptions!$R$5:$R$10&gt;=$A702),0)),""))</x:f>
      </x:c>
      <x:c r="M702" t="n">
        <x:f>--($A702&lt;&gt;"")</x:f>
        <x:v>1</x:v>
      </x:c>
    </x:row>
    <x:row r="703">
      <x:c r="A703" s="10" t="n">
        <x:f>IF(Assumptions!$B$5+INT((ROW()-2)/Assumptions!$B$7)&gt;Assumptions!$B$6,"",Assumptions!$B$5+INT((ROW()-2)/Assumptions!$B$7))</x:f>
        <x:v>46163</x:v>
      </x:c>
      <x:c r="B703" t="str">
        <x:f>IF($A703="","",INDEX(Assumptions!$D$5:$D$12,MOD(ROW()-2,Assumptions!$B$7)+1))</x:f>
        <x:v>LV-426 North</x:v>
      </x:c>
      <x:c r="C703" s="11" t="n">
        <x:f>IF($A703="","",INDEX(Assumptions!$F$5:$F$12,MATCH($B703,Assumptions!$D$5:$D$12,0)))</x:f>
        <x:v>930</x:v>
      </x:c>
      <x:c r="D703" s="11" t="n">
        <x:f>IF($A703="","",INDEX(Assumptions!$G$5:$G$12,MATCH($B703,Assumptions!$D$5:$D$12,0)))</x:f>
        <x:v>95</x:v>
      </x:c>
      <x:c r="E703" s="11" t="n">
        <x:f>IF($A703="","",INDEX(Assumptions!$M$5:$M$11,WEEKDAY($A703,2)))</x:f>
        <x:v>1</x:v>
      </x:c>
      <x:c r="F703" s="11" t="n">
        <x:f>IF($A703="","",Assumptions!$B$15)</x:f>
        <x:v>0.35</x:v>
      </x:c>
      <x:c r="G703" s="11" t="n">
        <x:f>IF($A703="","",MAX(INDEX(Assumptions!$H$5:$H$12,MATCH($B703,Assumptions!$D$5:$D$12,0)),MIN(INDEX(Assumptions!$I$5:$I$12,MATCH($B703,Assumptions!$D$5:$D$12,0)),($C703+$D703*SQRT(-2*LN(RAND()))*COS(2*PI()*RAND()))*$E703*$J703*$K703)))</x:f>
        <x:v>1055.0096226983514</x:v>
      </x:c>
      <x:c r="H703" s="11" t="n">
        <x:f>IF($A703="","",$G703*$F703+$C703*(1-$F703))</x:f>
        <x:v>973.753367944423</x:v>
      </x:c>
      <x:c r="I703" s="11" t="n">
        <x:f>IF($A703="","",AVERAGE($H703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949.2837857740179</x:v>
      </x:c>
      <x:c r="J703" s="12" t="n">
        <x:f>IF($A703="","",1+SUMIFS(Assumptions!$S$5:$S$10,Assumptions!$P$5:$P$10,$B703,Assumptions!$Q$5:$Q$10,"&lt;="&amp;$A703,Assumptions!$R$5:$R$10,"&gt;="&amp;$A703))</x:f>
        <x:v>1</x:v>
      </x:c>
      <x:c r="K703" s="12" t="n">
        <x:f>IF($A703="","",1+((($A703-Assumptions!$B$5)/30)*INDEX(Assumptions!$J$5:$J$12,MATCH($B703,Assumptions!$D$5:$D$12,0))))</x:f>
        <x:v>0.9953333333333333</x:v>
      </x:c>
      <x:c r="L703" t="str">
        <x:f>IF($A703="","",IFERROR(INDEX(Assumptions!$O$5:$O$10,MATCH(1,(Assumptions!$P$5:$P$10=$B703)*(Assumptions!$Q$5:$Q$10&lt;=$A703)*(Assumptions!$R$5:$R$10&gt;=$A703),0)),""))</x:f>
      </x:c>
      <x:c r="M703" t="n">
        <x:f>--($A703&lt;&gt;"")</x:f>
        <x:v>1</x:v>
      </x:c>
    </x:row>
    <x:row r="704">
      <x:c r="A704" s="10" t="n">
        <x:f>IF(Assumptions!$B$5+INT((ROW()-2)/Assumptions!$B$7)&gt;Assumptions!$B$6,"",Assumptions!$B$5+INT((ROW()-2)/Assumptions!$B$7))</x:f>
        <x:v>46163</x:v>
      </x:c>
      <x:c r="B704" t="str">
        <x:f>IF($A704="","",INDEX(Assumptions!$D$5:$D$12,MOD(ROW()-2,Assumptions!$B$7)+1))</x:f>
        <x:v>Nostromo Deep</x:v>
      </x:c>
      <x:c r="C704" s="11" t="n">
        <x:f>IF($A704="","",INDEX(Assumptions!$F$5:$F$12,MATCH($B704,Assumptions!$D$5:$D$12,0)))</x:f>
        <x:v>1260</x:v>
      </x:c>
      <x:c r="D704" s="11" t="n">
        <x:f>IF($A704="","",INDEX(Assumptions!$G$5:$G$12,MATCH($B704,Assumptions!$D$5:$D$12,0)))</x:f>
        <x:v>145</x:v>
      </x:c>
      <x:c r="E704" s="11" t="n">
        <x:f>IF($A704="","",INDEX(Assumptions!$M$5:$M$11,WEEKDAY($A704,2)))</x:f>
        <x:v>1</x:v>
      </x:c>
      <x:c r="F704" s="11" t="n">
        <x:f>IF($A704="","",Assumptions!$B$15)</x:f>
        <x:v>0.35</x:v>
      </x:c>
      <x:c r="G704" s="11" t="n">
        <x:f>IF($A704="","",MAX(INDEX(Assumptions!$H$5:$H$12,MATCH($B704,Assumptions!$D$5:$D$12,0)),MIN(INDEX(Assumptions!$I$5:$I$12,MATCH($B704,Assumptions!$D$5:$D$12,0)),($C704+$D704*SQRT(-2*LN(RAND()))*COS(2*PI()*RAND()))*$E704*$J704*$K704)))</x:f>
        <x:v>1126.6921902407332</x:v>
      </x:c>
      <x:c r="H704" s="11" t="n">
        <x:f>IF($A704="","",$G704*$F704+$C704*(1-$F704))</x:f>
        <x:v>1213.3422665842565</x:v>
      </x:c>
      <x:c r="I704" s="11" t="n">
        <x:f>IF($A704="","",AVERAGE($H704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1238.149331320126</x:v>
      </x:c>
      <x:c r="J704" s="12" t="n">
        <x:f>IF($A704="","",1+SUMIFS(Assumptions!$S$5:$S$10,Assumptions!$P$5:$P$10,$B704,Assumptions!$Q$5:$Q$10,"&lt;="&amp;$A704,Assumptions!$R$5:$R$10,"&gt;="&amp;$A704))</x:f>
        <x:v>1</x:v>
      </x:c>
      <x:c r="K704" s="12" t="n">
        <x:f>IF($A704="","",1+((($A704-Assumptions!$B$5)/30)*INDEX(Assumptions!$J$5:$J$12,MATCH($B704,Assumptions!$D$5:$D$12,0))))</x:f>
        <x:v>1.014</x:v>
      </x:c>
      <x:c r="L704" t="str">
        <x:f>IF($A704="","",IFERROR(INDEX(Assumptions!$O$5:$O$10,MATCH(1,(Assumptions!$P$5:$P$10=$B704)*(Assumptions!$Q$5:$Q$10&lt;=$A704)*(Assumptions!$R$5:$R$10&gt;=$A704),0)),""))</x:f>
      </x:c>
      <x:c r="M704" t="n">
        <x:f>--($A704&lt;&gt;"")</x:f>
        <x:v>1</x:v>
      </x:c>
    </x:row>
    <x:row r="705">
      <x:c r="A705" s="10" t="n">
        <x:f>IF(Assumptions!$B$5+INT((ROW()-2)/Assumptions!$B$7)&gt;Assumptions!$B$6,"",Assumptions!$B$5+INT((ROW()-2)/Assumptions!$B$7))</x:f>
        <x:v>46163</x:v>
      </x:c>
      <x:c r="B705" t="str">
        <x:f>IF($A705="","",INDEX(Assumptions!$D$5:$D$12,MOD(ROW()-2,Assumptions!$B$7)+1))</x:f>
        <x:v>Hadley's Hope</x:v>
      </x:c>
      <x:c r="C705" s="11" t="n">
        <x:f>IF($A705="","",INDEX(Assumptions!$F$5:$F$12,MATCH($B705,Assumptions!$D$5:$D$12,0)))</x:f>
        <x:v>845</x:v>
      </x:c>
      <x:c r="D705" s="11" t="n">
        <x:f>IF($A705="","",INDEX(Assumptions!$G$5:$G$12,MATCH($B705,Assumptions!$D$5:$D$12,0)))</x:f>
        <x:v>80</x:v>
      </x:c>
      <x:c r="E705" s="11" t="n">
        <x:f>IF($A705="","",INDEX(Assumptions!$M$5:$M$11,WEEKDAY($A705,2)))</x:f>
        <x:v>1</x:v>
      </x:c>
      <x:c r="F705" s="11" t="n">
        <x:f>IF($A705="","",Assumptions!$B$15)</x:f>
        <x:v>0.35</x:v>
      </x:c>
      <x:c r="G705" s="11" t="n">
        <x:f>IF($A705="","",MAX(INDEX(Assumptions!$H$5:$H$12,MATCH($B705,Assumptions!$D$5:$D$12,0)),MIN(INDEX(Assumptions!$I$5:$I$12,MATCH($B705,Assumptions!$D$5:$D$12,0)),($C705+$D705*SQRT(-2*LN(RAND()))*COS(2*PI()*RAND()))*$E705*$J705*$K705)))</x:f>
        <x:v>904.725278731995</x:v>
      </x:c>
      <x:c r="H705" s="11" t="n">
        <x:f>IF($A705="","",$G705*$F705+$C705*(1-$F705))</x:f>
        <x:v>865.9038475561982</x:v>
      </x:c>
      <x:c r="I705" s="11" t="n">
        <x:f>IF($A705="","",AVERAGE($H705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830.7353656238463</x:v>
      </x:c>
      <x:c r="J705" s="12" t="n">
        <x:f>IF($A705="","",1+SUMIFS(Assumptions!$S$5:$S$10,Assumptions!$P$5:$P$10,$B705,Assumptions!$Q$5:$Q$10,"&lt;="&amp;$A705,Assumptions!$R$5:$R$10,"&gt;="&amp;$A705))</x:f>
        <x:v>1</x:v>
      </x:c>
      <x:c r="K705" s="12" t="n">
        <x:f>IF($A705="","",1+((($A705-Assumptions!$B$5)/30)*INDEX(Assumptions!$J$5:$J$12,MATCH($B705,Assumptions!$D$5:$D$12,0))))</x:f>
        <x:v>1.0046666666666666</x:v>
      </x:c>
      <x:c r="L705" t="str">
        <x:f>IF($A705="","",IFERROR(INDEX(Assumptions!$O$5:$O$10,MATCH(1,(Assumptions!$P$5:$P$10=$B705)*(Assumptions!$Q$5:$Q$10&lt;=$A705)*(Assumptions!$R$5:$R$10&gt;=$A705),0)),""))</x:f>
      </x:c>
      <x:c r="M705" t="n">
        <x:f>--($A705&lt;&gt;"")</x:f>
        <x:v>1</x:v>
      </x:c>
    </x:row>
    <x:row r="706">
      <x:c r="A706" s="10" t="n">
        <x:f>IF(Assumptions!$B$5+INT((ROW()-2)/Assumptions!$B$7)&gt;Assumptions!$B$6,"",Assumptions!$B$5+INT((ROW()-2)/Assumptions!$B$7))</x:f>
        <x:v>46163</x:v>
      </x:c>
      <x:c r="B706" t="str">
        <x:f>IF($A706="","",INDEX(Assumptions!$D$5:$D$12,MOD(ROW()-2,Assumptions!$B$7)+1))</x:f>
        <x:v>Yutani Ridge</x:v>
      </x:c>
      <x:c r="C706" s="11" t="n">
        <x:f>IF($A706="","",INDEX(Assumptions!$F$5:$F$12,MATCH($B706,Assumptions!$D$5:$D$12,0)))</x:f>
        <x:v>1050</x:v>
      </x:c>
      <x:c r="D706" s="11" t="n">
        <x:f>IF($A706="","",INDEX(Assumptions!$G$5:$G$12,MATCH($B706,Assumptions!$D$5:$D$12,0)))</x:f>
        <x:v>125</x:v>
      </x:c>
      <x:c r="E706" s="11" t="n">
        <x:f>IF($A706="","",INDEX(Assumptions!$M$5:$M$11,WEEKDAY($A706,2)))</x:f>
        <x:v>1</x:v>
      </x:c>
      <x:c r="F706" s="11" t="n">
        <x:f>IF($A706="","",Assumptions!$B$15)</x:f>
        <x:v>0.35</x:v>
      </x:c>
      <x:c r="G706" s="11" t="n">
        <x:f>IF($A706="","",MAX(INDEX(Assumptions!$H$5:$H$12,MATCH($B706,Assumptions!$D$5:$D$12,0)),MIN(INDEX(Assumptions!$I$5:$I$12,MATCH($B706,Assumptions!$D$5:$D$12,0)),($C706+$D706*SQRT(-2*LN(RAND()))*COS(2*PI()*RAND()))*$E706*$J706*$K706)))</x:f>
        <x:v>1116.0206790041295</x:v>
      </x:c>
      <x:c r="H706" s="11" t="n">
        <x:f>IF($A706="","",$G706*$F706+$C706*(1-$F706))</x:f>
        <x:v>1073.1072376514453</x:v>
      </x:c>
      <x:c r="I706" s="11" t="n">
        <x:f>IF($A706="","",AVERAGE($H706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1064.298040488467</x:v>
      </x:c>
      <x:c r="J706" s="12" t="n">
        <x:f>IF($A706="","",1+SUMIFS(Assumptions!$S$5:$S$10,Assumptions!$P$5:$P$10,$B706,Assumptions!$Q$5:$Q$10,"&lt;="&amp;$A706,Assumptions!$R$5:$R$10,"&gt;="&amp;$A706))</x:f>
        <x:v>1</x:v>
      </x:c>
      <x:c r="K706" s="12" t="n">
        <x:f>IF($A706="","",1+((($A706-Assumptions!$B$5)/30)*INDEX(Assumptions!$J$5:$J$12,MATCH($B706,Assumptions!$D$5:$D$12,0))))</x:f>
        <x:v>1.0116666666666667</x:v>
      </x:c>
      <x:c r="L706" t="str">
        <x:f>IF($A706="","",IFERROR(INDEX(Assumptions!$O$5:$O$10,MATCH(1,(Assumptions!$P$5:$P$10=$B706)*(Assumptions!$Q$5:$Q$10&lt;=$A706)*(Assumptions!$R$5:$R$10&gt;=$A706),0)),""))</x:f>
      </x:c>
      <x:c r="M706" t="n">
        <x:f>--($A706&lt;&gt;"")</x:f>
        <x:v>1</x:v>
      </x:c>
    </x:row>
    <x:row r="707">
      <x:c r="A707" s="10" t="n">
        <x:f>IF(Assumptions!$B$5+INT((ROW()-2)/Assumptions!$B$7)&gt;Assumptions!$B$6,"",Assumptions!$B$5+INT((ROW()-2)/Assumptions!$B$7))</x:f>
        <x:v>46164</x:v>
      </x:c>
      <x:c r="B707" t="str">
        <x:f>IF($A707="","",INDEX(Assumptions!$D$5:$D$12,MOD(ROW()-2,Assumptions!$B$7)+1))</x:f>
        <x:v>Acheron Prime</x:v>
      </x:c>
      <x:c r="C707" s="11" t="n">
        <x:f>IF($A707="","",INDEX(Assumptions!$F$5:$F$12,MATCH($B707,Assumptions!$D$5:$D$12,0)))</x:f>
        <x:v>1120</x:v>
      </x:c>
      <x:c r="D707" s="11" t="n">
        <x:f>IF($A707="","",INDEX(Assumptions!$G$5:$G$12,MATCH($B707,Assumptions!$D$5:$D$12,0)))</x:f>
        <x:v>115</x:v>
      </x:c>
      <x:c r="E707" s="11" t="n">
        <x:f>IF($A707="","",INDEX(Assumptions!$M$5:$M$11,WEEKDAY($A707,2)))</x:f>
        <x:v>0.98</x:v>
      </x:c>
      <x:c r="F707" s="11" t="n">
        <x:f>IF($A707="","",Assumptions!$B$15)</x:f>
        <x:v>0.35</x:v>
      </x:c>
      <x:c r="G707" s="11" t="n">
        <x:f>IF($A707="","",MAX(INDEX(Assumptions!$H$5:$H$12,MATCH($B707,Assumptions!$D$5:$D$12,0)),MIN(INDEX(Assumptions!$I$5:$I$12,MATCH($B707,Assumptions!$D$5:$D$12,0)),($C707+$D707*SQRT(-2*LN(RAND()))*COS(2*PI()*RAND()))*$E707*$J707*$K707)))</x:f>
        <x:v>1166.7286468820084</x:v>
      </x:c>
      <x:c r="H707" s="11" t="n">
        <x:f>IF($A707="","",$G707*$F707+$C707*(1-$F707))</x:f>
        <x:v>1136.355026408703</x:v>
      </x:c>
      <x:c r="I707" s="11" t="n">
        <x:f>IF($A707="","",AVERAGE($H707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1131.044435646958</x:v>
      </x:c>
      <x:c r="J707" s="12" t="n">
        <x:f>IF($A707="","",1+SUMIFS(Assumptions!$S$5:$S$10,Assumptions!$P$5:$P$10,$B707,Assumptions!$Q$5:$Q$10,"&lt;="&amp;$A707,Assumptions!$R$5:$R$10,"&gt;="&amp;$A707))</x:f>
        <x:v>1</x:v>
      </x:c>
      <x:c r="K707" s="12" t="n">
        <x:f>IF($A707="","",1+((($A707-Assumptions!$B$5)/30)*INDEX(Assumptions!$J$5:$J$12,MATCH($B707,Assumptions!$D$5:$D$12,0))))</x:f>
        <x:v>1.0094</x:v>
      </x:c>
      <x:c r="L707" t="str">
        <x:f>IF($A707="","",IFERROR(INDEX(Assumptions!$O$5:$O$10,MATCH(1,(Assumptions!$P$5:$P$10=$B707)*(Assumptions!$Q$5:$Q$10&lt;=$A707)*(Assumptions!$R$5:$R$10&gt;=$A707),0)),""))</x:f>
      </x:c>
      <x:c r="M707" t="n">
        <x:f>--($A707&lt;&gt;"")</x:f>
        <x:v>1</x:v>
      </x:c>
    </x:row>
    <x:row r="708">
      <x:c r="A708" s="10" t="n">
        <x:f>IF(Assumptions!$B$5+INT((ROW()-2)/Assumptions!$B$7)&gt;Assumptions!$B$6,"",Assumptions!$B$5+INT((ROW()-2)/Assumptions!$B$7))</x:f>
        <x:v>46164</x:v>
      </x:c>
      <x:c r="B708" t="str">
        <x:f>IF($A708="","",INDEX(Assumptions!$D$5:$D$12,MOD(ROW()-2,Assumptions!$B$7)+1))</x:f>
        <x:v>LV-426 North</x:v>
      </x:c>
      <x:c r="C708" s="11" t="n">
        <x:f>IF($A708="","",INDEX(Assumptions!$F$5:$F$12,MATCH($B708,Assumptions!$D$5:$D$12,0)))</x:f>
        <x:v>930</x:v>
      </x:c>
      <x:c r="D708" s="11" t="n">
        <x:f>IF($A708="","",INDEX(Assumptions!$G$5:$G$12,MATCH($B708,Assumptions!$D$5:$D$12,0)))</x:f>
        <x:v>95</x:v>
      </x:c>
      <x:c r="E708" s="11" t="n">
        <x:f>IF($A708="","",INDEX(Assumptions!$M$5:$M$11,WEEKDAY($A708,2)))</x:f>
        <x:v>0.98</x:v>
      </x:c>
      <x:c r="F708" s="11" t="n">
        <x:f>IF($A708="","",Assumptions!$B$15)</x:f>
        <x:v>0.35</x:v>
      </x:c>
      <x:c r="G708" s="11" t="n">
        <x:f>IF($A708="","",MAX(INDEX(Assumptions!$H$5:$H$12,MATCH($B708,Assumptions!$D$5:$D$12,0)),MIN(INDEX(Assumptions!$I$5:$I$12,MATCH($B708,Assumptions!$D$5:$D$12,0)),($C708+$D708*SQRT(-2*LN(RAND()))*COS(2*PI()*RAND()))*$E708*$J708*$K708)))</x:f>
        <x:v>898.393807970187</x:v>
      </x:c>
      <x:c r="H708" s="11" t="n">
        <x:f>IF($A708="","",$G708*$F708+$C708*(1-$F708))</x:f>
        <x:v>918.9378327895654</x:v>
      </x:c>
      <x:c r="I708" s="11" t="n">
        <x:f>IF($A708="","",AVERAGE($H708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944.2775790598215</x:v>
      </x:c>
      <x:c r="J708" s="12" t="n">
        <x:f>IF($A708="","",1+SUMIFS(Assumptions!$S$5:$S$10,Assumptions!$P$5:$P$10,$B708,Assumptions!$Q$5:$Q$10,"&lt;="&amp;$A708,Assumptions!$R$5:$R$10,"&gt;="&amp;$A708))</x:f>
        <x:v>1</x:v>
      </x:c>
      <x:c r="K708" s="12" t="n">
        <x:f>IF($A708="","",1+((($A708-Assumptions!$B$5)/30)*INDEX(Assumptions!$J$5:$J$12,MATCH($B708,Assumptions!$D$5:$D$12,0))))</x:f>
        <x:v>0.9953</x:v>
      </x:c>
      <x:c r="L708" t="str">
        <x:f>IF($A708="","",IFERROR(INDEX(Assumptions!$O$5:$O$10,MATCH(1,(Assumptions!$P$5:$P$10=$B708)*(Assumptions!$Q$5:$Q$10&lt;=$A708)*(Assumptions!$R$5:$R$10&gt;=$A708),0)),""))</x:f>
      </x:c>
      <x:c r="M708" t="n">
        <x:f>--($A708&lt;&gt;"")</x:f>
        <x:v>1</x:v>
      </x:c>
    </x:row>
    <x:row r="709">
      <x:c r="A709" s="10" t="n">
        <x:f>IF(Assumptions!$B$5+INT((ROW()-2)/Assumptions!$B$7)&gt;Assumptions!$B$6,"",Assumptions!$B$5+INT((ROW()-2)/Assumptions!$B$7))</x:f>
        <x:v>46164</x:v>
      </x:c>
      <x:c r="B709" t="str">
        <x:f>IF($A709="","",INDEX(Assumptions!$D$5:$D$12,MOD(ROW()-2,Assumptions!$B$7)+1))</x:f>
        <x:v>Nostromo Deep</x:v>
      </x:c>
      <x:c r="C709" s="11" t="n">
        <x:f>IF($A709="","",INDEX(Assumptions!$F$5:$F$12,MATCH($B709,Assumptions!$D$5:$D$12,0)))</x:f>
        <x:v>1260</x:v>
      </x:c>
      <x:c r="D709" s="11" t="n">
        <x:f>IF($A709="","",INDEX(Assumptions!$G$5:$G$12,MATCH($B709,Assumptions!$D$5:$D$12,0)))</x:f>
        <x:v>145</x:v>
      </x:c>
      <x:c r="E709" s="11" t="n">
        <x:f>IF($A709="","",INDEX(Assumptions!$M$5:$M$11,WEEKDAY($A709,2)))</x:f>
        <x:v>0.98</x:v>
      </x:c>
      <x:c r="F709" s="11" t="n">
        <x:f>IF($A709="","",Assumptions!$B$15)</x:f>
        <x:v>0.35</x:v>
      </x:c>
      <x:c r="G709" s="11" t="n">
        <x:f>IF($A709="","",MAX(INDEX(Assumptions!$H$5:$H$12,MATCH($B709,Assumptions!$D$5:$D$12,0)),MIN(INDEX(Assumptions!$I$5:$I$12,MATCH($B709,Assumptions!$D$5:$D$12,0)),($C709+$D709*SQRT(-2*LN(RAND()))*COS(2*PI()*RAND()))*$E709*$J709*$K709)))</x:f>
        <x:v>1352.345969209046</x:v>
      </x:c>
      <x:c r="H709" s="11" t="n">
        <x:f>IF($A709="","",$G709*$F709+$C709*(1-$F709))</x:f>
        <x:v>1292.321089223166</x:v>
      </x:c>
      <x:c r="I709" s="11" t="n">
        <x:f>IF($A709="","",AVERAGE($H709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1243.791130151141</x:v>
      </x:c>
      <x:c r="J709" s="12" t="n">
        <x:f>IF($A709="","",1+SUMIFS(Assumptions!$S$5:$S$10,Assumptions!$P$5:$P$10,$B709,Assumptions!$Q$5:$Q$10,"&lt;="&amp;$A709,Assumptions!$R$5:$R$10,"&gt;="&amp;$A709))</x:f>
        <x:v>1</x:v>
      </x:c>
      <x:c r="K709" s="12" t="n">
        <x:f>IF($A709="","",1+((($A709-Assumptions!$B$5)/30)*INDEX(Assumptions!$J$5:$J$12,MATCH($B709,Assumptions!$D$5:$D$12,0))))</x:f>
        <x:v>1.0141</x:v>
      </x:c>
      <x:c r="L709" t="str">
        <x:f>IF($A709="","",IFERROR(INDEX(Assumptions!$O$5:$O$10,MATCH(1,(Assumptions!$P$5:$P$10=$B709)*(Assumptions!$Q$5:$Q$10&lt;=$A709)*(Assumptions!$R$5:$R$10&gt;=$A709),0)),""))</x:f>
      </x:c>
      <x:c r="M709" t="n">
        <x:f>--($A709&lt;&gt;"")</x:f>
        <x:v>1</x:v>
      </x:c>
    </x:row>
    <x:row r="710">
      <x:c r="A710" s="10" t="n">
        <x:f>IF(Assumptions!$B$5+INT((ROW()-2)/Assumptions!$B$7)&gt;Assumptions!$B$6,"",Assumptions!$B$5+INT((ROW()-2)/Assumptions!$B$7))</x:f>
        <x:v>46164</x:v>
      </x:c>
      <x:c r="B710" t="str">
        <x:f>IF($A710="","",INDEX(Assumptions!$D$5:$D$12,MOD(ROW()-2,Assumptions!$B$7)+1))</x:f>
        <x:v>Hadley's Hope</x:v>
      </x:c>
      <x:c r="C710" s="11" t="n">
        <x:f>IF($A710="","",INDEX(Assumptions!$F$5:$F$12,MATCH($B710,Assumptions!$D$5:$D$12,0)))</x:f>
        <x:v>845</x:v>
      </x:c>
      <x:c r="D710" s="11" t="n">
        <x:f>IF($A710="","",INDEX(Assumptions!$G$5:$G$12,MATCH($B710,Assumptions!$D$5:$D$12,0)))</x:f>
        <x:v>80</x:v>
      </x:c>
      <x:c r="E710" s="11" t="n">
        <x:f>IF($A710="","",INDEX(Assumptions!$M$5:$M$11,WEEKDAY($A710,2)))</x:f>
        <x:v>0.98</x:v>
      </x:c>
      <x:c r="F710" s="11" t="n">
        <x:f>IF($A710="","",Assumptions!$B$15)</x:f>
        <x:v>0.35</x:v>
      </x:c>
      <x:c r="G710" s="11" t="n">
        <x:f>IF($A710="","",MAX(INDEX(Assumptions!$H$5:$H$12,MATCH($B710,Assumptions!$D$5:$D$12,0)),MIN(INDEX(Assumptions!$I$5:$I$12,MATCH($B710,Assumptions!$D$5:$D$12,0)),($C710+$D710*SQRT(-2*LN(RAND()))*COS(2*PI()*RAND()))*$E710*$J710*$K710)))</x:f>
        <x:v>913.4480571363843</x:v>
      </x:c>
      <x:c r="H710" s="11" t="n">
        <x:f>IF($A710="","",$G710*$F710+$C710*(1-$F710))</x:f>
        <x:v>868.9568199977344</x:v>
      </x:c>
      <x:c r="I710" s="11" t="n">
        <x:f>IF($A710="","",AVERAGE($H710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837.239312002189</x:v>
      </x:c>
      <x:c r="J710" s="12" t="n">
        <x:f>IF($A710="","",1+SUMIFS(Assumptions!$S$5:$S$10,Assumptions!$P$5:$P$10,$B710,Assumptions!$Q$5:$Q$10,"&lt;="&amp;$A710,Assumptions!$R$5:$R$10,"&gt;="&amp;$A710))</x:f>
        <x:v>1</x:v>
      </x:c>
      <x:c r="K710" s="12" t="n">
        <x:f>IF($A710="","",1+((($A710-Assumptions!$B$5)/30)*INDEX(Assumptions!$J$5:$J$12,MATCH($B710,Assumptions!$D$5:$D$12,0))))</x:f>
        <x:v>1.0047</x:v>
      </x:c>
      <x:c r="L710" t="str">
        <x:f>IF($A710="","",IFERROR(INDEX(Assumptions!$O$5:$O$10,MATCH(1,(Assumptions!$P$5:$P$10=$B710)*(Assumptions!$Q$5:$Q$10&lt;=$A710)*(Assumptions!$R$5:$R$10&gt;=$A710),0)),""))</x:f>
      </x:c>
      <x:c r="M710" t="n">
        <x:f>--($A710&lt;&gt;"")</x:f>
        <x:v>1</x:v>
      </x:c>
    </x:row>
    <x:row r="711">
      <x:c r="A711" s="10" t="n">
        <x:f>IF(Assumptions!$B$5+INT((ROW()-2)/Assumptions!$B$7)&gt;Assumptions!$B$6,"",Assumptions!$B$5+INT((ROW()-2)/Assumptions!$B$7))</x:f>
        <x:v>46164</x:v>
      </x:c>
      <x:c r="B711" t="str">
        <x:f>IF($A711="","",INDEX(Assumptions!$D$5:$D$12,MOD(ROW()-2,Assumptions!$B$7)+1))</x:f>
        <x:v>Yutani Ridge</x:v>
      </x:c>
      <x:c r="C711" s="11" t="n">
        <x:f>IF($A711="","",INDEX(Assumptions!$F$5:$F$12,MATCH($B711,Assumptions!$D$5:$D$12,0)))</x:f>
        <x:v>1050</x:v>
      </x:c>
      <x:c r="D711" s="11" t="n">
        <x:f>IF($A711="","",INDEX(Assumptions!$G$5:$G$12,MATCH($B711,Assumptions!$D$5:$D$12,0)))</x:f>
        <x:v>125</x:v>
      </x:c>
      <x:c r="E711" s="11" t="n">
        <x:f>IF($A711="","",INDEX(Assumptions!$M$5:$M$11,WEEKDAY($A711,2)))</x:f>
        <x:v>0.98</x:v>
      </x:c>
      <x:c r="F711" s="11" t="n">
        <x:f>IF($A711="","",Assumptions!$B$15)</x:f>
        <x:v>0.35</x:v>
      </x:c>
      <x:c r="G711" s="11" t="n">
        <x:f>IF($A711="","",MAX(INDEX(Assumptions!$H$5:$H$12,MATCH($B711,Assumptions!$D$5:$D$12,0)),MIN(INDEX(Assumptions!$I$5:$I$12,MATCH($B711,Assumptions!$D$5:$D$12,0)),($C711+$D711*SQRT(-2*LN(RAND()))*COS(2*PI()*RAND()))*$E711*$J711*$K711)))</x:f>
        <x:v>1043.9316872086933</x:v>
      </x:c>
      <x:c r="H711" s="11" t="n">
        <x:f>IF($A711="","",$G711*$F711+$C711*(1-$F711))</x:f>
        <x:v>1047.8760905230426</x:v>
      </x:c>
      <x:c r="I711" s="11" t="n">
        <x:f>IF($A711="","",AVERAGE($H711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1063.1115203695965</x:v>
      </x:c>
      <x:c r="J711" s="12" t="n">
        <x:f>IF($A711="","",1+SUMIFS(Assumptions!$S$5:$S$10,Assumptions!$P$5:$P$10,$B711,Assumptions!$Q$5:$Q$10,"&lt;="&amp;$A711,Assumptions!$R$5:$R$10,"&gt;="&amp;$A711))</x:f>
        <x:v>1</x:v>
      </x:c>
      <x:c r="K711" s="12" t="n">
        <x:f>IF($A711="","",1+((($A711-Assumptions!$B$5)/30)*INDEX(Assumptions!$J$5:$J$12,MATCH($B711,Assumptions!$D$5:$D$12,0))))</x:f>
        <x:v>1.01175</x:v>
      </x:c>
      <x:c r="L711" t="str">
        <x:f>IF($A711="","",IFERROR(INDEX(Assumptions!$O$5:$O$10,MATCH(1,(Assumptions!$P$5:$P$10=$B711)*(Assumptions!$Q$5:$Q$10&lt;=$A711)*(Assumptions!$R$5:$R$10&gt;=$A711),0)),""))</x:f>
      </x:c>
      <x:c r="M711" t="n">
        <x:f>--($A711&lt;&gt;"")</x:f>
        <x:v>1</x:v>
      </x:c>
    </x:row>
    <x:row r="712">
      <x:c r="A712" s="10" t="n">
        <x:f>IF(Assumptions!$B$5+INT((ROW()-2)/Assumptions!$B$7)&gt;Assumptions!$B$6,"",Assumptions!$B$5+INT((ROW()-2)/Assumptions!$B$7))</x:f>
        <x:v>46165</x:v>
      </x:c>
      <x:c r="B712" t="str">
        <x:f>IF($A712="","",INDEX(Assumptions!$D$5:$D$12,MOD(ROW()-2,Assumptions!$B$7)+1))</x:f>
        <x:v>Acheron Prime</x:v>
      </x:c>
      <x:c r="C712" s="11" t="n">
        <x:f>IF($A712="","",INDEX(Assumptions!$F$5:$F$12,MATCH($B712,Assumptions!$D$5:$D$12,0)))</x:f>
        <x:v>1120</x:v>
      </x:c>
      <x:c r="D712" s="11" t="n">
        <x:f>IF($A712="","",INDEX(Assumptions!$G$5:$G$12,MATCH($B712,Assumptions!$D$5:$D$12,0)))</x:f>
        <x:v>115</x:v>
      </x:c>
      <x:c r="E712" s="11" t="n">
        <x:f>IF($A712="","",INDEX(Assumptions!$M$5:$M$11,WEEKDAY($A712,2)))</x:f>
        <x:v>0.91</x:v>
      </x:c>
      <x:c r="F712" s="11" t="n">
        <x:f>IF($A712="","",Assumptions!$B$15)</x:f>
        <x:v>0.35</x:v>
      </x:c>
      <x:c r="G712" s="11" t="n">
        <x:f>IF($A712="","",MAX(INDEX(Assumptions!$H$5:$H$12,MATCH($B712,Assumptions!$D$5:$D$12,0)),MIN(INDEX(Assumptions!$I$5:$I$12,MATCH($B712,Assumptions!$D$5:$D$12,0)),($C712+$D712*SQRT(-2*LN(RAND()))*COS(2*PI()*RAND()))*$E712*$J712*$K712)))</x:f>
        <x:v>936.4071379114878</x:v>
      </x:c>
      <x:c r="H712" s="11" t="n">
        <x:f>IF($A712="","",$G712*$F712+$C712*(1-$F712))</x:f>
        <x:v>1055.7424982690206</x:v>
      </x:c>
      <x:c r="I712" s="11" t="n">
        <x:f>IF($A712="","",AVERAGE($H712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1124.971894462394</x:v>
      </x:c>
      <x:c r="J712" s="12" t="n">
        <x:f>IF($A712="","",1+SUMIFS(Assumptions!$S$5:$S$10,Assumptions!$P$5:$P$10,$B712,Assumptions!$Q$5:$Q$10,"&lt;="&amp;$A712,Assumptions!$R$5:$R$10,"&gt;="&amp;$A712))</x:f>
        <x:v>1</x:v>
      </x:c>
      <x:c r="K712" s="12" t="n">
        <x:f>IF($A712="","",1+((($A712-Assumptions!$B$5)/30)*INDEX(Assumptions!$J$5:$J$12,MATCH($B712,Assumptions!$D$5:$D$12,0))))</x:f>
        <x:v>1.0094666666666667</x:v>
      </x:c>
      <x:c r="L712" t="str">
        <x:f>IF($A712="","",IFERROR(INDEX(Assumptions!$O$5:$O$10,MATCH(1,(Assumptions!$P$5:$P$10=$B712)*(Assumptions!$Q$5:$Q$10&lt;=$A712)*(Assumptions!$R$5:$R$10&gt;=$A712),0)),""))</x:f>
      </x:c>
      <x:c r="M712" t="n">
        <x:f>--($A712&lt;&gt;"")</x:f>
        <x:v>1</x:v>
      </x:c>
    </x:row>
    <x:row r="713">
      <x:c r="A713" s="10" t="n">
        <x:f>IF(Assumptions!$B$5+INT((ROW()-2)/Assumptions!$B$7)&gt;Assumptions!$B$6,"",Assumptions!$B$5+INT((ROW()-2)/Assumptions!$B$7))</x:f>
        <x:v>46165</x:v>
      </x:c>
      <x:c r="B713" t="str">
        <x:f>IF($A713="","",INDEX(Assumptions!$D$5:$D$12,MOD(ROW()-2,Assumptions!$B$7)+1))</x:f>
        <x:v>LV-426 North</x:v>
      </x:c>
      <x:c r="C713" s="11" t="n">
        <x:f>IF($A713="","",INDEX(Assumptions!$F$5:$F$12,MATCH($B713,Assumptions!$D$5:$D$12,0)))</x:f>
        <x:v>930</x:v>
      </x:c>
      <x:c r="D713" s="11" t="n">
        <x:f>IF($A713="","",INDEX(Assumptions!$G$5:$G$12,MATCH($B713,Assumptions!$D$5:$D$12,0)))</x:f>
        <x:v>95</x:v>
      </x:c>
      <x:c r="E713" s="11" t="n">
        <x:f>IF($A713="","",INDEX(Assumptions!$M$5:$M$11,WEEKDAY($A713,2)))</x:f>
        <x:v>0.91</x:v>
      </x:c>
      <x:c r="F713" s="11" t="n">
        <x:f>IF($A713="","",Assumptions!$B$15)</x:f>
        <x:v>0.35</x:v>
      </x:c>
      <x:c r="G713" s="11" t="n">
        <x:f>IF($A713="","",MAX(INDEX(Assumptions!$H$5:$H$12,MATCH($B713,Assumptions!$D$5:$D$12,0)),MIN(INDEX(Assumptions!$I$5:$I$12,MATCH($B713,Assumptions!$D$5:$D$12,0)),($C713+$D713*SQRT(-2*LN(RAND()))*COS(2*PI()*RAND()))*$E713*$J713*$K713)))</x:f>
        <x:v>717.3307779365598</x:v>
      </x:c>
      <x:c r="H713" s="11" t="n">
        <x:f>IF($A713="","",$G713*$F713+$C713*(1-$F713))</x:f>
        <x:v>855.5657722777959</x:v>
      </x:c>
      <x:c r="I713" s="11" t="n">
        <x:f>IF($A713="","",AVERAGE($H713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932.3607185601974</x:v>
      </x:c>
      <x:c r="J713" s="12" t="n">
        <x:f>IF($A713="","",1+SUMIFS(Assumptions!$S$5:$S$10,Assumptions!$P$5:$P$10,$B713,Assumptions!$Q$5:$Q$10,"&lt;="&amp;$A713,Assumptions!$R$5:$R$10,"&gt;="&amp;$A713))</x:f>
        <x:v>1</x:v>
      </x:c>
      <x:c r="K713" s="12" t="n">
        <x:f>IF($A713="","",1+((($A713-Assumptions!$B$5)/30)*INDEX(Assumptions!$J$5:$J$12,MATCH($B713,Assumptions!$D$5:$D$12,0))))</x:f>
        <x:v>0.9952666666666666</x:v>
      </x:c>
      <x:c r="L713" t="str">
        <x:f>IF($A713="","",IFERROR(INDEX(Assumptions!$O$5:$O$10,MATCH(1,(Assumptions!$P$5:$P$10=$B713)*(Assumptions!$Q$5:$Q$10&lt;=$A713)*(Assumptions!$R$5:$R$10&gt;=$A713),0)),""))</x:f>
      </x:c>
      <x:c r="M713" t="n">
        <x:f>--($A713&lt;&gt;"")</x:f>
        <x:v>1</x:v>
      </x:c>
    </x:row>
    <x:row r="714">
      <x:c r="A714" s="10" t="n">
        <x:f>IF(Assumptions!$B$5+INT((ROW()-2)/Assumptions!$B$7)&gt;Assumptions!$B$6,"",Assumptions!$B$5+INT((ROW()-2)/Assumptions!$B$7))</x:f>
        <x:v>46165</x:v>
      </x:c>
      <x:c r="B714" t="str">
        <x:f>IF($A714="","",INDEX(Assumptions!$D$5:$D$12,MOD(ROW()-2,Assumptions!$B$7)+1))</x:f>
        <x:v>Nostromo Deep</x:v>
      </x:c>
      <x:c r="C714" s="11" t="n">
        <x:f>IF($A714="","",INDEX(Assumptions!$F$5:$F$12,MATCH($B714,Assumptions!$D$5:$D$12,0)))</x:f>
        <x:v>1260</x:v>
      </x:c>
      <x:c r="D714" s="11" t="n">
        <x:f>IF($A714="","",INDEX(Assumptions!$G$5:$G$12,MATCH($B714,Assumptions!$D$5:$D$12,0)))</x:f>
        <x:v>145</x:v>
      </x:c>
      <x:c r="E714" s="11" t="n">
        <x:f>IF($A714="","",INDEX(Assumptions!$M$5:$M$11,WEEKDAY($A714,2)))</x:f>
        <x:v>0.91</x:v>
      </x:c>
      <x:c r="F714" s="11" t="n">
        <x:f>IF($A714="","",Assumptions!$B$15)</x:f>
        <x:v>0.35</x:v>
      </x:c>
      <x:c r="G714" s="11" t="n">
        <x:f>IF($A714="","",MAX(INDEX(Assumptions!$H$5:$H$12,MATCH($B714,Assumptions!$D$5:$D$12,0)),MIN(INDEX(Assumptions!$I$5:$I$12,MATCH($B714,Assumptions!$D$5:$D$12,0)),($C714+$D714*SQRT(-2*LN(RAND()))*COS(2*PI()*RAND()))*$E714*$J714*$K714)))</x:f>
        <x:v>1333.7373718245058</x:v>
      </x:c>
      <x:c r="H714" s="11" t="n">
        <x:f>IF($A714="","",$G714*$F714+$C714*(1-$F714))</x:f>
        <x:v>1285.808080138577</x:v>
      </x:c>
      <x:c r="I714" s="11" t="n">
        <x:f>IF($A714="","",AVERAGE($H714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1268.702452020713</x:v>
      </x:c>
      <x:c r="J714" s="12" t="n">
        <x:f>IF($A714="","",1+SUMIFS(Assumptions!$S$5:$S$10,Assumptions!$P$5:$P$10,$B714,Assumptions!$Q$5:$Q$10,"&lt;="&amp;$A714,Assumptions!$R$5:$R$10,"&gt;="&amp;$A714))</x:f>
        <x:v>1</x:v>
      </x:c>
      <x:c r="K714" s="12" t="n">
        <x:f>IF($A714="","",1+((($A714-Assumptions!$B$5)/30)*INDEX(Assumptions!$J$5:$J$12,MATCH($B714,Assumptions!$D$5:$D$12,0))))</x:f>
        <x:v>1.0142</x:v>
      </x:c>
      <x:c r="L714" t="str">
        <x:f>IF($A714="","",IFERROR(INDEX(Assumptions!$O$5:$O$10,MATCH(1,(Assumptions!$P$5:$P$10=$B714)*(Assumptions!$Q$5:$Q$10&lt;=$A714)*(Assumptions!$R$5:$R$10&gt;=$A714),0)),""))</x:f>
      </x:c>
      <x:c r="M714" t="n">
        <x:f>--($A714&lt;&gt;"")</x:f>
        <x:v>1</x:v>
      </x:c>
    </x:row>
    <x:row r="715">
      <x:c r="A715" s="10" t="n">
        <x:f>IF(Assumptions!$B$5+INT((ROW()-2)/Assumptions!$B$7)&gt;Assumptions!$B$6,"",Assumptions!$B$5+INT((ROW()-2)/Assumptions!$B$7))</x:f>
        <x:v>46165</x:v>
      </x:c>
      <x:c r="B715" t="str">
        <x:f>IF($A715="","",INDEX(Assumptions!$D$5:$D$12,MOD(ROW()-2,Assumptions!$B$7)+1))</x:f>
        <x:v>Hadley's Hope</x:v>
      </x:c>
      <x:c r="C715" s="11" t="n">
        <x:f>IF($A715="","",INDEX(Assumptions!$F$5:$F$12,MATCH($B715,Assumptions!$D$5:$D$12,0)))</x:f>
        <x:v>845</x:v>
      </x:c>
      <x:c r="D715" s="11" t="n">
        <x:f>IF($A715="","",INDEX(Assumptions!$G$5:$G$12,MATCH($B715,Assumptions!$D$5:$D$12,0)))</x:f>
        <x:v>80</x:v>
      </x:c>
      <x:c r="E715" s="11" t="n">
        <x:f>IF($A715="","",INDEX(Assumptions!$M$5:$M$11,WEEKDAY($A715,2)))</x:f>
        <x:v>0.91</x:v>
      </x:c>
      <x:c r="F715" s="11" t="n">
        <x:f>IF($A715="","",Assumptions!$B$15)</x:f>
        <x:v>0.35</x:v>
      </x:c>
      <x:c r="G715" s="11" t="n">
        <x:f>IF($A715="","",MAX(INDEX(Assumptions!$H$5:$H$12,MATCH($B715,Assumptions!$D$5:$D$12,0)),MIN(INDEX(Assumptions!$I$5:$I$12,MATCH($B715,Assumptions!$D$5:$D$12,0)),($C715+$D715*SQRT(-2*LN(RAND()))*COS(2*PI()*RAND()))*$E715*$J715*$K715)))</x:f>
        <x:v>816.03211290136</x:v>
      </x:c>
      <x:c r="H715" s="11" t="n">
        <x:f>IF($A715="","",$G715*$F715+$C715*(1-$F715))</x:f>
        <x:v>834.861239515476</x:v>
      </x:c>
      <x:c r="I715" s="11" t="n">
        <x:f>IF($A715="","",AVERAGE($H715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838.8214575968954</x:v>
      </x:c>
      <x:c r="J715" s="12" t="n">
        <x:f>IF($A715="","",1+SUMIFS(Assumptions!$S$5:$S$10,Assumptions!$P$5:$P$10,$B715,Assumptions!$Q$5:$Q$10,"&lt;="&amp;$A715,Assumptions!$R$5:$R$10,"&gt;="&amp;$A715))</x:f>
        <x:v>1</x:v>
      </x:c>
      <x:c r="K715" s="12" t="n">
        <x:f>IF($A715="","",1+((($A715-Assumptions!$B$5)/30)*INDEX(Assumptions!$J$5:$J$12,MATCH($B715,Assumptions!$D$5:$D$12,0))))</x:f>
        <x:v>1.0047333333333333</x:v>
      </x:c>
      <x:c r="L715" t="str">
        <x:f>IF($A715="","",IFERROR(INDEX(Assumptions!$O$5:$O$10,MATCH(1,(Assumptions!$P$5:$P$10=$B715)*(Assumptions!$Q$5:$Q$10&lt;=$A715)*(Assumptions!$R$5:$R$10&gt;=$A715),0)),""))</x:f>
      </x:c>
      <x:c r="M715" t="n">
        <x:f>--($A715&lt;&gt;"")</x:f>
        <x:v>1</x:v>
      </x:c>
    </x:row>
    <x:row r="716">
      <x:c r="A716" s="10" t="n">
        <x:f>IF(Assumptions!$B$5+INT((ROW()-2)/Assumptions!$B$7)&gt;Assumptions!$B$6,"",Assumptions!$B$5+INT((ROW()-2)/Assumptions!$B$7))</x:f>
        <x:v>46165</x:v>
      </x:c>
      <x:c r="B716" t="str">
        <x:f>IF($A716="","",INDEX(Assumptions!$D$5:$D$12,MOD(ROW()-2,Assumptions!$B$7)+1))</x:f>
        <x:v>Yutani Ridge</x:v>
      </x:c>
      <x:c r="C716" s="11" t="n">
        <x:f>IF($A716="","",INDEX(Assumptions!$F$5:$F$12,MATCH($B716,Assumptions!$D$5:$D$12,0)))</x:f>
        <x:v>1050</x:v>
      </x:c>
      <x:c r="D716" s="11" t="n">
        <x:f>IF($A716="","",INDEX(Assumptions!$G$5:$G$12,MATCH($B716,Assumptions!$D$5:$D$12,0)))</x:f>
        <x:v>125</x:v>
      </x:c>
      <x:c r="E716" s="11" t="n">
        <x:f>IF($A716="","",INDEX(Assumptions!$M$5:$M$11,WEEKDAY($A716,2)))</x:f>
        <x:v>0.91</x:v>
      </x:c>
      <x:c r="F716" s="11" t="n">
        <x:f>IF($A716="","",Assumptions!$B$15)</x:f>
        <x:v>0.35</x:v>
      </x:c>
      <x:c r="G716" s="11" t="n">
        <x:f>IF($A716="","",MAX(INDEX(Assumptions!$H$5:$H$12,MATCH($B716,Assumptions!$D$5:$D$12,0)),MIN(INDEX(Assumptions!$I$5:$I$12,MATCH($B716,Assumptions!$D$5:$D$12,0)),($C716+$D716*SQRT(-2*LN(RAND()))*COS(2*PI()*RAND()))*$E716*$J716*$K716)))</x:f>
        <x:v>1109.8428971964877</x:v>
      </x:c>
      <x:c r="H716" s="11" t="n">
        <x:f>IF($A716="","",$G716*$F716+$C716*(1-$F716))</x:f>
        <x:v>1070.9450140187707</x:v>
      </x:c>
      <x:c r="I716" s="11" t="n">
        <x:f>IF($A716="","",AVERAGE($H716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1060.3074794756706</x:v>
      </x:c>
      <x:c r="J716" s="12" t="n">
        <x:f>IF($A716="","",1+SUMIFS(Assumptions!$S$5:$S$10,Assumptions!$P$5:$P$10,$B716,Assumptions!$Q$5:$Q$10,"&lt;="&amp;$A716,Assumptions!$R$5:$R$10,"&gt;="&amp;$A716))</x:f>
        <x:v>1</x:v>
      </x:c>
      <x:c r="K716" s="12" t="n">
        <x:f>IF($A716="","",1+((($A716-Assumptions!$B$5)/30)*INDEX(Assumptions!$J$5:$J$12,MATCH($B716,Assumptions!$D$5:$D$12,0))))</x:f>
        <x:v>1.0118333333333334</x:v>
      </x:c>
      <x:c r="L716" t="str">
        <x:f>IF($A716="","",IFERROR(INDEX(Assumptions!$O$5:$O$10,MATCH(1,(Assumptions!$P$5:$P$10=$B716)*(Assumptions!$Q$5:$Q$10&lt;=$A716)*(Assumptions!$R$5:$R$10&gt;=$A716),0)),""))</x:f>
      </x:c>
      <x:c r="M716" t="n">
        <x:f>--($A716&lt;&gt;"")</x:f>
        <x:v>1</x:v>
      </x:c>
    </x:row>
    <x:row r="717">
      <x:c r="A717" s="10" t="n">
        <x:f>IF(Assumptions!$B$5+INT((ROW()-2)/Assumptions!$B$7)&gt;Assumptions!$B$6,"",Assumptions!$B$5+INT((ROW()-2)/Assumptions!$B$7))</x:f>
        <x:v>46166</x:v>
      </x:c>
      <x:c r="B717" t="str">
        <x:f>IF($A717="","",INDEX(Assumptions!$D$5:$D$12,MOD(ROW()-2,Assumptions!$B$7)+1))</x:f>
        <x:v>Acheron Prime</x:v>
      </x:c>
      <x:c r="C717" s="11" t="n">
        <x:f>IF($A717="","",INDEX(Assumptions!$F$5:$F$12,MATCH($B717,Assumptions!$D$5:$D$12,0)))</x:f>
        <x:v>1120</x:v>
      </x:c>
      <x:c r="D717" s="11" t="n">
        <x:f>IF($A717="","",INDEX(Assumptions!$G$5:$G$12,MATCH($B717,Assumptions!$D$5:$D$12,0)))</x:f>
        <x:v>115</x:v>
      </x:c>
      <x:c r="E717" s="11" t="n">
        <x:f>IF($A717="","",INDEX(Assumptions!$M$5:$M$11,WEEKDAY($A717,2)))</x:f>
        <x:v>0.87</x:v>
      </x:c>
      <x:c r="F717" s="11" t="n">
        <x:f>IF($A717="","",Assumptions!$B$15)</x:f>
        <x:v>0.35</x:v>
      </x:c>
      <x:c r="G717" s="11" t="n">
        <x:f>IF($A717="","",MAX(INDEX(Assumptions!$H$5:$H$12,MATCH($B717,Assumptions!$D$5:$D$12,0)),MIN(INDEX(Assumptions!$I$5:$I$12,MATCH($B717,Assumptions!$D$5:$D$12,0)),($C717+$D717*SQRT(-2*LN(RAND()))*COS(2*PI()*RAND()))*$E717*$J717*$K717)))</x:f>
        <x:v>1030.3377188739144</x:v>
      </x:c>
      <x:c r="H717" s="11" t="n">
        <x:f>IF($A717="","",$G717*$F717+$C717*(1-$F717))</x:f>
        <x:v>1088.6182016058701</x:v>
      </x:c>
      <x:c r="I717" s="11" t="n">
        <x:f>IF($A717="","",AVERAGE($H717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1129.3075318959588</x:v>
      </x:c>
      <x:c r="J717" s="12" t="n">
        <x:f>IF($A717="","",1+SUMIFS(Assumptions!$S$5:$S$10,Assumptions!$P$5:$P$10,$B717,Assumptions!$Q$5:$Q$10,"&lt;="&amp;$A717,Assumptions!$R$5:$R$10,"&gt;="&amp;$A717))</x:f>
        <x:v>1</x:v>
      </x:c>
      <x:c r="K717" s="12" t="n">
        <x:f>IF($A717="","",1+((($A717-Assumptions!$B$5)/30)*INDEX(Assumptions!$J$5:$J$12,MATCH($B717,Assumptions!$D$5:$D$12,0))))</x:f>
        <x:v>1.0095333333333334</x:v>
      </x:c>
      <x:c r="L717" t="str">
        <x:f>IF($A717="","",IFERROR(INDEX(Assumptions!$O$5:$O$10,MATCH(1,(Assumptions!$P$5:$P$10=$B717)*(Assumptions!$Q$5:$Q$10&lt;=$A717)*(Assumptions!$R$5:$R$10&gt;=$A717),0)),""))</x:f>
      </x:c>
      <x:c r="M717" t="n">
        <x:f>--($A717&lt;&gt;"")</x:f>
        <x:v>1</x:v>
      </x:c>
    </x:row>
    <x:row r="718">
      <x:c r="A718" s="10" t="n">
        <x:f>IF(Assumptions!$B$5+INT((ROW()-2)/Assumptions!$B$7)&gt;Assumptions!$B$6,"",Assumptions!$B$5+INT((ROW()-2)/Assumptions!$B$7))</x:f>
        <x:v>46166</x:v>
      </x:c>
      <x:c r="B718" t="str">
        <x:f>IF($A718="","",INDEX(Assumptions!$D$5:$D$12,MOD(ROW()-2,Assumptions!$B$7)+1))</x:f>
        <x:v>LV-426 North</x:v>
      </x:c>
      <x:c r="C718" s="11" t="n">
        <x:f>IF($A718="","",INDEX(Assumptions!$F$5:$F$12,MATCH($B718,Assumptions!$D$5:$D$12,0)))</x:f>
        <x:v>930</x:v>
      </x:c>
      <x:c r="D718" s="11" t="n">
        <x:f>IF($A718="","",INDEX(Assumptions!$G$5:$G$12,MATCH($B718,Assumptions!$D$5:$D$12,0)))</x:f>
        <x:v>95</x:v>
      </x:c>
      <x:c r="E718" s="11" t="n">
        <x:f>IF($A718="","",INDEX(Assumptions!$M$5:$M$11,WEEKDAY($A718,2)))</x:f>
        <x:v>0.87</x:v>
      </x:c>
      <x:c r="F718" s="11" t="n">
        <x:f>IF($A718="","",Assumptions!$B$15)</x:f>
        <x:v>0.35</x:v>
      </x:c>
      <x:c r="G718" s="11" t="n">
        <x:f>IF($A718="","",MAX(INDEX(Assumptions!$H$5:$H$12,MATCH($B718,Assumptions!$D$5:$D$12,0)),MIN(INDEX(Assumptions!$I$5:$I$12,MATCH($B718,Assumptions!$D$5:$D$12,0)),($C718+$D718*SQRT(-2*LN(RAND()))*COS(2*PI()*RAND()))*$E718*$J718*$K718)))</x:f>
        <x:v>754.9456812012479</x:v>
      </x:c>
      <x:c r="H718" s="11" t="n">
        <x:f>IF($A718="","",$G718*$F718+$C718*(1-$F718))</x:f>
        <x:v>868.7309884204367</x:v>
      </x:c>
      <x:c r="I718" s="11" t="n">
        <x:f>IF($A718="","",AVERAGE($H718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923.6307828356784</x:v>
      </x:c>
      <x:c r="J718" s="12" t="n">
        <x:f>IF($A718="","",1+SUMIFS(Assumptions!$S$5:$S$10,Assumptions!$P$5:$P$10,$B718,Assumptions!$Q$5:$Q$10,"&lt;="&amp;$A718,Assumptions!$R$5:$R$10,"&gt;="&amp;$A718))</x:f>
        <x:v>1</x:v>
      </x:c>
      <x:c r="K718" s="12" t="n">
        <x:f>IF($A718="","",1+((($A718-Assumptions!$B$5)/30)*INDEX(Assumptions!$J$5:$J$12,MATCH($B718,Assumptions!$D$5:$D$12,0))))</x:f>
        <x:v>0.9952333333333333</x:v>
      </x:c>
      <x:c r="L718" t="str">
        <x:f>IF($A718="","",IFERROR(INDEX(Assumptions!$O$5:$O$10,MATCH(1,(Assumptions!$P$5:$P$10=$B718)*(Assumptions!$Q$5:$Q$10&lt;=$A718)*(Assumptions!$R$5:$R$10&gt;=$A718),0)),""))</x:f>
      </x:c>
      <x:c r="M718" t="n">
        <x:f>--($A718&lt;&gt;"")</x:f>
        <x:v>1</x:v>
      </x:c>
    </x:row>
    <x:row r="719">
      <x:c r="A719" s="10" t="n">
        <x:f>IF(Assumptions!$B$5+INT((ROW()-2)/Assumptions!$B$7)&gt;Assumptions!$B$6,"",Assumptions!$B$5+INT((ROW()-2)/Assumptions!$B$7))</x:f>
        <x:v>46166</x:v>
      </x:c>
      <x:c r="B719" t="str">
        <x:f>IF($A719="","",INDEX(Assumptions!$D$5:$D$12,MOD(ROW()-2,Assumptions!$B$7)+1))</x:f>
        <x:v>Nostromo Deep</x:v>
      </x:c>
      <x:c r="C719" s="11" t="n">
        <x:f>IF($A719="","",INDEX(Assumptions!$F$5:$F$12,MATCH($B719,Assumptions!$D$5:$D$12,0)))</x:f>
        <x:v>1260</x:v>
      </x:c>
      <x:c r="D719" s="11" t="n">
        <x:f>IF($A719="","",INDEX(Assumptions!$G$5:$G$12,MATCH($B719,Assumptions!$D$5:$D$12,0)))</x:f>
        <x:v>145</x:v>
      </x:c>
      <x:c r="E719" s="11" t="n">
        <x:f>IF($A719="","",INDEX(Assumptions!$M$5:$M$11,WEEKDAY($A719,2)))</x:f>
        <x:v>0.87</x:v>
      </x:c>
      <x:c r="F719" s="11" t="n">
        <x:f>IF($A719="","",Assumptions!$B$15)</x:f>
        <x:v>0.35</x:v>
      </x:c>
      <x:c r="G719" s="11" t="n">
        <x:f>IF($A719="","",MAX(INDEX(Assumptions!$H$5:$H$12,MATCH($B719,Assumptions!$D$5:$D$12,0)),MIN(INDEX(Assumptions!$I$5:$I$12,MATCH($B719,Assumptions!$D$5:$D$12,0)),($C719+$D719*SQRT(-2*LN(RAND()))*COS(2*PI()*RAND()))*$E719*$J719*$K719)))</x:f>
        <x:v>1182.2035813941197</x:v>
      </x:c>
      <x:c r="H719" s="11" t="n">
        <x:f>IF($A719="","",$G719*$F719+$C719*(1-$F719))</x:f>
        <x:v>1232.771253487942</x:v>
      </x:c>
      <x:c r="I719" s="11" t="n">
        <x:f>IF($A719="","",AVERAGE($H719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1286.8126310904192</x:v>
      </x:c>
      <x:c r="J719" s="12" t="n">
        <x:f>IF($A719="","",1+SUMIFS(Assumptions!$S$5:$S$10,Assumptions!$P$5:$P$10,$B719,Assumptions!$Q$5:$Q$10,"&lt;="&amp;$A719,Assumptions!$R$5:$R$10,"&gt;="&amp;$A719))</x:f>
        <x:v>1</x:v>
      </x:c>
      <x:c r="K719" s="12" t="n">
        <x:f>IF($A719="","",1+((($A719-Assumptions!$B$5)/30)*INDEX(Assumptions!$J$5:$J$12,MATCH($B719,Assumptions!$D$5:$D$12,0))))</x:f>
        <x:v>1.0143</x:v>
      </x:c>
      <x:c r="L719" t="str">
        <x:f>IF($A719="","",IFERROR(INDEX(Assumptions!$O$5:$O$10,MATCH(1,(Assumptions!$P$5:$P$10=$B719)*(Assumptions!$Q$5:$Q$10&lt;=$A719)*(Assumptions!$R$5:$R$10&gt;=$A719),0)),""))</x:f>
      </x:c>
      <x:c r="M719" t="n">
        <x:f>--($A719&lt;&gt;"")</x:f>
        <x:v>1</x:v>
      </x:c>
    </x:row>
    <x:row r="720">
      <x:c r="A720" s="10" t="n">
        <x:f>IF(Assumptions!$B$5+INT((ROW()-2)/Assumptions!$B$7)&gt;Assumptions!$B$6,"",Assumptions!$B$5+INT((ROW()-2)/Assumptions!$B$7))</x:f>
        <x:v>46166</x:v>
      </x:c>
      <x:c r="B720" t="str">
        <x:f>IF($A720="","",INDEX(Assumptions!$D$5:$D$12,MOD(ROW()-2,Assumptions!$B$7)+1))</x:f>
        <x:v>Hadley's Hope</x:v>
      </x:c>
      <x:c r="C720" s="11" t="n">
        <x:f>IF($A720="","",INDEX(Assumptions!$F$5:$F$12,MATCH($B720,Assumptions!$D$5:$D$12,0)))</x:f>
        <x:v>845</x:v>
      </x:c>
      <x:c r="D720" s="11" t="n">
        <x:f>IF($A720="","",INDEX(Assumptions!$G$5:$G$12,MATCH($B720,Assumptions!$D$5:$D$12,0)))</x:f>
        <x:v>80</x:v>
      </x:c>
      <x:c r="E720" s="11" t="n">
        <x:f>IF($A720="","",INDEX(Assumptions!$M$5:$M$11,WEEKDAY($A720,2)))</x:f>
        <x:v>0.87</x:v>
      </x:c>
      <x:c r="F720" s="11" t="n">
        <x:f>IF($A720="","",Assumptions!$B$15)</x:f>
        <x:v>0.35</x:v>
      </x:c>
      <x:c r="G720" s="11" t="n">
        <x:f>IF($A720="","",MAX(INDEX(Assumptions!$H$5:$H$12,MATCH($B720,Assumptions!$D$5:$D$12,0)),MIN(INDEX(Assumptions!$I$5:$I$12,MATCH($B720,Assumptions!$D$5:$D$12,0)),($C720+$D720*SQRT(-2*LN(RAND()))*COS(2*PI()*RAND()))*$E720*$J720*$K720)))</x:f>
        <x:v>739.9101117111837</x:v>
      </x:c>
      <x:c r="H720" s="11" t="n">
        <x:f>IF($A720="","",$G720*$F720+$C720*(1-$F720))</x:f>
        <x:v>808.2185390989143</x:v>
      </x:c>
      <x:c r="I720" s="11" t="n">
        <x:f>IF($A720="","",AVERAGE($H720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839.3874591442325</x:v>
      </x:c>
      <x:c r="J720" s="12" t="n">
        <x:f>IF($A720="","",1+SUMIFS(Assumptions!$S$5:$S$10,Assumptions!$P$5:$P$10,$B720,Assumptions!$Q$5:$Q$10,"&lt;="&amp;$A720,Assumptions!$R$5:$R$10,"&gt;="&amp;$A720))</x:f>
        <x:v>1</x:v>
      </x:c>
      <x:c r="K720" s="12" t="n">
        <x:f>IF($A720="","",1+((($A720-Assumptions!$B$5)/30)*INDEX(Assumptions!$J$5:$J$12,MATCH($B720,Assumptions!$D$5:$D$12,0))))</x:f>
        <x:v>1.0047666666666666</x:v>
      </x:c>
      <x:c r="L720" t="str">
        <x:f>IF($A720="","",IFERROR(INDEX(Assumptions!$O$5:$O$10,MATCH(1,(Assumptions!$P$5:$P$10=$B720)*(Assumptions!$Q$5:$Q$10&lt;=$A720)*(Assumptions!$R$5:$R$10&gt;=$A720),0)),""))</x:f>
      </x:c>
      <x:c r="M720" t="n">
        <x:f>--($A720&lt;&gt;"")</x:f>
        <x:v>1</x:v>
      </x:c>
    </x:row>
    <x:row r="721">
      <x:c r="A721" s="10" t="n">
        <x:f>IF(Assumptions!$B$5+INT((ROW()-2)/Assumptions!$B$7)&gt;Assumptions!$B$6,"",Assumptions!$B$5+INT((ROW()-2)/Assumptions!$B$7))</x:f>
        <x:v>46166</x:v>
      </x:c>
      <x:c r="B721" t="str">
        <x:f>IF($A721="","",INDEX(Assumptions!$D$5:$D$12,MOD(ROW()-2,Assumptions!$B$7)+1))</x:f>
        <x:v>Yutani Ridge</x:v>
      </x:c>
      <x:c r="C721" s="11" t="n">
        <x:f>IF($A721="","",INDEX(Assumptions!$F$5:$F$12,MATCH($B721,Assumptions!$D$5:$D$12,0)))</x:f>
        <x:v>1050</x:v>
      </x:c>
      <x:c r="D721" s="11" t="n">
        <x:f>IF($A721="","",INDEX(Assumptions!$G$5:$G$12,MATCH($B721,Assumptions!$D$5:$D$12,0)))</x:f>
        <x:v>125</x:v>
      </x:c>
      <x:c r="E721" s="11" t="n">
        <x:f>IF($A721="","",INDEX(Assumptions!$M$5:$M$11,WEEKDAY($A721,2)))</x:f>
        <x:v>0.87</x:v>
      </x:c>
      <x:c r="F721" s="11" t="n">
        <x:f>IF($A721="","",Assumptions!$B$15)</x:f>
        <x:v>0.35</x:v>
      </x:c>
      <x:c r="G721" s="11" t="n">
        <x:f>IF($A721="","",MAX(INDEX(Assumptions!$H$5:$H$12,MATCH($B721,Assumptions!$D$5:$D$12,0)),MIN(INDEX(Assumptions!$I$5:$I$12,MATCH($B721,Assumptions!$D$5:$D$12,0)),($C721+$D721*SQRT(-2*LN(RAND()))*COS(2*PI()*RAND()))*$E721*$J721*$K721)))</x:f>
        <x:v>906.4846399399221</x:v>
      </x:c>
      <x:c r="H721" s="11" t="n">
        <x:f>IF($A721="","",$G721*$F721+$C721*(1-$F721))</x:f>
        <x:v>999.7696239789727</x:v>
      </x:c>
      <x:c r="I721" s="11" t="n">
        <x:f>IF($A721="","",AVERAGE($H721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1054.45839138784</x:v>
      </x:c>
      <x:c r="J721" s="12" t="n">
        <x:f>IF($A721="","",1+SUMIFS(Assumptions!$S$5:$S$10,Assumptions!$P$5:$P$10,$B721,Assumptions!$Q$5:$Q$10,"&lt;="&amp;$A721,Assumptions!$R$5:$R$10,"&gt;="&amp;$A721))</x:f>
        <x:v>1</x:v>
      </x:c>
      <x:c r="K721" s="12" t="n">
        <x:f>IF($A721="","",1+((($A721-Assumptions!$B$5)/30)*INDEX(Assumptions!$J$5:$J$12,MATCH($B721,Assumptions!$D$5:$D$12,0))))</x:f>
        <x:v>1.0119166666666666</x:v>
      </x:c>
      <x:c r="L721" t="str">
        <x:f>IF($A721="","",IFERROR(INDEX(Assumptions!$O$5:$O$10,MATCH(1,(Assumptions!$P$5:$P$10=$B721)*(Assumptions!$Q$5:$Q$10&lt;=$A721)*(Assumptions!$R$5:$R$10&gt;=$A721),0)),""))</x:f>
      </x:c>
      <x:c r="M721" t="n">
        <x:f>--($A721&lt;&gt;"")</x:f>
        <x:v>1</x:v>
      </x:c>
    </x:row>
    <x:row r="722">
      <x:c r="A722" s="10" t="n">
        <x:f>IF(Assumptions!$B$5+INT((ROW()-2)/Assumptions!$B$7)&gt;Assumptions!$B$6,"",Assumptions!$B$5+INT((ROW()-2)/Assumptions!$B$7))</x:f>
        <x:v>46167</x:v>
      </x:c>
      <x:c r="B722" t="str">
        <x:f>IF($A722="","",INDEX(Assumptions!$D$5:$D$12,MOD(ROW()-2,Assumptions!$B$7)+1))</x:f>
        <x:v>Acheron Prime</x:v>
      </x:c>
      <x:c r="C722" s="11" t="n">
        <x:f>IF($A722="","",INDEX(Assumptions!$F$5:$F$12,MATCH($B722,Assumptions!$D$5:$D$12,0)))</x:f>
        <x:v>1120</x:v>
      </x:c>
      <x:c r="D722" s="11" t="n">
        <x:f>IF($A722="","",INDEX(Assumptions!$G$5:$G$12,MATCH($B722,Assumptions!$D$5:$D$12,0)))</x:f>
        <x:v>115</x:v>
      </x:c>
      <x:c r="E722" s="11" t="n">
        <x:f>IF($A722="","",INDEX(Assumptions!$M$5:$M$11,WEEKDAY($A722,2)))</x:f>
        <x:v>1.03</x:v>
      </x:c>
      <x:c r="F722" s="11" t="n">
        <x:f>IF($A722="","",Assumptions!$B$15)</x:f>
        <x:v>0.35</x:v>
      </x:c>
      <x:c r="G722" s="11" t="n">
        <x:f>IF($A722="","",MAX(INDEX(Assumptions!$H$5:$H$12,MATCH($B722,Assumptions!$D$5:$D$12,0)),MIN(INDEX(Assumptions!$I$5:$I$12,MATCH($B722,Assumptions!$D$5:$D$12,0)),($C722+$D722*SQRT(-2*LN(RAND()))*COS(2*PI()*RAND()))*$E722*$J722*$K722)))</x:f>
        <x:v>1259.7924748059554</x:v>
      </x:c>
      <x:c r="H722" s="11" t="n">
        <x:f>IF($A722="","",$G722*$F722+$C722*(1-$F722))</x:f>
        <x:v>1168.9273661820844</x:v>
      </x:c>
      <x:c r="I722" s="11" t="n">
        <x:f>IF($A722="","",AVERAGE($H722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1130.9242385429077</x:v>
      </x:c>
      <x:c r="J722" s="12" t="n">
        <x:f>IF($A722="","",1+SUMIFS(Assumptions!$S$5:$S$10,Assumptions!$P$5:$P$10,$B722,Assumptions!$Q$5:$Q$10,"&lt;="&amp;$A722,Assumptions!$R$5:$R$10,"&gt;="&amp;$A722))</x:f>
        <x:v>1</x:v>
      </x:c>
      <x:c r="K722" s="12" t="n">
        <x:f>IF($A722="","",1+((($A722-Assumptions!$B$5)/30)*INDEX(Assumptions!$J$5:$J$12,MATCH($B722,Assumptions!$D$5:$D$12,0))))</x:f>
        <x:v>1.0096</x:v>
      </x:c>
      <x:c r="L722" t="str">
        <x:f>IF($A722="","",IFERROR(INDEX(Assumptions!$O$5:$O$10,MATCH(1,(Assumptions!$P$5:$P$10=$B722)*(Assumptions!$Q$5:$Q$10&lt;=$A722)*(Assumptions!$R$5:$R$10&gt;=$A722),0)),""))</x:f>
      </x:c>
      <x:c r="M722" t="n">
        <x:f>--($A722&lt;&gt;"")</x:f>
        <x:v>1</x:v>
      </x:c>
    </x:row>
    <x:row r="723">
      <x:c r="A723" s="10" t="n">
        <x:f>IF(Assumptions!$B$5+INT((ROW()-2)/Assumptions!$B$7)&gt;Assumptions!$B$6,"",Assumptions!$B$5+INT((ROW()-2)/Assumptions!$B$7))</x:f>
        <x:v>46167</x:v>
      </x:c>
      <x:c r="B723" t="str">
        <x:f>IF($A723="","",INDEX(Assumptions!$D$5:$D$12,MOD(ROW()-2,Assumptions!$B$7)+1))</x:f>
        <x:v>LV-426 North</x:v>
      </x:c>
      <x:c r="C723" s="11" t="n">
        <x:f>IF($A723="","",INDEX(Assumptions!$F$5:$F$12,MATCH($B723,Assumptions!$D$5:$D$12,0)))</x:f>
        <x:v>930</x:v>
      </x:c>
      <x:c r="D723" s="11" t="n">
        <x:f>IF($A723="","",INDEX(Assumptions!$G$5:$G$12,MATCH($B723,Assumptions!$D$5:$D$12,0)))</x:f>
        <x:v>95</x:v>
      </x:c>
      <x:c r="E723" s="11" t="n">
        <x:f>IF($A723="","",INDEX(Assumptions!$M$5:$M$11,WEEKDAY($A723,2)))</x:f>
        <x:v>1.03</x:v>
      </x:c>
      <x:c r="F723" s="11" t="n">
        <x:f>IF($A723="","",Assumptions!$B$15)</x:f>
        <x:v>0.35</x:v>
      </x:c>
      <x:c r="G723" s="11" t="n">
        <x:f>IF($A723="","",MAX(INDEX(Assumptions!$H$5:$H$12,MATCH($B723,Assumptions!$D$5:$D$12,0)),MIN(INDEX(Assumptions!$I$5:$I$12,MATCH($B723,Assumptions!$D$5:$D$12,0)),($C723+$D723*SQRT(-2*LN(RAND()))*COS(2*PI()*RAND()))*$E723*$J723*$K723)))</x:f>
        <x:v>922.3118138957358</x:v>
      </x:c>
      <x:c r="H723" s="11" t="n">
        <x:f>IF($A723="","",$G723*$F723+$C723*(1-$F723))</x:f>
        <x:v>927.3091348635076</x:v>
      </x:c>
      <x:c r="I723" s="11" t="n">
        <x:f>IF($A723="","",AVERAGE($H723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924.1366601898491</x:v>
      </x:c>
      <x:c r="J723" s="12" t="n">
        <x:f>IF($A723="","",1+SUMIFS(Assumptions!$S$5:$S$10,Assumptions!$P$5:$P$10,$B723,Assumptions!$Q$5:$Q$10,"&lt;="&amp;$A723,Assumptions!$R$5:$R$10,"&gt;="&amp;$A723))</x:f>
        <x:v>1</x:v>
      </x:c>
      <x:c r="K723" s="12" t="n">
        <x:f>IF($A723="","",1+((($A723-Assumptions!$B$5)/30)*INDEX(Assumptions!$J$5:$J$12,MATCH($B723,Assumptions!$D$5:$D$12,0))))</x:f>
        <x:v>0.9952</x:v>
      </x:c>
      <x:c r="L723" t="str">
        <x:f>IF($A723="","",IFERROR(INDEX(Assumptions!$O$5:$O$10,MATCH(1,(Assumptions!$P$5:$P$10=$B723)*(Assumptions!$Q$5:$Q$10&lt;=$A723)*(Assumptions!$R$5:$R$10&gt;=$A723),0)),""))</x:f>
      </x:c>
      <x:c r="M723" t="n">
        <x:f>--($A723&lt;&gt;"")</x:f>
        <x:v>1</x:v>
      </x:c>
    </x:row>
    <x:row r="724">
      <x:c r="A724" s="10" t="n">
        <x:f>IF(Assumptions!$B$5+INT((ROW()-2)/Assumptions!$B$7)&gt;Assumptions!$B$6,"",Assumptions!$B$5+INT((ROW()-2)/Assumptions!$B$7))</x:f>
        <x:v>46167</x:v>
      </x:c>
      <x:c r="B724" t="str">
        <x:f>IF($A724="","",INDEX(Assumptions!$D$5:$D$12,MOD(ROW()-2,Assumptions!$B$7)+1))</x:f>
        <x:v>Nostromo Deep</x:v>
      </x:c>
      <x:c r="C724" s="11" t="n">
        <x:f>IF($A724="","",INDEX(Assumptions!$F$5:$F$12,MATCH($B724,Assumptions!$D$5:$D$12,0)))</x:f>
        <x:v>1260</x:v>
      </x:c>
      <x:c r="D724" s="11" t="n">
        <x:f>IF($A724="","",INDEX(Assumptions!$G$5:$G$12,MATCH($B724,Assumptions!$D$5:$D$12,0)))</x:f>
        <x:v>145</x:v>
      </x:c>
      <x:c r="E724" s="11" t="n">
        <x:f>IF($A724="","",INDEX(Assumptions!$M$5:$M$11,WEEKDAY($A724,2)))</x:f>
        <x:v>1.03</x:v>
      </x:c>
      <x:c r="F724" s="11" t="n">
        <x:f>IF($A724="","",Assumptions!$B$15)</x:f>
        <x:v>0.35</x:v>
      </x:c>
      <x:c r="G724" s="11" t="n">
        <x:f>IF($A724="","",MAX(INDEX(Assumptions!$H$5:$H$12,MATCH($B724,Assumptions!$D$5:$D$12,0)),MIN(INDEX(Assumptions!$I$5:$I$12,MATCH($B724,Assumptions!$D$5:$D$12,0)),($C724+$D724*SQRT(-2*LN(RAND()))*COS(2*PI()*RAND()))*$E724*$J724*$K724)))</x:f>
        <x:v>1237.4451417563143</x:v>
      </x:c>
      <x:c r="H724" s="11" t="n">
        <x:f>IF($A724="","",$G724*$F724+$C724*(1-$F724))</x:f>
        <x:v>1252.1057996147101</x:v>
      </x:c>
      <x:c r="I724" s="11" t="n">
        <x:f>IF($A724="","",AVERAGE($H724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1273.8903420993054</x:v>
      </x:c>
      <x:c r="J724" s="12" t="n">
        <x:f>IF($A724="","",1+SUMIFS(Assumptions!$S$5:$S$10,Assumptions!$P$5:$P$10,$B724,Assumptions!$Q$5:$Q$10,"&lt;="&amp;$A724,Assumptions!$R$5:$R$10,"&gt;="&amp;$A724))</x:f>
        <x:v>1</x:v>
      </x:c>
      <x:c r="K724" s="12" t="n">
        <x:f>IF($A724="","",1+((($A724-Assumptions!$B$5)/30)*INDEX(Assumptions!$J$5:$J$12,MATCH($B724,Assumptions!$D$5:$D$12,0))))</x:f>
        <x:v>1.0144</x:v>
      </x:c>
      <x:c r="L724" t="str">
        <x:f>IF($A724="","",IFERROR(INDEX(Assumptions!$O$5:$O$10,MATCH(1,(Assumptions!$P$5:$P$10=$B724)*(Assumptions!$Q$5:$Q$10&lt;=$A724)*(Assumptions!$R$5:$R$10&gt;=$A724),0)),""))</x:f>
      </x:c>
      <x:c r="M724" t="n">
        <x:f>--($A724&lt;&gt;"")</x:f>
        <x:v>1</x:v>
      </x:c>
    </x:row>
    <x:row r="725">
      <x:c r="A725" s="10" t="n">
        <x:f>IF(Assumptions!$B$5+INT((ROW()-2)/Assumptions!$B$7)&gt;Assumptions!$B$6,"",Assumptions!$B$5+INT((ROW()-2)/Assumptions!$B$7))</x:f>
        <x:v>46167</x:v>
      </x:c>
      <x:c r="B725" t="str">
        <x:f>IF($A725="","",INDEX(Assumptions!$D$5:$D$12,MOD(ROW()-2,Assumptions!$B$7)+1))</x:f>
        <x:v>Hadley's Hope</x:v>
      </x:c>
      <x:c r="C725" s="11" t="n">
        <x:f>IF($A725="","",INDEX(Assumptions!$F$5:$F$12,MATCH($B725,Assumptions!$D$5:$D$12,0)))</x:f>
        <x:v>845</x:v>
      </x:c>
      <x:c r="D725" s="11" t="n">
        <x:f>IF($A725="","",INDEX(Assumptions!$G$5:$G$12,MATCH($B725,Assumptions!$D$5:$D$12,0)))</x:f>
        <x:v>80</x:v>
      </x:c>
      <x:c r="E725" s="11" t="n">
        <x:f>IF($A725="","",INDEX(Assumptions!$M$5:$M$11,WEEKDAY($A725,2)))</x:f>
        <x:v>1.03</x:v>
      </x:c>
      <x:c r="F725" s="11" t="n">
        <x:f>IF($A725="","",Assumptions!$B$15)</x:f>
        <x:v>0.35</x:v>
      </x:c>
      <x:c r="G725" s="11" t="n">
        <x:f>IF($A725="","",MAX(INDEX(Assumptions!$H$5:$H$12,MATCH($B725,Assumptions!$D$5:$D$12,0)),MIN(INDEX(Assumptions!$I$5:$I$12,MATCH($B725,Assumptions!$D$5:$D$12,0)),($C725+$D725*SQRT(-2*LN(RAND()))*COS(2*PI()*RAND()))*$E725*$J725*$K725)))</x:f>
        <x:v>977.8595335137209</x:v>
      </x:c>
      <x:c r="H725" s="11" t="n">
        <x:f>IF($A725="","",$G725*$F725+$C725*(1-$F725))</x:f>
        <x:v>891.5008367298024</x:v>
      </x:c>
      <x:c r="I725" s="11" t="n">
        <x:f>IF($A725="","",AVERAGE($H725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844.8809139332676</x:v>
      </x:c>
      <x:c r="J725" s="12" t="n">
        <x:f>IF($A725="","",1+SUMIFS(Assumptions!$S$5:$S$10,Assumptions!$P$5:$P$10,$B725,Assumptions!$Q$5:$Q$10,"&lt;="&amp;$A725,Assumptions!$R$5:$R$10,"&gt;="&amp;$A725))</x:f>
        <x:v>1</x:v>
      </x:c>
      <x:c r="K725" s="12" t="n">
        <x:f>IF($A725="","",1+((($A725-Assumptions!$B$5)/30)*INDEX(Assumptions!$J$5:$J$12,MATCH($B725,Assumptions!$D$5:$D$12,0))))</x:f>
        <x:v>1.0048</x:v>
      </x:c>
      <x:c r="L725" t="str">
        <x:f>IF($A725="","",IFERROR(INDEX(Assumptions!$O$5:$O$10,MATCH(1,(Assumptions!$P$5:$P$10=$B725)*(Assumptions!$Q$5:$Q$10&lt;=$A725)*(Assumptions!$R$5:$R$10&gt;=$A725),0)),""))</x:f>
      </x:c>
      <x:c r="M725" t="n">
        <x:f>--($A725&lt;&gt;"")</x:f>
        <x:v>1</x:v>
      </x:c>
    </x:row>
    <x:row r="726">
      <x:c r="A726" s="10" t="n">
        <x:f>IF(Assumptions!$B$5+INT((ROW()-2)/Assumptions!$B$7)&gt;Assumptions!$B$6,"",Assumptions!$B$5+INT((ROW()-2)/Assumptions!$B$7))</x:f>
        <x:v>46167</x:v>
      </x:c>
      <x:c r="B726" t="str">
        <x:f>IF($A726="","",INDEX(Assumptions!$D$5:$D$12,MOD(ROW()-2,Assumptions!$B$7)+1))</x:f>
        <x:v>Yutani Ridge</x:v>
      </x:c>
      <x:c r="C726" s="11" t="n">
        <x:f>IF($A726="","",INDEX(Assumptions!$F$5:$F$12,MATCH($B726,Assumptions!$D$5:$D$12,0)))</x:f>
        <x:v>1050</x:v>
      </x:c>
      <x:c r="D726" s="11" t="n">
        <x:f>IF($A726="","",INDEX(Assumptions!$G$5:$G$12,MATCH($B726,Assumptions!$D$5:$D$12,0)))</x:f>
        <x:v>125</x:v>
      </x:c>
      <x:c r="E726" s="11" t="n">
        <x:f>IF($A726="","",INDEX(Assumptions!$M$5:$M$11,WEEKDAY($A726,2)))</x:f>
        <x:v>1.03</x:v>
      </x:c>
      <x:c r="F726" s="11" t="n">
        <x:f>IF($A726="","",Assumptions!$B$15)</x:f>
        <x:v>0.35</x:v>
      </x:c>
      <x:c r="G726" s="11" t="n">
        <x:f>IF($A726="","",MAX(INDEX(Assumptions!$H$5:$H$12,MATCH($B726,Assumptions!$D$5:$D$12,0)),MIN(INDEX(Assumptions!$I$5:$I$12,MATCH($B726,Assumptions!$D$5:$D$12,0)),($C726+$D726*SQRT(-2*LN(RAND()))*COS(2*PI()*RAND()))*$E726*$J726*$K726)))</x:f>
        <x:v>924.134457422796</x:v>
      </x:c>
      <x:c r="H726" s="11" t="n">
        <x:f>IF($A726="","",$G726*$F726+$C726*(1-$F726))</x:f>
        <x:v>1005.9470600979786</x:v>
      </x:c>
      <x:c r="I726" s="11" t="n">
        <x:f>IF($A726="","",AVERAGE($H726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1044.5354919651422</x:v>
      </x:c>
      <x:c r="J726" s="12" t="n">
        <x:f>IF($A726="","",1+SUMIFS(Assumptions!$S$5:$S$10,Assumptions!$P$5:$P$10,$B726,Assumptions!$Q$5:$Q$10,"&lt;="&amp;$A726,Assumptions!$R$5:$R$10,"&gt;="&amp;$A726))</x:f>
        <x:v>1</x:v>
      </x:c>
      <x:c r="K726" s="12" t="n">
        <x:f>IF($A726="","",1+((($A726-Assumptions!$B$5)/30)*INDEX(Assumptions!$J$5:$J$12,MATCH($B726,Assumptions!$D$5:$D$12,0))))</x:f>
        <x:v>1.012</x:v>
      </x:c>
      <x:c r="L726" t="str">
        <x:f>IF($A726="","",IFERROR(INDEX(Assumptions!$O$5:$O$10,MATCH(1,(Assumptions!$P$5:$P$10=$B726)*(Assumptions!$Q$5:$Q$10&lt;=$A726)*(Assumptions!$R$5:$R$10&gt;=$A726),0)),""))</x:f>
      </x:c>
      <x:c r="M726" t="n">
        <x:f>--($A726&lt;&gt;"")</x:f>
        <x:v>1</x:v>
      </x:c>
    </x:row>
    <x:row r="727">
      <x:c r="A727" s="10" t="n">
        <x:f>IF(Assumptions!$B$5+INT((ROW()-2)/Assumptions!$B$7)&gt;Assumptions!$B$6,"",Assumptions!$B$5+INT((ROW()-2)/Assumptions!$B$7))</x:f>
        <x:v>46168</x:v>
      </x:c>
      <x:c r="B727" t="str">
        <x:f>IF($A727="","",INDEX(Assumptions!$D$5:$D$12,MOD(ROW()-2,Assumptions!$B$7)+1))</x:f>
        <x:v>Acheron Prime</x:v>
      </x:c>
      <x:c r="C727" s="11" t="n">
        <x:f>IF($A727="","",INDEX(Assumptions!$F$5:$F$12,MATCH($B727,Assumptions!$D$5:$D$12,0)))</x:f>
        <x:v>1120</x:v>
      </x:c>
      <x:c r="D727" s="11" t="n">
        <x:f>IF($A727="","",INDEX(Assumptions!$G$5:$G$12,MATCH($B727,Assumptions!$D$5:$D$12,0)))</x:f>
        <x:v>115</x:v>
      </x:c>
      <x:c r="E727" s="11" t="n">
        <x:f>IF($A727="","",INDEX(Assumptions!$M$5:$M$11,WEEKDAY($A727,2)))</x:f>
        <x:v>1.02</x:v>
      </x:c>
      <x:c r="F727" s="11" t="n">
        <x:f>IF($A727="","",Assumptions!$B$15)</x:f>
        <x:v>0.35</x:v>
      </x:c>
      <x:c r="G727" s="11" t="n">
        <x:f>IF($A727="","",MAX(INDEX(Assumptions!$H$5:$H$12,MATCH($B727,Assumptions!$D$5:$D$12,0)),MIN(INDEX(Assumptions!$I$5:$I$12,MATCH($B727,Assumptions!$D$5:$D$12,0)),($C727+$D727*SQRT(-2*LN(RAND()))*COS(2*PI()*RAND()))*$E727*$J727*$K727)))</x:f>
        <x:v>1144.297496980916</x:v>
      </x:c>
      <x:c r="H727" s="11" t="n">
        <x:f>IF($A727="","",$G727*$F727+$C727*(1-$F727))</x:f>
        <x:v>1128.5041239433206</x:v>
      </x:c>
      <x:c r="I727" s="11" t="n">
        <x:f>IF($A727="","",AVERAGE($H727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1131.2986997864273</x:v>
      </x:c>
      <x:c r="J727" s="12" t="n">
        <x:f>IF($A727="","",1+SUMIFS(Assumptions!$S$5:$S$10,Assumptions!$P$5:$P$10,$B727,Assumptions!$Q$5:$Q$10,"&lt;="&amp;$A727,Assumptions!$R$5:$R$10,"&gt;="&amp;$A727))</x:f>
        <x:v>1</x:v>
      </x:c>
      <x:c r="K727" s="12" t="n">
        <x:f>IF($A727="","",1+((($A727-Assumptions!$B$5)/30)*INDEX(Assumptions!$J$5:$J$12,MATCH($B727,Assumptions!$D$5:$D$12,0))))</x:f>
        <x:v>1.0096666666666667</x:v>
      </x:c>
      <x:c r="L727" t="str">
        <x:f>IF($A727="","",IFERROR(INDEX(Assumptions!$O$5:$O$10,MATCH(1,(Assumptions!$P$5:$P$10=$B727)*(Assumptions!$Q$5:$Q$10&lt;=$A727)*(Assumptions!$R$5:$R$10&gt;=$A727),0)),""))</x:f>
      </x:c>
      <x:c r="M727" t="n">
        <x:f>--($A727&lt;&gt;"")</x:f>
        <x:v>1</x:v>
      </x:c>
    </x:row>
    <x:row r="728">
      <x:c r="A728" s="10" t="n">
        <x:f>IF(Assumptions!$B$5+INT((ROW()-2)/Assumptions!$B$7)&gt;Assumptions!$B$6,"",Assumptions!$B$5+INT((ROW()-2)/Assumptions!$B$7))</x:f>
        <x:v>46168</x:v>
      </x:c>
      <x:c r="B728" t="str">
        <x:f>IF($A728="","",INDEX(Assumptions!$D$5:$D$12,MOD(ROW()-2,Assumptions!$B$7)+1))</x:f>
        <x:v>LV-426 North</x:v>
      </x:c>
      <x:c r="C728" s="11" t="n">
        <x:f>IF($A728="","",INDEX(Assumptions!$F$5:$F$12,MATCH($B728,Assumptions!$D$5:$D$12,0)))</x:f>
        <x:v>930</x:v>
      </x:c>
      <x:c r="D728" s="11" t="n">
        <x:f>IF($A728="","",INDEX(Assumptions!$G$5:$G$12,MATCH($B728,Assumptions!$D$5:$D$12,0)))</x:f>
        <x:v>95</x:v>
      </x:c>
      <x:c r="E728" s="11" t="n">
        <x:f>IF($A728="","",INDEX(Assumptions!$M$5:$M$11,WEEKDAY($A728,2)))</x:f>
        <x:v>1.02</x:v>
      </x:c>
      <x:c r="F728" s="11" t="n">
        <x:f>IF($A728="","",Assumptions!$B$15)</x:f>
        <x:v>0.35</x:v>
      </x:c>
      <x:c r="G728" s="11" t="n">
        <x:f>IF($A728="","",MAX(INDEX(Assumptions!$H$5:$H$12,MATCH($B728,Assumptions!$D$5:$D$12,0)),MIN(INDEX(Assumptions!$I$5:$I$12,MATCH($B728,Assumptions!$D$5:$D$12,0)),($C728+$D728*SQRT(-2*LN(RAND()))*COS(2*PI()*RAND()))*$E728*$J728*$K728)))</x:f>
        <x:v>969.4027600300375</x:v>
      </x:c>
      <x:c r="H728" s="11" t="n">
        <x:f>IF($A728="","",$G728*$F728+$C728*(1-$F728))</x:f>
        <x:v>943.7909660105131</x:v>
      </x:c>
      <x:c r="I728" s="11" t="n">
        <x:f>IF($A728="","",AVERAGE($H728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921.8570288738016</x:v>
      </x:c>
      <x:c r="J728" s="12" t="n">
        <x:f>IF($A728="","",1+SUMIFS(Assumptions!$S$5:$S$10,Assumptions!$P$5:$P$10,$B728,Assumptions!$Q$5:$Q$10,"&lt;="&amp;$A728,Assumptions!$R$5:$R$10,"&gt;="&amp;$A728))</x:f>
        <x:v>1</x:v>
      </x:c>
      <x:c r="K728" s="12" t="n">
        <x:f>IF($A728="","",1+((($A728-Assumptions!$B$5)/30)*INDEX(Assumptions!$J$5:$J$12,MATCH($B728,Assumptions!$D$5:$D$12,0))))</x:f>
        <x:v>0.9951666666666666</x:v>
      </x:c>
      <x:c r="L728" t="str">
        <x:f>IF($A728="","",IFERROR(INDEX(Assumptions!$O$5:$O$10,MATCH(1,(Assumptions!$P$5:$P$10=$B728)*(Assumptions!$Q$5:$Q$10&lt;=$A728)*(Assumptions!$R$5:$R$10&gt;=$A728),0)),""))</x:f>
      </x:c>
      <x:c r="M728" t="n">
        <x:f>--($A728&lt;&gt;"")</x:f>
        <x:v>1</x:v>
      </x:c>
    </x:row>
    <x:row r="729">
      <x:c r="A729" s="10" t="n">
        <x:f>IF(Assumptions!$B$5+INT((ROW()-2)/Assumptions!$B$7)&gt;Assumptions!$B$6,"",Assumptions!$B$5+INT((ROW()-2)/Assumptions!$B$7))</x:f>
        <x:v>46168</x:v>
      </x:c>
      <x:c r="B729" t="str">
        <x:f>IF($A729="","",INDEX(Assumptions!$D$5:$D$12,MOD(ROW()-2,Assumptions!$B$7)+1))</x:f>
        <x:v>Nostromo Deep</x:v>
      </x:c>
      <x:c r="C729" s="11" t="n">
        <x:f>IF($A729="","",INDEX(Assumptions!$F$5:$F$12,MATCH($B729,Assumptions!$D$5:$D$12,0)))</x:f>
        <x:v>1260</x:v>
      </x:c>
      <x:c r="D729" s="11" t="n">
        <x:f>IF($A729="","",INDEX(Assumptions!$G$5:$G$12,MATCH($B729,Assumptions!$D$5:$D$12,0)))</x:f>
        <x:v>145</x:v>
      </x:c>
      <x:c r="E729" s="11" t="n">
        <x:f>IF($A729="","",INDEX(Assumptions!$M$5:$M$11,WEEKDAY($A729,2)))</x:f>
        <x:v>1.02</x:v>
      </x:c>
      <x:c r="F729" s="11" t="n">
        <x:f>IF($A729="","",Assumptions!$B$15)</x:f>
        <x:v>0.35</x:v>
      </x:c>
      <x:c r="G729" s="11" t="n">
        <x:f>IF($A729="","",MAX(INDEX(Assumptions!$H$5:$H$12,MATCH($B729,Assumptions!$D$5:$D$12,0)),MIN(INDEX(Assumptions!$I$5:$I$12,MATCH($B729,Assumptions!$D$5:$D$12,0)),($C729+$D729*SQRT(-2*LN(RAND()))*COS(2*PI()*RAND()))*$E729*$J729*$K729)))</x:f>
        <x:v>1160.6435886562274</x:v>
      </x:c>
      <x:c r="H729" s="11" t="n">
        <x:f>IF($A729="","",$G729*$F729+$C729*(1-$F729))</x:f>
        <x:v>1225.2252560296795</x:v>
      </x:c>
      <x:c r="I729" s="11" t="n">
        <x:f>IF($A729="","",AVERAGE($H729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1261.24257820521</x:v>
      </x:c>
      <x:c r="J729" s="12" t="n">
        <x:f>IF($A729="","",1+SUMIFS(Assumptions!$S$5:$S$10,Assumptions!$P$5:$P$10,$B729,Assumptions!$Q$5:$Q$10,"&lt;="&amp;$A729,Assumptions!$R$5:$R$10,"&gt;="&amp;$A729))</x:f>
        <x:v>1</x:v>
      </x:c>
      <x:c r="K729" s="12" t="n">
        <x:f>IF($A729="","",1+((($A729-Assumptions!$B$5)/30)*INDEX(Assumptions!$J$5:$J$12,MATCH($B729,Assumptions!$D$5:$D$12,0))))</x:f>
        <x:v>1.0145</x:v>
      </x:c>
      <x:c r="L729" t="str">
        <x:f>IF($A729="","",IFERROR(INDEX(Assumptions!$O$5:$O$10,MATCH(1,(Assumptions!$P$5:$P$10=$B729)*(Assumptions!$Q$5:$Q$10&lt;=$A729)*(Assumptions!$R$5:$R$10&gt;=$A729),0)),""))</x:f>
      </x:c>
      <x:c r="M729" t="n">
        <x:f>--($A729&lt;&gt;"")</x:f>
        <x:v>1</x:v>
      </x:c>
    </x:row>
    <x:row r="730">
      <x:c r="A730" s="10" t="n">
        <x:f>IF(Assumptions!$B$5+INT((ROW()-2)/Assumptions!$B$7)&gt;Assumptions!$B$6,"",Assumptions!$B$5+INT((ROW()-2)/Assumptions!$B$7))</x:f>
        <x:v>46168</x:v>
      </x:c>
      <x:c r="B730" t="str">
        <x:f>IF($A730="","",INDEX(Assumptions!$D$5:$D$12,MOD(ROW()-2,Assumptions!$B$7)+1))</x:f>
        <x:v>Hadley's Hope</x:v>
      </x:c>
      <x:c r="C730" s="11" t="n">
        <x:f>IF($A730="","",INDEX(Assumptions!$F$5:$F$12,MATCH($B730,Assumptions!$D$5:$D$12,0)))</x:f>
        <x:v>845</x:v>
      </x:c>
      <x:c r="D730" s="11" t="n">
        <x:f>IF($A730="","",INDEX(Assumptions!$G$5:$G$12,MATCH($B730,Assumptions!$D$5:$D$12,0)))</x:f>
        <x:v>80</x:v>
      </x:c>
      <x:c r="E730" s="11" t="n">
        <x:f>IF($A730="","",INDEX(Assumptions!$M$5:$M$11,WEEKDAY($A730,2)))</x:f>
        <x:v>1.02</x:v>
      </x:c>
      <x:c r="F730" s="11" t="n">
        <x:f>IF($A730="","",Assumptions!$B$15)</x:f>
        <x:v>0.35</x:v>
      </x:c>
      <x:c r="G730" s="11" t="n">
        <x:f>IF($A730="","",MAX(INDEX(Assumptions!$H$5:$H$12,MATCH($B730,Assumptions!$D$5:$D$12,0)),MIN(INDEX(Assumptions!$I$5:$I$12,MATCH($B730,Assumptions!$D$5:$D$12,0)),($C730+$D730*SQRT(-2*LN(RAND()))*COS(2*PI()*RAND()))*$E730*$J730*$K730)))</x:f>
        <x:v>737.1691612291717</x:v>
      </x:c>
      <x:c r="H730" s="11" t="n">
        <x:f>IF($A730="","",$G730*$F730+$C730*(1-$F730))</x:f>
        <x:v>807.25920643021</x:v>
      </x:c>
      <x:c r="I730" s="11" t="n">
        <x:f>IF($A730="","",AVERAGE($H730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840.7994915361708</x:v>
      </x:c>
      <x:c r="J730" s="12" t="n">
        <x:f>IF($A730="","",1+SUMIFS(Assumptions!$S$5:$S$10,Assumptions!$P$5:$P$10,$B730,Assumptions!$Q$5:$Q$10,"&lt;="&amp;$A730,Assumptions!$R$5:$R$10,"&gt;="&amp;$A730))</x:f>
        <x:v>1</x:v>
      </x:c>
      <x:c r="K730" s="12" t="n">
        <x:f>IF($A730="","",1+((($A730-Assumptions!$B$5)/30)*INDEX(Assumptions!$J$5:$J$12,MATCH($B730,Assumptions!$D$5:$D$12,0))))</x:f>
        <x:v>1.0048333333333332</x:v>
      </x:c>
      <x:c r="L730" t="str">
        <x:f>IF($A730="","",IFERROR(INDEX(Assumptions!$O$5:$O$10,MATCH(1,(Assumptions!$P$5:$P$10=$B730)*(Assumptions!$Q$5:$Q$10&lt;=$A730)*(Assumptions!$R$5:$R$10&gt;=$A730),0)),""))</x:f>
      </x:c>
      <x:c r="M730" t="n">
        <x:f>--($A730&lt;&gt;"")</x:f>
        <x:v>1</x:v>
      </x:c>
    </x:row>
    <x:row r="731">
      <x:c r="A731" s="10" t="n">
        <x:f>IF(Assumptions!$B$5+INT((ROW()-2)/Assumptions!$B$7)&gt;Assumptions!$B$6,"",Assumptions!$B$5+INT((ROW()-2)/Assumptions!$B$7))</x:f>
        <x:v>46168</x:v>
      </x:c>
      <x:c r="B731" t="str">
        <x:f>IF($A731="","",INDEX(Assumptions!$D$5:$D$12,MOD(ROW()-2,Assumptions!$B$7)+1))</x:f>
        <x:v>Yutani Ridge</x:v>
      </x:c>
      <x:c r="C731" s="11" t="n">
        <x:f>IF($A731="","",INDEX(Assumptions!$F$5:$F$12,MATCH($B731,Assumptions!$D$5:$D$12,0)))</x:f>
        <x:v>1050</x:v>
      </x:c>
      <x:c r="D731" s="11" t="n">
        <x:f>IF($A731="","",INDEX(Assumptions!$G$5:$G$12,MATCH($B731,Assumptions!$D$5:$D$12,0)))</x:f>
        <x:v>125</x:v>
      </x:c>
      <x:c r="E731" s="11" t="n">
        <x:f>IF($A731="","",INDEX(Assumptions!$M$5:$M$11,WEEKDAY($A731,2)))</x:f>
        <x:v>1.02</x:v>
      </x:c>
      <x:c r="F731" s="11" t="n">
        <x:f>IF($A731="","",Assumptions!$B$15)</x:f>
        <x:v>0.35</x:v>
      </x:c>
      <x:c r="G731" s="11" t="n">
        <x:f>IF($A731="","",MAX(INDEX(Assumptions!$H$5:$H$12,MATCH($B731,Assumptions!$D$5:$D$12,0)),MIN(INDEX(Assumptions!$I$5:$I$12,MATCH($B731,Assumptions!$D$5:$D$12,0)),($C731+$D731*SQRT(-2*LN(RAND()))*COS(2*PI()*RAND()))*$E731*$J731*$K731)))</x:f>
        <x:v>1182.8164938664731</x:v>
      </x:c>
      <x:c r="H731" s="11" t="n">
        <x:f>IF($A731="","",$G731*$F731+$C731*(1-$F731))</x:f>
        <x:v>1096.4857728532656</x:v>
      </x:c>
      <x:c r="I731" s="11" t="n">
        <x:f>IF($A731="","",AVERAGE($H731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1041.7662256460778</x:v>
      </x:c>
      <x:c r="J731" s="12" t="n">
        <x:f>IF($A731="","",1+SUMIFS(Assumptions!$S$5:$S$10,Assumptions!$P$5:$P$10,$B731,Assumptions!$Q$5:$Q$10,"&lt;="&amp;$A731,Assumptions!$R$5:$R$10,"&gt;="&amp;$A731))</x:f>
        <x:v>1</x:v>
      </x:c>
      <x:c r="K731" s="12" t="n">
        <x:f>IF($A731="","",1+((($A731-Assumptions!$B$5)/30)*INDEX(Assumptions!$J$5:$J$12,MATCH($B731,Assumptions!$D$5:$D$12,0))))</x:f>
        <x:v>1.0120833333333332</x:v>
      </x:c>
      <x:c r="L731" t="str">
        <x:f>IF($A731="","",IFERROR(INDEX(Assumptions!$O$5:$O$10,MATCH(1,(Assumptions!$P$5:$P$10=$B731)*(Assumptions!$Q$5:$Q$10&lt;=$A731)*(Assumptions!$R$5:$R$10&gt;=$A731),0)),""))</x:f>
      </x:c>
      <x:c r="M731" t="n">
        <x:f>--($A731&lt;&gt;"")</x:f>
        <x:v>1</x:v>
      </x:c>
    </x:row>
    <x:row r="732">
      <x:c r="A732" s="10" t="n">
        <x:f>IF(Assumptions!$B$5+INT((ROW()-2)/Assumptions!$B$7)&gt;Assumptions!$B$6,"",Assumptions!$B$5+INT((ROW()-2)/Assumptions!$B$7))</x:f>
        <x:v>46169</x:v>
      </x:c>
      <x:c r="B732" t="str">
        <x:f>IF($A732="","",INDEX(Assumptions!$D$5:$D$12,MOD(ROW()-2,Assumptions!$B$7)+1))</x:f>
        <x:v>Acheron Prime</x:v>
      </x:c>
      <x:c r="C732" s="11" t="n">
        <x:f>IF($A732="","",INDEX(Assumptions!$F$5:$F$12,MATCH($B732,Assumptions!$D$5:$D$12,0)))</x:f>
        <x:v>1120</x:v>
      </x:c>
      <x:c r="D732" s="11" t="n">
        <x:f>IF($A732="","",INDEX(Assumptions!$G$5:$G$12,MATCH($B732,Assumptions!$D$5:$D$12,0)))</x:f>
        <x:v>115</x:v>
      </x:c>
      <x:c r="E732" s="11" t="n">
        <x:f>IF($A732="","",INDEX(Assumptions!$M$5:$M$11,WEEKDAY($A732,2)))</x:f>
        <x:v>1.01</x:v>
      </x:c>
      <x:c r="F732" s="11" t="n">
        <x:f>IF($A732="","",Assumptions!$B$15)</x:f>
        <x:v>0.35</x:v>
      </x:c>
      <x:c r="G732" s="11" t="n">
        <x:f>IF($A732="","",MAX(INDEX(Assumptions!$H$5:$H$12,MATCH($B732,Assumptions!$D$5:$D$12,0)),MIN(INDEX(Assumptions!$I$5:$I$12,MATCH($B732,Assumptions!$D$5:$D$12,0)),($C732+$D732*SQRT(-2*LN(RAND()))*COS(2*PI()*RAND()))*$E732*$J732*$K732)))</x:f>
        <x:v>1178.0598328451758</x:v>
      </x:c>
      <x:c r="H732" s="11" t="n">
        <x:f>IF($A732="","",$G732*$F732+$C732*(1-$F732))</x:f>
        <x:v>1140.3209414958114</x:v>
      </x:c>
      <x:c r="I732" s="11" t="n">
        <x:f>IF($A732="","",AVERAGE($H732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1124.8178760208284</x:v>
      </x:c>
      <x:c r="J732" s="12" t="n">
        <x:f>IF($A732="","",1+SUMIFS(Assumptions!$S$5:$S$10,Assumptions!$P$5:$P$10,$B732,Assumptions!$Q$5:$Q$10,"&lt;="&amp;$A732,Assumptions!$R$5:$R$10,"&gt;="&amp;$A732))</x:f>
        <x:v>1</x:v>
      </x:c>
      <x:c r="K732" s="12" t="n">
        <x:f>IF($A732="","",1+((($A732-Assumptions!$B$5)/30)*INDEX(Assumptions!$J$5:$J$12,MATCH($B732,Assumptions!$D$5:$D$12,0))))</x:f>
        <x:v>1.0097333333333334</x:v>
      </x:c>
      <x:c r="L732" t="str">
        <x:f>IF($A732="","",IFERROR(INDEX(Assumptions!$O$5:$O$10,MATCH(1,(Assumptions!$P$5:$P$10=$B732)*(Assumptions!$Q$5:$Q$10&lt;=$A732)*(Assumptions!$R$5:$R$10&gt;=$A732),0)),""))</x:f>
      </x:c>
      <x:c r="M732" t="n">
        <x:f>--($A732&lt;&gt;"")</x:f>
        <x:v>1</x:v>
      </x:c>
    </x:row>
    <x:row r="733">
      <x:c r="A733" s="10" t="n">
        <x:f>IF(Assumptions!$B$5+INT((ROW()-2)/Assumptions!$B$7)&gt;Assumptions!$B$6,"",Assumptions!$B$5+INT((ROW()-2)/Assumptions!$B$7))</x:f>
        <x:v>46169</x:v>
      </x:c>
      <x:c r="B733" t="str">
        <x:f>IF($A733="","",INDEX(Assumptions!$D$5:$D$12,MOD(ROW()-2,Assumptions!$B$7)+1))</x:f>
        <x:v>LV-426 North</x:v>
      </x:c>
      <x:c r="C733" s="11" t="n">
        <x:f>IF($A733="","",INDEX(Assumptions!$F$5:$F$12,MATCH($B733,Assumptions!$D$5:$D$12,0)))</x:f>
        <x:v>930</x:v>
      </x:c>
      <x:c r="D733" s="11" t="n">
        <x:f>IF($A733="","",INDEX(Assumptions!$G$5:$G$12,MATCH($B733,Assumptions!$D$5:$D$12,0)))</x:f>
        <x:v>95</x:v>
      </x:c>
      <x:c r="E733" s="11" t="n">
        <x:f>IF($A733="","",INDEX(Assumptions!$M$5:$M$11,WEEKDAY($A733,2)))</x:f>
        <x:v>1.01</x:v>
      </x:c>
      <x:c r="F733" s="11" t="n">
        <x:f>IF($A733="","",Assumptions!$B$15)</x:f>
        <x:v>0.35</x:v>
      </x:c>
      <x:c r="G733" s="11" t="n">
        <x:f>IF($A733="","",MAX(INDEX(Assumptions!$H$5:$H$12,MATCH($B733,Assumptions!$D$5:$D$12,0)),MIN(INDEX(Assumptions!$I$5:$I$12,MATCH($B733,Assumptions!$D$5:$D$12,0)),($C733+$D733*SQRT(-2*LN(RAND()))*COS(2*PI()*RAND()))*$E733*$J733*$K733)))</x:f>
        <x:v>1012.6342951028316</x:v>
      </x:c>
      <x:c r="H733" s="11" t="n">
        <x:f>IF($A733="","",$G733*$F733+$C733*(1-$F733))</x:f>
        <x:v>958.922003285991</x:v>
      </x:c>
      <x:c r="I733" s="11" t="n">
        <x:f>IF($A733="","",AVERAGE($H733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921.0014379417477</x:v>
      </x:c>
      <x:c r="J733" s="12" t="n">
        <x:f>IF($A733="","",1+SUMIFS(Assumptions!$S$5:$S$10,Assumptions!$P$5:$P$10,$B733,Assumptions!$Q$5:$Q$10,"&lt;="&amp;$A733,Assumptions!$R$5:$R$10,"&gt;="&amp;$A733))</x:f>
        <x:v>1</x:v>
      </x:c>
      <x:c r="K733" s="12" t="n">
        <x:f>IF($A733="","",1+((($A733-Assumptions!$B$5)/30)*INDEX(Assumptions!$J$5:$J$12,MATCH($B733,Assumptions!$D$5:$D$12,0))))</x:f>
        <x:v>0.9951333333333333</x:v>
      </x:c>
      <x:c r="L733" t="str">
        <x:f>IF($A733="","",IFERROR(INDEX(Assumptions!$O$5:$O$10,MATCH(1,(Assumptions!$P$5:$P$10=$B733)*(Assumptions!$Q$5:$Q$10&lt;=$A733)*(Assumptions!$R$5:$R$10&gt;=$A733),0)),""))</x:f>
      </x:c>
      <x:c r="M733" t="n">
        <x:f>--($A733&lt;&gt;"")</x:f>
        <x:v>1</x:v>
      </x:c>
    </x:row>
    <x:row r="734">
      <x:c r="A734" s="10" t="n">
        <x:f>IF(Assumptions!$B$5+INT((ROW()-2)/Assumptions!$B$7)&gt;Assumptions!$B$6,"",Assumptions!$B$5+INT((ROW()-2)/Assumptions!$B$7))</x:f>
        <x:v>46169</x:v>
      </x:c>
      <x:c r="B734" t="str">
        <x:f>IF($A734="","",INDEX(Assumptions!$D$5:$D$12,MOD(ROW()-2,Assumptions!$B$7)+1))</x:f>
        <x:v>Nostromo Deep</x:v>
      </x:c>
      <x:c r="C734" s="11" t="n">
        <x:f>IF($A734="","",INDEX(Assumptions!$F$5:$F$12,MATCH($B734,Assumptions!$D$5:$D$12,0)))</x:f>
        <x:v>1260</x:v>
      </x:c>
      <x:c r="D734" s="11" t="n">
        <x:f>IF($A734="","",INDEX(Assumptions!$G$5:$G$12,MATCH($B734,Assumptions!$D$5:$D$12,0)))</x:f>
        <x:v>145</x:v>
      </x:c>
      <x:c r="E734" s="11" t="n">
        <x:f>IF($A734="","",INDEX(Assumptions!$M$5:$M$11,WEEKDAY($A734,2)))</x:f>
        <x:v>1.01</x:v>
      </x:c>
      <x:c r="F734" s="11" t="n">
        <x:f>IF($A734="","",Assumptions!$B$15)</x:f>
        <x:v>0.35</x:v>
      </x:c>
      <x:c r="G734" s="11" t="n">
        <x:f>IF($A734="","",MAX(INDEX(Assumptions!$H$5:$H$12,MATCH($B734,Assumptions!$D$5:$D$12,0)),MIN(INDEX(Assumptions!$I$5:$I$12,MATCH($B734,Assumptions!$D$5:$D$12,0)),($C734+$D734*SQRT(-2*LN(RAND()))*COS(2*PI()*RAND()))*$E734*$J734*$K734)))</x:f>
        <x:v>1123.1084288756463</x:v>
      </x:c>
      <x:c r="H734" s="11" t="n">
        <x:f>IF($A734="","",$G734*$F734+$C734*(1-$F734))</x:f>
        <x:v>1212.0879501064762</x:v>
      </x:c>
      <x:c r="I734" s="11" t="n">
        <x:f>IF($A734="","",AVERAGE($H734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1244.8088135978298</x:v>
      </x:c>
      <x:c r="J734" s="12" t="n">
        <x:f>IF($A734="","",1+SUMIFS(Assumptions!$S$5:$S$10,Assumptions!$P$5:$P$10,$B734,Assumptions!$Q$5:$Q$10,"&lt;="&amp;$A734,Assumptions!$R$5:$R$10,"&gt;="&amp;$A734))</x:f>
        <x:v>1</x:v>
      </x:c>
      <x:c r="K734" s="12" t="n">
        <x:f>IF($A734="","",1+((($A734-Assumptions!$B$5)/30)*INDEX(Assumptions!$J$5:$J$12,MATCH($B734,Assumptions!$D$5:$D$12,0))))</x:f>
        <x:v>1.0146</x:v>
      </x:c>
      <x:c r="L734" t="str">
        <x:f>IF($A734="","",IFERROR(INDEX(Assumptions!$O$5:$O$10,MATCH(1,(Assumptions!$P$5:$P$10=$B734)*(Assumptions!$Q$5:$Q$10&lt;=$A734)*(Assumptions!$R$5:$R$10&gt;=$A734),0)),""))</x:f>
      </x:c>
      <x:c r="M734" t="n">
        <x:f>--($A734&lt;&gt;"")</x:f>
        <x:v>1</x:v>
      </x:c>
    </x:row>
    <x:row r="735">
      <x:c r="A735" s="10" t="n">
        <x:f>IF(Assumptions!$B$5+INT((ROW()-2)/Assumptions!$B$7)&gt;Assumptions!$B$6,"",Assumptions!$B$5+INT((ROW()-2)/Assumptions!$B$7))</x:f>
        <x:v>46169</x:v>
      </x:c>
      <x:c r="B735" t="str">
        <x:f>IF($A735="","",INDEX(Assumptions!$D$5:$D$12,MOD(ROW()-2,Assumptions!$B$7)+1))</x:f>
        <x:v>Hadley's Hope</x:v>
      </x:c>
      <x:c r="C735" s="11" t="n">
        <x:f>IF($A735="","",INDEX(Assumptions!$F$5:$F$12,MATCH($B735,Assumptions!$D$5:$D$12,0)))</x:f>
        <x:v>845</x:v>
      </x:c>
      <x:c r="D735" s="11" t="n">
        <x:f>IF($A735="","",INDEX(Assumptions!$G$5:$G$12,MATCH($B735,Assumptions!$D$5:$D$12,0)))</x:f>
        <x:v>80</x:v>
      </x:c>
      <x:c r="E735" s="11" t="n">
        <x:f>IF($A735="","",INDEX(Assumptions!$M$5:$M$11,WEEKDAY($A735,2)))</x:f>
        <x:v>1.01</x:v>
      </x:c>
      <x:c r="F735" s="11" t="n">
        <x:f>IF($A735="","",Assumptions!$B$15)</x:f>
        <x:v>0.35</x:v>
      </x:c>
      <x:c r="G735" s="11" t="n">
        <x:f>IF($A735="","",MAX(INDEX(Assumptions!$H$5:$H$12,MATCH($B735,Assumptions!$D$5:$D$12,0)),MIN(INDEX(Assumptions!$I$5:$I$12,MATCH($B735,Assumptions!$D$5:$D$12,0)),($C735+$D735*SQRT(-2*LN(RAND()))*COS(2*PI()*RAND()))*$E735*$J735*$K735)))</x:f>
        <x:v>878.2935663988904</x:v>
      </x:c>
      <x:c r="H735" s="11" t="n">
        <x:f>IF($A735="","",$G735*$F735+$C735*(1-$F735))</x:f>
        <x:v>856.6527482396116</x:v>
      </x:c>
      <x:c r="I735" s="11" t="n">
        <x:f>IF($A735="","",AVERAGE($H735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847.6218910811352</x:v>
      </x:c>
      <x:c r="J735" s="12" t="n">
        <x:f>IF($A735="","",1+SUMIFS(Assumptions!$S$5:$S$10,Assumptions!$P$5:$P$10,$B735,Assumptions!$Q$5:$Q$10,"&lt;="&amp;$A735,Assumptions!$R$5:$R$10,"&gt;="&amp;$A735))</x:f>
        <x:v>1</x:v>
      </x:c>
      <x:c r="K735" s="12" t="n">
        <x:f>IF($A735="","",1+((($A735-Assumptions!$B$5)/30)*INDEX(Assumptions!$J$5:$J$12,MATCH($B735,Assumptions!$D$5:$D$12,0))))</x:f>
        <x:v>1.0048666666666666</x:v>
      </x:c>
      <x:c r="L735" t="str">
        <x:f>IF($A735="","",IFERROR(INDEX(Assumptions!$O$5:$O$10,MATCH(1,(Assumptions!$P$5:$P$10=$B735)*(Assumptions!$Q$5:$Q$10&lt;=$A735)*(Assumptions!$R$5:$R$10&gt;=$A735),0)),""))</x:f>
      </x:c>
      <x:c r="M735" t="n">
        <x:f>--($A735&lt;&gt;"")</x:f>
        <x:v>1</x:v>
      </x:c>
    </x:row>
    <x:row r="736">
      <x:c r="A736" s="10" t="n">
        <x:f>IF(Assumptions!$B$5+INT((ROW()-2)/Assumptions!$B$7)&gt;Assumptions!$B$6,"",Assumptions!$B$5+INT((ROW()-2)/Assumptions!$B$7))</x:f>
        <x:v>46169</x:v>
      </x:c>
      <x:c r="B736" t="str">
        <x:f>IF($A736="","",INDEX(Assumptions!$D$5:$D$12,MOD(ROW()-2,Assumptions!$B$7)+1))</x:f>
        <x:v>Yutani Ridge</x:v>
      </x:c>
      <x:c r="C736" s="11" t="n">
        <x:f>IF($A736="","",INDEX(Assumptions!$F$5:$F$12,MATCH($B736,Assumptions!$D$5:$D$12,0)))</x:f>
        <x:v>1050</x:v>
      </x:c>
      <x:c r="D736" s="11" t="n">
        <x:f>IF($A736="","",INDEX(Assumptions!$G$5:$G$12,MATCH($B736,Assumptions!$D$5:$D$12,0)))</x:f>
        <x:v>125</x:v>
      </x:c>
      <x:c r="E736" s="11" t="n">
        <x:f>IF($A736="","",INDEX(Assumptions!$M$5:$M$11,WEEKDAY($A736,2)))</x:f>
        <x:v>1.01</x:v>
      </x:c>
      <x:c r="F736" s="11" t="n">
        <x:f>IF($A736="","",Assumptions!$B$15)</x:f>
        <x:v>0.35</x:v>
      </x:c>
      <x:c r="G736" s="11" t="n">
        <x:f>IF($A736="","",MAX(INDEX(Assumptions!$H$5:$H$12,MATCH($B736,Assumptions!$D$5:$D$12,0)),MIN(INDEX(Assumptions!$I$5:$I$12,MATCH($B736,Assumptions!$D$5:$D$12,0)),($C736+$D736*SQRT(-2*LN(RAND()))*COS(2*PI()*RAND()))*$E736*$J736*$K736)))</x:f>
        <x:v>1124.9419772953315</x:v>
      </x:c>
      <x:c r="H736" s="11" t="n">
        <x:f>IF($A736="","",$G736*$F736+$C736*(1-$F736))</x:f>
        <x:v>1076.229692053366</x:v>
      </x:c>
      <x:c r="I736" s="11" t="n">
        <x:f>IF($A736="","",AVERAGE($H736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1052.9086415966917</x:v>
      </x:c>
      <x:c r="J736" s="12" t="n">
        <x:f>IF($A736="","",1+SUMIFS(Assumptions!$S$5:$S$10,Assumptions!$P$5:$P$10,$B736,Assumptions!$Q$5:$Q$10,"&lt;="&amp;$A736,Assumptions!$R$5:$R$10,"&gt;="&amp;$A736))</x:f>
        <x:v>1</x:v>
      </x:c>
      <x:c r="K736" s="12" t="n">
        <x:f>IF($A736="","",1+((($A736-Assumptions!$B$5)/30)*INDEX(Assumptions!$J$5:$J$12,MATCH($B736,Assumptions!$D$5:$D$12,0))))</x:f>
        <x:v>1.0121666666666667</x:v>
      </x:c>
      <x:c r="L736" t="str">
        <x:f>IF($A736="","",IFERROR(INDEX(Assumptions!$O$5:$O$10,MATCH(1,(Assumptions!$P$5:$P$10=$B736)*(Assumptions!$Q$5:$Q$10&lt;=$A736)*(Assumptions!$R$5:$R$10&gt;=$A736),0)),""))</x:f>
      </x:c>
      <x:c r="M736" t="n">
        <x:f>--($A736&lt;&gt;"")</x:f>
        <x:v>1</x:v>
      </x:c>
    </x:row>
    <x:row r="737">
      <x:c r="A737" s="10" t="n">
        <x:f>IF(Assumptions!$B$5+INT((ROW()-2)/Assumptions!$B$7)&gt;Assumptions!$B$6,"",Assumptions!$B$5+INT((ROW()-2)/Assumptions!$B$7))</x:f>
        <x:v>46170</x:v>
      </x:c>
      <x:c r="B737" t="str">
        <x:f>IF($A737="","",INDEX(Assumptions!$D$5:$D$12,MOD(ROW()-2,Assumptions!$B$7)+1))</x:f>
        <x:v>Acheron Prime</x:v>
      </x:c>
      <x:c r="C737" s="11" t="n">
        <x:f>IF($A737="","",INDEX(Assumptions!$F$5:$F$12,MATCH($B737,Assumptions!$D$5:$D$12,0)))</x:f>
        <x:v>1120</x:v>
      </x:c>
      <x:c r="D737" s="11" t="n">
        <x:f>IF($A737="","",INDEX(Assumptions!$G$5:$G$12,MATCH($B737,Assumptions!$D$5:$D$12,0)))</x:f>
        <x:v>115</x:v>
      </x:c>
      <x:c r="E737" s="11" t="n">
        <x:f>IF($A737="","",INDEX(Assumptions!$M$5:$M$11,WEEKDAY($A737,2)))</x:f>
        <x:v>1</x:v>
      </x:c>
      <x:c r="F737" s="11" t="n">
        <x:f>IF($A737="","",Assumptions!$B$15)</x:f>
        <x:v>0.35</x:v>
      </x:c>
      <x:c r="G737" s="11" t="n">
        <x:f>IF($A737="","",MAX(INDEX(Assumptions!$H$5:$H$12,MATCH($B737,Assumptions!$D$5:$D$12,0)),MIN(INDEX(Assumptions!$I$5:$I$12,MATCH($B737,Assumptions!$D$5:$D$12,0)),($C737+$D737*SQRT(-2*LN(RAND()))*COS(2*PI()*RAND()))*$E737*$J737*$K737)))</x:f>
        <x:v>1130.5304504737744</x:v>
      </x:c>
      <x:c r="H737" s="11" t="n">
        <x:f>IF($A737="","",$G737*$F737+$C737*(1-$F737))</x:f>
        <x:v>1123.685657665821</x:v>
      </x:c>
      <x:c r="I737" s="11" t="n">
        <x:f>IF($A737="","",AVERAGE($H737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1120.3076879386615</x:v>
      </x:c>
      <x:c r="J737" s="12" t="n">
        <x:f>IF($A737="","",1+SUMIFS(Assumptions!$S$5:$S$10,Assumptions!$P$5:$P$10,$B737,Assumptions!$Q$5:$Q$10,"&lt;="&amp;$A737,Assumptions!$R$5:$R$10,"&gt;="&amp;$A737))</x:f>
        <x:v>1</x:v>
      </x:c>
      <x:c r="K737" s="12" t="n">
        <x:f>IF($A737="","",1+((($A737-Assumptions!$B$5)/30)*INDEX(Assumptions!$J$5:$J$12,MATCH($B737,Assumptions!$D$5:$D$12,0))))</x:f>
        <x:v>1.0098</x:v>
      </x:c>
      <x:c r="L737" t="str">
        <x:f>IF($A737="","",IFERROR(INDEX(Assumptions!$O$5:$O$10,MATCH(1,(Assumptions!$P$5:$P$10=$B737)*(Assumptions!$Q$5:$Q$10&lt;=$A737)*(Assumptions!$R$5:$R$10&gt;=$A737),0)),""))</x:f>
      </x:c>
      <x:c r="M737" t="n">
        <x:f>--($A737&lt;&gt;"")</x:f>
        <x:v>1</x:v>
      </x:c>
    </x:row>
    <x:row r="738">
      <x:c r="A738" s="10" t="n">
        <x:f>IF(Assumptions!$B$5+INT((ROW()-2)/Assumptions!$B$7)&gt;Assumptions!$B$6,"",Assumptions!$B$5+INT((ROW()-2)/Assumptions!$B$7))</x:f>
        <x:v>46170</x:v>
      </x:c>
      <x:c r="B738" t="str">
        <x:f>IF($A738="","",INDEX(Assumptions!$D$5:$D$12,MOD(ROW()-2,Assumptions!$B$7)+1))</x:f>
        <x:v>LV-426 North</x:v>
      </x:c>
      <x:c r="C738" s="11" t="n">
        <x:f>IF($A738="","",INDEX(Assumptions!$F$5:$F$12,MATCH($B738,Assumptions!$D$5:$D$12,0)))</x:f>
        <x:v>930</x:v>
      </x:c>
      <x:c r="D738" s="11" t="n">
        <x:f>IF($A738="","",INDEX(Assumptions!$G$5:$G$12,MATCH($B738,Assumptions!$D$5:$D$12,0)))</x:f>
        <x:v>95</x:v>
      </x:c>
      <x:c r="E738" s="11" t="n">
        <x:f>IF($A738="","",INDEX(Assumptions!$M$5:$M$11,WEEKDAY($A738,2)))</x:f>
        <x:v>1</x:v>
      </x:c>
      <x:c r="F738" s="11" t="n">
        <x:f>IF($A738="","",Assumptions!$B$15)</x:f>
        <x:v>0.35</x:v>
      </x:c>
      <x:c r="G738" s="11" t="n">
        <x:f>IF($A738="","",MAX(INDEX(Assumptions!$H$5:$H$12,MATCH($B738,Assumptions!$D$5:$D$12,0)),MIN(INDEX(Assumptions!$I$5:$I$12,MATCH($B738,Assumptions!$D$5:$D$12,0)),($C738+$D738*SQRT(-2*LN(RAND()))*COS(2*PI()*RAND()))*$E738*$J738*$K738)))</x:f>
        <x:v>982.500835954604</x:v>
      </x:c>
      <x:c r="H738" s="11" t="n">
        <x:f>IF($A738="","",$G738*$F738+$C738*(1-$F738))</x:f>
        <x:v>948.3752925841113</x:v>
      </x:c>
      <x:c r="I738" s="11" t="n">
        <x:f>IF($A738="","",AVERAGE($H738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917.3759986045601</x:v>
      </x:c>
      <x:c r="J738" s="12" t="n">
        <x:f>IF($A738="","",1+SUMIFS(Assumptions!$S$5:$S$10,Assumptions!$P$5:$P$10,$B738,Assumptions!$Q$5:$Q$10,"&lt;="&amp;$A738,Assumptions!$R$5:$R$10,"&gt;="&amp;$A738))</x:f>
        <x:v>1</x:v>
      </x:c>
      <x:c r="K738" s="12" t="n">
        <x:f>IF($A738="","",1+((($A738-Assumptions!$B$5)/30)*INDEX(Assumptions!$J$5:$J$12,MATCH($B738,Assumptions!$D$5:$D$12,0))))</x:f>
        <x:v>0.9951</x:v>
      </x:c>
      <x:c r="L738" t="str">
        <x:f>IF($A738="","",IFERROR(INDEX(Assumptions!$O$5:$O$10,MATCH(1,(Assumptions!$P$5:$P$10=$B738)*(Assumptions!$Q$5:$Q$10&lt;=$A738)*(Assumptions!$R$5:$R$10&gt;=$A738),0)),""))</x:f>
      </x:c>
      <x:c r="M738" t="n">
        <x:f>--($A738&lt;&gt;"")</x:f>
        <x:v>1</x:v>
      </x:c>
    </x:row>
    <x:row r="739">
      <x:c r="A739" s="10" t="n">
        <x:f>IF(Assumptions!$B$5+INT((ROW()-2)/Assumptions!$B$7)&gt;Assumptions!$B$6,"",Assumptions!$B$5+INT((ROW()-2)/Assumptions!$B$7))</x:f>
        <x:v>46170</x:v>
      </x:c>
      <x:c r="B739" t="str">
        <x:f>IF($A739="","",INDEX(Assumptions!$D$5:$D$12,MOD(ROW()-2,Assumptions!$B$7)+1))</x:f>
        <x:v>Nostromo Deep</x:v>
      </x:c>
      <x:c r="C739" s="11" t="n">
        <x:f>IF($A739="","",INDEX(Assumptions!$F$5:$F$12,MATCH($B739,Assumptions!$D$5:$D$12,0)))</x:f>
        <x:v>1260</x:v>
      </x:c>
      <x:c r="D739" s="11" t="n">
        <x:f>IF($A739="","",INDEX(Assumptions!$G$5:$G$12,MATCH($B739,Assumptions!$D$5:$D$12,0)))</x:f>
        <x:v>145</x:v>
      </x:c>
      <x:c r="E739" s="11" t="n">
        <x:f>IF($A739="","",INDEX(Assumptions!$M$5:$M$11,WEEKDAY($A739,2)))</x:f>
        <x:v>1</x:v>
      </x:c>
      <x:c r="F739" s="11" t="n">
        <x:f>IF($A739="","",Assumptions!$B$15)</x:f>
        <x:v>0.35</x:v>
      </x:c>
      <x:c r="G739" s="11" t="n">
        <x:f>IF($A739="","",MAX(INDEX(Assumptions!$H$5:$H$12,MATCH($B739,Assumptions!$D$5:$D$12,0)),MIN(INDEX(Assumptions!$I$5:$I$12,MATCH($B739,Assumptions!$D$5:$D$12,0)),($C739+$D739*SQRT(-2*LN(RAND()))*COS(2*PI()*RAND()))*$E739*$J739*$K739)))</x:f>
        <x:v>1162.8529001446761</x:v>
      </x:c>
      <x:c r="H739" s="11" t="n">
        <x:f>IF($A739="","",$G739*$F739+$C739*(1-$F739))</x:f>
        <x:v>1225.9985150506366</x:v>
      </x:c>
      <x:c r="I739" s="11" t="n">
        <x:f>IF($A739="","",AVERAGE($H739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1246.6168490930268</x:v>
      </x:c>
      <x:c r="J739" s="12" t="n">
        <x:f>IF($A739="","",1+SUMIFS(Assumptions!$S$5:$S$10,Assumptions!$P$5:$P$10,$B739,Assumptions!$Q$5:$Q$10,"&lt;="&amp;$A739,Assumptions!$R$5:$R$10,"&gt;="&amp;$A739))</x:f>
        <x:v>1</x:v>
      </x:c>
      <x:c r="K739" s="12" t="n">
        <x:f>IF($A739="","",1+((($A739-Assumptions!$B$5)/30)*INDEX(Assumptions!$J$5:$J$12,MATCH($B739,Assumptions!$D$5:$D$12,0))))</x:f>
        <x:v>1.0147</x:v>
      </x:c>
      <x:c r="L739" t="str">
        <x:f>IF($A739="","",IFERROR(INDEX(Assumptions!$O$5:$O$10,MATCH(1,(Assumptions!$P$5:$P$10=$B739)*(Assumptions!$Q$5:$Q$10&lt;=$A739)*(Assumptions!$R$5:$R$10&gt;=$A739),0)),""))</x:f>
      </x:c>
      <x:c r="M739" t="n">
        <x:f>--($A739&lt;&gt;"")</x:f>
        <x:v>1</x:v>
      </x:c>
    </x:row>
    <x:row r="740">
      <x:c r="A740" s="10" t="n">
        <x:f>IF(Assumptions!$B$5+INT((ROW()-2)/Assumptions!$B$7)&gt;Assumptions!$B$6,"",Assumptions!$B$5+INT((ROW()-2)/Assumptions!$B$7))</x:f>
        <x:v>46170</x:v>
      </x:c>
      <x:c r="B740" t="str">
        <x:f>IF($A740="","",INDEX(Assumptions!$D$5:$D$12,MOD(ROW()-2,Assumptions!$B$7)+1))</x:f>
        <x:v>Hadley's Hope</x:v>
      </x:c>
      <x:c r="C740" s="11" t="n">
        <x:f>IF($A740="","",INDEX(Assumptions!$F$5:$F$12,MATCH($B740,Assumptions!$D$5:$D$12,0)))</x:f>
        <x:v>845</x:v>
      </x:c>
      <x:c r="D740" s="11" t="n">
        <x:f>IF($A740="","",INDEX(Assumptions!$G$5:$G$12,MATCH($B740,Assumptions!$D$5:$D$12,0)))</x:f>
        <x:v>80</x:v>
      </x:c>
      <x:c r="E740" s="11" t="n">
        <x:f>IF($A740="","",INDEX(Assumptions!$M$5:$M$11,WEEKDAY($A740,2)))</x:f>
        <x:v>1</x:v>
      </x:c>
      <x:c r="F740" s="11" t="n">
        <x:f>IF($A740="","",Assumptions!$B$15)</x:f>
        <x:v>0.35</x:v>
      </x:c>
      <x:c r="G740" s="11" t="n">
        <x:f>IF($A740="","",MAX(INDEX(Assumptions!$H$5:$H$12,MATCH($B740,Assumptions!$D$5:$D$12,0)),MIN(INDEX(Assumptions!$I$5:$I$12,MATCH($B740,Assumptions!$D$5:$D$12,0)),($C740+$D740*SQRT(-2*LN(RAND()))*COS(2*PI()*RAND()))*$E740*$J740*$K740)))</x:f>
        <x:v>756.9786470206099</x:v>
      </x:c>
      <x:c r="H740" s="11" t="n">
        <x:f>IF($A740="","",$G740*$F740+$C740*(1-$F740))</x:f>
        <x:v>814.1925264572135</x:v>
      </x:c>
      <x:c r="I740" s="11" t="n">
        <x:f>IF($A740="","",AVERAGE($H740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840.234559495566</x:v>
      </x:c>
      <x:c r="J740" s="12" t="n">
        <x:f>IF($A740="","",1+SUMIFS(Assumptions!$S$5:$S$10,Assumptions!$P$5:$P$10,$B740,Assumptions!$Q$5:$Q$10,"&lt;="&amp;$A740,Assumptions!$R$5:$R$10,"&gt;="&amp;$A740))</x:f>
        <x:v>1</x:v>
      </x:c>
      <x:c r="K740" s="12" t="n">
        <x:f>IF($A740="","",1+((($A740-Assumptions!$B$5)/30)*INDEX(Assumptions!$J$5:$J$12,MATCH($B740,Assumptions!$D$5:$D$12,0))))</x:f>
        <x:v>1.0049</x:v>
      </x:c>
      <x:c r="L740" t="str">
        <x:f>IF($A740="","",IFERROR(INDEX(Assumptions!$O$5:$O$10,MATCH(1,(Assumptions!$P$5:$P$10=$B740)*(Assumptions!$Q$5:$Q$10&lt;=$A740)*(Assumptions!$R$5:$R$10&gt;=$A740),0)),""))</x:f>
      </x:c>
      <x:c r="M740" t="n">
        <x:f>--($A740&lt;&gt;"")</x:f>
        <x:v>1</x:v>
      </x:c>
    </x:row>
    <x:row r="741">
      <x:c r="A741" s="10" t="n">
        <x:f>IF(Assumptions!$B$5+INT((ROW()-2)/Assumptions!$B$7)&gt;Assumptions!$B$6,"",Assumptions!$B$5+INT((ROW()-2)/Assumptions!$B$7))</x:f>
        <x:v>46170</x:v>
      </x:c>
      <x:c r="B741" t="str">
        <x:f>IF($A741="","",INDEX(Assumptions!$D$5:$D$12,MOD(ROW()-2,Assumptions!$B$7)+1))</x:f>
        <x:v>Yutani Ridge</x:v>
      </x:c>
      <x:c r="C741" s="11" t="n">
        <x:f>IF($A741="","",INDEX(Assumptions!$F$5:$F$12,MATCH($B741,Assumptions!$D$5:$D$12,0)))</x:f>
        <x:v>1050</x:v>
      </x:c>
      <x:c r="D741" s="11" t="n">
        <x:f>IF($A741="","",INDEX(Assumptions!$G$5:$G$12,MATCH($B741,Assumptions!$D$5:$D$12,0)))</x:f>
        <x:v>125</x:v>
      </x:c>
      <x:c r="E741" s="11" t="n">
        <x:f>IF($A741="","",INDEX(Assumptions!$M$5:$M$11,WEEKDAY($A741,2)))</x:f>
        <x:v>1</x:v>
      </x:c>
      <x:c r="F741" s="11" t="n">
        <x:f>IF($A741="","",Assumptions!$B$15)</x:f>
        <x:v>0.35</x:v>
      </x:c>
      <x:c r="G741" s="11" t="n">
        <x:f>IF($A741="","",MAX(INDEX(Assumptions!$H$5:$H$12,MATCH($B741,Assumptions!$D$5:$D$12,0)),MIN(INDEX(Assumptions!$I$5:$I$12,MATCH($B741,Assumptions!$D$5:$D$12,0)),($C741+$D741*SQRT(-2*LN(RAND()))*COS(2*PI()*RAND()))*$E741*$J741*$K741)))</x:f>
        <x:v>1036.8503492773011</x:v>
      </x:c>
      <x:c r="H741" s="11" t="n">
        <x:f>IF($A741="","",$G741*$F741+$C741*(1-$F741))</x:f>
        <x:v>1045.3976222470553</x:v>
      </x:c>
      <x:c r="I741" s="11" t="n">
        <x:f>IF($A741="","",AVERAGE($H741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1048.9501251103504</x:v>
      </x:c>
      <x:c r="J741" s="12" t="n">
        <x:f>IF($A741="","",1+SUMIFS(Assumptions!$S$5:$S$10,Assumptions!$P$5:$P$10,$B741,Assumptions!$Q$5:$Q$10,"&lt;="&amp;$A741,Assumptions!$R$5:$R$10,"&gt;="&amp;$A741))</x:f>
        <x:v>1</x:v>
      </x:c>
      <x:c r="K741" s="12" t="n">
        <x:f>IF($A741="","",1+((($A741-Assumptions!$B$5)/30)*INDEX(Assumptions!$J$5:$J$12,MATCH($B741,Assumptions!$D$5:$D$12,0))))</x:f>
        <x:v>1.01225</x:v>
      </x:c>
      <x:c r="L741" t="str">
        <x:f>IF($A741="","",IFERROR(INDEX(Assumptions!$O$5:$O$10,MATCH(1,(Assumptions!$P$5:$P$10=$B741)*(Assumptions!$Q$5:$Q$10&lt;=$A741)*(Assumptions!$R$5:$R$10&gt;=$A741),0)),""))</x:f>
      </x:c>
      <x:c r="M741" t="n">
        <x:f>--($A741&lt;&gt;"")</x:f>
        <x:v>1</x:v>
      </x:c>
    </x:row>
    <x:row r="742">
      <x:c r="A742" s="10" t="n">
        <x:f>IF(Assumptions!$B$5+INT((ROW()-2)/Assumptions!$B$7)&gt;Assumptions!$B$6,"",Assumptions!$B$5+INT((ROW()-2)/Assumptions!$B$7))</x:f>
        <x:v>46171</x:v>
      </x:c>
      <x:c r="B742" t="str">
        <x:f>IF($A742="","",INDEX(Assumptions!$D$5:$D$12,MOD(ROW()-2,Assumptions!$B$7)+1))</x:f>
        <x:v>Acheron Prime</x:v>
      </x:c>
      <x:c r="C742" s="11" t="n">
        <x:f>IF($A742="","",INDEX(Assumptions!$F$5:$F$12,MATCH($B742,Assumptions!$D$5:$D$12,0)))</x:f>
        <x:v>1120</x:v>
      </x:c>
      <x:c r="D742" s="11" t="n">
        <x:f>IF($A742="","",INDEX(Assumptions!$G$5:$G$12,MATCH($B742,Assumptions!$D$5:$D$12,0)))</x:f>
        <x:v>115</x:v>
      </x:c>
      <x:c r="E742" s="11" t="n">
        <x:f>IF($A742="","",INDEX(Assumptions!$M$5:$M$11,WEEKDAY($A742,2)))</x:f>
        <x:v>0.98</x:v>
      </x:c>
      <x:c r="F742" s="11" t="n">
        <x:f>IF($A742="","",Assumptions!$B$15)</x:f>
        <x:v>0.35</x:v>
      </x:c>
      <x:c r="G742" s="11" t="n">
        <x:f>IF($A742="","",MAX(INDEX(Assumptions!$H$5:$H$12,MATCH($B742,Assumptions!$D$5:$D$12,0)),MIN(INDEX(Assumptions!$I$5:$I$12,MATCH($B742,Assumptions!$D$5:$D$12,0)),($C742+$D742*SQRT(-2*LN(RAND()))*COS(2*PI()*RAND()))*$E742*$J742*$K742)))</x:f>
        <x:v>921.9476127981712</x:v>
      </x:c>
      <x:c r="H742" s="11" t="n">
        <x:f>IF($A742="","",$G742*$F742+$C742*(1-$F742))</x:f>
        <x:v>1050.6816644793598</x:v>
      </x:c>
      <x:c r="I742" s="11" t="n">
        <x:f>IF($A742="","",AVERAGE($H742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1108.0686362344697</x:v>
      </x:c>
      <x:c r="J742" s="12" t="n">
        <x:f>IF($A742="","",1+SUMIFS(Assumptions!$S$5:$S$10,Assumptions!$P$5:$P$10,$B742,Assumptions!$Q$5:$Q$10,"&lt;="&amp;$A742,Assumptions!$R$5:$R$10,"&gt;="&amp;$A742))</x:f>
        <x:v>1</x:v>
      </x:c>
      <x:c r="K742" s="12" t="n">
        <x:f>IF($A742="","",1+((($A742-Assumptions!$B$5)/30)*INDEX(Assumptions!$J$5:$J$12,MATCH($B742,Assumptions!$D$5:$D$12,0))))</x:f>
        <x:v>1.0098666666666667</x:v>
      </x:c>
      <x:c r="L742" t="str">
        <x:f>IF($A742="","",IFERROR(INDEX(Assumptions!$O$5:$O$10,MATCH(1,(Assumptions!$P$5:$P$10=$B742)*(Assumptions!$Q$5:$Q$10&lt;=$A742)*(Assumptions!$R$5:$R$10&gt;=$A742),0)),""))</x:f>
      </x:c>
      <x:c r="M742" t="n">
        <x:f>--($A742&lt;&gt;"")</x:f>
        <x:v>1</x:v>
      </x:c>
    </x:row>
    <x:row r="743">
      <x:c r="A743" s="10" t="n">
        <x:f>IF(Assumptions!$B$5+INT((ROW()-2)/Assumptions!$B$7)&gt;Assumptions!$B$6,"",Assumptions!$B$5+INT((ROW()-2)/Assumptions!$B$7))</x:f>
        <x:v>46171</x:v>
      </x:c>
      <x:c r="B743" t="str">
        <x:f>IF($A743="","",INDEX(Assumptions!$D$5:$D$12,MOD(ROW()-2,Assumptions!$B$7)+1))</x:f>
        <x:v>LV-426 North</x:v>
      </x:c>
      <x:c r="C743" s="11" t="n">
        <x:f>IF($A743="","",INDEX(Assumptions!$F$5:$F$12,MATCH($B743,Assumptions!$D$5:$D$12,0)))</x:f>
        <x:v>930</x:v>
      </x:c>
      <x:c r="D743" s="11" t="n">
        <x:f>IF($A743="","",INDEX(Assumptions!$G$5:$G$12,MATCH($B743,Assumptions!$D$5:$D$12,0)))</x:f>
        <x:v>95</x:v>
      </x:c>
      <x:c r="E743" s="11" t="n">
        <x:f>IF($A743="","",INDEX(Assumptions!$M$5:$M$11,WEEKDAY($A743,2)))</x:f>
        <x:v>0.98</x:v>
      </x:c>
      <x:c r="F743" s="11" t="n">
        <x:f>IF($A743="","",Assumptions!$B$15)</x:f>
        <x:v>0.35</x:v>
      </x:c>
      <x:c r="G743" s="11" t="n">
        <x:f>IF($A743="","",MAX(INDEX(Assumptions!$H$5:$H$12,MATCH($B743,Assumptions!$D$5:$D$12,0)),MIN(INDEX(Assumptions!$I$5:$I$12,MATCH($B743,Assumptions!$D$5:$D$12,0)),($C743+$D743*SQRT(-2*LN(RAND()))*COS(2*PI()*RAND()))*$E743*$J743*$K743)))</x:f>
        <x:v>896.7010341506377</x:v>
      </x:c>
      <x:c r="H743" s="11" t="n">
        <x:f>IF($A743="","",$G743*$F743+$C743*(1-$F743))</x:f>
        <x:v>918.3453619527231</x:v>
      </x:c>
      <x:c r="I743" s="11" t="n">
        <x:f>IF($A743="","",AVERAGE($H743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917.2913599135827</x:v>
      </x:c>
      <x:c r="J743" s="12" t="n">
        <x:f>IF($A743="","",1+SUMIFS(Assumptions!$S$5:$S$10,Assumptions!$P$5:$P$10,$B743,Assumptions!$Q$5:$Q$10,"&lt;="&amp;$A743,Assumptions!$R$5:$R$10,"&gt;="&amp;$A743))</x:f>
        <x:v>1</x:v>
      </x:c>
      <x:c r="K743" s="12" t="n">
        <x:f>IF($A743="","",1+((($A743-Assumptions!$B$5)/30)*INDEX(Assumptions!$J$5:$J$12,MATCH($B743,Assumptions!$D$5:$D$12,0))))</x:f>
        <x:v>0.9950666666666667</x:v>
      </x:c>
      <x:c r="L743" t="str">
        <x:f>IF($A743="","",IFERROR(INDEX(Assumptions!$O$5:$O$10,MATCH(1,(Assumptions!$P$5:$P$10=$B743)*(Assumptions!$Q$5:$Q$10&lt;=$A743)*(Assumptions!$R$5:$R$10&gt;=$A743),0)),""))</x:f>
      </x:c>
      <x:c r="M743" t="n">
        <x:f>--($A743&lt;&gt;"")</x:f>
        <x:v>1</x:v>
      </x:c>
    </x:row>
    <x:row r="744">
      <x:c r="A744" s="10" t="n">
        <x:f>IF(Assumptions!$B$5+INT((ROW()-2)/Assumptions!$B$7)&gt;Assumptions!$B$6,"",Assumptions!$B$5+INT((ROW()-2)/Assumptions!$B$7))</x:f>
        <x:v>46171</x:v>
      </x:c>
      <x:c r="B744" t="str">
        <x:f>IF($A744="","",INDEX(Assumptions!$D$5:$D$12,MOD(ROW()-2,Assumptions!$B$7)+1))</x:f>
        <x:v>Nostromo Deep</x:v>
      </x:c>
      <x:c r="C744" s="11" t="n">
        <x:f>IF($A744="","",INDEX(Assumptions!$F$5:$F$12,MATCH($B744,Assumptions!$D$5:$D$12,0)))</x:f>
        <x:v>1260</x:v>
      </x:c>
      <x:c r="D744" s="11" t="n">
        <x:f>IF($A744="","",INDEX(Assumptions!$G$5:$G$12,MATCH($B744,Assumptions!$D$5:$D$12,0)))</x:f>
        <x:v>145</x:v>
      </x:c>
      <x:c r="E744" s="11" t="n">
        <x:f>IF($A744="","",INDEX(Assumptions!$M$5:$M$11,WEEKDAY($A744,2)))</x:f>
        <x:v>0.98</x:v>
      </x:c>
      <x:c r="F744" s="11" t="n">
        <x:f>IF($A744="","",Assumptions!$B$15)</x:f>
        <x:v>0.35</x:v>
      </x:c>
      <x:c r="G744" s="11" t="n">
        <x:f>IF($A744="","",MAX(INDEX(Assumptions!$H$5:$H$12,MATCH($B744,Assumptions!$D$5:$D$12,0)),MIN(INDEX(Assumptions!$I$5:$I$12,MATCH($B744,Assumptions!$D$5:$D$12,0)),($C744+$D744*SQRT(-2*LN(RAND()))*COS(2*PI()*RAND()))*$E744*$J744*$K744)))</x:f>
        <x:v>1376.7175417538795</x:v>
      </x:c>
      <x:c r="H744" s="11" t="n">
        <x:f>IF($A744="","",$G744*$F744+$C744*(1-$F744))</x:f>
        <x:v>1300.8511396138579</x:v>
      </x:c>
      <x:c r="I744" s="11" t="n">
        <x:f>IF($A744="","",AVERAGE($H744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1247.8354277202686</x:v>
      </x:c>
      <x:c r="J744" s="12" t="n">
        <x:f>IF($A744="","",1+SUMIFS(Assumptions!$S$5:$S$10,Assumptions!$P$5:$P$10,$B744,Assumptions!$Q$5:$Q$10,"&lt;="&amp;$A744,Assumptions!$R$5:$R$10,"&gt;="&amp;$A744))</x:f>
        <x:v>1</x:v>
      </x:c>
      <x:c r="K744" s="12" t="n">
        <x:f>IF($A744="","",1+((($A744-Assumptions!$B$5)/30)*INDEX(Assumptions!$J$5:$J$12,MATCH($B744,Assumptions!$D$5:$D$12,0))))</x:f>
        <x:v>1.0148</x:v>
      </x:c>
      <x:c r="L744" t="str">
        <x:f>IF($A744="","",IFERROR(INDEX(Assumptions!$O$5:$O$10,MATCH(1,(Assumptions!$P$5:$P$10=$B744)*(Assumptions!$Q$5:$Q$10&lt;=$A744)*(Assumptions!$R$5:$R$10&gt;=$A744),0)),""))</x:f>
      </x:c>
      <x:c r="M744" t="n">
        <x:f>--($A744&lt;&gt;"")</x:f>
        <x:v>1</x:v>
      </x:c>
    </x:row>
    <x:row r="745">
      <x:c r="A745" s="10" t="n">
        <x:f>IF(Assumptions!$B$5+INT((ROW()-2)/Assumptions!$B$7)&gt;Assumptions!$B$6,"",Assumptions!$B$5+INT((ROW()-2)/Assumptions!$B$7))</x:f>
        <x:v>46171</x:v>
      </x:c>
      <x:c r="B745" t="str">
        <x:f>IF($A745="","",INDEX(Assumptions!$D$5:$D$12,MOD(ROW()-2,Assumptions!$B$7)+1))</x:f>
        <x:v>Hadley's Hope</x:v>
      </x:c>
      <x:c r="C745" s="11" t="n">
        <x:f>IF($A745="","",INDEX(Assumptions!$F$5:$F$12,MATCH($B745,Assumptions!$D$5:$D$12,0)))</x:f>
        <x:v>845</x:v>
      </x:c>
      <x:c r="D745" s="11" t="n">
        <x:f>IF($A745="","",INDEX(Assumptions!$G$5:$G$12,MATCH($B745,Assumptions!$D$5:$D$12,0)))</x:f>
        <x:v>80</x:v>
      </x:c>
      <x:c r="E745" s="11" t="n">
        <x:f>IF($A745="","",INDEX(Assumptions!$M$5:$M$11,WEEKDAY($A745,2)))</x:f>
        <x:v>0.98</x:v>
      </x:c>
      <x:c r="F745" s="11" t="n">
        <x:f>IF($A745="","",Assumptions!$B$15)</x:f>
        <x:v>0.35</x:v>
      </x:c>
      <x:c r="G745" s="11" t="n">
        <x:f>IF($A745="","",MAX(INDEX(Assumptions!$H$5:$H$12,MATCH($B745,Assumptions!$D$5:$D$12,0)),MIN(INDEX(Assumptions!$I$5:$I$12,MATCH($B745,Assumptions!$D$5:$D$12,0)),($C745+$D745*SQRT(-2*LN(RAND()))*COS(2*PI()*RAND()))*$E745*$J745*$K745)))</x:f>
        <x:v>822.8631169882374</x:v>
      </x:c>
      <x:c r="H745" s="11" t="n">
        <x:f>IF($A745="","",$G745*$F745+$C745*(1-$F745))</x:f>
        <x:v>837.2520909458831</x:v>
      </x:c>
      <x:c r="I745" s="11" t="n">
        <x:f>IF($A745="","",AVERAGE($H745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835.7053124881587</x:v>
      </x:c>
      <x:c r="J745" s="12" t="n">
        <x:f>IF($A745="","",1+SUMIFS(Assumptions!$S$5:$S$10,Assumptions!$P$5:$P$10,$B745,Assumptions!$Q$5:$Q$10,"&lt;="&amp;$A745,Assumptions!$R$5:$R$10,"&gt;="&amp;$A745))</x:f>
        <x:v>1</x:v>
      </x:c>
      <x:c r="K745" s="12" t="n">
        <x:f>IF($A745="","",1+((($A745-Assumptions!$B$5)/30)*INDEX(Assumptions!$J$5:$J$12,MATCH($B745,Assumptions!$D$5:$D$12,0))))</x:f>
        <x:v>1.0049333333333332</x:v>
      </x:c>
      <x:c r="L745" t="str">
        <x:f>IF($A745="","",IFERROR(INDEX(Assumptions!$O$5:$O$10,MATCH(1,(Assumptions!$P$5:$P$10=$B745)*(Assumptions!$Q$5:$Q$10&lt;=$A745)*(Assumptions!$R$5:$R$10&gt;=$A745),0)),""))</x:f>
      </x:c>
      <x:c r="M745" t="n">
        <x:f>--($A745&lt;&gt;"")</x:f>
        <x:v>1</x:v>
      </x:c>
    </x:row>
    <x:row r="746">
      <x:c r="A746" s="10" t="n">
        <x:f>IF(Assumptions!$B$5+INT((ROW()-2)/Assumptions!$B$7)&gt;Assumptions!$B$6,"",Assumptions!$B$5+INT((ROW()-2)/Assumptions!$B$7))</x:f>
        <x:v>46171</x:v>
      </x:c>
      <x:c r="B746" t="str">
        <x:f>IF($A746="","",INDEX(Assumptions!$D$5:$D$12,MOD(ROW()-2,Assumptions!$B$7)+1))</x:f>
        <x:v>Yutani Ridge</x:v>
      </x:c>
      <x:c r="C746" s="11" t="n">
        <x:f>IF($A746="","",INDEX(Assumptions!$F$5:$F$12,MATCH($B746,Assumptions!$D$5:$D$12,0)))</x:f>
        <x:v>1050</x:v>
      </x:c>
      <x:c r="D746" s="11" t="n">
        <x:f>IF($A746="","",INDEX(Assumptions!$G$5:$G$12,MATCH($B746,Assumptions!$D$5:$D$12,0)))</x:f>
        <x:v>125</x:v>
      </x:c>
      <x:c r="E746" s="11" t="n">
        <x:f>IF($A746="","",INDEX(Assumptions!$M$5:$M$11,WEEKDAY($A746,2)))</x:f>
        <x:v>0.98</x:v>
      </x:c>
      <x:c r="F746" s="11" t="n">
        <x:f>IF($A746="","",Assumptions!$B$15)</x:f>
        <x:v>0.35</x:v>
      </x:c>
      <x:c r="G746" s="11" t="n">
        <x:f>IF($A746="","",MAX(INDEX(Assumptions!$H$5:$H$12,MATCH($B746,Assumptions!$D$5:$D$12,0)),MIN(INDEX(Assumptions!$I$5:$I$12,MATCH($B746,Assumptions!$D$5:$D$12,0)),($C746+$D746*SQRT(-2*LN(RAND()))*COS(2*PI()*RAND()))*$E746*$J746*$K746)))</x:f>
        <x:v>1172.4536843938995</x:v>
      </x:c>
      <x:c r="H746" s="11" t="n">
        <x:f>IF($A746="","",$G746*$F746+$C746*(1-$F746))</x:f>
        <x:v>1092.8587895378648</x:v>
      </x:c>
      <x:c r="I746" s="11" t="n">
        <x:f>IF($A746="","",AVERAGE($H746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1055.3762249696106</x:v>
      </x:c>
      <x:c r="J746" s="12" t="n">
        <x:f>IF($A746="","",1+SUMIFS(Assumptions!$S$5:$S$10,Assumptions!$P$5:$P$10,$B746,Assumptions!$Q$5:$Q$10,"&lt;="&amp;$A746,Assumptions!$R$5:$R$10,"&gt;="&amp;$A746))</x:f>
        <x:v>1</x:v>
      </x:c>
      <x:c r="K746" s="12" t="n">
        <x:f>IF($A746="","",1+((($A746-Assumptions!$B$5)/30)*INDEX(Assumptions!$J$5:$J$12,MATCH($B746,Assumptions!$D$5:$D$12,0))))</x:f>
        <x:v>1.0123333333333333</x:v>
      </x:c>
      <x:c r="L746" t="str">
        <x:f>IF($A746="","",IFERROR(INDEX(Assumptions!$O$5:$O$10,MATCH(1,(Assumptions!$P$5:$P$10=$B746)*(Assumptions!$Q$5:$Q$10&lt;=$A746)*(Assumptions!$R$5:$R$10&gt;=$A746),0)),""))</x:f>
      </x:c>
      <x:c r="M746" t="n">
        <x:f>--($A746&lt;&gt;"")</x:f>
        <x:v>1</x:v>
      </x:c>
    </x:row>
    <x:row r="747">
      <x:c r="A747" s="10" t="n">
        <x:f>IF(Assumptions!$B$5+INT((ROW()-2)/Assumptions!$B$7)&gt;Assumptions!$B$6,"",Assumptions!$B$5+INT((ROW()-2)/Assumptions!$B$7))</x:f>
        <x:v>46172</x:v>
      </x:c>
      <x:c r="B747" t="str">
        <x:f>IF($A747="","",INDEX(Assumptions!$D$5:$D$12,MOD(ROW()-2,Assumptions!$B$7)+1))</x:f>
        <x:v>Acheron Prime</x:v>
      </x:c>
      <x:c r="C747" s="11" t="n">
        <x:f>IF($A747="","",INDEX(Assumptions!$F$5:$F$12,MATCH($B747,Assumptions!$D$5:$D$12,0)))</x:f>
        <x:v>1120</x:v>
      </x:c>
      <x:c r="D747" s="11" t="n">
        <x:f>IF($A747="","",INDEX(Assumptions!$G$5:$G$12,MATCH($B747,Assumptions!$D$5:$D$12,0)))</x:f>
        <x:v>115</x:v>
      </x:c>
      <x:c r="E747" s="11" t="n">
        <x:f>IF($A747="","",INDEX(Assumptions!$M$5:$M$11,WEEKDAY($A747,2)))</x:f>
        <x:v>0.91</x:v>
      </x:c>
      <x:c r="F747" s="11" t="n">
        <x:f>IF($A747="","",Assumptions!$B$15)</x:f>
        <x:v>0.35</x:v>
      </x:c>
      <x:c r="G747" s="11" t="n">
        <x:f>IF($A747="","",MAX(INDEX(Assumptions!$H$5:$H$12,MATCH($B747,Assumptions!$D$5:$D$12,0)),MIN(INDEX(Assumptions!$I$5:$I$12,MATCH($B747,Assumptions!$D$5:$D$12,0)),($C747+$D747*SQRT(-2*LN(RAND()))*COS(2*PI()*RAND()))*$E747*$J747*$K747)))</x:f>
        <x:v>967.651639487439</x:v>
      </x:c>
      <x:c r="H747" s="11" t="n">
        <x:f>IF($A747="","",$G747*$F747+$C747*(1-$F747))</x:f>
        <x:v>1066.6780738206037</x:v>
      </x:c>
      <x:c r="I747" s="11" t="n">
        <x:f>IF($A747="","",AVERAGE($H747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1109.6308613132671</x:v>
      </x:c>
      <x:c r="J747" s="12" t="n">
        <x:f>IF($A747="","",1+SUMIFS(Assumptions!$S$5:$S$10,Assumptions!$P$5:$P$10,$B747,Assumptions!$Q$5:$Q$10,"&lt;="&amp;$A747,Assumptions!$R$5:$R$10,"&gt;="&amp;$A747))</x:f>
        <x:v>1</x:v>
      </x:c>
      <x:c r="K747" s="12" t="n">
        <x:f>IF($A747="","",1+((($A747-Assumptions!$B$5)/30)*INDEX(Assumptions!$J$5:$J$12,MATCH($B747,Assumptions!$D$5:$D$12,0))))</x:f>
        <x:v>1.0099333333333333</x:v>
      </x:c>
      <x:c r="L747" t="str">
        <x:f>IF($A747="","",IFERROR(INDEX(Assumptions!$O$5:$O$10,MATCH(1,(Assumptions!$P$5:$P$10=$B747)*(Assumptions!$Q$5:$Q$10&lt;=$A747)*(Assumptions!$R$5:$R$10&gt;=$A747),0)),""))</x:f>
      </x:c>
      <x:c r="M747" t="n">
        <x:f>--($A747&lt;&gt;"")</x:f>
        <x:v>1</x:v>
      </x:c>
    </x:row>
    <x:row r="748">
      <x:c r="A748" s="10" t="n">
        <x:f>IF(Assumptions!$B$5+INT((ROW()-2)/Assumptions!$B$7)&gt;Assumptions!$B$6,"",Assumptions!$B$5+INT((ROW()-2)/Assumptions!$B$7))</x:f>
        <x:v>46172</x:v>
      </x:c>
      <x:c r="B748" t="str">
        <x:f>IF($A748="","",INDEX(Assumptions!$D$5:$D$12,MOD(ROW()-2,Assumptions!$B$7)+1))</x:f>
        <x:v>LV-426 North</x:v>
      </x:c>
      <x:c r="C748" s="11" t="n">
        <x:f>IF($A748="","",INDEX(Assumptions!$F$5:$F$12,MATCH($B748,Assumptions!$D$5:$D$12,0)))</x:f>
        <x:v>930</x:v>
      </x:c>
      <x:c r="D748" s="11" t="n">
        <x:f>IF($A748="","",INDEX(Assumptions!$G$5:$G$12,MATCH($B748,Assumptions!$D$5:$D$12,0)))</x:f>
        <x:v>95</x:v>
      </x:c>
      <x:c r="E748" s="11" t="n">
        <x:f>IF($A748="","",INDEX(Assumptions!$M$5:$M$11,WEEKDAY($A748,2)))</x:f>
        <x:v>0.91</x:v>
      </x:c>
      <x:c r="F748" s="11" t="n">
        <x:f>IF($A748="","",Assumptions!$B$15)</x:f>
        <x:v>0.35</x:v>
      </x:c>
      <x:c r="G748" s="11" t="n">
        <x:f>IF($A748="","",MAX(INDEX(Assumptions!$H$5:$H$12,MATCH($B748,Assumptions!$D$5:$D$12,0)),MIN(INDEX(Assumptions!$I$5:$I$12,MATCH($B748,Assumptions!$D$5:$D$12,0)),($C748+$D748*SQRT(-2*LN(RAND()))*COS(2*PI()*RAND()))*$E748*$J748*$K748)))</x:f>
        <x:v>839.3471898096275</x:v>
      </x:c>
      <x:c r="H748" s="11" t="n">
        <x:f>IF($A748="","",$G748*$F748+$C748*(1-$F748))</x:f>
        <x:v>898.2715164333696</x:v>
      </x:c>
      <x:c r="I748" s="11" t="n">
        <x:f>IF($A748="","",AVERAGE($H748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923.392180507236</x:v>
      </x:c>
      <x:c r="J748" s="12" t="n">
        <x:f>IF($A748="","",1+SUMIFS(Assumptions!$S$5:$S$10,Assumptions!$P$5:$P$10,$B748,Assumptions!$Q$5:$Q$10,"&lt;="&amp;$A748,Assumptions!$R$5:$R$10,"&gt;="&amp;$A748))</x:f>
        <x:v>1</x:v>
      </x:c>
      <x:c r="K748" s="12" t="n">
        <x:f>IF($A748="","",1+((($A748-Assumptions!$B$5)/30)*INDEX(Assumptions!$J$5:$J$12,MATCH($B748,Assumptions!$D$5:$D$12,0))))</x:f>
        <x:v>0.9950333333333333</x:v>
      </x:c>
      <x:c r="L748" t="str">
        <x:f>IF($A748="","",IFERROR(INDEX(Assumptions!$O$5:$O$10,MATCH(1,(Assumptions!$P$5:$P$10=$B748)*(Assumptions!$Q$5:$Q$10&lt;=$A748)*(Assumptions!$R$5:$R$10&gt;=$A748),0)),""))</x:f>
      </x:c>
      <x:c r="M748" t="n">
        <x:f>--($A748&lt;&gt;"")</x:f>
        <x:v>1</x:v>
      </x:c>
    </x:row>
    <x:row r="749">
      <x:c r="A749" s="10" t="n">
        <x:f>IF(Assumptions!$B$5+INT((ROW()-2)/Assumptions!$B$7)&gt;Assumptions!$B$6,"",Assumptions!$B$5+INT((ROW()-2)/Assumptions!$B$7))</x:f>
        <x:v>46172</x:v>
      </x:c>
      <x:c r="B749" t="str">
        <x:f>IF($A749="","",INDEX(Assumptions!$D$5:$D$12,MOD(ROW()-2,Assumptions!$B$7)+1))</x:f>
        <x:v>Nostromo Deep</x:v>
      </x:c>
      <x:c r="C749" s="11" t="n">
        <x:f>IF($A749="","",INDEX(Assumptions!$F$5:$F$12,MATCH($B749,Assumptions!$D$5:$D$12,0)))</x:f>
        <x:v>1260</x:v>
      </x:c>
      <x:c r="D749" s="11" t="n">
        <x:f>IF($A749="","",INDEX(Assumptions!$G$5:$G$12,MATCH($B749,Assumptions!$D$5:$D$12,0)))</x:f>
        <x:v>145</x:v>
      </x:c>
      <x:c r="E749" s="11" t="n">
        <x:f>IF($A749="","",INDEX(Assumptions!$M$5:$M$11,WEEKDAY($A749,2)))</x:f>
        <x:v>0.91</x:v>
      </x:c>
      <x:c r="F749" s="11" t="n">
        <x:f>IF($A749="","",Assumptions!$B$15)</x:f>
        <x:v>0.35</x:v>
      </x:c>
      <x:c r="G749" s="11" t="n">
        <x:f>IF($A749="","",MAX(INDEX(Assumptions!$H$5:$H$12,MATCH($B749,Assumptions!$D$5:$D$12,0)),MIN(INDEX(Assumptions!$I$5:$I$12,MATCH($B749,Assumptions!$D$5:$D$12,0)),($C749+$D749*SQRT(-2*LN(RAND()))*COS(2*PI()*RAND()))*$E749*$J749*$K749)))</x:f>
        <x:v>1180.7191321369469</x:v>
      </x:c>
      <x:c r="H749" s="11" t="n">
        <x:f>IF($A749="","",$G749*$F749+$C749*(1-$F749))</x:f>
        <x:v>1232.2516962479312</x:v>
      </x:c>
      <x:c r="I749" s="11" t="n">
        <x:f>IF($A749="","",AVERAGE($H749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1240.1845157358907</x:v>
      </x:c>
      <x:c r="J749" s="12" t="n">
        <x:f>IF($A749="","",1+SUMIFS(Assumptions!$S$5:$S$10,Assumptions!$P$5:$P$10,$B749,Assumptions!$Q$5:$Q$10,"&lt;="&amp;$A749,Assumptions!$R$5:$R$10,"&gt;="&amp;$A749))</x:f>
        <x:v>1</x:v>
      </x:c>
      <x:c r="K749" s="12" t="n">
        <x:f>IF($A749="","",1+((($A749-Assumptions!$B$5)/30)*INDEX(Assumptions!$J$5:$J$12,MATCH($B749,Assumptions!$D$5:$D$12,0))))</x:f>
        <x:v>1.0149</x:v>
      </x:c>
      <x:c r="L749" t="str">
        <x:f>IF($A749="","",IFERROR(INDEX(Assumptions!$O$5:$O$10,MATCH(1,(Assumptions!$P$5:$P$10=$B749)*(Assumptions!$Q$5:$Q$10&lt;=$A749)*(Assumptions!$R$5:$R$10&gt;=$A749),0)),""))</x:f>
      </x:c>
      <x:c r="M749" t="n">
        <x:f>--($A749&lt;&gt;"")</x:f>
        <x:v>1</x:v>
      </x:c>
    </x:row>
    <x:row r="750">
      <x:c r="A750" s="10" t="n">
        <x:f>IF(Assumptions!$B$5+INT((ROW()-2)/Assumptions!$B$7)&gt;Assumptions!$B$6,"",Assumptions!$B$5+INT((ROW()-2)/Assumptions!$B$7))</x:f>
        <x:v>46172</x:v>
      </x:c>
      <x:c r="B750" t="str">
        <x:f>IF($A750="","",INDEX(Assumptions!$D$5:$D$12,MOD(ROW()-2,Assumptions!$B$7)+1))</x:f>
        <x:v>Hadley's Hope</x:v>
      </x:c>
      <x:c r="C750" s="11" t="n">
        <x:f>IF($A750="","",INDEX(Assumptions!$F$5:$F$12,MATCH($B750,Assumptions!$D$5:$D$12,0)))</x:f>
        <x:v>845</x:v>
      </x:c>
      <x:c r="D750" s="11" t="n">
        <x:f>IF($A750="","",INDEX(Assumptions!$G$5:$G$12,MATCH($B750,Assumptions!$D$5:$D$12,0)))</x:f>
        <x:v>80</x:v>
      </x:c>
      <x:c r="E750" s="11" t="n">
        <x:f>IF($A750="","",INDEX(Assumptions!$M$5:$M$11,WEEKDAY($A750,2)))</x:f>
        <x:v>0.91</x:v>
      </x:c>
      <x:c r="F750" s="11" t="n">
        <x:f>IF($A750="","",Assumptions!$B$15)</x:f>
        <x:v>0.35</x:v>
      </x:c>
      <x:c r="G750" s="11" t="n">
        <x:f>IF($A750="","",MAX(INDEX(Assumptions!$H$5:$H$12,MATCH($B750,Assumptions!$D$5:$D$12,0)),MIN(INDEX(Assumptions!$I$5:$I$12,MATCH($B750,Assumptions!$D$5:$D$12,0)),($C750+$D750*SQRT(-2*LN(RAND()))*COS(2*PI()*RAND()))*$E750*$J750*$K750)))</x:f>
        <x:v>677.6301680397331</x:v>
      </x:c>
      <x:c r="H750" s="11" t="n">
        <x:f>IF($A750="","",$G750*$F750+$C750*(1-$F750))</x:f>
        <x:v>786.4205588139066</x:v>
      </x:c>
      <x:c r="I750" s="11" t="n">
        <x:f>IF($A750="","",AVERAGE($H750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828.7852152450772</x:v>
      </x:c>
      <x:c r="J750" s="12" t="n">
        <x:f>IF($A750="","",1+SUMIFS(Assumptions!$S$5:$S$10,Assumptions!$P$5:$P$10,$B750,Assumptions!$Q$5:$Q$10,"&lt;="&amp;$A750,Assumptions!$R$5:$R$10,"&gt;="&amp;$A750))</x:f>
        <x:v>1</x:v>
      </x:c>
      <x:c r="K750" s="12" t="n">
        <x:f>IF($A750="","",1+((($A750-Assumptions!$B$5)/30)*INDEX(Assumptions!$J$5:$J$12,MATCH($B750,Assumptions!$D$5:$D$12,0))))</x:f>
        <x:v>1.0049666666666666</x:v>
      </x:c>
      <x:c r="L750" t="str">
        <x:f>IF($A750="","",IFERROR(INDEX(Assumptions!$O$5:$O$10,MATCH(1,(Assumptions!$P$5:$P$10=$B750)*(Assumptions!$Q$5:$Q$10&lt;=$A750)*(Assumptions!$R$5:$R$10&gt;=$A750),0)),""))</x:f>
      </x:c>
      <x:c r="M750" t="n">
        <x:f>--($A750&lt;&gt;"")</x:f>
        <x:v>1</x:v>
      </x:c>
    </x:row>
    <x:row r="751">
      <x:c r="A751" s="10" t="n">
        <x:f>IF(Assumptions!$B$5+INT((ROW()-2)/Assumptions!$B$7)&gt;Assumptions!$B$6,"",Assumptions!$B$5+INT((ROW()-2)/Assumptions!$B$7))</x:f>
        <x:v>46172</x:v>
      </x:c>
      <x:c r="B751" t="str">
        <x:f>IF($A751="","",INDEX(Assumptions!$D$5:$D$12,MOD(ROW()-2,Assumptions!$B$7)+1))</x:f>
        <x:v>Yutani Ridge</x:v>
      </x:c>
      <x:c r="C751" s="11" t="n">
        <x:f>IF($A751="","",INDEX(Assumptions!$F$5:$F$12,MATCH($B751,Assumptions!$D$5:$D$12,0)))</x:f>
        <x:v>1050</x:v>
      </x:c>
      <x:c r="D751" s="11" t="n">
        <x:f>IF($A751="","",INDEX(Assumptions!$G$5:$G$12,MATCH($B751,Assumptions!$D$5:$D$12,0)))</x:f>
        <x:v>125</x:v>
      </x:c>
      <x:c r="E751" s="11" t="n">
        <x:f>IF($A751="","",INDEX(Assumptions!$M$5:$M$11,WEEKDAY($A751,2)))</x:f>
        <x:v>0.91</x:v>
      </x:c>
      <x:c r="F751" s="11" t="n">
        <x:f>IF($A751="","",Assumptions!$B$15)</x:f>
        <x:v>0.35</x:v>
      </x:c>
      <x:c r="G751" s="11" t="n">
        <x:f>IF($A751="","",MAX(INDEX(Assumptions!$H$5:$H$12,MATCH($B751,Assumptions!$D$5:$D$12,0)),MIN(INDEX(Assumptions!$I$5:$I$12,MATCH($B751,Assumptions!$D$5:$D$12,0)),($C751+$D751*SQRT(-2*LN(RAND()))*COS(2*PI()*RAND()))*$E751*$J751*$K751)))</x:f>
        <x:v>979.1625666848404</x:v>
      </x:c>
      <x:c r="H751" s="11" t="n">
        <x:f>IF($A751="","",$G751*$F751+$C751*(1-$F751))</x:f>
        <x:v>1025.2068983396941</x:v>
      </x:c>
      <x:c r="I751" s="11" t="n">
        <x:f>IF($A751="","",AVERAGE($H751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1048.8422084440283</x:v>
      </x:c>
      <x:c r="J751" s="12" t="n">
        <x:f>IF($A751="","",1+SUMIFS(Assumptions!$S$5:$S$10,Assumptions!$P$5:$P$10,$B751,Assumptions!$Q$5:$Q$10,"&lt;="&amp;$A751,Assumptions!$R$5:$R$10,"&gt;="&amp;$A751))</x:f>
        <x:v>1</x:v>
      </x:c>
      <x:c r="K751" s="12" t="n">
        <x:f>IF($A751="","",1+((($A751-Assumptions!$B$5)/30)*INDEX(Assumptions!$J$5:$J$12,MATCH($B751,Assumptions!$D$5:$D$12,0))))</x:f>
        <x:v>1.0124166666666667</x:v>
      </x:c>
      <x:c r="L751" t="str">
        <x:f>IF($A751="","",IFERROR(INDEX(Assumptions!$O$5:$O$10,MATCH(1,(Assumptions!$P$5:$P$10=$B751)*(Assumptions!$Q$5:$Q$10&lt;=$A751)*(Assumptions!$R$5:$R$10&gt;=$A751),0)),""))</x:f>
      </x:c>
      <x:c r="M751" t="n">
        <x:f>--($A751&lt;&gt;"")</x:f>
        <x:v>1</x:v>
      </x:c>
    </x:row>
    <x:row r="752">
      <x:c r="A752" s="10" t="n">
        <x:f>IF(Assumptions!$B$5+INT((ROW()-2)/Assumptions!$B$7)&gt;Assumptions!$B$6,"",Assumptions!$B$5+INT((ROW()-2)/Assumptions!$B$7))</x:f>
        <x:v>46173</x:v>
      </x:c>
      <x:c r="B752" t="str">
        <x:f>IF($A752="","",INDEX(Assumptions!$D$5:$D$12,MOD(ROW()-2,Assumptions!$B$7)+1))</x:f>
        <x:v>Acheron Prime</x:v>
      </x:c>
      <x:c r="C752" s="11" t="n">
        <x:f>IF($A752="","",INDEX(Assumptions!$F$5:$F$12,MATCH($B752,Assumptions!$D$5:$D$12,0)))</x:f>
        <x:v>1120</x:v>
      </x:c>
      <x:c r="D752" s="11" t="n">
        <x:f>IF($A752="","",INDEX(Assumptions!$G$5:$G$12,MATCH($B752,Assumptions!$D$5:$D$12,0)))</x:f>
        <x:v>115</x:v>
      </x:c>
      <x:c r="E752" s="11" t="n">
        <x:f>IF($A752="","",INDEX(Assumptions!$M$5:$M$11,WEEKDAY($A752,2)))</x:f>
        <x:v>0.87</x:v>
      </x:c>
      <x:c r="F752" s="11" t="n">
        <x:f>IF($A752="","",Assumptions!$B$15)</x:f>
        <x:v>0.35</x:v>
      </x:c>
      <x:c r="G752" s="11" t="n">
        <x:f>IF($A752="","",MAX(INDEX(Assumptions!$H$5:$H$12,MATCH($B752,Assumptions!$D$5:$D$12,0)),MIN(INDEX(Assumptions!$I$5:$I$12,MATCH($B752,Assumptions!$D$5:$D$12,0)),($C752+$D752*SQRT(-2*LN(RAND()))*COS(2*PI()*RAND()))*$E752*$J752*$K752)))</x:f>
        <x:v>876.289622732502</x:v>
      </x:c>
      <x:c r="H752" s="11" t="n">
        <x:f>IF($A752="","",$G752*$F752+$C752*(1-$F752))</x:f>
        <x:v>1034.7013679563756</x:v>
      </x:c>
      <x:c r="I752" s="11" t="n">
        <x:f>IF($A752="","",AVERAGE($H752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1101.9284565061967</x:v>
      </x:c>
      <x:c r="J752" s="12" t="n">
        <x:f>IF($A752="","",1+SUMIFS(Assumptions!$S$5:$S$10,Assumptions!$P$5:$P$10,$B752,Assumptions!$Q$5:$Q$10,"&lt;="&amp;$A752,Assumptions!$R$5:$R$10,"&gt;="&amp;$A752))</x:f>
        <x:v>1</x:v>
      </x:c>
      <x:c r="K752" s="12" t="n">
        <x:f>IF($A752="","",1+((($A752-Assumptions!$B$5)/30)*INDEX(Assumptions!$J$5:$J$12,MATCH($B752,Assumptions!$D$5:$D$12,0))))</x:f>
        <x:v>1.01</x:v>
      </x:c>
      <x:c r="L752" t="str">
        <x:f>IF($A752="","",IFERROR(INDEX(Assumptions!$O$5:$O$10,MATCH(1,(Assumptions!$P$5:$P$10=$B752)*(Assumptions!$Q$5:$Q$10&lt;=$A752)*(Assumptions!$R$5:$R$10&gt;=$A752),0)),""))</x:f>
      </x:c>
      <x:c r="M752" t="n">
        <x:f>--($A752&lt;&gt;"")</x:f>
        <x:v>1</x:v>
      </x:c>
    </x:row>
    <x:row r="753">
      <x:c r="A753" s="10" t="n">
        <x:f>IF(Assumptions!$B$5+INT((ROW()-2)/Assumptions!$B$7)&gt;Assumptions!$B$6,"",Assumptions!$B$5+INT((ROW()-2)/Assumptions!$B$7))</x:f>
        <x:v>46173</x:v>
      </x:c>
      <x:c r="B753" t="str">
        <x:f>IF($A753="","",INDEX(Assumptions!$D$5:$D$12,MOD(ROW()-2,Assumptions!$B$7)+1))</x:f>
        <x:v>LV-426 North</x:v>
      </x:c>
      <x:c r="C753" s="11" t="n">
        <x:f>IF($A753="","",INDEX(Assumptions!$F$5:$F$12,MATCH($B753,Assumptions!$D$5:$D$12,0)))</x:f>
        <x:v>930</x:v>
      </x:c>
      <x:c r="D753" s="11" t="n">
        <x:f>IF($A753="","",INDEX(Assumptions!$G$5:$G$12,MATCH($B753,Assumptions!$D$5:$D$12,0)))</x:f>
        <x:v>95</x:v>
      </x:c>
      <x:c r="E753" s="11" t="n">
        <x:f>IF($A753="","",INDEX(Assumptions!$M$5:$M$11,WEEKDAY($A753,2)))</x:f>
        <x:v>0.87</x:v>
      </x:c>
      <x:c r="F753" s="11" t="n">
        <x:f>IF($A753="","",Assumptions!$B$15)</x:f>
        <x:v>0.35</x:v>
      </x:c>
      <x:c r="G753" s="11" t="n">
        <x:f>IF($A753="","",MAX(INDEX(Assumptions!$H$5:$H$12,MATCH($B753,Assumptions!$D$5:$D$12,0)),MIN(INDEX(Assumptions!$I$5:$I$12,MATCH($B753,Assumptions!$D$5:$D$12,0)),($C753+$D753*SQRT(-2*LN(RAND()))*COS(2*PI()*RAND()))*$E753*$J753*$K753)))</x:f>
        <x:v>754.872715568748</x:v>
      </x:c>
      <x:c r="H753" s="11" t="n">
        <x:f>IF($A753="","",$G753*$F753+$C753*(1-$F753))</x:f>
        <x:v>868.7054504490618</x:v>
      </x:c>
      <x:c r="I753" s="11" t="n">
        <x:f>IF($A753="","",AVERAGE($H753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923.3885322256111</x:v>
      </x:c>
      <x:c r="J753" s="12" t="n">
        <x:f>IF($A753="","",1+SUMIFS(Assumptions!$S$5:$S$10,Assumptions!$P$5:$P$10,$B753,Assumptions!$Q$5:$Q$10,"&lt;="&amp;$A753,Assumptions!$R$5:$R$10,"&gt;="&amp;$A753))</x:f>
        <x:v>1</x:v>
      </x:c>
      <x:c r="K753" s="12" t="n">
        <x:f>IF($A753="","",1+((($A753-Assumptions!$B$5)/30)*INDEX(Assumptions!$J$5:$J$12,MATCH($B753,Assumptions!$D$5:$D$12,0))))</x:f>
        <x:v>0.995</x:v>
      </x:c>
      <x:c r="L753" t="str">
        <x:f>IF($A753="","",IFERROR(INDEX(Assumptions!$O$5:$O$10,MATCH(1,(Assumptions!$P$5:$P$10=$B753)*(Assumptions!$Q$5:$Q$10&lt;=$A753)*(Assumptions!$R$5:$R$10&gt;=$A753),0)),""))</x:f>
      </x:c>
      <x:c r="M753" t="n">
        <x:f>--($A753&lt;&gt;"")</x:f>
        <x:v>1</x:v>
      </x:c>
    </x:row>
    <x:row r="754">
      <x:c r="A754" s="10" t="n">
        <x:f>IF(Assumptions!$B$5+INT((ROW()-2)/Assumptions!$B$7)&gt;Assumptions!$B$6,"",Assumptions!$B$5+INT((ROW()-2)/Assumptions!$B$7))</x:f>
        <x:v>46173</x:v>
      </x:c>
      <x:c r="B754" t="str">
        <x:f>IF($A754="","",INDEX(Assumptions!$D$5:$D$12,MOD(ROW()-2,Assumptions!$B$7)+1))</x:f>
        <x:v>Nostromo Deep</x:v>
      </x:c>
      <x:c r="C754" s="11" t="n">
        <x:f>IF($A754="","",INDEX(Assumptions!$F$5:$F$12,MATCH($B754,Assumptions!$D$5:$D$12,0)))</x:f>
        <x:v>1260</x:v>
      </x:c>
      <x:c r="D754" s="11" t="n">
        <x:f>IF($A754="","",INDEX(Assumptions!$G$5:$G$12,MATCH($B754,Assumptions!$D$5:$D$12,0)))</x:f>
        <x:v>145</x:v>
      </x:c>
      <x:c r="E754" s="11" t="n">
        <x:f>IF($A754="","",INDEX(Assumptions!$M$5:$M$11,WEEKDAY($A754,2)))</x:f>
        <x:v>0.87</x:v>
      </x:c>
      <x:c r="F754" s="11" t="n">
        <x:f>IF($A754="","",Assumptions!$B$15)</x:f>
        <x:v>0.35</x:v>
      </x:c>
      <x:c r="G754" s="11" t="n">
        <x:f>IF($A754="","",MAX(INDEX(Assumptions!$H$5:$H$12,MATCH($B754,Assumptions!$D$5:$D$12,0)),MIN(INDEX(Assumptions!$I$5:$I$12,MATCH($B754,Assumptions!$D$5:$D$12,0)),($C754+$D754*SQRT(-2*LN(RAND()))*COS(2*PI()*RAND()))*$E754*$J754*$K754)))</x:f>
        <x:v>1100.0917098495772</x:v>
      </x:c>
      <x:c r="H754" s="11" t="n">
        <x:f>IF($A754="","",$G754*$F754+$C754*(1-$F754))</x:f>
        <x:v>1204.032098447352</x:v>
      </x:c>
      <x:c r="I754" s="11" t="n">
        <x:f>IF($A754="","",AVERAGE($H754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1236.0789221586633</x:v>
      </x:c>
      <x:c r="J754" s="12" t="n">
        <x:f>IF($A754="","",1+SUMIFS(Assumptions!$S$5:$S$10,Assumptions!$P$5:$P$10,$B754,Assumptions!$Q$5:$Q$10,"&lt;="&amp;$A754,Assumptions!$R$5:$R$10,"&gt;="&amp;$A754))</x:f>
        <x:v>1</x:v>
      </x:c>
      <x:c r="K754" s="12" t="n">
        <x:f>IF($A754="","",1+((($A754-Assumptions!$B$5)/30)*INDEX(Assumptions!$J$5:$J$12,MATCH($B754,Assumptions!$D$5:$D$12,0))))</x:f>
        <x:v>1.015</x:v>
      </x:c>
      <x:c r="L754" t="str">
        <x:f>IF($A754="","",IFERROR(INDEX(Assumptions!$O$5:$O$10,MATCH(1,(Assumptions!$P$5:$P$10=$B754)*(Assumptions!$Q$5:$Q$10&lt;=$A754)*(Assumptions!$R$5:$R$10&gt;=$A754),0)),""))</x:f>
      </x:c>
      <x:c r="M754" t="n">
        <x:f>--($A754&lt;&gt;"")</x:f>
        <x:v>1</x:v>
      </x:c>
    </x:row>
    <x:row r="755">
      <x:c r="A755" s="10" t="n">
        <x:f>IF(Assumptions!$B$5+INT((ROW()-2)/Assumptions!$B$7)&gt;Assumptions!$B$6,"",Assumptions!$B$5+INT((ROW()-2)/Assumptions!$B$7))</x:f>
        <x:v>46173</x:v>
      </x:c>
      <x:c r="B755" t="str">
        <x:f>IF($A755="","",INDEX(Assumptions!$D$5:$D$12,MOD(ROW()-2,Assumptions!$B$7)+1))</x:f>
        <x:v>Hadley's Hope</x:v>
      </x:c>
      <x:c r="C755" s="11" t="n">
        <x:f>IF($A755="","",INDEX(Assumptions!$F$5:$F$12,MATCH($B755,Assumptions!$D$5:$D$12,0)))</x:f>
        <x:v>845</x:v>
      </x:c>
      <x:c r="D755" s="11" t="n">
        <x:f>IF($A755="","",INDEX(Assumptions!$G$5:$G$12,MATCH($B755,Assumptions!$D$5:$D$12,0)))</x:f>
        <x:v>80</x:v>
      </x:c>
      <x:c r="E755" s="11" t="n">
        <x:f>IF($A755="","",INDEX(Assumptions!$M$5:$M$11,WEEKDAY($A755,2)))</x:f>
        <x:v>0.87</x:v>
      </x:c>
      <x:c r="F755" s="11" t="n">
        <x:f>IF($A755="","",Assumptions!$B$15)</x:f>
        <x:v>0.35</x:v>
      </x:c>
      <x:c r="G755" s="11" t="n">
        <x:f>IF($A755="","",MAX(INDEX(Assumptions!$H$5:$H$12,MATCH($B755,Assumptions!$D$5:$D$12,0)),MIN(INDEX(Assumptions!$I$5:$I$12,MATCH($B755,Assumptions!$D$5:$D$12,0)),($C755+$D755*SQRT(-2*LN(RAND()))*COS(2*PI()*RAND()))*$E755*$J755*$K755)))</x:f>
        <x:v>853.4020593122758</x:v>
      </x:c>
      <x:c r="H755" s="11" t="n">
        <x:f>IF($A755="","",$G755*$F755+$C755*(1-$F755))</x:f>
        <x:v>847.9407207592965</x:v>
      </x:c>
      <x:c r="I755" s="11" t="n">
        <x:f>IF($A755="","",AVERAGE($H755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834.4598126251319</x:v>
      </x:c>
      <x:c r="J755" s="12" t="n">
        <x:f>IF($A755="","",1+SUMIFS(Assumptions!$S$5:$S$10,Assumptions!$P$5:$P$10,$B755,Assumptions!$Q$5:$Q$10,"&lt;="&amp;$A755,Assumptions!$R$5:$R$10,"&gt;="&amp;$A755))</x:f>
        <x:v>1</x:v>
      </x:c>
      <x:c r="K755" s="12" t="n">
        <x:f>IF($A755="","",1+((($A755-Assumptions!$B$5)/30)*INDEX(Assumptions!$J$5:$J$12,MATCH($B755,Assumptions!$D$5:$D$12,0))))</x:f>
        <x:v>1.005</x:v>
      </x:c>
      <x:c r="L755" t="str">
        <x:f>IF($A755="","",IFERROR(INDEX(Assumptions!$O$5:$O$10,MATCH(1,(Assumptions!$P$5:$P$10=$B755)*(Assumptions!$Q$5:$Q$10&lt;=$A755)*(Assumptions!$R$5:$R$10&gt;=$A755),0)),""))</x:f>
      </x:c>
      <x:c r="M755" t="n">
        <x:f>--($A755&lt;&gt;"")</x:f>
        <x:v>1</x:v>
      </x:c>
    </x:row>
    <x:row r="756">
      <x:c r="A756" s="10" t="n">
        <x:f>IF(Assumptions!$B$5+INT((ROW()-2)/Assumptions!$B$7)&gt;Assumptions!$B$6,"",Assumptions!$B$5+INT((ROW()-2)/Assumptions!$B$7))</x:f>
        <x:v>46173</x:v>
      </x:c>
      <x:c r="B756" t="str">
        <x:f>IF($A756="","",INDEX(Assumptions!$D$5:$D$12,MOD(ROW()-2,Assumptions!$B$7)+1))</x:f>
        <x:v>Yutani Ridge</x:v>
      </x:c>
      <x:c r="C756" s="11" t="n">
        <x:f>IF($A756="","",INDEX(Assumptions!$F$5:$F$12,MATCH($B756,Assumptions!$D$5:$D$12,0)))</x:f>
        <x:v>1050</x:v>
      </x:c>
      <x:c r="D756" s="11" t="n">
        <x:f>IF($A756="","",INDEX(Assumptions!$G$5:$G$12,MATCH($B756,Assumptions!$D$5:$D$12,0)))</x:f>
        <x:v>125</x:v>
      </x:c>
      <x:c r="E756" s="11" t="n">
        <x:f>IF($A756="","",INDEX(Assumptions!$M$5:$M$11,WEEKDAY($A756,2)))</x:f>
        <x:v>0.87</x:v>
      </x:c>
      <x:c r="F756" s="11" t="n">
        <x:f>IF($A756="","",Assumptions!$B$15)</x:f>
        <x:v>0.35</x:v>
      </x:c>
      <x:c r="G756" s="11" t="n">
        <x:f>IF($A756="","",MAX(INDEX(Assumptions!$H$5:$H$12,MATCH($B756,Assumptions!$D$5:$D$12,0)),MIN(INDEX(Assumptions!$I$5:$I$12,MATCH($B756,Assumptions!$D$5:$D$12,0)),($C756+$D756*SQRT(-2*LN(RAND()))*COS(2*PI()*RAND()))*$E756*$J756*$K756)))</x:f>
        <x:v>889.5974044129669</x:v>
      </x:c>
      <x:c r="H756" s="11" t="n">
        <x:f>IF($A756="","",$G756*$F756+$C756*(1-$F756))</x:f>
        <x:v>993.8590915445384</x:v>
      </x:c>
      <x:c r="I756" s="11" t="n">
        <x:f>IF($A756="","",AVERAGE($H756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1047.9978466676805</x:v>
      </x:c>
      <x:c r="J756" s="12" t="n">
        <x:f>IF($A756="","",1+SUMIFS(Assumptions!$S$5:$S$10,Assumptions!$P$5:$P$10,$B756,Assumptions!$Q$5:$Q$10,"&lt;="&amp;$A756,Assumptions!$R$5:$R$10,"&gt;="&amp;$A756))</x:f>
        <x:v>1</x:v>
      </x:c>
      <x:c r="K756" s="12" t="n">
        <x:f>IF($A756="","",1+((($A756-Assumptions!$B$5)/30)*INDEX(Assumptions!$J$5:$J$12,MATCH($B756,Assumptions!$D$5:$D$12,0))))</x:f>
        <x:v>1.0125</x:v>
      </x:c>
      <x:c r="L756" t="str">
        <x:f>IF($A756="","",IFERROR(INDEX(Assumptions!$O$5:$O$10,MATCH(1,(Assumptions!$P$5:$P$10=$B756)*(Assumptions!$Q$5:$Q$10&lt;=$A756)*(Assumptions!$R$5:$R$10&gt;=$A756),0)),""))</x:f>
      </x:c>
      <x:c r="M756" t="n">
        <x:f>--($A756&lt;&gt;"")</x:f>
        <x:v>1</x:v>
      </x:c>
    </x:row>
    <x:row r="757">
      <x:c r="A757" s="10" t="n">
        <x:f>IF(Assumptions!$B$5+INT((ROW()-2)/Assumptions!$B$7)&gt;Assumptions!$B$6,"",Assumptions!$B$5+INT((ROW()-2)/Assumptions!$B$7))</x:f>
        <x:v>46174</x:v>
      </x:c>
      <x:c r="B757" t="str">
        <x:f>IF($A757="","",INDEX(Assumptions!$D$5:$D$12,MOD(ROW()-2,Assumptions!$B$7)+1))</x:f>
        <x:v>Acheron Prime</x:v>
      </x:c>
      <x:c r="C757" s="11" t="n">
        <x:f>IF($A757="","",INDEX(Assumptions!$F$5:$F$12,MATCH($B757,Assumptions!$D$5:$D$12,0)))</x:f>
        <x:v>1120</x:v>
      </x:c>
      <x:c r="D757" s="11" t="n">
        <x:f>IF($A757="","",INDEX(Assumptions!$G$5:$G$12,MATCH($B757,Assumptions!$D$5:$D$12,0)))</x:f>
        <x:v>115</x:v>
      </x:c>
      <x:c r="E757" s="11" t="n">
        <x:f>IF($A757="","",INDEX(Assumptions!$M$5:$M$11,WEEKDAY($A757,2)))</x:f>
        <x:v>1.03</x:v>
      </x:c>
      <x:c r="F757" s="11" t="n">
        <x:f>IF($A757="","",Assumptions!$B$15)</x:f>
        <x:v>0.35</x:v>
      </x:c>
      <x:c r="G757" s="11" t="n">
        <x:f>IF($A757="","",MAX(INDEX(Assumptions!$H$5:$H$12,MATCH($B757,Assumptions!$D$5:$D$12,0)),MIN(INDEX(Assumptions!$I$5:$I$12,MATCH($B757,Assumptions!$D$5:$D$12,0)),($C757+$D757*SQRT(-2*LN(RAND()))*COS(2*PI()*RAND()))*$E757*$J757*$K757)))</x:f>
        <x:v>1151.6211814913586</x:v>
      </x:c>
      <x:c r="H757" s="11" t="n">
        <x:f>IF($A757="","",$G757*$F757+$C757*(1-$F757))</x:f>
        <x:v>1131.0674135219756</x:v>
      </x:c>
      <x:c r="I757" s="11" t="n">
        <x:f>IF($A757="","",AVERAGE($H757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1096.5198918404667</x:v>
      </x:c>
      <x:c r="J757" s="12" t="n">
        <x:f>IF($A757="","",1+SUMIFS(Assumptions!$S$5:$S$10,Assumptions!$P$5:$P$10,$B757,Assumptions!$Q$5:$Q$10,"&lt;="&amp;$A757,Assumptions!$R$5:$R$10,"&gt;="&amp;$A757))</x:f>
        <x:v>1</x:v>
      </x:c>
      <x:c r="K757" s="12" t="n">
        <x:f>IF($A757="","",1+((($A757-Assumptions!$B$5)/30)*INDEX(Assumptions!$J$5:$J$12,MATCH($B757,Assumptions!$D$5:$D$12,0))))</x:f>
        <x:v>1.0100666666666667</x:v>
      </x:c>
      <x:c r="L757" t="str">
        <x:f>IF($A757="","",IFERROR(INDEX(Assumptions!$O$5:$O$10,MATCH(1,(Assumptions!$P$5:$P$10=$B757)*(Assumptions!$Q$5:$Q$10&lt;=$A757)*(Assumptions!$R$5:$R$10&gt;=$A757),0)),""))</x:f>
      </x:c>
      <x:c r="M757" t="n">
        <x:f>--($A757&lt;&gt;"")</x:f>
        <x:v>1</x:v>
      </x:c>
    </x:row>
    <x:row r="758">
      <x:c r="A758" s="10" t="n">
        <x:f>IF(Assumptions!$B$5+INT((ROW()-2)/Assumptions!$B$7)&gt;Assumptions!$B$6,"",Assumptions!$B$5+INT((ROW()-2)/Assumptions!$B$7))</x:f>
        <x:v>46174</x:v>
      </x:c>
      <x:c r="B758" t="str">
        <x:f>IF($A758="","",INDEX(Assumptions!$D$5:$D$12,MOD(ROW()-2,Assumptions!$B$7)+1))</x:f>
        <x:v>LV-426 North</x:v>
      </x:c>
      <x:c r="C758" s="11" t="n">
        <x:f>IF($A758="","",INDEX(Assumptions!$F$5:$F$12,MATCH($B758,Assumptions!$D$5:$D$12,0)))</x:f>
        <x:v>930</x:v>
      </x:c>
      <x:c r="D758" s="11" t="n">
        <x:f>IF($A758="","",INDEX(Assumptions!$G$5:$G$12,MATCH($B758,Assumptions!$D$5:$D$12,0)))</x:f>
        <x:v>95</x:v>
      </x:c>
      <x:c r="E758" s="11" t="n">
        <x:f>IF($A758="","",INDEX(Assumptions!$M$5:$M$11,WEEKDAY($A758,2)))</x:f>
        <x:v>1.03</x:v>
      </x:c>
      <x:c r="F758" s="11" t="n">
        <x:f>IF($A758="","",Assumptions!$B$15)</x:f>
        <x:v>0.35</x:v>
      </x:c>
      <x:c r="G758" s="11" t="n">
        <x:f>IF($A758="","",MAX(INDEX(Assumptions!$H$5:$H$12,MATCH($B758,Assumptions!$D$5:$D$12,0)),MIN(INDEX(Assumptions!$I$5:$I$12,MATCH($B758,Assumptions!$D$5:$D$12,0)),($C758+$D758*SQRT(-2*LN(RAND()))*COS(2*PI()*RAND()))*$E758*$J758*$K758)))</x:f>
        <x:v>780.650375356755</x:v>
      </x:c>
      <x:c r="H758" s="11" t="n">
        <x:f>IF($A758="","",$G758*$F758+$C758*(1-$F758))</x:f>
        <x:v>877.7276313748642</x:v>
      </x:c>
      <x:c r="I758" s="11" t="n">
        <x:f>IF($A758="","",AVERAGE($H758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916.3054602986621</x:v>
      </x:c>
      <x:c r="J758" s="12" t="n">
        <x:f>IF($A758="","",1+SUMIFS(Assumptions!$S$5:$S$10,Assumptions!$P$5:$P$10,$B758,Assumptions!$Q$5:$Q$10,"&lt;="&amp;$A758,Assumptions!$R$5:$R$10,"&gt;="&amp;$A758))</x:f>
        <x:v>1</x:v>
      </x:c>
      <x:c r="K758" s="12" t="n">
        <x:f>IF($A758="","",1+((($A758-Assumptions!$B$5)/30)*INDEX(Assumptions!$J$5:$J$12,MATCH($B758,Assumptions!$D$5:$D$12,0))))</x:f>
        <x:v>0.9949666666666667</x:v>
      </x:c>
      <x:c r="L758" t="str">
        <x:f>IF($A758="","",IFERROR(INDEX(Assumptions!$O$5:$O$10,MATCH(1,(Assumptions!$P$5:$P$10=$B758)*(Assumptions!$Q$5:$Q$10&lt;=$A758)*(Assumptions!$R$5:$R$10&gt;=$A758),0)),""))</x:f>
      </x:c>
      <x:c r="M758" t="n">
        <x:f>--($A758&lt;&gt;"")</x:f>
        <x:v>1</x:v>
      </x:c>
    </x:row>
    <x:row r="759">
      <x:c r="A759" s="10" t="n">
        <x:f>IF(Assumptions!$B$5+INT((ROW()-2)/Assumptions!$B$7)&gt;Assumptions!$B$6,"",Assumptions!$B$5+INT((ROW()-2)/Assumptions!$B$7))</x:f>
        <x:v>46174</x:v>
      </x:c>
      <x:c r="B759" t="str">
        <x:f>IF($A759="","",INDEX(Assumptions!$D$5:$D$12,MOD(ROW()-2,Assumptions!$B$7)+1))</x:f>
        <x:v>Nostromo Deep</x:v>
      </x:c>
      <x:c r="C759" s="11" t="n">
        <x:f>IF($A759="","",INDEX(Assumptions!$F$5:$F$12,MATCH($B759,Assumptions!$D$5:$D$12,0)))</x:f>
        <x:v>1260</x:v>
      </x:c>
      <x:c r="D759" s="11" t="n">
        <x:f>IF($A759="","",INDEX(Assumptions!$G$5:$G$12,MATCH($B759,Assumptions!$D$5:$D$12,0)))</x:f>
        <x:v>145</x:v>
      </x:c>
      <x:c r="E759" s="11" t="n">
        <x:f>IF($A759="","",INDEX(Assumptions!$M$5:$M$11,WEEKDAY($A759,2)))</x:f>
        <x:v>1.03</x:v>
      </x:c>
      <x:c r="F759" s="11" t="n">
        <x:f>IF($A759="","",Assumptions!$B$15)</x:f>
        <x:v>0.35</x:v>
      </x:c>
      <x:c r="G759" s="11" t="n">
        <x:f>IF($A759="","",MAX(INDEX(Assumptions!$H$5:$H$12,MATCH($B759,Assumptions!$D$5:$D$12,0)),MIN(INDEX(Assumptions!$I$5:$I$12,MATCH($B759,Assumptions!$D$5:$D$12,0)),($C759+$D759*SQRT(-2*LN(RAND()))*COS(2*PI()*RAND()))*$E759*$J759*$K759)))</x:f>
        <x:v>1109.2306727061393</x:v>
      </x:c>
      <x:c r="H759" s="11" t="n">
        <x:f>IF($A759="","",$G759*$F759+$C759*(1-$F759))</x:f>
        <x:v>1207.2307354471486</x:v>
      </x:c>
      <x:c r="I759" s="11" t="n">
        <x:f>IF($A759="","",AVERAGE($H759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1229.6681987061545</x:v>
      </x:c>
      <x:c r="J759" s="12" t="n">
        <x:f>IF($A759="","",1+SUMIFS(Assumptions!$S$5:$S$10,Assumptions!$P$5:$P$10,$B759,Assumptions!$Q$5:$Q$10,"&lt;="&amp;$A759,Assumptions!$R$5:$R$10,"&gt;="&amp;$A759))</x:f>
        <x:v>1</x:v>
      </x:c>
      <x:c r="K759" s="12" t="n">
        <x:f>IF($A759="","",1+((($A759-Assumptions!$B$5)/30)*INDEX(Assumptions!$J$5:$J$12,MATCH($B759,Assumptions!$D$5:$D$12,0))))</x:f>
        <x:v>1.0151</x:v>
      </x:c>
      <x:c r="L759" t="str">
        <x:f>IF($A759="","",IFERROR(INDEX(Assumptions!$O$5:$O$10,MATCH(1,(Assumptions!$P$5:$P$10=$B759)*(Assumptions!$Q$5:$Q$10&lt;=$A759)*(Assumptions!$R$5:$R$10&gt;=$A759),0)),""))</x:f>
      </x:c>
      <x:c r="M759" t="n">
        <x:f>--($A759&lt;&gt;"")</x:f>
        <x:v>1</x:v>
      </x:c>
    </x:row>
    <x:row r="760">
      <x:c r="A760" s="10" t="n">
        <x:f>IF(Assumptions!$B$5+INT((ROW()-2)/Assumptions!$B$7)&gt;Assumptions!$B$6,"",Assumptions!$B$5+INT((ROW()-2)/Assumptions!$B$7))</x:f>
        <x:v>46174</x:v>
      </x:c>
      <x:c r="B760" t="str">
        <x:f>IF($A760="","",INDEX(Assumptions!$D$5:$D$12,MOD(ROW()-2,Assumptions!$B$7)+1))</x:f>
        <x:v>Hadley's Hope</x:v>
      </x:c>
      <x:c r="C760" s="11" t="n">
        <x:f>IF($A760="","",INDEX(Assumptions!$F$5:$F$12,MATCH($B760,Assumptions!$D$5:$D$12,0)))</x:f>
        <x:v>845</x:v>
      </x:c>
      <x:c r="D760" s="11" t="n">
        <x:f>IF($A760="","",INDEX(Assumptions!$G$5:$G$12,MATCH($B760,Assumptions!$D$5:$D$12,0)))</x:f>
        <x:v>80</x:v>
      </x:c>
      <x:c r="E760" s="11" t="n">
        <x:f>IF($A760="","",INDEX(Assumptions!$M$5:$M$11,WEEKDAY($A760,2)))</x:f>
        <x:v>1.03</x:v>
      </x:c>
      <x:c r="F760" s="11" t="n">
        <x:f>IF($A760="","",Assumptions!$B$15)</x:f>
        <x:v>0.35</x:v>
      </x:c>
      <x:c r="G760" s="11" t="n">
        <x:f>IF($A760="","",MAX(INDEX(Assumptions!$H$5:$H$12,MATCH($B760,Assumptions!$D$5:$D$12,0)),MIN(INDEX(Assumptions!$I$5:$I$12,MATCH($B760,Assumptions!$D$5:$D$12,0)),($C760+$D760*SQRT(-2*LN(RAND()))*COS(2*PI()*RAND()))*$E760*$J760*$K760)))</x:f>
        <x:v>865.8652545839178</x:v>
      </x:c>
      <x:c r="H760" s="11" t="n">
        <x:f>IF($A760="","",$G760*$F760+$C760*(1-$F760))</x:f>
        <x:v>852.3028391043713</x:v>
      </x:c>
      <x:c r="I760" s="11" t="n">
        <x:f>IF($A760="","",AVERAGE($H760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828.8600986786416</x:v>
      </x:c>
      <x:c r="J760" s="12" t="n">
        <x:f>IF($A760="","",1+SUMIFS(Assumptions!$S$5:$S$10,Assumptions!$P$5:$P$10,$B760,Assumptions!$Q$5:$Q$10,"&lt;="&amp;$A760,Assumptions!$R$5:$R$10,"&gt;="&amp;$A760))</x:f>
        <x:v>1</x:v>
      </x:c>
      <x:c r="K760" s="12" t="n">
        <x:f>IF($A760="","",1+((($A760-Assumptions!$B$5)/30)*INDEX(Assumptions!$J$5:$J$12,MATCH($B760,Assumptions!$D$5:$D$12,0))))</x:f>
        <x:v>1.0050333333333332</x:v>
      </x:c>
      <x:c r="L760" t="str">
        <x:f>IF($A760="","",IFERROR(INDEX(Assumptions!$O$5:$O$10,MATCH(1,(Assumptions!$P$5:$P$10=$B760)*(Assumptions!$Q$5:$Q$10&lt;=$A760)*(Assumptions!$R$5:$R$10&gt;=$A760),0)),""))</x:f>
      </x:c>
      <x:c r="M760" t="n">
        <x:f>--($A760&lt;&gt;"")</x:f>
        <x:v>1</x:v>
      </x:c>
    </x:row>
    <x:row r="761">
      <x:c r="A761" s="10" t="n">
        <x:f>IF(Assumptions!$B$5+INT((ROW()-2)/Assumptions!$B$7)&gt;Assumptions!$B$6,"",Assumptions!$B$5+INT((ROW()-2)/Assumptions!$B$7))</x:f>
        <x:v>46174</x:v>
      </x:c>
      <x:c r="B761" t="str">
        <x:f>IF($A761="","",INDEX(Assumptions!$D$5:$D$12,MOD(ROW()-2,Assumptions!$B$7)+1))</x:f>
        <x:v>Yutani Ridge</x:v>
      </x:c>
      <x:c r="C761" s="11" t="n">
        <x:f>IF($A761="","",INDEX(Assumptions!$F$5:$F$12,MATCH($B761,Assumptions!$D$5:$D$12,0)))</x:f>
        <x:v>1050</x:v>
      </x:c>
      <x:c r="D761" s="11" t="n">
        <x:f>IF($A761="","",INDEX(Assumptions!$G$5:$G$12,MATCH($B761,Assumptions!$D$5:$D$12,0)))</x:f>
        <x:v>125</x:v>
      </x:c>
      <x:c r="E761" s="11" t="n">
        <x:f>IF($A761="","",INDEX(Assumptions!$M$5:$M$11,WEEKDAY($A761,2)))</x:f>
        <x:v>1.03</x:v>
      </x:c>
      <x:c r="F761" s="11" t="n">
        <x:f>IF($A761="","",Assumptions!$B$15)</x:f>
        <x:v>0.35</x:v>
      </x:c>
      <x:c r="G761" s="11" t="n">
        <x:f>IF($A761="","",MAX(INDEX(Assumptions!$H$5:$H$12,MATCH($B761,Assumptions!$D$5:$D$12,0)),MIN(INDEX(Assumptions!$I$5:$I$12,MATCH($B761,Assumptions!$D$5:$D$12,0)),($C761+$D761*SQRT(-2*LN(RAND()))*COS(2*PI()*RAND()))*$E761*$J761*$K761)))</x:f>
        <x:v>893.74287568514</x:v>
      </x:c>
      <x:c r="H761" s="11" t="n">
        <x:f>IF($A761="","",$G761*$F761+$C761*(1-$F761))</x:f>
        <x:v>995.310006489799</x:v>
      </x:c>
      <x:c r="I761" s="11" t="n">
        <x:f>IF($A761="","",AVERAGE($H761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1046.4782675807978</x:v>
      </x:c>
      <x:c r="J761" s="12" t="n">
        <x:f>IF($A761="","",1+SUMIFS(Assumptions!$S$5:$S$10,Assumptions!$P$5:$P$10,$B761,Assumptions!$Q$5:$Q$10,"&lt;="&amp;$A761,Assumptions!$R$5:$R$10,"&gt;="&amp;$A761))</x:f>
        <x:v>1</x:v>
      </x:c>
      <x:c r="K761" s="12" t="n">
        <x:f>IF($A761="","",1+((($A761-Assumptions!$B$5)/30)*INDEX(Assumptions!$J$5:$J$12,MATCH($B761,Assumptions!$D$5:$D$12,0))))</x:f>
        <x:v>1.0125833333333334</x:v>
      </x:c>
      <x:c r="L761" t="str">
        <x:f>IF($A761="","",IFERROR(INDEX(Assumptions!$O$5:$O$10,MATCH(1,(Assumptions!$P$5:$P$10=$B761)*(Assumptions!$Q$5:$Q$10&lt;=$A761)*(Assumptions!$R$5:$R$10&gt;=$A761),0)),""))</x:f>
      </x:c>
      <x:c r="M761" t="n">
        <x:f>--($A761&lt;&gt;"")</x:f>
        <x:v>1</x:v>
      </x:c>
    </x:row>
    <x:row r="762">
      <x:c r="A762" s="10" t="n">
        <x:f>IF(Assumptions!$B$5+INT((ROW()-2)/Assumptions!$B$7)&gt;Assumptions!$B$6,"",Assumptions!$B$5+INT((ROW()-2)/Assumptions!$B$7))</x:f>
        <x:v>46175</x:v>
      </x:c>
      <x:c r="B762" t="str">
        <x:f>IF($A762="","",INDEX(Assumptions!$D$5:$D$12,MOD(ROW()-2,Assumptions!$B$7)+1))</x:f>
        <x:v>Acheron Prime</x:v>
      </x:c>
      <x:c r="C762" s="11" t="n">
        <x:f>IF($A762="","",INDEX(Assumptions!$F$5:$F$12,MATCH($B762,Assumptions!$D$5:$D$12,0)))</x:f>
        <x:v>1120</x:v>
      </x:c>
      <x:c r="D762" s="11" t="n">
        <x:f>IF($A762="","",INDEX(Assumptions!$G$5:$G$12,MATCH($B762,Assumptions!$D$5:$D$12,0)))</x:f>
        <x:v>115</x:v>
      </x:c>
      <x:c r="E762" s="11" t="n">
        <x:f>IF($A762="","",INDEX(Assumptions!$M$5:$M$11,WEEKDAY($A762,2)))</x:f>
        <x:v>1.02</x:v>
      </x:c>
      <x:c r="F762" s="11" t="n">
        <x:f>IF($A762="","",Assumptions!$B$15)</x:f>
        <x:v>0.35</x:v>
      </x:c>
      <x:c r="G762" s="11" t="n">
        <x:f>IF($A762="","",MAX(INDEX(Assumptions!$H$5:$H$12,MATCH($B762,Assumptions!$D$5:$D$12,0)),MIN(INDEX(Assumptions!$I$5:$I$12,MATCH($B762,Assumptions!$D$5:$D$12,0)),($C762+$D762*SQRT(-2*LN(RAND()))*COS(2*PI()*RAND()))*$E762*$J762*$K762)))</x:f>
        <x:v>1077.2240996629434</x:v>
      </x:c>
      <x:c r="H762" s="11" t="n">
        <x:f>IF($A762="","",$G762*$F762+$C762*(1-$F762))</x:f>
        <x:v>1105.02843488203</x:v>
      </x:c>
      <x:c r="I762" s="11" t="n">
        <x:f>IF($A762="","",AVERAGE($H762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1093.1662219745683</x:v>
      </x:c>
      <x:c r="J762" s="12" t="n">
        <x:f>IF($A762="","",1+SUMIFS(Assumptions!$S$5:$S$10,Assumptions!$P$5:$P$10,$B762,Assumptions!$Q$5:$Q$10,"&lt;="&amp;$A762,Assumptions!$R$5:$R$10,"&gt;="&amp;$A762))</x:f>
        <x:v>1</x:v>
      </x:c>
      <x:c r="K762" s="12" t="n">
        <x:f>IF($A762="","",1+((($A762-Assumptions!$B$5)/30)*INDEX(Assumptions!$J$5:$J$12,MATCH($B762,Assumptions!$D$5:$D$12,0))))</x:f>
        <x:v>1.0101333333333333</x:v>
      </x:c>
      <x:c r="L762" t="str">
        <x:f>IF($A762="","",IFERROR(INDEX(Assumptions!$O$5:$O$10,MATCH(1,(Assumptions!$P$5:$P$10=$B762)*(Assumptions!$Q$5:$Q$10&lt;=$A762)*(Assumptions!$R$5:$R$10&gt;=$A762),0)),""))</x:f>
      </x:c>
      <x:c r="M762" t="n">
        <x:f>--($A762&lt;&gt;"")</x:f>
        <x:v>1</x:v>
      </x:c>
    </x:row>
    <x:row r="763">
      <x:c r="A763" s="10" t="n">
        <x:f>IF(Assumptions!$B$5+INT((ROW()-2)/Assumptions!$B$7)&gt;Assumptions!$B$6,"",Assumptions!$B$5+INT((ROW()-2)/Assumptions!$B$7))</x:f>
        <x:v>46175</x:v>
      </x:c>
      <x:c r="B763" t="str">
        <x:f>IF($A763="","",INDEX(Assumptions!$D$5:$D$12,MOD(ROW()-2,Assumptions!$B$7)+1))</x:f>
        <x:v>LV-426 North</x:v>
      </x:c>
      <x:c r="C763" s="11" t="n">
        <x:f>IF($A763="","",INDEX(Assumptions!$F$5:$F$12,MATCH($B763,Assumptions!$D$5:$D$12,0)))</x:f>
        <x:v>930</x:v>
      </x:c>
      <x:c r="D763" s="11" t="n">
        <x:f>IF($A763="","",INDEX(Assumptions!$G$5:$G$12,MATCH($B763,Assumptions!$D$5:$D$12,0)))</x:f>
        <x:v>95</x:v>
      </x:c>
      <x:c r="E763" s="11" t="n">
        <x:f>IF($A763="","",INDEX(Assumptions!$M$5:$M$11,WEEKDAY($A763,2)))</x:f>
        <x:v>1.02</x:v>
      </x:c>
      <x:c r="F763" s="11" t="n">
        <x:f>IF($A763="","",Assumptions!$B$15)</x:f>
        <x:v>0.35</x:v>
      </x:c>
      <x:c r="G763" s="11" t="n">
        <x:f>IF($A763="","",MAX(INDEX(Assumptions!$H$5:$H$12,MATCH($B763,Assumptions!$D$5:$D$12,0)),MIN(INDEX(Assumptions!$I$5:$I$12,MATCH($B763,Assumptions!$D$5:$D$12,0)),($C763+$D763*SQRT(-2*LN(RAND()))*COS(2*PI()*RAND()))*$E763*$J763*$K763)))</x:f>
        <x:v>1156.8186275644623</x:v>
      </x:c>
      <x:c r="H763" s="11" t="n">
        <x:f>IF($A763="","",$G763*$F763+$C763*(1-$F763))</x:f>
        <x:v>1009.3865196475617</x:v>
      </x:c>
      <x:c r="I763" s="11" t="n">
        <x:f>IF($A763="","",AVERAGE($H763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925.6762536753832</x:v>
      </x:c>
      <x:c r="J763" s="12" t="n">
        <x:f>IF($A763="","",1+SUMIFS(Assumptions!$S$5:$S$10,Assumptions!$P$5:$P$10,$B763,Assumptions!$Q$5:$Q$10,"&lt;="&amp;$A763,Assumptions!$R$5:$R$10,"&gt;="&amp;$A763))</x:f>
        <x:v>1</x:v>
      </x:c>
      <x:c r="K763" s="12" t="n">
        <x:f>IF($A763="","",1+((($A763-Assumptions!$B$5)/30)*INDEX(Assumptions!$J$5:$J$12,MATCH($B763,Assumptions!$D$5:$D$12,0))))</x:f>
        <x:v>0.9949333333333333</x:v>
      </x:c>
      <x:c r="L763" t="str">
        <x:f>IF($A763="","",IFERROR(INDEX(Assumptions!$O$5:$O$10,MATCH(1,(Assumptions!$P$5:$P$10=$B763)*(Assumptions!$Q$5:$Q$10&lt;=$A763)*(Assumptions!$R$5:$R$10&gt;=$A763),0)),""))</x:f>
      </x:c>
      <x:c r="M763" t="n">
        <x:f>--($A763&lt;&gt;"")</x:f>
        <x:v>1</x:v>
      </x:c>
    </x:row>
    <x:row r="764">
      <x:c r="A764" s="10" t="n">
        <x:f>IF(Assumptions!$B$5+INT((ROW()-2)/Assumptions!$B$7)&gt;Assumptions!$B$6,"",Assumptions!$B$5+INT((ROW()-2)/Assumptions!$B$7))</x:f>
        <x:v>46175</x:v>
      </x:c>
      <x:c r="B764" t="str">
        <x:f>IF($A764="","",INDEX(Assumptions!$D$5:$D$12,MOD(ROW()-2,Assumptions!$B$7)+1))</x:f>
        <x:v>Nostromo Deep</x:v>
      </x:c>
      <x:c r="C764" s="11" t="n">
        <x:f>IF($A764="","",INDEX(Assumptions!$F$5:$F$12,MATCH($B764,Assumptions!$D$5:$D$12,0)))</x:f>
        <x:v>1260</x:v>
      </x:c>
      <x:c r="D764" s="11" t="n">
        <x:f>IF($A764="","",INDEX(Assumptions!$G$5:$G$12,MATCH($B764,Assumptions!$D$5:$D$12,0)))</x:f>
        <x:v>145</x:v>
      </x:c>
      <x:c r="E764" s="11" t="n">
        <x:f>IF($A764="","",INDEX(Assumptions!$M$5:$M$11,WEEKDAY($A764,2)))</x:f>
        <x:v>1.02</x:v>
      </x:c>
      <x:c r="F764" s="11" t="n">
        <x:f>IF($A764="","",Assumptions!$B$15)</x:f>
        <x:v>0.35</x:v>
      </x:c>
      <x:c r="G764" s="11" t="n">
        <x:f>IF($A764="","",MAX(INDEX(Assumptions!$H$5:$H$12,MATCH($B764,Assumptions!$D$5:$D$12,0)),MIN(INDEX(Assumptions!$I$5:$I$12,MATCH($B764,Assumptions!$D$5:$D$12,0)),($C764+$D764*SQRT(-2*LN(RAND()))*COS(2*PI()*RAND()))*$E764*$J764*$K764)))</x:f>
        <x:v>1431.6818204781657</x:v>
      </x:c>
      <x:c r="H764" s="11" t="n">
        <x:f>IF($A764="","",$G764*$F764+$C764*(1-$F764))</x:f>
        <x:v>1320.088637167358</x:v>
      </x:c>
      <x:c r="I764" s="11" t="n">
        <x:f>IF($A764="","",AVERAGE($H764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1243.2201102972515</x:v>
      </x:c>
      <x:c r="J764" s="12" t="n">
        <x:f>IF($A764="","",1+SUMIFS(Assumptions!$S$5:$S$10,Assumptions!$P$5:$P$10,$B764,Assumptions!$Q$5:$Q$10,"&lt;="&amp;$A764,Assumptions!$R$5:$R$10,"&gt;="&amp;$A764))</x:f>
        <x:v>1</x:v>
      </x:c>
      <x:c r="K764" s="12" t="n">
        <x:f>IF($A764="","",1+((($A764-Assumptions!$B$5)/30)*INDEX(Assumptions!$J$5:$J$12,MATCH($B764,Assumptions!$D$5:$D$12,0))))</x:f>
        <x:v>1.0152</x:v>
      </x:c>
      <x:c r="L764" t="str">
        <x:f>IF($A764="","",IFERROR(INDEX(Assumptions!$O$5:$O$10,MATCH(1,(Assumptions!$P$5:$P$10=$B764)*(Assumptions!$Q$5:$Q$10&lt;=$A764)*(Assumptions!$R$5:$R$10&gt;=$A764),0)),""))</x:f>
      </x:c>
      <x:c r="M764" t="n">
        <x:f>--($A764&lt;&gt;"")</x:f>
        <x:v>1</x:v>
      </x:c>
    </x:row>
    <x:row r="765">
      <x:c r="A765" s="10" t="n">
        <x:f>IF(Assumptions!$B$5+INT((ROW()-2)/Assumptions!$B$7)&gt;Assumptions!$B$6,"",Assumptions!$B$5+INT((ROW()-2)/Assumptions!$B$7))</x:f>
        <x:v>46175</x:v>
      </x:c>
      <x:c r="B765" t="str">
        <x:f>IF($A765="","",INDEX(Assumptions!$D$5:$D$12,MOD(ROW()-2,Assumptions!$B$7)+1))</x:f>
        <x:v>Hadley's Hope</x:v>
      </x:c>
      <x:c r="C765" s="11" t="n">
        <x:f>IF($A765="","",INDEX(Assumptions!$F$5:$F$12,MATCH($B765,Assumptions!$D$5:$D$12,0)))</x:f>
        <x:v>845</x:v>
      </x:c>
      <x:c r="D765" s="11" t="n">
        <x:f>IF($A765="","",INDEX(Assumptions!$G$5:$G$12,MATCH($B765,Assumptions!$D$5:$D$12,0)))</x:f>
        <x:v>80</x:v>
      </x:c>
      <x:c r="E765" s="11" t="n">
        <x:f>IF($A765="","",INDEX(Assumptions!$M$5:$M$11,WEEKDAY($A765,2)))</x:f>
        <x:v>1.02</x:v>
      </x:c>
      <x:c r="F765" s="11" t="n">
        <x:f>IF($A765="","",Assumptions!$B$15)</x:f>
        <x:v>0.35</x:v>
      </x:c>
      <x:c r="G765" s="11" t="n">
        <x:f>IF($A765="","",MAX(INDEX(Assumptions!$H$5:$H$12,MATCH($B765,Assumptions!$D$5:$D$12,0)),MIN(INDEX(Assumptions!$I$5:$I$12,MATCH($B765,Assumptions!$D$5:$D$12,0)),($C765+$D765*SQRT(-2*LN(RAND()))*COS(2*PI()*RAND()))*$E765*$J765*$K765)))</x:f>
        <x:v>694.6159339977421</x:v>
      </x:c>
      <x:c r="H765" s="11" t="n">
        <x:f>IF($A765="","",$G765*$F765+$C765*(1-$F765))</x:f>
        <x:v>792.3655768992097</x:v>
      </x:c>
      <x:c r="I765" s="11" t="n">
        <x:f>IF($A765="","",AVERAGE($H765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826.7324373170704</x:v>
      </x:c>
      <x:c r="J765" s="12" t="n">
        <x:f>IF($A765="","",1+SUMIFS(Assumptions!$S$5:$S$10,Assumptions!$P$5:$P$10,$B765,Assumptions!$Q$5:$Q$10,"&lt;="&amp;$A765,Assumptions!$R$5:$R$10,"&gt;="&amp;$A765))</x:f>
        <x:v>1</x:v>
      </x:c>
      <x:c r="K765" s="12" t="n">
        <x:f>IF($A765="","",1+((($A765-Assumptions!$B$5)/30)*INDEX(Assumptions!$J$5:$J$12,MATCH($B765,Assumptions!$D$5:$D$12,0))))</x:f>
        <x:v>1.0050666666666668</x:v>
      </x:c>
      <x:c r="L765" t="str">
        <x:f>IF($A765="","",IFERROR(INDEX(Assumptions!$O$5:$O$10,MATCH(1,(Assumptions!$P$5:$P$10=$B765)*(Assumptions!$Q$5:$Q$10&lt;=$A765)*(Assumptions!$R$5:$R$10&gt;=$A765),0)),""))</x:f>
      </x:c>
      <x:c r="M765" t="n">
        <x:f>--($A765&lt;&gt;"")</x:f>
        <x:v>1</x:v>
      </x:c>
    </x:row>
    <x:row r="766">
      <x:c r="A766" s="10" t="n">
        <x:f>IF(Assumptions!$B$5+INT((ROW()-2)/Assumptions!$B$7)&gt;Assumptions!$B$6,"",Assumptions!$B$5+INT((ROW()-2)/Assumptions!$B$7))</x:f>
        <x:v>46175</x:v>
      </x:c>
      <x:c r="B766" t="str">
        <x:f>IF($A766="","",INDEX(Assumptions!$D$5:$D$12,MOD(ROW()-2,Assumptions!$B$7)+1))</x:f>
        <x:v>Yutani Ridge</x:v>
      </x:c>
      <x:c r="C766" s="11" t="n">
        <x:f>IF($A766="","",INDEX(Assumptions!$F$5:$F$12,MATCH($B766,Assumptions!$D$5:$D$12,0)))</x:f>
        <x:v>1050</x:v>
      </x:c>
      <x:c r="D766" s="11" t="n">
        <x:f>IF($A766="","",INDEX(Assumptions!$G$5:$G$12,MATCH($B766,Assumptions!$D$5:$D$12,0)))</x:f>
        <x:v>125</x:v>
      </x:c>
      <x:c r="E766" s="11" t="n">
        <x:f>IF($A766="","",INDEX(Assumptions!$M$5:$M$11,WEEKDAY($A766,2)))</x:f>
        <x:v>1.02</x:v>
      </x:c>
      <x:c r="F766" s="11" t="n">
        <x:f>IF($A766="","",Assumptions!$B$15)</x:f>
        <x:v>0.35</x:v>
      </x:c>
      <x:c r="G766" s="11" t="n">
        <x:f>IF($A766="","",MAX(INDEX(Assumptions!$H$5:$H$12,MATCH($B766,Assumptions!$D$5:$D$12,0)),MIN(INDEX(Assumptions!$I$5:$I$12,MATCH($B766,Assumptions!$D$5:$D$12,0)),($C766+$D766*SQRT(-2*LN(RAND()))*COS(2*PI()*RAND()))*$E766*$J766*$K766)))</x:f>
        <x:v>730.668644066167</x:v>
      </x:c>
      <x:c r="H766" s="11" t="n">
        <x:f>IF($A766="","",$G766*$F766+$C766*(1-$F766))</x:f>
        <x:v>938.2340254231584</x:v>
      </x:c>
      <x:c r="I766" s="11" t="n">
        <x:f>IF($A766="","",AVERAGE($H766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1023.8708750907824</x:v>
      </x:c>
      <x:c r="J766" s="12" t="n">
        <x:f>IF($A766="","",1+SUMIFS(Assumptions!$S$5:$S$10,Assumptions!$P$5:$P$10,$B766,Assumptions!$Q$5:$Q$10,"&lt;="&amp;$A766,Assumptions!$R$5:$R$10,"&gt;="&amp;$A766))</x:f>
        <x:v>1</x:v>
      </x:c>
      <x:c r="K766" s="12" t="n">
        <x:f>IF($A766="","",1+((($A766-Assumptions!$B$5)/30)*INDEX(Assumptions!$J$5:$J$12,MATCH($B766,Assumptions!$D$5:$D$12,0))))</x:f>
        <x:v>1.0126666666666666</x:v>
      </x:c>
      <x:c r="L766" t="str">
        <x:f>IF($A766="","",IFERROR(INDEX(Assumptions!$O$5:$O$10,MATCH(1,(Assumptions!$P$5:$P$10=$B766)*(Assumptions!$Q$5:$Q$10&lt;=$A766)*(Assumptions!$R$5:$R$10&gt;=$A766),0)),""))</x:f>
      </x:c>
      <x:c r="M766" t="n">
        <x:f>--($A766&lt;&gt;"")</x:f>
        <x:v>1</x:v>
      </x:c>
    </x:row>
    <x:row r="767">
      <x:c r="A767" s="10" t="n">
        <x:f>IF(Assumptions!$B$5+INT((ROW()-2)/Assumptions!$B$7)&gt;Assumptions!$B$6,"",Assumptions!$B$5+INT((ROW()-2)/Assumptions!$B$7))</x:f>
        <x:v>46176</x:v>
      </x:c>
      <x:c r="B767" t="str">
        <x:f>IF($A767="","",INDEX(Assumptions!$D$5:$D$12,MOD(ROW()-2,Assumptions!$B$7)+1))</x:f>
        <x:v>Acheron Prime</x:v>
      </x:c>
      <x:c r="C767" s="11" t="n">
        <x:f>IF($A767="","",INDEX(Assumptions!$F$5:$F$12,MATCH($B767,Assumptions!$D$5:$D$12,0)))</x:f>
        <x:v>1120</x:v>
      </x:c>
      <x:c r="D767" s="11" t="n">
        <x:f>IF($A767="","",INDEX(Assumptions!$G$5:$G$12,MATCH($B767,Assumptions!$D$5:$D$12,0)))</x:f>
        <x:v>115</x:v>
      </x:c>
      <x:c r="E767" s="11" t="n">
        <x:f>IF($A767="","",INDEX(Assumptions!$M$5:$M$11,WEEKDAY($A767,2)))</x:f>
        <x:v>1.01</x:v>
      </x:c>
      <x:c r="F767" s="11" t="n">
        <x:f>IF($A767="","",Assumptions!$B$15)</x:f>
        <x:v>0.35</x:v>
      </x:c>
      <x:c r="G767" s="11" t="n">
        <x:f>IF($A767="","",MAX(INDEX(Assumptions!$H$5:$H$12,MATCH($B767,Assumptions!$D$5:$D$12,0)),MIN(INDEX(Assumptions!$I$5:$I$12,MATCH($B767,Assumptions!$D$5:$D$12,0)),($C767+$D767*SQRT(-2*LN(RAND()))*COS(2*PI()*RAND()))*$E767*$J767*$K767)))</x:f>
        <x:v>1104.734696613772</x:v>
      </x:c>
      <x:c r="H767" s="11" t="n">
        <x:f>IF($A767="","",$G767*$F767+$C767*(1-$F767))</x:f>
        <x:v>1114.6571438148203</x:v>
      </x:c>
      <x:c r="I767" s="11" t="n">
        <x:f>IF($A767="","",AVERAGE($H767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1089.499965162998</x:v>
      </x:c>
      <x:c r="J767" s="12" t="n">
        <x:f>IF($A767="","",1+SUMIFS(Assumptions!$S$5:$S$10,Assumptions!$P$5:$P$10,$B767,Assumptions!$Q$5:$Q$10,"&lt;="&amp;$A767,Assumptions!$R$5:$R$10,"&gt;="&amp;$A767))</x:f>
        <x:v>1</x:v>
      </x:c>
      <x:c r="K767" s="12" t="n">
        <x:f>IF($A767="","",1+((($A767-Assumptions!$B$5)/30)*INDEX(Assumptions!$J$5:$J$12,MATCH($B767,Assumptions!$D$5:$D$12,0))))</x:f>
        <x:v>1.0102</x:v>
      </x:c>
      <x:c r="L767" t="str">
        <x:f>IF($A767="","",IFERROR(INDEX(Assumptions!$O$5:$O$10,MATCH(1,(Assumptions!$P$5:$P$10=$B767)*(Assumptions!$Q$5:$Q$10&lt;=$A767)*(Assumptions!$R$5:$R$10&gt;=$A767),0)),""))</x:f>
      </x:c>
      <x:c r="M767" t="n">
        <x:f>--($A767&lt;&gt;"")</x:f>
        <x:v>1</x:v>
      </x:c>
    </x:row>
    <x:row r="768">
      <x:c r="A768" s="10" t="n">
        <x:f>IF(Assumptions!$B$5+INT((ROW()-2)/Assumptions!$B$7)&gt;Assumptions!$B$6,"",Assumptions!$B$5+INT((ROW()-2)/Assumptions!$B$7))</x:f>
        <x:v>46176</x:v>
      </x:c>
      <x:c r="B768" t="str">
        <x:f>IF($A768="","",INDEX(Assumptions!$D$5:$D$12,MOD(ROW()-2,Assumptions!$B$7)+1))</x:f>
        <x:v>LV-426 North</x:v>
      </x:c>
      <x:c r="C768" s="11" t="n">
        <x:f>IF($A768="","",INDEX(Assumptions!$F$5:$F$12,MATCH($B768,Assumptions!$D$5:$D$12,0)))</x:f>
        <x:v>930</x:v>
      </x:c>
      <x:c r="D768" s="11" t="n">
        <x:f>IF($A768="","",INDEX(Assumptions!$G$5:$G$12,MATCH($B768,Assumptions!$D$5:$D$12,0)))</x:f>
        <x:v>95</x:v>
      </x:c>
      <x:c r="E768" s="11" t="n">
        <x:f>IF($A768="","",INDEX(Assumptions!$M$5:$M$11,WEEKDAY($A768,2)))</x:f>
        <x:v>1.01</x:v>
      </x:c>
      <x:c r="F768" s="11" t="n">
        <x:f>IF($A768="","",Assumptions!$B$15)</x:f>
        <x:v>0.35</x:v>
      </x:c>
      <x:c r="G768" s="11" t="n">
        <x:f>IF($A768="","",MAX(INDEX(Assumptions!$H$5:$H$12,MATCH($B768,Assumptions!$D$5:$D$12,0)),MIN(INDEX(Assumptions!$I$5:$I$12,MATCH($B768,Assumptions!$D$5:$D$12,0)),($C768+$D768*SQRT(-2*LN(RAND()))*COS(2*PI()*RAND()))*$E768*$J768*$K768)))</x:f>
        <x:v>1015.3333722007068</x:v>
      </x:c>
      <x:c r="H768" s="11" t="n">
        <x:f>IF($A768="","",$G768*$F768+$C768*(1-$F768))</x:f>
        <x:v>959.8666802702473</x:v>
      </x:c>
      <x:c r="I768" s="11" t="n">
        <x:f>IF($A768="","",AVERAGE($H768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925.8112075302769</x:v>
      </x:c>
      <x:c r="J768" s="12" t="n">
        <x:f>IF($A768="","",1+SUMIFS(Assumptions!$S$5:$S$10,Assumptions!$P$5:$P$10,$B768,Assumptions!$Q$5:$Q$10,"&lt;="&amp;$A768,Assumptions!$R$5:$R$10,"&gt;="&amp;$A768))</x:f>
        <x:v>1</x:v>
      </x:c>
      <x:c r="K768" s="12" t="n">
        <x:f>IF($A768="","",1+((($A768-Assumptions!$B$5)/30)*INDEX(Assumptions!$J$5:$J$12,MATCH($B768,Assumptions!$D$5:$D$12,0))))</x:f>
        <x:v>0.9949</x:v>
      </x:c>
      <x:c r="L768" t="str">
        <x:f>IF($A768="","",IFERROR(INDEX(Assumptions!$O$5:$O$10,MATCH(1,(Assumptions!$P$5:$P$10=$B768)*(Assumptions!$Q$5:$Q$10&lt;=$A768)*(Assumptions!$R$5:$R$10&gt;=$A768),0)),""))</x:f>
      </x:c>
      <x:c r="M768" t="n">
        <x:f>--($A768&lt;&gt;"")</x:f>
        <x:v>1</x:v>
      </x:c>
    </x:row>
    <x:row r="769">
      <x:c r="A769" s="10" t="n">
        <x:f>IF(Assumptions!$B$5+INT((ROW()-2)/Assumptions!$B$7)&gt;Assumptions!$B$6,"",Assumptions!$B$5+INT((ROW()-2)/Assumptions!$B$7))</x:f>
        <x:v>46176</x:v>
      </x:c>
      <x:c r="B769" t="str">
        <x:f>IF($A769="","",INDEX(Assumptions!$D$5:$D$12,MOD(ROW()-2,Assumptions!$B$7)+1))</x:f>
        <x:v>Nostromo Deep</x:v>
      </x:c>
      <x:c r="C769" s="11" t="n">
        <x:f>IF($A769="","",INDEX(Assumptions!$F$5:$F$12,MATCH($B769,Assumptions!$D$5:$D$12,0)))</x:f>
        <x:v>1260</x:v>
      </x:c>
      <x:c r="D769" s="11" t="n">
        <x:f>IF($A769="","",INDEX(Assumptions!$G$5:$G$12,MATCH($B769,Assumptions!$D$5:$D$12,0)))</x:f>
        <x:v>145</x:v>
      </x:c>
      <x:c r="E769" s="11" t="n">
        <x:f>IF($A769="","",INDEX(Assumptions!$M$5:$M$11,WEEKDAY($A769,2)))</x:f>
        <x:v>1.01</x:v>
      </x:c>
      <x:c r="F769" s="11" t="n">
        <x:f>IF($A769="","",Assumptions!$B$15)</x:f>
        <x:v>0.35</x:v>
      </x:c>
      <x:c r="G769" s="11" t="n">
        <x:f>IF($A769="","",MAX(INDEX(Assumptions!$H$5:$H$12,MATCH($B769,Assumptions!$D$5:$D$12,0)),MIN(INDEX(Assumptions!$I$5:$I$12,MATCH($B769,Assumptions!$D$5:$D$12,0)),($C769+$D769*SQRT(-2*LN(RAND()))*COS(2*PI()*RAND()))*$E769*$J769*$K769)))</x:f>
        <x:v>1135.163333398533</x:v>
      </x:c>
      <x:c r="H769" s="11" t="n">
        <x:f>IF($A769="","",$G769*$F769+$C769*(1-$F769))</x:f>
        <x:v>1216.3071666894866</x:v>
      </x:c>
      <x:c r="I769" s="11" t="n">
        <x:f>IF($A769="","",AVERAGE($H769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1243.822855523396</x:v>
      </x:c>
      <x:c r="J769" s="12" t="n">
        <x:f>IF($A769="","",1+SUMIFS(Assumptions!$S$5:$S$10,Assumptions!$P$5:$P$10,$B769,Assumptions!$Q$5:$Q$10,"&lt;="&amp;$A769,Assumptions!$R$5:$R$10,"&gt;="&amp;$A769))</x:f>
        <x:v>1</x:v>
      </x:c>
      <x:c r="K769" s="12" t="n">
        <x:f>IF($A769="","",1+((($A769-Assumptions!$B$5)/30)*INDEX(Assumptions!$J$5:$J$12,MATCH($B769,Assumptions!$D$5:$D$12,0))))</x:f>
        <x:v>1.0153</x:v>
      </x:c>
      <x:c r="L769" t="str">
        <x:f>IF($A769="","",IFERROR(INDEX(Assumptions!$O$5:$O$10,MATCH(1,(Assumptions!$P$5:$P$10=$B769)*(Assumptions!$Q$5:$Q$10&lt;=$A769)*(Assumptions!$R$5:$R$10&gt;=$A769),0)),""))</x:f>
      </x:c>
      <x:c r="M769" t="n">
        <x:f>--($A769&lt;&gt;"")</x:f>
        <x:v>1</x:v>
      </x:c>
    </x:row>
    <x:row r="770">
      <x:c r="A770" s="10" t="n">
        <x:f>IF(Assumptions!$B$5+INT((ROW()-2)/Assumptions!$B$7)&gt;Assumptions!$B$6,"",Assumptions!$B$5+INT((ROW()-2)/Assumptions!$B$7))</x:f>
        <x:v>46176</x:v>
      </x:c>
      <x:c r="B770" t="str">
        <x:f>IF($A770="","",INDEX(Assumptions!$D$5:$D$12,MOD(ROW()-2,Assumptions!$B$7)+1))</x:f>
        <x:v>Hadley's Hope</x:v>
      </x:c>
      <x:c r="C770" s="11" t="n">
        <x:f>IF($A770="","",INDEX(Assumptions!$F$5:$F$12,MATCH($B770,Assumptions!$D$5:$D$12,0)))</x:f>
        <x:v>845</x:v>
      </x:c>
      <x:c r="D770" s="11" t="n">
        <x:f>IF($A770="","",INDEX(Assumptions!$G$5:$G$12,MATCH($B770,Assumptions!$D$5:$D$12,0)))</x:f>
        <x:v>80</x:v>
      </x:c>
      <x:c r="E770" s="11" t="n">
        <x:f>IF($A770="","",INDEX(Assumptions!$M$5:$M$11,WEEKDAY($A770,2)))</x:f>
        <x:v>1.01</x:v>
      </x:c>
      <x:c r="F770" s="11" t="n">
        <x:f>IF($A770="","",Assumptions!$B$15)</x:f>
        <x:v>0.35</x:v>
      </x:c>
      <x:c r="G770" s="11" t="n">
        <x:f>IF($A770="","",MAX(INDEX(Assumptions!$H$5:$H$12,MATCH($B770,Assumptions!$D$5:$D$12,0)),MIN(INDEX(Assumptions!$I$5:$I$12,MATCH($B770,Assumptions!$D$5:$D$12,0)),($C770+$D770*SQRT(-2*LN(RAND()))*COS(2*PI()*RAND()))*$E770*$J770*$K770)))</x:f>
        <x:v>779.8422962165648</x:v>
      </x:c>
      <x:c r="H770" s="11" t="n">
        <x:f>IF($A770="","",$G770*$F770+$C770*(1-$F770))</x:f>
        <x:v>822.1948036757976</x:v>
      </x:c>
      <x:c r="I770" s="11" t="n">
        <x:f>IF($A770="","",AVERAGE($H770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821.8098738079541</x:v>
      </x:c>
      <x:c r="J770" s="12" t="n">
        <x:f>IF($A770="","",1+SUMIFS(Assumptions!$S$5:$S$10,Assumptions!$P$5:$P$10,$B770,Assumptions!$Q$5:$Q$10,"&lt;="&amp;$A770,Assumptions!$R$5:$R$10,"&gt;="&amp;$A770))</x:f>
        <x:v>1</x:v>
      </x:c>
      <x:c r="K770" s="12" t="n">
        <x:f>IF($A770="","",1+((($A770-Assumptions!$B$5)/30)*INDEX(Assumptions!$J$5:$J$12,MATCH($B770,Assumptions!$D$5:$D$12,0))))</x:f>
        <x:v>1.0051</x:v>
      </x:c>
      <x:c r="L770" t="str">
        <x:f>IF($A770="","",IFERROR(INDEX(Assumptions!$O$5:$O$10,MATCH(1,(Assumptions!$P$5:$P$10=$B770)*(Assumptions!$Q$5:$Q$10&lt;=$A770)*(Assumptions!$R$5:$R$10&gt;=$A770),0)),""))</x:f>
      </x:c>
      <x:c r="M770" t="n">
        <x:f>--($A770&lt;&gt;"")</x:f>
        <x:v>1</x:v>
      </x:c>
    </x:row>
    <x:row r="771">
      <x:c r="A771" s="10" t="n">
        <x:f>IF(Assumptions!$B$5+INT((ROW()-2)/Assumptions!$B$7)&gt;Assumptions!$B$6,"",Assumptions!$B$5+INT((ROW()-2)/Assumptions!$B$7))</x:f>
        <x:v>46176</x:v>
      </x:c>
      <x:c r="B771" t="str">
        <x:f>IF($A771="","",INDEX(Assumptions!$D$5:$D$12,MOD(ROW()-2,Assumptions!$B$7)+1))</x:f>
        <x:v>Yutani Ridge</x:v>
      </x:c>
      <x:c r="C771" s="11" t="n">
        <x:f>IF($A771="","",INDEX(Assumptions!$F$5:$F$12,MATCH($B771,Assumptions!$D$5:$D$12,0)))</x:f>
        <x:v>1050</x:v>
      </x:c>
      <x:c r="D771" s="11" t="n">
        <x:f>IF($A771="","",INDEX(Assumptions!$G$5:$G$12,MATCH($B771,Assumptions!$D$5:$D$12,0)))</x:f>
        <x:v>125</x:v>
      </x:c>
      <x:c r="E771" s="11" t="n">
        <x:f>IF($A771="","",INDEX(Assumptions!$M$5:$M$11,WEEKDAY($A771,2)))</x:f>
        <x:v>1.01</x:v>
      </x:c>
      <x:c r="F771" s="11" t="n">
        <x:f>IF($A771="","",Assumptions!$B$15)</x:f>
        <x:v>0.35</x:v>
      </x:c>
      <x:c r="G771" s="11" t="n">
        <x:f>IF($A771="","",MAX(INDEX(Assumptions!$H$5:$H$12,MATCH($B771,Assumptions!$D$5:$D$12,0)),MIN(INDEX(Assumptions!$I$5:$I$12,MATCH($B771,Assumptions!$D$5:$D$12,0)),($C771+$D771*SQRT(-2*LN(RAND()))*COS(2*PI()*RAND()))*$E771*$J771*$K771)))</x:f>
        <x:v>1068.3678856026213</x:v>
      </x:c>
      <x:c r="H771" s="11" t="n">
        <x:f>IF($A771="","",$G771*$F771+$C771*(1-$F771))</x:f>
        <x:v>1056.4287599609174</x:v>
      </x:c>
      <x:c r="I771" s="11" t="n">
        <x:f>IF($A771="","",AVERAGE($H771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1021.0421705061469</x:v>
      </x:c>
      <x:c r="J771" s="12" t="n">
        <x:f>IF($A771="","",1+SUMIFS(Assumptions!$S$5:$S$10,Assumptions!$P$5:$P$10,$B771,Assumptions!$Q$5:$Q$10,"&lt;="&amp;$A771,Assumptions!$R$5:$R$10,"&gt;="&amp;$A771))</x:f>
        <x:v>1</x:v>
      </x:c>
      <x:c r="K771" s="12" t="n">
        <x:f>IF($A771="","",1+((($A771-Assumptions!$B$5)/30)*INDEX(Assumptions!$J$5:$J$12,MATCH($B771,Assumptions!$D$5:$D$12,0))))</x:f>
        <x:v>1.01275</x:v>
      </x:c>
      <x:c r="L771" t="str">
        <x:f>IF($A771="","",IFERROR(INDEX(Assumptions!$O$5:$O$10,MATCH(1,(Assumptions!$P$5:$P$10=$B771)*(Assumptions!$Q$5:$Q$10&lt;=$A771)*(Assumptions!$R$5:$R$10&gt;=$A771),0)),""))</x:f>
      </x:c>
      <x:c r="M771" t="n">
        <x:f>--($A771&lt;&gt;"")</x:f>
        <x:v>1</x:v>
      </x:c>
    </x:row>
    <x:row r="772">
      <x:c r="A772" s="10" t="n">
        <x:f>IF(Assumptions!$B$5+INT((ROW()-2)/Assumptions!$B$7)&gt;Assumptions!$B$6,"",Assumptions!$B$5+INT((ROW()-2)/Assumptions!$B$7))</x:f>
        <x:v>46177</x:v>
      </x:c>
      <x:c r="B772" t="str">
        <x:f>IF($A772="","",INDEX(Assumptions!$D$5:$D$12,MOD(ROW()-2,Assumptions!$B$7)+1))</x:f>
        <x:v>Acheron Prime</x:v>
      </x:c>
      <x:c r="C772" s="11" t="n">
        <x:f>IF($A772="","",INDEX(Assumptions!$F$5:$F$12,MATCH($B772,Assumptions!$D$5:$D$12,0)))</x:f>
        <x:v>1120</x:v>
      </x:c>
      <x:c r="D772" s="11" t="n">
        <x:f>IF($A772="","",INDEX(Assumptions!$G$5:$G$12,MATCH($B772,Assumptions!$D$5:$D$12,0)))</x:f>
        <x:v>115</x:v>
      </x:c>
      <x:c r="E772" s="11" t="n">
        <x:f>IF($A772="","",INDEX(Assumptions!$M$5:$M$11,WEEKDAY($A772,2)))</x:f>
        <x:v>1</x:v>
      </x:c>
      <x:c r="F772" s="11" t="n">
        <x:f>IF($A772="","",Assumptions!$B$15)</x:f>
        <x:v>0.35</x:v>
      </x:c>
      <x:c r="G772" s="11" t="n">
        <x:f>IF($A772="","",MAX(INDEX(Assumptions!$H$5:$H$12,MATCH($B772,Assumptions!$D$5:$D$12,0)),MIN(INDEX(Assumptions!$I$5:$I$12,MATCH($B772,Assumptions!$D$5:$D$12,0)),($C772+$D772*SQRT(-2*LN(RAND()))*COS(2*PI()*RAND()))*$E772*$J772*$K772)))</x:f>
        <x:v>1019.9522296309294</x:v>
      </x:c>
      <x:c r="H772" s="11" t="n">
        <x:f>IF($A772="","",$G772*$F772+$C772*(1-$F772))</x:f>
        <x:v>1084.9832803708252</x:v>
      </x:c>
      <x:c r="I772" s="11" t="n">
        <x:f>IF($A772="","",AVERAGE($H772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1083.9710541208556</x:v>
      </x:c>
      <x:c r="J772" s="12" t="n">
        <x:f>IF($A772="","",1+SUMIFS(Assumptions!$S$5:$S$10,Assumptions!$P$5:$P$10,$B772,Assumptions!$Q$5:$Q$10,"&lt;="&amp;$A772,Assumptions!$R$5:$R$10,"&gt;="&amp;$A772))</x:f>
        <x:v>1</x:v>
      </x:c>
      <x:c r="K772" s="12" t="n">
        <x:f>IF($A772="","",1+((($A772-Assumptions!$B$5)/30)*INDEX(Assumptions!$J$5:$J$12,MATCH($B772,Assumptions!$D$5:$D$12,0))))</x:f>
        <x:v>1.0102666666666666</x:v>
      </x:c>
      <x:c r="L772" t="str">
        <x:f>IF($A772="","",IFERROR(INDEX(Assumptions!$O$5:$O$10,MATCH(1,(Assumptions!$P$5:$P$10=$B772)*(Assumptions!$Q$5:$Q$10&lt;=$A772)*(Assumptions!$R$5:$R$10&gt;=$A772),0)),""))</x:f>
      </x:c>
      <x:c r="M772" t="n">
        <x:f>--($A772&lt;&gt;"")</x:f>
        <x:v>1</x:v>
      </x:c>
    </x:row>
    <x:row r="773">
      <x:c r="A773" s="10" t="n">
        <x:f>IF(Assumptions!$B$5+INT((ROW()-2)/Assumptions!$B$7)&gt;Assumptions!$B$6,"",Assumptions!$B$5+INT((ROW()-2)/Assumptions!$B$7))</x:f>
        <x:v>46177</x:v>
      </x:c>
      <x:c r="B773" t="str">
        <x:f>IF($A773="","",INDEX(Assumptions!$D$5:$D$12,MOD(ROW()-2,Assumptions!$B$7)+1))</x:f>
        <x:v>LV-426 North</x:v>
      </x:c>
      <x:c r="C773" s="11" t="n">
        <x:f>IF($A773="","",INDEX(Assumptions!$F$5:$F$12,MATCH($B773,Assumptions!$D$5:$D$12,0)))</x:f>
        <x:v>930</x:v>
      </x:c>
      <x:c r="D773" s="11" t="n">
        <x:f>IF($A773="","",INDEX(Assumptions!$G$5:$G$12,MATCH($B773,Assumptions!$D$5:$D$12,0)))</x:f>
        <x:v>95</x:v>
      </x:c>
      <x:c r="E773" s="11" t="n">
        <x:f>IF($A773="","",INDEX(Assumptions!$M$5:$M$11,WEEKDAY($A773,2)))</x:f>
        <x:v>1</x:v>
      </x:c>
      <x:c r="F773" s="11" t="n">
        <x:f>IF($A773="","",Assumptions!$B$15)</x:f>
        <x:v>0.35</x:v>
      </x:c>
      <x:c r="G773" s="11" t="n">
        <x:f>IF($A773="","",MAX(INDEX(Assumptions!$H$5:$H$12,MATCH($B773,Assumptions!$D$5:$D$12,0)),MIN(INDEX(Assumptions!$I$5:$I$12,MATCH($B773,Assumptions!$D$5:$D$12,0)),($C773+$D773*SQRT(-2*LN(RAND()))*COS(2*PI()*RAND()))*$E773*$J773*$K773)))</x:f>
        <x:v>982.7286324200596</x:v>
      </x:c>
      <x:c r="H773" s="11" t="n">
        <x:f>IF($A773="","",$G773*$F773+$C773*(1-$F773))</x:f>
        <x:v>948.4550213470209</x:v>
      </x:c>
      <x:c r="I773" s="11" t="n">
        <x:f>IF($A773="","",AVERAGE($H773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925.8225973535498</x:v>
      </x:c>
      <x:c r="J773" s="12" t="n">
        <x:f>IF($A773="","",1+SUMIFS(Assumptions!$S$5:$S$10,Assumptions!$P$5:$P$10,$B773,Assumptions!$Q$5:$Q$10,"&lt;="&amp;$A773,Assumptions!$R$5:$R$10,"&gt;="&amp;$A773))</x:f>
        <x:v>1</x:v>
      </x:c>
      <x:c r="K773" s="12" t="n">
        <x:f>IF($A773="","",1+((($A773-Assumptions!$B$5)/30)*INDEX(Assumptions!$J$5:$J$12,MATCH($B773,Assumptions!$D$5:$D$12,0))))</x:f>
        <x:v>0.9948666666666667</x:v>
      </x:c>
      <x:c r="L773" t="str">
        <x:f>IF($A773="","",IFERROR(INDEX(Assumptions!$O$5:$O$10,MATCH(1,(Assumptions!$P$5:$P$10=$B773)*(Assumptions!$Q$5:$Q$10&lt;=$A773)*(Assumptions!$R$5:$R$10&gt;=$A773),0)),""))</x:f>
      </x:c>
      <x:c r="M773" t="n">
        <x:f>--($A773&lt;&gt;"")</x:f>
        <x:v>1</x:v>
      </x:c>
    </x:row>
    <x:row r="774">
      <x:c r="A774" s="10" t="n">
        <x:f>IF(Assumptions!$B$5+INT((ROW()-2)/Assumptions!$B$7)&gt;Assumptions!$B$6,"",Assumptions!$B$5+INT((ROW()-2)/Assumptions!$B$7))</x:f>
        <x:v>46177</x:v>
      </x:c>
      <x:c r="B774" t="str">
        <x:f>IF($A774="","",INDEX(Assumptions!$D$5:$D$12,MOD(ROW()-2,Assumptions!$B$7)+1))</x:f>
        <x:v>Nostromo Deep</x:v>
      </x:c>
      <x:c r="C774" s="11" t="n">
        <x:f>IF($A774="","",INDEX(Assumptions!$F$5:$F$12,MATCH($B774,Assumptions!$D$5:$D$12,0)))</x:f>
        <x:v>1260</x:v>
      </x:c>
      <x:c r="D774" s="11" t="n">
        <x:f>IF($A774="","",INDEX(Assumptions!$G$5:$G$12,MATCH($B774,Assumptions!$D$5:$D$12,0)))</x:f>
        <x:v>145</x:v>
      </x:c>
      <x:c r="E774" s="11" t="n">
        <x:f>IF($A774="","",INDEX(Assumptions!$M$5:$M$11,WEEKDAY($A774,2)))</x:f>
        <x:v>1</x:v>
      </x:c>
      <x:c r="F774" s="11" t="n">
        <x:f>IF($A774="","",Assumptions!$B$15)</x:f>
        <x:v>0.35</x:v>
      </x:c>
      <x:c r="G774" s="11" t="n">
        <x:f>IF($A774="","",MAX(INDEX(Assumptions!$H$5:$H$12,MATCH($B774,Assumptions!$D$5:$D$12,0)),MIN(INDEX(Assumptions!$I$5:$I$12,MATCH($B774,Assumptions!$D$5:$D$12,0)),($C774+$D774*SQRT(-2*LN(RAND()))*COS(2*PI()*RAND()))*$E774*$J774*$K774)))</x:f>
        <x:v>1127.5043874310543</x:v>
      </x:c>
      <x:c r="H774" s="11" t="n">
        <x:f>IF($A774="","",$G774*$F774+$C774*(1-$F774))</x:f>
        <x:v>1213.626535600869</x:v>
      </x:c>
      <x:c r="I774" s="11" t="n">
        <x:f>IF($A774="","",AVERAGE($H774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1242.0554298877146</x:v>
      </x:c>
      <x:c r="J774" s="12" t="n">
        <x:f>IF($A774="","",1+SUMIFS(Assumptions!$S$5:$S$10,Assumptions!$P$5:$P$10,$B774,Assumptions!$Q$5:$Q$10,"&lt;="&amp;$A774,Assumptions!$R$5:$R$10,"&gt;="&amp;$A774))</x:f>
        <x:v>1</x:v>
      </x:c>
      <x:c r="K774" s="12" t="n">
        <x:f>IF($A774="","",1+((($A774-Assumptions!$B$5)/30)*INDEX(Assumptions!$J$5:$J$12,MATCH($B774,Assumptions!$D$5:$D$12,0))))</x:f>
        <x:v>1.0154</x:v>
      </x:c>
      <x:c r="L774" t="str">
        <x:f>IF($A774="","",IFERROR(INDEX(Assumptions!$O$5:$O$10,MATCH(1,(Assumptions!$P$5:$P$10=$B774)*(Assumptions!$Q$5:$Q$10&lt;=$A774)*(Assumptions!$R$5:$R$10&gt;=$A774),0)),""))</x:f>
      </x:c>
      <x:c r="M774" t="n">
        <x:f>--($A774&lt;&gt;"")</x:f>
        <x:v>1</x:v>
      </x:c>
    </x:row>
    <x:row r="775">
      <x:c r="A775" s="10" t="n">
        <x:f>IF(Assumptions!$B$5+INT((ROW()-2)/Assumptions!$B$7)&gt;Assumptions!$B$6,"",Assumptions!$B$5+INT((ROW()-2)/Assumptions!$B$7))</x:f>
        <x:v>46177</x:v>
      </x:c>
      <x:c r="B775" t="str">
        <x:f>IF($A775="","",INDEX(Assumptions!$D$5:$D$12,MOD(ROW()-2,Assumptions!$B$7)+1))</x:f>
        <x:v>Hadley's Hope</x:v>
      </x:c>
      <x:c r="C775" s="11" t="n">
        <x:f>IF($A775="","",INDEX(Assumptions!$F$5:$F$12,MATCH($B775,Assumptions!$D$5:$D$12,0)))</x:f>
        <x:v>845</x:v>
      </x:c>
      <x:c r="D775" s="11" t="n">
        <x:f>IF($A775="","",INDEX(Assumptions!$G$5:$G$12,MATCH($B775,Assumptions!$D$5:$D$12,0)))</x:f>
        <x:v>80</x:v>
      </x:c>
      <x:c r="E775" s="11" t="n">
        <x:f>IF($A775="","",INDEX(Assumptions!$M$5:$M$11,WEEKDAY($A775,2)))</x:f>
        <x:v>1</x:v>
      </x:c>
      <x:c r="F775" s="11" t="n">
        <x:f>IF($A775="","",Assumptions!$B$15)</x:f>
        <x:v>0.35</x:v>
      </x:c>
      <x:c r="G775" s="11" t="n">
        <x:f>IF($A775="","",MAX(INDEX(Assumptions!$H$5:$H$12,MATCH($B775,Assumptions!$D$5:$D$12,0)),MIN(INDEX(Assumptions!$I$5:$I$12,MATCH($B775,Assumptions!$D$5:$D$12,0)),($C775+$D775*SQRT(-2*LN(RAND()))*COS(2*PI()*RAND()))*$E775*$J775*$K775)))</x:f>
        <x:v>879.3693683922879</x:v>
      </x:c>
      <x:c r="H775" s="11" t="n">
        <x:f>IF($A775="","",$G775*$F775+$C775*(1-$F775))</x:f>
        <x:v>857.0292789373008</x:v>
      </x:c>
      <x:c r="I775" s="11" t="n">
        <x:f>IF($A775="","",AVERAGE($H775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827.929409876538</x:v>
      </x:c>
      <x:c r="J775" s="12" t="n">
        <x:f>IF($A775="","",1+SUMIFS(Assumptions!$S$5:$S$10,Assumptions!$P$5:$P$10,$B775,Assumptions!$Q$5:$Q$10,"&lt;="&amp;$A775,Assumptions!$R$5:$R$10,"&gt;="&amp;$A775))</x:f>
        <x:v>1</x:v>
      </x:c>
      <x:c r="K775" s="12" t="n">
        <x:f>IF($A775="","",1+((($A775-Assumptions!$B$5)/30)*INDEX(Assumptions!$J$5:$J$12,MATCH($B775,Assumptions!$D$5:$D$12,0))))</x:f>
        <x:v>1.0051333333333334</x:v>
      </x:c>
      <x:c r="L775" t="str">
        <x:f>IF($A775="","",IFERROR(INDEX(Assumptions!$O$5:$O$10,MATCH(1,(Assumptions!$P$5:$P$10=$B775)*(Assumptions!$Q$5:$Q$10&lt;=$A775)*(Assumptions!$R$5:$R$10&gt;=$A775),0)),""))</x:f>
      </x:c>
      <x:c r="M775" t="n">
        <x:f>--($A775&lt;&gt;"")</x:f>
        <x:v>1</x:v>
      </x:c>
    </x:row>
    <x:row r="776">
      <x:c r="A776" s="10" t="n">
        <x:f>IF(Assumptions!$B$5+INT((ROW()-2)/Assumptions!$B$7)&gt;Assumptions!$B$6,"",Assumptions!$B$5+INT((ROW()-2)/Assumptions!$B$7))</x:f>
        <x:v>46177</x:v>
      </x:c>
      <x:c r="B776" t="str">
        <x:f>IF($A776="","",INDEX(Assumptions!$D$5:$D$12,MOD(ROW()-2,Assumptions!$B$7)+1))</x:f>
        <x:v>Yutani Ridge</x:v>
      </x:c>
      <x:c r="C776" s="11" t="n">
        <x:f>IF($A776="","",INDEX(Assumptions!$F$5:$F$12,MATCH($B776,Assumptions!$D$5:$D$12,0)))</x:f>
        <x:v>1050</x:v>
      </x:c>
      <x:c r="D776" s="11" t="n">
        <x:f>IF($A776="","",INDEX(Assumptions!$G$5:$G$12,MATCH($B776,Assumptions!$D$5:$D$12,0)))</x:f>
        <x:v>125</x:v>
      </x:c>
      <x:c r="E776" s="11" t="n">
        <x:f>IF($A776="","",INDEX(Assumptions!$M$5:$M$11,WEEKDAY($A776,2)))</x:f>
        <x:v>1</x:v>
      </x:c>
      <x:c r="F776" s="11" t="n">
        <x:f>IF($A776="","",Assumptions!$B$15)</x:f>
        <x:v>0.35</x:v>
      </x:c>
      <x:c r="G776" s="11" t="n">
        <x:f>IF($A776="","",MAX(INDEX(Assumptions!$H$5:$H$12,MATCH($B776,Assumptions!$D$5:$D$12,0)),MIN(INDEX(Assumptions!$I$5:$I$12,MATCH($B776,Assumptions!$D$5:$D$12,0)),($C776+$D776*SQRT(-2*LN(RAND()))*COS(2*PI()*RAND()))*$E776*$J776*$K776)))</x:f>
        <x:v>1134.9793478123984</x:v>
      </x:c>
      <x:c r="H776" s="11" t="n">
        <x:f>IF($A776="","",$G776*$F776+$C776*(1-$F776))</x:f>
        <x:v>1079.7427717343394</x:v>
      </x:c>
      <x:c r="I776" s="11" t="n">
        <x:f>IF($A776="","",AVERAGE($H776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1025.9486204329016</x:v>
      </x:c>
      <x:c r="J776" s="12" t="n">
        <x:f>IF($A776="","",1+SUMIFS(Assumptions!$S$5:$S$10,Assumptions!$P$5:$P$10,$B776,Assumptions!$Q$5:$Q$10,"&lt;="&amp;$A776,Assumptions!$R$5:$R$10,"&gt;="&amp;$A776))</x:f>
        <x:v>1</x:v>
      </x:c>
      <x:c r="K776" s="12" t="n">
        <x:f>IF($A776="","",1+((($A776-Assumptions!$B$5)/30)*INDEX(Assumptions!$J$5:$J$12,MATCH($B776,Assumptions!$D$5:$D$12,0))))</x:f>
        <x:v>1.0128333333333333</x:v>
      </x:c>
      <x:c r="L776" t="str">
        <x:f>IF($A776="","",IFERROR(INDEX(Assumptions!$O$5:$O$10,MATCH(1,(Assumptions!$P$5:$P$10=$B776)*(Assumptions!$Q$5:$Q$10&lt;=$A776)*(Assumptions!$R$5:$R$10&gt;=$A776),0)),""))</x:f>
      </x:c>
      <x:c r="M776" t="n">
        <x:f>--($A776&lt;&gt;"")</x:f>
        <x:v>1</x:v>
      </x:c>
    </x:row>
    <x:row r="777">
      <x:c r="A777" s="10" t="n">
        <x:f>IF(Assumptions!$B$5+INT((ROW()-2)/Assumptions!$B$7)&gt;Assumptions!$B$6,"",Assumptions!$B$5+INT((ROW()-2)/Assumptions!$B$7))</x:f>
        <x:v>46178</x:v>
      </x:c>
      <x:c r="B777" t="str">
        <x:f>IF($A777="","",INDEX(Assumptions!$D$5:$D$12,MOD(ROW()-2,Assumptions!$B$7)+1))</x:f>
        <x:v>Acheron Prime</x:v>
      </x:c>
      <x:c r="C777" s="11" t="n">
        <x:f>IF($A777="","",INDEX(Assumptions!$F$5:$F$12,MATCH($B777,Assumptions!$D$5:$D$12,0)))</x:f>
        <x:v>1120</x:v>
      </x:c>
      <x:c r="D777" s="11" t="n">
        <x:f>IF($A777="","",INDEX(Assumptions!$G$5:$G$12,MATCH($B777,Assumptions!$D$5:$D$12,0)))</x:f>
        <x:v>115</x:v>
      </x:c>
      <x:c r="E777" s="11" t="n">
        <x:f>IF($A777="","",INDEX(Assumptions!$M$5:$M$11,WEEKDAY($A777,2)))</x:f>
        <x:v>0.98</x:v>
      </x:c>
      <x:c r="F777" s="11" t="n">
        <x:f>IF($A777="","",Assumptions!$B$15)</x:f>
        <x:v>0.35</x:v>
      </x:c>
      <x:c r="G777" s="11" t="n">
        <x:f>IF($A777="","",MAX(INDEX(Assumptions!$H$5:$H$12,MATCH($B777,Assumptions!$D$5:$D$12,0)),MIN(INDEX(Assumptions!$I$5:$I$12,MATCH($B777,Assumptions!$D$5:$D$12,0)),($C777+$D777*SQRT(-2*LN(RAND()))*COS(2*PI()*RAND()))*$E777*$J777*$K777)))</x:f>
        <x:v>955.2151991026636</x:v>
      </x:c>
      <x:c r="H777" s="11" t="n">
        <x:f>IF($A777="","",$G777*$F777+$C777*(1-$F777))</x:f>
        <x:v>1062.3253196859323</x:v>
      </x:c>
      <x:c r="I777" s="11" t="n">
        <x:f>IF($A777="","",AVERAGE($H777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1085.6344334360804</x:v>
      </x:c>
      <x:c r="J777" s="12" t="n">
        <x:f>IF($A777="","",1+SUMIFS(Assumptions!$S$5:$S$10,Assumptions!$P$5:$P$10,$B777,Assumptions!$Q$5:$Q$10,"&lt;="&amp;$A777,Assumptions!$R$5:$R$10,"&gt;="&amp;$A777))</x:f>
        <x:v>1</x:v>
      </x:c>
      <x:c r="K777" s="12" t="n">
        <x:f>IF($A777="","",1+((($A777-Assumptions!$B$5)/30)*INDEX(Assumptions!$J$5:$J$12,MATCH($B777,Assumptions!$D$5:$D$12,0))))</x:f>
        <x:v>1.0103333333333333</x:v>
      </x:c>
      <x:c r="L777" t="str">
        <x:f>IF($A777="","",IFERROR(INDEX(Assumptions!$O$5:$O$10,MATCH(1,(Assumptions!$P$5:$P$10=$B777)*(Assumptions!$Q$5:$Q$10&lt;=$A777)*(Assumptions!$R$5:$R$10&gt;=$A777),0)),""))</x:f>
      </x:c>
      <x:c r="M777" t="n">
        <x:f>--($A777&lt;&gt;"")</x:f>
        <x:v>1</x:v>
      </x:c>
    </x:row>
    <x:row r="778">
      <x:c r="A778" s="10" t="n">
        <x:f>IF(Assumptions!$B$5+INT((ROW()-2)/Assumptions!$B$7)&gt;Assumptions!$B$6,"",Assumptions!$B$5+INT((ROW()-2)/Assumptions!$B$7))</x:f>
        <x:v>46178</x:v>
      </x:c>
      <x:c r="B778" t="str">
        <x:f>IF($A778="","",INDEX(Assumptions!$D$5:$D$12,MOD(ROW()-2,Assumptions!$B$7)+1))</x:f>
        <x:v>LV-426 North</x:v>
      </x:c>
      <x:c r="C778" s="11" t="n">
        <x:f>IF($A778="","",INDEX(Assumptions!$F$5:$F$12,MATCH($B778,Assumptions!$D$5:$D$12,0)))</x:f>
        <x:v>930</x:v>
      </x:c>
      <x:c r="D778" s="11" t="n">
        <x:f>IF($A778="","",INDEX(Assumptions!$G$5:$G$12,MATCH($B778,Assumptions!$D$5:$D$12,0)))</x:f>
        <x:v>95</x:v>
      </x:c>
      <x:c r="E778" s="11" t="n">
        <x:f>IF($A778="","",INDEX(Assumptions!$M$5:$M$11,WEEKDAY($A778,2)))</x:f>
        <x:v>0.98</x:v>
      </x:c>
      <x:c r="F778" s="11" t="n">
        <x:f>IF($A778="","",Assumptions!$B$15)</x:f>
        <x:v>0.35</x:v>
      </x:c>
      <x:c r="G778" s="11" t="n">
        <x:f>IF($A778="","",MAX(INDEX(Assumptions!$H$5:$H$12,MATCH($B778,Assumptions!$D$5:$D$12,0)),MIN(INDEX(Assumptions!$I$5:$I$12,MATCH($B778,Assumptions!$D$5:$D$12,0)),($C778+$D778*SQRT(-2*LN(RAND()))*COS(2*PI()*RAND()))*$E778*$J778*$K778)))</x:f>
        <x:v>964.1366424102564</x:v>
      </x:c>
      <x:c r="H778" s="11" t="n">
        <x:f>IF($A778="","",$G778*$F778+$C778*(1-$F778))</x:f>
        <x:v>941.9478248435897</x:v>
      </x:c>
      <x:c r="I778" s="11" t="n">
        <x:f>IF($A778="","",AVERAGE($H778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929.1943777665307</x:v>
      </x:c>
      <x:c r="J778" s="12" t="n">
        <x:f>IF($A778="","",1+SUMIFS(Assumptions!$S$5:$S$10,Assumptions!$P$5:$P$10,$B778,Assumptions!$Q$5:$Q$10,"&lt;="&amp;$A778,Assumptions!$R$5:$R$10,"&gt;="&amp;$A778))</x:f>
        <x:v>1</x:v>
      </x:c>
      <x:c r="K778" s="12" t="n">
        <x:f>IF($A778="","",1+((($A778-Assumptions!$B$5)/30)*INDEX(Assumptions!$J$5:$J$12,MATCH($B778,Assumptions!$D$5:$D$12,0))))</x:f>
        <x:v>0.9948333333333333</x:v>
      </x:c>
      <x:c r="L778" t="str">
        <x:f>IF($A778="","",IFERROR(INDEX(Assumptions!$O$5:$O$10,MATCH(1,(Assumptions!$P$5:$P$10=$B778)*(Assumptions!$Q$5:$Q$10&lt;=$A778)*(Assumptions!$R$5:$R$10&gt;=$A778),0)),""))</x:f>
      </x:c>
      <x:c r="M778" t="n">
        <x:f>--($A778&lt;&gt;"")</x:f>
        <x:v>1</x:v>
      </x:c>
    </x:row>
    <x:row r="779">
      <x:c r="A779" s="10" t="n">
        <x:f>IF(Assumptions!$B$5+INT((ROW()-2)/Assumptions!$B$7)&gt;Assumptions!$B$6,"",Assumptions!$B$5+INT((ROW()-2)/Assumptions!$B$7))</x:f>
        <x:v>46178</x:v>
      </x:c>
      <x:c r="B779" t="str">
        <x:f>IF($A779="","",INDEX(Assumptions!$D$5:$D$12,MOD(ROW()-2,Assumptions!$B$7)+1))</x:f>
        <x:v>Nostromo Deep</x:v>
      </x:c>
      <x:c r="C779" s="11" t="n">
        <x:f>IF($A779="","",INDEX(Assumptions!$F$5:$F$12,MATCH($B779,Assumptions!$D$5:$D$12,0)))</x:f>
        <x:v>1260</x:v>
      </x:c>
      <x:c r="D779" s="11" t="n">
        <x:f>IF($A779="","",INDEX(Assumptions!$G$5:$G$12,MATCH($B779,Assumptions!$D$5:$D$12,0)))</x:f>
        <x:v>145</x:v>
      </x:c>
      <x:c r="E779" s="11" t="n">
        <x:f>IF($A779="","",INDEX(Assumptions!$M$5:$M$11,WEEKDAY($A779,2)))</x:f>
        <x:v>0.98</x:v>
      </x:c>
      <x:c r="F779" s="11" t="n">
        <x:f>IF($A779="","",Assumptions!$B$15)</x:f>
        <x:v>0.35</x:v>
      </x:c>
      <x:c r="G779" s="11" t="n">
        <x:f>IF($A779="","",MAX(INDEX(Assumptions!$H$5:$H$12,MATCH($B779,Assumptions!$D$5:$D$12,0)),MIN(INDEX(Assumptions!$I$5:$I$12,MATCH($B779,Assumptions!$D$5:$D$12,0)),($C779+$D779*SQRT(-2*LN(RAND()))*COS(2*PI()*RAND()))*$E779*$J779*$K779)))</x:f>
        <x:v>1133.7289050727375</x:v>
      </x:c>
      <x:c r="H779" s="11" t="n">
        <x:f>IF($A779="","",$G779*$F779+$C779*(1-$F779))</x:f>
        <x:v>1215.8051167754581</x:v>
      </x:c>
      <x:c r="I779" s="11" t="n">
        <x:f>IF($A779="","",AVERAGE($H779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1229.9059980536574</x:v>
      </x:c>
      <x:c r="J779" s="12" t="n">
        <x:f>IF($A779="","",1+SUMIFS(Assumptions!$S$5:$S$10,Assumptions!$P$5:$P$10,$B779,Assumptions!$Q$5:$Q$10,"&lt;="&amp;$A779,Assumptions!$R$5:$R$10,"&gt;="&amp;$A779))</x:f>
        <x:v>1</x:v>
      </x:c>
      <x:c r="K779" s="12" t="n">
        <x:f>IF($A779="","",1+((($A779-Assumptions!$B$5)/30)*INDEX(Assumptions!$J$5:$J$12,MATCH($B779,Assumptions!$D$5:$D$12,0))))</x:f>
        <x:v>1.0155</x:v>
      </x:c>
      <x:c r="L779" t="str">
        <x:f>IF($A779="","",IFERROR(INDEX(Assumptions!$O$5:$O$10,MATCH(1,(Assumptions!$P$5:$P$10=$B779)*(Assumptions!$Q$5:$Q$10&lt;=$A779)*(Assumptions!$R$5:$R$10&gt;=$A779),0)),""))</x:f>
      </x:c>
      <x:c r="M779" t="n">
        <x:f>--($A779&lt;&gt;"")</x:f>
        <x:v>1</x:v>
      </x:c>
    </x:row>
    <x:row r="780">
      <x:c r="A780" s="10" t="n">
        <x:f>IF(Assumptions!$B$5+INT((ROW()-2)/Assumptions!$B$7)&gt;Assumptions!$B$6,"",Assumptions!$B$5+INT((ROW()-2)/Assumptions!$B$7))</x:f>
        <x:v>46178</x:v>
      </x:c>
      <x:c r="B780" t="str">
        <x:f>IF($A780="","",INDEX(Assumptions!$D$5:$D$12,MOD(ROW()-2,Assumptions!$B$7)+1))</x:f>
        <x:v>Hadley's Hope</x:v>
      </x:c>
      <x:c r="C780" s="11" t="n">
        <x:f>IF($A780="","",INDEX(Assumptions!$F$5:$F$12,MATCH($B780,Assumptions!$D$5:$D$12,0)))</x:f>
        <x:v>845</x:v>
      </x:c>
      <x:c r="D780" s="11" t="n">
        <x:f>IF($A780="","",INDEX(Assumptions!$G$5:$G$12,MATCH($B780,Assumptions!$D$5:$D$12,0)))</x:f>
        <x:v>80</x:v>
      </x:c>
      <x:c r="E780" s="11" t="n">
        <x:f>IF($A780="","",INDEX(Assumptions!$M$5:$M$11,WEEKDAY($A780,2)))</x:f>
        <x:v>0.98</x:v>
      </x:c>
      <x:c r="F780" s="11" t="n">
        <x:f>IF($A780="","",Assumptions!$B$15)</x:f>
        <x:v>0.35</x:v>
      </x:c>
      <x:c r="G780" s="11" t="n">
        <x:f>IF($A780="","",MAX(INDEX(Assumptions!$H$5:$H$12,MATCH($B780,Assumptions!$D$5:$D$12,0)),MIN(INDEX(Assumptions!$I$5:$I$12,MATCH($B780,Assumptions!$D$5:$D$12,0)),($C780+$D780*SQRT(-2*LN(RAND()))*COS(2*PI()*RAND()))*$E780*$J780*$K780)))</x:f>
        <x:v>779.6667395424967</x:v>
      </x:c>
      <x:c r="H780" s="11" t="n">
        <x:f>IF($A780="","",$G780*$F780+$C780*(1-$F780))</x:f>
        <x:v>822.1333588398738</x:v>
      </x:c>
      <x:c r="I780" s="11" t="n">
        <x:f>IF($A780="","",AVERAGE($H780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825.769591004251</x:v>
      </x:c>
      <x:c r="J780" s="12" t="n">
        <x:f>IF($A780="","",1+SUMIFS(Assumptions!$S$5:$S$10,Assumptions!$P$5:$P$10,$B780,Assumptions!$Q$5:$Q$10,"&lt;="&amp;$A780,Assumptions!$R$5:$R$10,"&gt;="&amp;$A780))</x:f>
        <x:v>1</x:v>
      </x:c>
      <x:c r="K780" s="12" t="n">
        <x:f>IF($A780="","",1+((($A780-Assumptions!$B$5)/30)*INDEX(Assumptions!$J$5:$J$12,MATCH($B780,Assumptions!$D$5:$D$12,0))))</x:f>
        <x:v>1.0051666666666668</x:v>
      </x:c>
      <x:c r="L780" t="str">
        <x:f>IF($A780="","",IFERROR(INDEX(Assumptions!$O$5:$O$10,MATCH(1,(Assumptions!$P$5:$P$10=$B780)*(Assumptions!$Q$5:$Q$10&lt;=$A780)*(Assumptions!$R$5:$R$10&gt;=$A780),0)),""))</x:f>
      </x:c>
      <x:c r="M780" t="n">
        <x:f>--($A780&lt;&gt;"")</x:f>
        <x:v>1</x:v>
      </x:c>
    </x:row>
    <x:row r="781">
      <x:c r="A781" s="10" t="n">
        <x:f>IF(Assumptions!$B$5+INT((ROW()-2)/Assumptions!$B$7)&gt;Assumptions!$B$6,"",Assumptions!$B$5+INT((ROW()-2)/Assumptions!$B$7))</x:f>
        <x:v>46178</x:v>
      </x:c>
      <x:c r="B781" t="str">
        <x:f>IF($A781="","",INDEX(Assumptions!$D$5:$D$12,MOD(ROW()-2,Assumptions!$B$7)+1))</x:f>
        <x:v>Yutani Ridge</x:v>
      </x:c>
      <x:c r="C781" s="11" t="n">
        <x:f>IF($A781="","",INDEX(Assumptions!$F$5:$F$12,MATCH($B781,Assumptions!$D$5:$D$12,0)))</x:f>
        <x:v>1050</x:v>
      </x:c>
      <x:c r="D781" s="11" t="n">
        <x:f>IF($A781="","",INDEX(Assumptions!$G$5:$G$12,MATCH($B781,Assumptions!$D$5:$D$12,0)))</x:f>
        <x:v>125</x:v>
      </x:c>
      <x:c r="E781" s="11" t="n">
        <x:f>IF($A781="","",INDEX(Assumptions!$M$5:$M$11,WEEKDAY($A781,2)))</x:f>
        <x:v>0.98</x:v>
      </x:c>
      <x:c r="F781" s="11" t="n">
        <x:f>IF($A781="","",Assumptions!$B$15)</x:f>
        <x:v>0.35</x:v>
      </x:c>
      <x:c r="G781" s="11" t="n">
        <x:f>IF($A781="","",MAX(INDEX(Assumptions!$H$5:$H$12,MATCH($B781,Assumptions!$D$5:$D$12,0)),MIN(INDEX(Assumptions!$I$5:$I$12,MATCH($B781,Assumptions!$D$5:$D$12,0)),($C781+$D781*SQRT(-2*LN(RAND()))*COS(2*PI()*RAND()))*$E781*$J781*$K781)))</x:f>
        <x:v>714.4617688244768</x:v>
      </x:c>
      <x:c r="H781" s="11" t="n">
        <x:f>IF($A781="","",$G781*$F781+$C781*(1-$F781))</x:f>
        <x:v>932.5616190885669</x:v>
      </x:c>
      <x:c r="I781" s="11" t="n">
        <x:f>IF($A781="","",AVERAGE($H781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1003.0490246544305</x:v>
      </x:c>
      <x:c r="J781" s="12" t="n">
        <x:f>IF($A781="","",1+SUMIFS(Assumptions!$S$5:$S$10,Assumptions!$P$5:$P$10,$B781,Assumptions!$Q$5:$Q$10,"&lt;="&amp;$A781,Assumptions!$R$5:$R$10,"&gt;="&amp;$A781))</x:f>
        <x:v>1</x:v>
      </x:c>
      <x:c r="K781" s="12" t="n">
        <x:f>IF($A781="","",1+((($A781-Assumptions!$B$5)/30)*INDEX(Assumptions!$J$5:$J$12,MATCH($B781,Assumptions!$D$5:$D$12,0))))</x:f>
        <x:v>1.0129166666666667</x:v>
      </x:c>
      <x:c r="L781" t="str">
        <x:f>IF($A781="","",IFERROR(INDEX(Assumptions!$O$5:$O$10,MATCH(1,(Assumptions!$P$5:$P$10=$B781)*(Assumptions!$Q$5:$Q$10&lt;=$A781)*(Assumptions!$R$5:$R$10&gt;=$A781),0)),""))</x:f>
      </x:c>
      <x:c r="M781" t="n">
        <x:f>--($A781&lt;&gt;"")</x:f>
        <x:v>1</x:v>
      </x:c>
    </x:row>
    <x:row r="782">
      <x:c r="A782" s="10" t="n">
        <x:f>IF(Assumptions!$B$5+INT((ROW()-2)/Assumptions!$B$7)&gt;Assumptions!$B$6,"",Assumptions!$B$5+INT((ROW()-2)/Assumptions!$B$7))</x:f>
        <x:v>46179</x:v>
      </x:c>
      <x:c r="B782" t="str">
        <x:f>IF($A782="","",INDEX(Assumptions!$D$5:$D$12,MOD(ROW()-2,Assumptions!$B$7)+1))</x:f>
        <x:v>Acheron Prime</x:v>
      </x:c>
      <x:c r="C782" s="11" t="n">
        <x:f>IF($A782="","",INDEX(Assumptions!$F$5:$F$12,MATCH($B782,Assumptions!$D$5:$D$12,0)))</x:f>
        <x:v>1120</x:v>
      </x:c>
      <x:c r="D782" s="11" t="n">
        <x:f>IF($A782="","",INDEX(Assumptions!$G$5:$G$12,MATCH($B782,Assumptions!$D$5:$D$12,0)))</x:f>
        <x:v>115</x:v>
      </x:c>
      <x:c r="E782" s="11" t="n">
        <x:f>IF($A782="","",INDEX(Assumptions!$M$5:$M$11,WEEKDAY($A782,2)))</x:f>
        <x:v>0.91</x:v>
      </x:c>
      <x:c r="F782" s="11" t="n">
        <x:f>IF($A782="","",Assumptions!$B$15)</x:f>
        <x:v>0.35</x:v>
      </x:c>
      <x:c r="G782" s="11" t="n">
        <x:f>IF($A782="","",MAX(INDEX(Assumptions!$H$5:$H$12,MATCH($B782,Assumptions!$D$5:$D$12,0)),MIN(INDEX(Assumptions!$I$5:$I$12,MATCH($B782,Assumptions!$D$5:$D$12,0)),($C782+$D782*SQRT(-2*LN(RAND()))*COS(2*PI()*RAND()))*$E782*$J782*$K782)))</x:f>
        <x:v>997.6082695776358</x:v>
      </x:c>
      <x:c r="H782" s="11" t="n">
        <x:f>IF($A782="","",$G782*$F782+$C782*(1-$F782))</x:f>
        <x:v>1077.1628943521725</x:v>
      </x:c>
      <x:c r="I782" s="11" t="n">
        <x:f>IF($A782="","",AVERAGE($H782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1087.1322649405902</x:v>
      </x:c>
      <x:c r="J782" s="12" t="n">
        <x:f>IF($A782="","",1+SUMIFS(Assumptions!$S$5:$S$10,Assumptions!$P$5:$P$10,$B782,Assumptions!$Q$5:$Q$10,"&lt;="&amp;$A782,Assumptions!$R$5:$R$10,"&gt;="&amp;$A782))</x:f>
        <x:v>1</x:v>
      </x:c>
      <x:c r="K782" s="12" t="n">
        <x:f>IF($A782="","",1+((($A782-Assumptions!$B$5)/30)*INDEX(Assumptions!$J$5:$J$12,MATCH($B782,Assumptions!$D$5:$D$12,0))))</x:f>
        <x:v>1.0104</x:v>
      </x:c>
      <x:c r="L782" t="str">
        <x:f>IF($A782="","",IFERROR(INDEX(Assumptions!$O$5:$O$10,MATCH(1,(Assumptions!$P$5:$P$10=$B782)*(Assumptions!$Q$5:$Q$10&lt;=$A782)*(Assumptions!$R$5:$R$10&gt;=$A782),0)),""))</x:f>
      </x:c>
      <x:c r="M782" t="n">
        <x:f>--($A782&lt;&gt;"")</x:f>
        <x:v>1</x:v>
      </x:c>
    </x:row>
    <x:row r="783">
      <x:c r="A783" s="10" t="n">
        <x:f>IF(Assumptions!$B$5+INT((ROW()-2)/Assumptions!$B$7)&gt;Assumptions!$B$6,"",Assumptions!$B$5+INT((ROW()-2)/Assumptions!$B$7))</x:f>
        <x:v>46179</x:v>
      </x:c>
      <x:c r="B783" t="str">
        <x:f>IF($A783="","",INDEX(Assumptions!$D$5:$D$12,MOD(ROW()-2,Assumptions!$B$7)+1))</x:f>
        <x:v>LV-426 North</x:v>
      </x:c>
      <x:c r="C783" s="11" t="n">
        <x:f>IF($A783="","",INDEX(Assumptions!$F$5:$F$12,MATCH($B783,Assumptions!$D$5:$D$12,0)))</x:f>
        <x:v>930</x:v>
      </x:c>
      <x:c r="D783" s="11" t="n">
        <x:f>IF($A783="","",INDEX(Assumptions!$G$5:$G$12,MATCH($B783,Assumptions!$D$5:$D$12,0)))</x:f>
        <x:v>95</x:v>
      </x:c>
      <x:c r="E783" s="11" t="n">
        <x:f>IF($A783="","",INDEX(Assumptions!$M$5:$M$11,WEEKDAY($A783,2)))</x:f>
        <x:v>0.91</x:v>
      </x:c>
      <x:c r="F783" s="11" t="n">
        <x:f>IF($A783="","",Assumptions!$B$15)</x:f>
        <x:v>0.35</x:v>
      </x:c>
      <x:c r="G783" s="11" t="n">
        <x:f>IF($A783="","",MAX(INDEX(Assumptions!$H$5:$H$12,MATCH($B783,Assumptions!$D$5:$D$12,0)),MIN(INDEX(Assumptions!$I$5:$I$12,MATCH($B783,Assumptions!$D$5:$D$12,0)),($C783+$D783*SQRT(-2*LN(RAND()))*COS(2*PI()*RAND()))*$E783*$J783*$K783)))</x:f>
        <x:v>843.2964178307537</x:v>
      </x:c>
      <x:c r="H783" s="11" t="n">
        <x:f>IF($A783="","",$G783*$F783+$C783*(1-$F783))</x:f>
        <x:v>899.6537462407638</x:v>
      </x:c>
      <x:c r="I783" s="11" t="n">
        <x:f>IF($A783="","",AVERAGE($H783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929.391839167587</x:v>
      </x:c>
      <x:c r="J783" s="12" t="n">
        <x:f>IF($A783="","",1+SUMIFS(Assumptions!$S$5:$S$10,Assumptions!$P$5:$P$10,$B783,Assumptions!$Q$5:$Q$10,"&lt;="&amp;$A783,Assumptions!$R$5:$R$10,"&gt;="&amp;$A783))</x:f>
        <x:v>1</x:v>
      </x:c>
      <x:c r="K783" s="12" t="n">
        <x:f>IF($A783="","",1+((($A783-Assumptions!$B$5)/30)*INDEX(Assumptions!$J$5:$J$12,MATCH($B783,Assumptions!$D$5:$D$12,0))))</x:f>
        <x:v>0.9948</x:v>
      </x:c>
      <x:c r="L783" t="str">
        <x:f>IF($A783="","",IFERROR(INDEX(Assumptions!$O$5:$O$10,MATCH(1,(Assumptions!$P$5:$P$10=$B783)*(Assumptions!$Q$5:$Q$10&lt;=$A783)*(Assumptions!$R$5:$R$10&gt;=$A783),0)),""))</x:f>
      </x:c>
      <x:c r="M783" t="n">
        <x:f>--($A783&lt;&gt;"")</x:f>
        <x:v>1</x:v>
      </x:c>
    </x:row>
    <x:row r="784">
      <x:c r="A784" s="10" t="n">
        <x:f>IF(Assumptions!$B$5+INT((ROW()-2)/Assumptions!$B$7)&gt;Assumptions!$B$6,"",Assumptions!$B$5+INT((ROW()-2)/Assumptions!$B$7))</x:f>
        <x:v>46179</x:v>
      </x:c>
      <x:c r="B784" t="str">
        <x:f>IF($A784="","",INDEX(Assumptions!$D$5:$D$12,MOD(ROW()-2,Assumptions!$B$7)+1))</x:f>
        <x:v>Nostromo Deep</x:v>
      </x:c>
      <x:c r="C784" s="11" t="n">
        <x:f>IF($A784="","",INDEX(Assumptions!$F$5:$F$12,MATCH($B784,Assumptions!$D$5:$D$12,0)))</x:f>
        <x:v>1260</x:v>
      </x:c>
      <x:c r="D784" s="11" t="n">
        <x:f>IF($A784="","",INDEX(Assumptions!$G$5:$G$12,MATCH($B784,Assumptions!$D$5:$D$12,0)))</x:f>
        <x:v>145</x:v>
      </x:c>
      <x:c r="E784" s="11" t="n">
        <x:f>IF($A784="","",INDEX(Assumptions!$M$5:$M$11,WEEKDAY($A784,2)))</x:f>
        <x:v>0.91</x:v>
      </x:c>
      <x:c r="F784" s="11" t="n">
        <x:f>IF($A784="","",Assumptions!$B$15)</x:f>
        <x:v>0.35</x:v>
      </x:c>
      <x:c r="G784" s="11" t="n">
        <x:f>IF($A784="","",MAX(INDEX(Assumptions!$H$5:$H$12,MATCH($B784,Assumptions!$D$5:$D$12,0)),MIN(INDEX(Assumptions!$I$5:$I$12,MATCH($B784,Assumptions!$D$5:$D$12,0)),($C784+$D784*SQRT(-2*LN(RAND()))*COS(2*PI()*RAND()))*$E784*$J784*$K784)))</x:f>
        <x:v>1063.2699344537898</x:v>
      </x:c>
      <x:c r="H784" s="11" t="n">
        <x:f>IF($A784="","",$G784*$F784+$C784*(1-$F784))</x:f>
        <x:v>1191.1444770588264</x:v>
      </x:c>
      <x:c r="I784" s="11" t="n">
        <x:f>IF($A784="","",AVERAGE($H784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1224.0335381695</x:v>
      </x:c>
      <x:c r="J784" s="12" t="n">
        <x:f>IF($A784="","",1+SUMIFS(Assumptions!$S$5:$S$10,Assumptions!$P$5:$P$10,$B784,Assumptions!$Q$5:$Q$10,"&lt;="&amp;$A784,Assumptions!$R$5:$R$10,"&gt;="&amp;$A784))</x:f>
        <x:v>1</x:v>
      </x:c>
      <x:c r="K784" s="12" t="n">
        <x:f>IF($A784="","",1+((($A784-Assumptions!$B$5)/30)*INDEX(Assumptions!$J$5:$J$12,MATCH($B784,Assumptions!$D$5:$D$12,0))))</x:f>
        <x:v>1.0156</x:v>
      </x:c>
      <x:c r="L784" t="str">
        <x:f>IF($A784="","",IFERROR(INDEX(Assumptions!$O$5:$O$10,MATCH(1,(Assumptions!$P$5:$P$10=$B784)*(Assumptions!$Q$5:$Q$10&lt;=$A784)*(Assumptions!$R$5:$R$10&gt;=$A784),0)),""))</x:f>
      </x:c>
      <x:c r="M784" t="n">
        <x:f>--($A784&lt;&gt;"")</x:f>
        <x:v>1</x:v>
      </x:c>
    </x:row>
    <x:row r="785">
      <x:c r="A785" s="10" t="n">
        <x:f>IF(Assumptions!$B$5+INT((ROW()-2)/Assumptions!$B$7)&gt;Assumptions!$B$6,"",Assumptions!$B$5+INT((ROW()-2)/Assumptions!$B$7))</x:f>
        <x:v>46179</x:v>
      </x:c>
      <x:c r="B785" t="str">
        <x:f>IF($A785="","",INDEX(Assumptions!$D$5:$D$12,MOD(ROW()-2,Assumptions!$B$7)+1))</x:f>
        <x:v>Hadley's Hope</x:v>
      </x:c>
      <x:c r="C785" s="11" t="n">
        <x:f>IF($A785="","",INDEX(Assumptions!$F$5:$F$12,MATCH($B785,Assumptions!$D$5:$D$12,0)))</x:f>
        <x:v>845</x:v>
      </x:c>
      <x:c r="D785" s="11" t="n">
        <x:f>IF($A785="","",INDEX(Assumptions!$G$5:$G$12,MATCH($B785,Assumptions!$D$5:$D$12,0)))</x:f>
        <x:v>80</x:v>
      </x:c>
      <x:c r="E785" s="11" t="n">
        <x:f>IF($A785="","",INDEX(Assumptions!$M$5:$M$11,WEEKDAY($A785,2)))</x:f>
        <x:v>0.91</x:v>
      </x:c>
      <x:c r="F785" s="11" t="n">
        <x:f>IF($A785="","",Assumptions!$B$15)</x:f>
        <x:v>0.35</x:v>
      </x:c>
      <x:c r="G785" s="11" t="n">
        <x:f>IF($A785="","",MAX(INDEX(Assumptions!$H$5:$H$12,MATCH($B785,Assumptions!$D$5:$D$12,0)),MIN(INDEX(Assumptions!$I$5:$I$12,MATCH($B785,Assumptions!$D$5:$D$12,0)),($C785+$D785*SQRT(-2*LN(RAND()))*COS(2*PI()*RAND()))*$E785*$J785*$K785)))</x:f>
        <x:v>837.3453088867099</x:v>
      </x:c>
      <x:c r="H785" s="11" t="n">
        <x:f>IF($A785="","",$G785*$F785+$C785*(1-$F785))</x:f>
        <x:v>842.3208581103484</x:v>
      </x:c>
      <x:c r="I785" s="11" t="n">
        <x:f>IF($A785="","",AVERAGE($H785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833.7553480465998</x:v>
      </x:c>
      <x:c r="J785" s="12" t="n">
        <x:f>IF($A785="","",1+SUMIFS(Assumptions!$S$5:$S$10,Assumptions!$P$5:$P$10,$B785,Assumptions!$Q$5:$Q$10,"&lt;="&amp;$A785,Assumptions!$R$5:$R$10,"&gt;="&amp;$A785))</x:f>
        <x:v>1</x:v>
      </x:c>
      <x:c r="K785" s="12" t="n">
        <x:f>IF($A785="","",1+((($A785-Assumptions!$B$5)/30)*INDEX(Assumptions!$J$5:$J$12,MATCH($B785,Assumptions!$D$5:$D$12,0))))</x:f>
        <x:v>1.0052</x:v>
      </x:c>
      <x:c r="L785" t="str">
        <x:f>IF($A785="","",IFERROR(INDEX(Assumptions!$O$5:$O$10,MATCH(1,(Assumptions!$P$5:$P$10=$B785)*(Assumptions!$Q$5:$Q$10&lt;=$A785)*(Assumptions!$R$5:$R$10&gt;=$A785),0)),""))</x:f>
      </x:c>
      <x:c r="M785" t="n">
        <x:f>--($A785&lt;&gt;"")</x:f>
        <x:v>1</x:v>
      </x:c>
    </x:row>
    <x:row r="786">
      <x:c r="A786" s="10" t="n">
        <x:f>IF(Assumptions!$B$5+INT((ROW()-2)/Assumptions!$B$7)&gt;Assumptions!$B$6,"",Assumptions!$B$5+INT((ROW()-2)/Assumptions!$B$7))</x:f>
        <x:v>46179</x:v>
      </x:c>
      <x:c r="B786" t="str">
        <x:f>IF($A786="","",INDEX(Assumptions!$D$5:$D$12,MOD(ROW()-2,Assumptions!$B$7)+1))</x:f>
        <x:v>Yutani Ridge</x:v>
      </x:c>
      <x:c r="C786" s="11" t="n">
        <x:f>IF($A786="","",INDEX(Assumptions!$F$5:$F$12,MATCH($B786,Assumptions!$D$5:$D$12,0)))</x:f>
        <x:v>1050</x:v>
      </x:c>
      <x:c r="D786" s="11" t="n">
        <x:f>IF($A786="","",INDEX(Assumptions!$G$5:$G$12,MATCH($B786,Assumptions!$D$5:$D$12,0)))</x:f>
        <x:v>125</x:v>
      </x:c>
      <x:c r="E786" s="11" t="n">
        <x:f>IF($A786="","",INDEX(Assumptions!$M$5:$M$11,WEEKDAY($A786,2)))</x:f>
        <x:v>0.91</x:v>
      </x:c>
      <x:c r="F786" s="11" t="n">
        <x:f>IF($A786="","",Assumptions!$B$15)</x:f>
        <x:v>0.35</x:v>
      </x:c>
      <x:c r="G786" s="11" t="n">
        <x:f>IF($A786="","",MAX(INDEX(Assumptions!$H$5:$H$12,MATCH($B786,Assumptions!$D$5:$D$12,0)),MIN(INDEX(Assumptions!$I$5:$I$12,MATCH($B786,Assumptions!$D$5:$D$12,0)),($C786+$D786*SQRT(-2*LN(RAND()))*COS(2*PI()*RAND()))*$E786*$J786*$K786)))</x:f>
        <x:v>700</x:v>
      </x:c>
      <x:c r="H786" s="11" t="n">
        <x:f>IF($A786="","",$G786*$F786+$C786*(1-$F786))</x:f>
        <x:v>927.5</x:v>
      </x:c>
      <x:c r="I786" s="11" t="n">
        <x:f>IF($A786="","",AVERAGE($H786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989.0908963201884</x:v>
      </x:c>
      <x:c r="J786" s="12" t="n">
        <x:f>IF($A786="","",1+SUMIFS(Assumptions!$S$5:$S$10,Assumptions!$P$5:$P$10,$B786,Assumptions!$Q$5:$Q$10,"&lt;="&amp;$A786,Assumptions!$R$5:$R$10,"&gt;="&amp;$A786))</x:f>
        <x:v>1</x:v>
      </x:c>
      <x:c r="K786" s="12" t="n">
        <x:f>IF($A786="","",1+((($A786-Assumptions!$B$5)/30)*INDEX(Assumptions!$J$5:$J$12,MATCH($B786,Assumptions!$D$5:$D$12,0))))</x:f>
        <x:v>1.013</x:v>
      </x:c>
      <x:c r="L786" t="str">
        <x:f>IF($A786="","",IFERROR(INDEX(Assumptions!$O$5:$O$10,MATCH(1,(Assumptions!$P$5:$P$10=$B786)*(Assumptions!$Q$5:$Q$10&lt;=$A786)*(Assumptions!$R$5:$R$10&gt;=$A786),0)),""))</x:f>
      </x:c>
      <x:c r="M786" t="n">
        <x:f>--($A786&lt;&gt;"")</x:f>
        <x:v>1</x:v>
      </x:c>
    </x:row>
    <x:row r="787">
      <x:c r="A787" s="10" t="n">
        <x:f>IF(Assumptions!$B$5+INT((ROW()-2)/Assumptions!$B$7)&gt;Assumptions!$B$6,"",Assumptions!$B$5+INT((ROW()-2)/Assumptions!$B$7))</x:f>
        <x:v>46180</x:v>
      </x:c>
      <x:c r="B787" t="str">
        <x:f>IF($A787="","",INDEX(Assumptions!$D$5:$D$12,MOD(ROW()-2,Assumptions!$B$7)+1))</x:f>
        <x:v>Acheron Prime</x:v>
      </x:c>
      <x:c r="C787" s="11" t="n">
        <x:f>IF($A787="","",INDEX(Assumptions!$F$5:$F$12,MATCH($B787,Assumptions!$D$5:$D$12,0)))</x:f>
        <x:v>1120</x:v>
      </x:c>
      <x:c r="D787" s="11" t="n">
        <x:f>IF($A787="","",INDEX(Assumptions!$G$5:$G$12,MATCH($B787,Assumptions!$D$5:$D$12,0)))</x:f>
        <x:v>115</x:v>
      </x:c>
      <x:c r="E787" s="11" t="n">
        <x:f>IF($A787="","",INDEX(Assumptions!$M$5:$M$11,WEEKDAY($A787,2)))</x:f>
        <x:v>0.87</x:v>
      </x:c>
      <x:c r="F787" s="11" t="n">
        <x:f>IF($A787="","",Assumptions!$B$15)</x:f>
        <x:v>0.35</x:v>
      </x:c>
      <x:c r="G787" s="11" t="n">
        <x:f>IF($A787="","",MAX(INDEX(Assumptions!$H$5:$H$12,MATCH($B787,Assumptions!$D$5:$D$12,0)),MIN(INDEX(Assumptions!$I$5:$I$12,MATCH($B787,Assumptions!$D$5:$D$12,0)),($C787+$D787*SQRT(-2*LN(RAND()))*COS(2*PI()*RAND()))*$E787*$J787*$K787)))</x:f>
        <x:v>1074.51833657384</x:v>
      </x:c>
      <x:c r="H787" s="11" t="n">
        <x:f>IF($A787="","",$G787*$F787+$C787*(1-$F787))</x:f>
        <x:v>1104.081417800844</x:v>
      </x:c>
      <x:c r="I787" s="11" t="n">
        <x:f>IF($A787="","",AVERAGE($H787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1097.0437006326572</x:v>
      </x:c>
      <x:c r="J787" s="12" t="n">
        <x:f>IF($A787="","",1+SUMIFS(Assumptions!$S$5:$S$10,Assumptions!$P$5:$P$10,$B787,Assumptions!$Q$5:$Q$10,"&lt;="&amp;$A787,Assumptions!$R$5:$R$10,"&gt;="&amp;$A787))</x:f>
        <x:v>1</x:v>
      </x:c>
      <x:c r="K787" s="12" t="n">
        <x:f>IF($A787="","",1+((($A787-Assumptions!$B$5)/30)*INDEX(Assumptions!$J$5:$J$12,MATCH($B787,Assumptions!$D$5:$D$12,0))))</x:f>
        <x:v>1.0104666666666666</x:v>
      </x:c>
      <x:c r="L787" t="str">
        <x:f>IF($A787="","",IFERROR(INDEX(Assumptions!$O$5:$O$10,MATCH(1,(Assumptions!$P$5:$P$10=$B787)*(Assumptions!$Q$5:$Q$10&lt;=$A787)*(Assumptions!$R$5:$R$10&gt;=$A787),0)),""))</x:f>
      </x:c>
      <x:c r="M787" t="n">
        <x:f>--($A787&lt;&gt;"")</x:f>
        <x:v>1</x:v>
      </x:c>
    </x:row>
    <x:row r="788">
      <x:c r="A788" s="10" t="n">
        <x:f>IF(Assumptions!$B$5+INT((ROW()-2)/Assumptions!$B$7)&gt;Assumptions!$B$6,"",Assumptions!$B$5+INT((ROW()-2)/Assumptions!$B$7))</x:f>
        <x:v>46180</x:v>
      </x:c>
      <x:c r="B788" t="str">
        <x:f>IF($A788="","",INDEX(Assumptions!$D$5:$D$12,MOD(ROW()-2,Assumptions!$B$7)+1))</x:f>
        <x:v>LV-426 North</x:v>
      </x:c>
      <x:c r="C788" s="11" t="n">
        <x:f>IF($A788="","",INDEX(Assumptions!$F$5:$F$12,MATCH($B788,Assumptions!$D$5:$D$12,0)))</x:f>
        <x:v>930</x:v>
      </x:c>
      <x:c r="D788" s="11" t="n">
        <x:f>IF($A788="","",INDEX(Assumptions!$G$5:$G$12,MATCH($B788,Assumptions!$D$5:$D$12,0)))</x:f>
        <x:v>95</x:v>
      </x:c>
      <x:c r="E788" s="11" t="n">
        <x:f>IF($A788="","",INDEX(Assumptions!$M$5:$M$11,WEEKDAY($A788,2)))</x:f>
        <x:v>0.87</x:v>
      </x:c>
      <x:c r="F788" s="11" t="n">
        <x:f>IF($A788="","",Assumptions!$B$15)</x:f>
        <x:v>0.35</x:v>
      </x:c>
      <x:c r="G788" s="11" t="n">
        <x:f>IF($A788="","",MAX(INDEX(Assumptions!$H$5:$H$12,MATCH($B788,Assumptions!$D$5:$D$12,0)),MIN(INDEX(Assumptions!$I$5:$I$12,MATCH($B788,Assumptions!$D$5:$D$12,0)),($C788+$D788*SQRT(-2*LN(RAND()))*COS(2*PI()*RAND()))*$E788*$J788*$K788)))</x:f>
        <x:v>741.5733413514598</x:v>
      </x:c>
      <x:c r="H788" s="11" t="n">
        <x:f>IF($A788="","",$G788*$F788+$C788*(1-$F788))</x:f>
        <x:v>864.0506694730109</x:v>
      </x:c>
      <x:c r="I788" s="11" t="n">
        <x:f>IF($A788="","",AVERAGE($H788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928.7268704567226</x:v>
      </x:c>
      <x:c r="J788" s="12" t="n">
        <x:f>IF($A788="","",1+SUMIFS(Assumptions!$S$5:$S$10,Assumptions!$P$5:$P$10,$B788,Assumptions!$Q$5:$Q$10,"&lt;="&amp;$A788,Assumptions!$R$5:$R$10,"&gt;="&amp;$A788))</x:f>
        <x:v>1</x:v>
      </x:c>
      <x:c r="K788" s="12" t="n">
        <x:f>IF($A788="","",1+((($A788-Assumptions!$B$5)/30)*INDEX(Assumptions!$J$5:$J$12,MATCH($B788,Assumptions!$D$5:$D$12,0))))</x:f>
        <x:v>0.9947666666666667</x:v>
      </x:c>
      <x:c r="L788" t="str">
        <x:f>IF($A788="","",IFERROR(INDEX(Assumptions!$O$5:$O$10,MATCH(1,(Assumptions!$P$5:$P$10=$B788)*(Assumptions!$Q$5:$Q$10&lt;=$A788)*(Assumptions!$R$5:$R$10&gt;=$A788),0)),""))</x:f>
      </x:c>
      <x:c r="M788" t="n">
        <x:f>--($A788&lt;&gt;"")</x:f>
        <x:v>1</x:v>
      </x:c>
    </x:row>
    <x:row r="789">
      <x:c r="A789" s="10" t="n">
        <x:f>IF(Assumptions!$B$5+INT((ROW()-2)/Assumptions!$B$7)&gt;Assumptions!$B$6,"",Assumptions!$B$5+INT((ROW()-2)/Assumptions!$B$7))</x:f>
        <x:v>46180</x:v>
      </x:c>
      <x:c r="B789" t="str">
        <x:f>IF($A789="","",INDEX(Assumptions!$D$5:$D$12,MOD(ROW()-2,Assumptions!$B$7)+1))</x:f>
        <x:v>Nostromo Deep</x:v>
      </x:c>
      <x:c r="C789" s="11" t="n">
        <x:f>IF($A789="","",INDEX(Assumptions!$F$5:$F$12,MATCH($B789,Assumptions!$D$5:$D$12,0)))</x:f>
        <x:v>1260</x:v>
      </x:c>
      <x:c r="D789" s="11" t="n">
        <x:f>IF($A789="","",INDEX(Assumptions!$G$5:$G$12,MATCH($B789,Assumptions!$D$5:$D$12,0)))</x:f>
        <x:v>145</x:v>
      </x:c>
      <x:c r="E789" s="11" t="n">
        <x:f>IF($A789="","",INDEX(Assumptions!$M$5:$M$11,WEEKDAY($A789,2)))</x:f>
        <x:v>0.87</x:v>
      </x:c>
      <x:c r="F789" s="11" t="n">
        <x:f>IF($A789="","",Assumptions!$B$15)</x:f>
        <x:v>0.35</x:v>
      </x:c>
      <x:c r="G789" s="11" t="n">
        <x:f>IF($A789="","",MAX(INDEX(Assumptions!$H$5:$H$12,MATCH($B789,Assumptions!$D$5:$D$12,0)),MIN(INDEX(Assumptions!$I$5:$I$12,MATCH($B789,Assumptions!$D$5:$D$12,0)),($C789+$D789*SQRT(-2*LN(RAND()))*COS(2*PI()*RAND()))*$E789*$J789*$K789)))</x:f>
        <x:v>1113.886074865886</x:v>
      </x:c>
      <x:c r="H789" s="11" t="n">
        <x:f>IF($A789="","",$G789*$F789+$C789*(1-$F789))</x:f>
        <x:v>1208.8601262030602</x:v>
      </x:c>
      <x:c r="I789" s="11" t="n">
        <x:f>IF($A789="","",AVERAGE($H789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1224.7232564203152</x:v>
      </x:c>
      <x:c r="J789" s="12" t="n">
        <x:f>IF($A789="","",1+SUMIFS(Assumptions!$S$5:$S$10,Assumptions!$P$5:$P$10,$B789,Assumptions!$Q$5:$Q$10,"&lt;="&amp;$A789,Assumptions!$R$5:$R$10,"&gt;="&amp;$A789))</x:f>
        <x:v>1</x:v>
      </x:c>
      <x:c r="K789" s="12" t="n">
        <x:f>IF($A789="","",1+((($A789-Assumptions!$B$5)/30)*INDEX(Assumptions!$J$5:$J$12,MATCH($B789,Assumptions!$D$5:$D$12,0))))</x:f>
        <x:v>1.0157</x:v>
      </x:c>
      <x:c r="L789" t="str">
        <x:f>IF($A789="","",IFERROR(INDEX(Assumptions!$O$5:$O$10,MATCH(1,(Assumptions!$P$5:$P$10=$B789)*(Assumptions!$Q$5:$Q$10&lt;=$A789)*(Assumptions!$R$5:$R$10&gt;=$A789),0)),""))</x:f>
      </x:c>
      <x:c r="M789" t="n">
        <x:f>--($A789&lt;&gt;"")</x:f>
        <x:v>1</x:v>
      </x:c>
    </x:row>
    <x:row r="790">
      <x:c r="A790" s="10" t="n">
        <x:f>IF(Assumptions!$B$5+INT((ROW()-2)/Assumptions!$B$7)&gt;Assumptions!$B$6,"",Assumptions!$B$5+INT((ROW()-2)/Assumptions!$B$7))</x:f>
        <x:v>46180</x:v>
      </x:c>
      <x:c r="B790" t="str">
        <x:f>IF($A790="","",INDEX(Assumptions!$D$5:$D$12,MOD(ROW()-2,Assumptions!$B$7)+1))</x:f>
        <x:v>Hadley's Hope</x:v>
      </x:c>
      <x:c r="C790" s="11" t="n">
        <x:f>IF($A790="","",INDEX(Assumptions!$F$5:$F$12,MATCH($B790,Assumptions!$D$5:$D$12,0)))</x:f>
        <x:v>845</x:v>
      </x:c>
      <x:c r="D790" s="11" t="n">
        <x:f>IF($A790="","",INDEX(Assumptions!$G$5:$G$12,MATCH($B790,Assumptions!$D$5:$D$12,0)))</x:f>
        <x:v>80</x:v>
      </x:c>
      <x:c r="E790" s="11" t="n">
        <x:f>IF($A790="","",INDEX(Assumptions!$M$5:$M$11,WEEKDAY($A790,2)))</x:f>
        <x:v>0.87</x:v>
      </x:c>
      <x:c r="F790" s="11" t="n">
        <x:f>IF($A790="","",Assumptions!$B$15)</x:f>
        <x:v>0.35</x:v>
      </x:c>
      <x:c r="G790" s="11" t="n">
        <x:f>IF($A790="","",MAX(INDEX(Assumptions!$H$5:$H$12,MATCH($B790,Assumptions!$D$5:$D$12,0)),MIN(INDEX(Assumptions!$I$5:$I$12,MATCH($B790,Assumptions!$D$5:$D$12,0)),($C790+$D790*SQRT(-2*LN(RAND()))*COS(2*PI()*RAND()))*$E790*$J790*$K790)))</x:f>
        <x:v>755.5962381255108</x:v>
      </x:c>
      <x:c r="H790" s="11" t="n">
        <x:f>IF($A790="","",$G790*$F790+$C790*(1-$F790))</x:f>
        <x:v>813.7086833439288</x:v>
      </x:c>
      <x:c r="I790" s="11" t="n">
        <x:f>IF($A790="","",AVERAGE($H790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828.8650569872615</x:v>
      </x:c>
      <x:c r="J790" s="12" t="n">
        <x:f>IF($A790="","",1+SUMIFS(Assumptions!$S$5:$S$10,Assumptions!$P$5:$P$10,$B790,Assumptions!$Q$5:$Q$10,"&lt;="&amp;$A790,Assumptions!$R$5:$R$10,"&gt;="&amp;$A790))</x:f>
        <x:v>1</x:v>
      </x:c>
      <x:c r="K790" s="12" t="n">
        <x:f>IF($A790="","",1+((($A790-Assumptions!$B$5)/30)*INDEX(Assumptions!$J$5:$J$12,MATCH($B790,Assumptions!$D$5:$D$12,0))))</x:f>
        <x:v>1.0052333333333334</x:v>
      </x:c>
      <x:c r="L790" t="str">
        <x:f>IF($A790="","",IFERROR(INDEX(Assumptions!$O$5:$O$10,MATCH(1,(Assumptions!$P$5:$P$10=$B790)*(Assumptions!$Q$5:$Q$10&lt;=$A790)*(Assumptions!$R$5:$R$10&gt;=$A790),0)),""))</x:f>
      </x:c>
      <x:c r="M790" t="n">
        <x:f>--($A790&lt;&gt;"")</x:f>
        <x:v>1</x:v>
      </x:c>
    </x:row>
    <x:row r="791">
      <x:c r="A791" s="10" t="n">
        <x:f>IF(Assumptions!$B$5+INT((ROW()-2)/Assumptions!$B$7)&gt;Assumptions!$B$6,"",Assumptions!$B$5+INT((ROW()-2)/Assumptions!$B$7))</x:f>
        <x:v>46180</x:v>
      </x:c>
      <x:c r="B791" t="str">
        <x:f>IF($A791="","",INDEX(Assumptions!$D$5:$D$12,MOD(ROW()-2,Assumptions!$B$7)+1))</x:f>
        <x:v>Yutani Ridge</x:v>
      </x:c>
      <x:c r="C791" s="11" t="n">
        <x:f>IF($A791="","",INDEX(Assumptions!$F$5:$F$12,MATCH($B791,Assumptions!$D$5:$D$12,0)))</x:f>
        <x:v>1050</x:v>
      </x:c>
      <x:c r="D791" s="11" t="n">
        <x:f>IF($A791="","",INDEX(Assumptions!$G$5:$G$12,MATCH($B791,Assumptions!$D$5:$D$12,0)))</x:f>
        <x:v>125</x:v>
      </x:c>
      <x:c r="E791" s="11" t="n">
        <x:f>IF($A791="","",INDEX(Assumptions!$M$5:$M$11,WEEKDAY($A791,2)))</x:f>
        <x:v>0.87</x:v>
      </x:c>
      <x:c r="F791" s="11" t="n">
        <x:f>IF($A791="","",Assumptions!$B$15)</x:f>
        <x:v>0.35</x:v>
      </x:c>
      <x:c r="G791" s="11" t="n">
        <x:f>IF($A791="","",MAX(INDEX(Assumptions!$H$5:$H$12,MATCH($B791,Assumptions!$D$5:$D$12,0)),MIN(INDEX(Assumptions!$I$5:$I$12,MATCH($B791,Assumptions!$D$5:$D$12,0)),($C791+$D791*SQRT(-2*LN(RAND()))*COS(2*PI()*RAND()))*$E791*$J791*$K791)))</x:f>
        <x:v>919.4357078638532</x:v>
      </x:c>
      <x:c r="H791" s="11" t="n">
        <x:f>IF($A791="","",$G791*$F791+$C791*(1-$F791))</x:f>
        <x:v>1004.3024977523486</x:v>
      </x:c>
      <x:c r="I791" s="11" t="n">
        <x:f>IF($A791="","",AVERAGE($H791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990.5828114927328</x:v>
      </x:c>
      <x:c r="J791" s="12" t="n">
        <x:f>IF($A791="","",1+SUMIFS(Assumptions!$S$5:$S$10,Assumptions!$P$5:$P$10,$B791,Assumptions!$Q$5:$Q$10,"&lt;="&amp;$A791,Assumptions!$R$5:$R$10,"&gt;="&amp;$A791))</x:f>
        <x:v>1</x:v>
      </x:c>
      <x:c r="K791" s="12" t="n">
        <x:f>IF($A791="","",1+((($A791-Assumptions!$B$5)/30)*INDEX(Assumptions!$J$5:$J$12,MATCH($B791,Assumptions!$D$5:$D$12,0))))</x:f>
        <x:v>1.0130833333333333</x:v>
      </x:c>
      <x:c r="L791" t="str">
        <x:f>IF($A791="","",IFERROR(INDEX(Assumptions!$O$5:$O$10,MATCH(1,(Assumptions!$P$5:$P$10=$B791)*(Assumptions!$Q$5:$Q$10&lt;=$A791)*(Assumptions!$R$5:$R$10&gt;=$A791),0)),""))</x:f>
      </x:c>
      <x:c r="M791" t="n">
        <x:f>--($A791&lt;&gt;"")</x:f>
        <x:v>1</x:v>
      </x:c>
    </x:row>
    <x:row r="792">
      <x:c r="A792" s="10" t="n">
        <x:f>IF(Assumptions!$B$5+INT((ROW()-2)/Assumptions!$B$7)&gt;Assumptions!$B$6,"",Assumptions!$B$5+INT((ROW()-2)/Assumptions!$B$7))</x:f>
        <x:v>46181</x:v>
      </x:c>
      <x:c r="B792" t="str">
        <x:f>IF($A792="","",INDEX(Assumptions!$D$5:$D$12,MOD(ROW()-2,Assumptions!$B$7)+1))</x:f>
        <x:v>Acheron Prime</x:v>
      </x:c>
      <x:c r="C792" s="11" t="n">
        <x:f>IF($A792="","",INDEX(Assumptions!$F$5:$F$12,MATCH($B792,Assumptions!$D$5:$D$12,0)))</x:f>
        <x:v>1120</x:v>
      </x:c>
      <x:c r="D792" s="11" t="n">
        <x:f>IF($A792="","",INDEX(Assumptions!$G$5:$G$12,MATCH($B792,Assumptions!$D$5:$D$12,0)))</x:f>
        <x:v>115</x:v>
      </x:c>
      <x:c r="E792" s="11" t="n">
        <x:f>IF($A792="","",INDEX(Assumptions!$M$5:$M$11,WEEKDAY($A792,2)))</x:f>
        <x:v>1.03</x:v>
      </x:c>
      <x:c r="F792" s="11" t="n">
        <x:f>IF($A792="","",Assumptions!$B$15)</x:f>
        <x:v>0.35</x:v>
      </x:c>
      <x:c r="G792" s="11" t="n">
        <x:f>IF($A792="","",MAX(INDEX(Assumptions!$H$5:$H$12,MATCH($B792,Assumptions!$D$5:$D$12,0)),MIN(INDEX(Assumptions!$I$5:$I$12,MATCH($B792,Assumptions!$D$5:$D$12,0)),($C792+$D792*SQRT(-2*LN(RAND()))*COS(2*PI()*RAND()))*$E792*$J792*$K792)))</x:f>
        <x:v>1278.0271001071683</x:v>
      </x:c>
      <x:c r="H792" s="11" t="n">
        <x:f>IF($A792="","",$G792*$F792+$C792*(1-$F792))</x:f>
        <x:v>1175.309485037509</x:v>
      </x:c>
      <x:c r="I792" s="11" t="n">
        <x:f>IF($A792="","",AVERAGE($H792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1103.3639965634477</x:v>
      </x:c>
      <x:c r="J792" s="12" t="n">
        <x:f>IF($A792="","",1+SUMIFS(Assumptions!$S$5:$S$10,Assumptions!$P$5:$P$10,$B792,Assumptions!$Q$5:$Q$10,"&lt;="&amp;$A792,Assumptions!$R$5:$R$10,"&gt;="&amp;$A792))</x:f>
        <x:v>1</x:v>
      </x:c>
      <x:c r="K792" s="12" t="n">
        <x:f>IF($A792="","",1+((($A792-Assumptions!$B$5)/30)*INDEX(Assumptions!$J$5:$J$12,MATCH($B792,Assumptions!$D$5:$D$12,0))))</x:f>
        <x:v>1.0105333333333333</x:v>
      </x:c>
      <x:c r="L792" t="str">
        <x:f>IF($A792="","",IFERROR(INDEX(Assumptions!$O$5:$O$10,MATCH(1,(Assumptions!$P$5:$P$10=$B792)*(Assumptions!$Q$5:$Q$10&lt;=$A792)*(Assumptions!$R$5:$R$10&gt;=$A792),0)),""))</x:f>
      </x:c>
      <x:c r="M792" t="n">
        <x:f>--($A792&lt;&gt;"")</x:f>
        <x:v>1</x:v>
      </x:c>
    </x:row>
    <x:row r="793">
      <x:c r="A793" s="10" t="n">
        <x:f>IF(Assumptions!$B$5+INT((ROW()-2)/Assumptions!$B$7)&gt;Assumptions!$B$6,"",Assumptions!$B$5+INT((ROW()-2)/Assumptions!$B$7))</x:f>
        <x:v>46181</x:v>
      </x:c>
      <x:c r="B793" t="str">
        <x:f>IF($A793="","",INDEX(Assumptions!$D$5:$D$12,MOD(ROW()-2,Assumptions!$B$7)+1))</x:f>
        <x:v>LV-426 North</x:v>
      </x:c>
      <x:c r="C793" s="11" t="n">
        <x:f>IF($A793="","",INDEX(Assumptions!$F$5:$F$12,MATCH($B793,Assumptions!$D$5:$D$12,0)))</x:f>
        <x:v>930</x:v>
      </x:c>
      <x:c r="D793" s="11" t="n">
        <x:f>IF($A793="","",INDEX(Assumptions!$G$5:$G$12,MATCH($B793,Assumptions!$D$5:$D$12,0)))</x:f>
        <x:v>95</x:v>
      </x:c>
      <x:c r="E793" s="11" t="n">
        <x:f>IF($A793="","",INDEX(Assumptions!$M$5:$M$11,WEEKDAY($A793,2)))</x:f>
        <x:v>1.03</x:v>
      </x:c>
      <x:c r="F793" s="11" t="n">
        <x:f>IF($A793="","",Assumptions!$B$15)</x:f>
        <x:v>0.35</x:v>
      </x:c>
      <x:c r="G793" s="11" t="n">
        <x:f>IF($A793="","",MAX(INDEX(Assumptions!$H$5:$H$12,MATCH($B793,Assumptions!$D$5:$D$12,0)),MIN(INDEX(Assumptions!$I$5:$I$12,MATCH($B793,Assumptions!$D$5:$D$12,0)),($C793+$D793*SQRT(-2*LN(RAND()))*COS(2*PI()*RAND()))*$E793*$J793*$K793)))</x:f>
        <x:v>1009.5943824398862</x:v>
      </x:c>
      <x:c r="H793" s="11" t="n">
        <x:f>IF($A793="","",$G793*$F793+$C793*(1-$F793))</x:f>
        <x:v>957.8580338539601</x:v>
      </x:c>
      <x:c r="I793" s="11" t="n">
        <x:f>IF($A793="","",AVERAGE($H793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940.1740708108792</x:v>
      </x:c>
      <x:c r="J793" s="12" t="n">
        <x:f>IF($A793="","",1+SUMIFS(Assumptions!$S$5:$S$10,Assumptions!$P$5:$P$10,$B793,Assumptions!$Q$5:$Q$10,"&lt;="&amp;$A793,Assumptions!$R$5:$R$10,"&gt;="&amp;$A793))</x:f>
        <x:v>1</x:v>
      </x:c>
      <x:c r="K793" s="12" t="n">
        <x:f>IF($A793="","",1+((($A793-Assumptions!$B$5)/30)*INDEX(Assumptions!$J$5:$J$12,MATCH($B793,Assumptions!$D$5:$D$12,0))))</x:f>
        <x:v>0.9947333333333334</x:v>
      </x:c>
      <x:c r="L793" t="str">
        <x:f>IF($A793="","",IFERROR(INDEX(Assumptions!$O$5:$O$10,MATCH(1,(Assumptions!$P$5:$P$10=$B793)*(Assumptions!$Q$5:$Q$10&lt;=$A793)*(Assumptions!$R$5:$R$10&gt;=$A793),0)),""))</x:f>
      </x:c>
      <x:c r="M793" t="n">
        <x:f>--($A793&lt;&gt;"")</x:f>
        <x:v>1</x:v>
      </x:c>
    </x:row>
    <x:row r="794">
      <x:c r="A794" s="10" t="n">
        <x:f>IF(Assumptions!$B$5+INT((ROW()-2)/Assumptions!$B$7)&gt;Assumptions!$B$6,"",Assumptions!$B$5+INT((ROW()-2)/Assumptions!$B$7))</x:f>
        <x:v>46181</x:v>
      </x:c>
      <x:c r="B794" t="str">
        <x:f>IF($A794="","",INDEX(Assumptions!$D$5:$D$12,MOD(ROW()-2,Assumptions!$B$7)+1))</x:f>
        <x:v>Nostromo Deep</x:v>
      </x:c>
      <x:c r="C794" s="11" t="n">
        <x:f>IF($A794="","",INDEX(Assumptions!$F$5:$F$12,MATCH($B794,Assumptions!$D$5:$D$12,0)))</x:f>
        <x:v>1260</x:v>
      </x:c>
      <x:c r="D794" s="11" t="n">
        <x:f>IF($A794="","",INDEX(Assumptions!$G$5:$G$12,MATCH($B794,Assumptions!$D$5:$D$12,0)))</x:f>
        <x:v>145</x:v>
      </x:c>
      <x:c r="E794" s="11" t="n">
        <x:f>IF($A794="","",INDEX(Assumptions!$M$5:$M$11,WEEKDAY($A794,2)))</x:f>
        <x:v>1.03</x:v>
      </x:c>
      <x:c r="F794" s="11" t="n">
        <x:f>IF($A794="","",Assumptions!$B$15)</x:f>
        <x:v>0.35</x:v>
      </x:c>
      <x:c r="G794" s="11" t="n">
        <x:f>IF($A794="","",MAX(INDEX(Assumptions!$H$5:$H$12,MATCH($B794,Assumptions!$D$5:$D$12,0)),MIN(INDEX(Assumptions!$I$5:$I$12,MATCH($B794,Assumptions!$D$5:$D$12,0)),($C794+$D794*SQRT(-2*LN(RAND()))*COS(2*PI()*RAND()))*$E794*$J794*$K794)))</x:f>
        <x:v>1680.142624673338</x:v>
      </x:c>
      <x:c r="H794" s="11" t="n">
        <x:f>IF($A794="","",$G794*$F794+$C794*(1-$F794))</x:f>
        <x:v>1407.0499186356683</x:v>
      </x:c>
      <x:c r="I794" s="11" t="n">
        <x:f>IF($A794="","",AVERAGE($H794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1253.2688540186753</x:v>
      </x:c>
      <x:c r="J794" s="12" t="n">
        <x:f>IF($A794="","",1+SUMIFS(Assumptions!$S$5:$S$10,Assumptions!$P$5:$P$10,$B794,Assumptions!$Q$5:$Q$10,"&lt;="&amp;$A794,Assumptions!$R$5:$R$10,"&gt;="&amp;$A794))</x:f>
        <x:v>1</x:v>
      </x:c>
      <x:c r="K794" s="12" t="n">
        <x:f>IF($A794="","",1+((($A794-Assumptions!$B$5)/30)*INDEX(Assumptions!$J$5:$J$12,MATCH($B794,Assumptions!$D$5:$D$12,0))))</x:f>
        <x:v>1.0158</x:v>
      </x:c>
      <x:c r="L794" t="str">
        <x:f>IF($A794="","",IFERROR(INDEX(Assumptions!$O$5:$O$10,MATCH(1,(Assumptions!$P$5:$P$10=$B794)*(Assumptions!$Q$5:$Q$10&lt;=$A794)*(Assumptions!$R$5:$R$10&gt;=$A794),0)),""))</x:f>
      </x:c>
      <x:c r="M794" t="n">
        <x:f>--($A794&lt;&gt;"")</x:f>
        <x:v>1</x:v>
      </x:c>
    </x:row>
    <x:row r="795">
      <x:c r="A795" s="10" t="n">
        <x:f>IF(Assumptions!$B$5+INT((ROW()-2)/Assumptions!$B$7)&gt;Assumptions!$B$6,"",Assumptions!$B$5+INT((ROW()-2)/Assumptions!$B$7))</x:f>
        <x:v>46181</x:v>
      </x:c>
      <x:c r="B795" t="str">
        <x:f>IF($A795="","",INDEX(Assumptions!$D$5:$D$12,MOD(ROW()-2,Assumptions!$B$7)+1))</x:f>
        <x:v>Hadley's Hope</x:v>
      </x:c>
      <x:c r="C795" s="11" t="n">
        <x:f>IF($A795="","",INDEX(Assumptions!$F$5:$F$12,MATCH($B795,Assumptions!$D$5:$D$12,0)))</x:f>
        <x:v>845</x:v>
      </x:c>
      <x:c r="D795" s="11" t="n">
        <x:f>IF($A795="","",INDEX(Assumptions!$G$5:$G$12,MATCH($B795,Assumptions!$D$5:$D$12,0)))</x:f>
        <x:v>80</x:v>
      </x:c>
      <x:c r="E795" s="11" t="n">
        <x:f>IF($A795="","",INDEX(Assumptions!$M$5:$M$11,WEEKDAY($A795,2)))</x:f>
        <x:v>1.03</x:v>
      </x:c>
      <x:c r="F795" s="11" t="n">
        <x:f>IF($A795="","",Assumptions!$B$15)</x:f>
        <x:v>0.35</x:v>
      </x:c>
      <x:c r="G795" s="11" t="n">
        <x:f>IF($A795="","",MAX(INDEX(Assumptions!$H$5:$H$12,MATCH($B795,Assumptions!$D$5:$D$12,0)),MIN(INDEX(Assumptions!$I$5:$I$12,MATCH($B795,Assumptions!$D$5:$D$12,0)),($C795+$D795*SQRT(-2*LN(RAND()))*COS(2*PI()*RAND()))*$E795*$J795*$K795)))</x:f>
        <x:v>861.9677318936074</x:v>
      </x:c>
      <x:c r="H795" s="11" t="n">
        <x:f>IF($A795="","",$G795*$F795+$C795*(1-$F795))</x:f>
        <x:v>850.9387061627626</x:v>
      </x:c>
      <x:c r="I795" s="11" t="n">
        <x:f>IF($A795="","",AVERAGE($H795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828.670180852746</x:v>
      </x:c>
      <x:c r="J795" s="12" t="n">
        <x:f>IF($A795="","",1+SUMIFS(Assumptions!$S$5:$S$10,Assumptions!$P$5:$P$10,$B795,Assumptions!$Q$5:$Q$10,"&lt;="&amp;$A795,Assumptions!$R$5:$R$10,"&gt;="&amp;$A795))</x:f>
        <x:v>1</x:v>
      </x:c>
      <x:c r="K795" s="12" t="n">
        <x:f>IF($A795="","",1+((($A795-Assumptions!$B$5)/30)*INDEX(Assumptions!$J$5:$J$12,MATCH($B795,Assumptions!$D$5:$D$12,0))))</x:f>
        <x:v>1.0052666666666668</x:v>
      </x:c>
      <x:c r="L795" t="str">
        <x:f>IF($A795="","",IFERROR(INDEX(Assumptions!$O$5:$O$10,MATCH(1,(Assumptions!$P$5:$P$10=$B795)*(Assumptions!$Q$5:$Q$10&lt;=$A795)*(Assumptions!$R$5:$R$10&gt;=$A795),0)),""))</x:f>
      </x:c>
      <x:c r="M795" t="n">
        <x:f>--($A795&lt;&gt;"")</x:f>
        <x:v>1</x:v>
      </x:c>
    </x:row>
    <x:row r="796">
      <x:c r="A796" s="10" t="n">
        <x:f>IF(Assumptions!$B$5+INT((ROW()-2)/Assumptions!$B$7)&gt;Assumptions!$B$6,"",Assumptions!$B$5+INT((ROW()-2)/Assumptions!$B$7))</x:f>
        <x:v>46181</x:v>
      </x:c>
      <x:c r="B796" t="str">
        <x:f>IF($A796="","",INDEX(Assumptions!$D$5:$D$12,MOD(ROW()-2,Assumptions!$B$7)+1))</x:f>
        <x:v>Yutani Ridge</x:v>
      </x:c>
      <x:c r="C796" s="11" t="n">
        <x:f>IF($A796="","",INDEX(Assumptions!$F$5:$F$12,MATCH($B796,Assumptions!$D$5:$D$12,0)))</x:f>
        <x:v>1050</x:v>
      </x:c>
      <x:c r="D796" s="11" t="n">
        <x:f>IF($A796="","",INDEX(Assumptions!$G$5:$G$12,MATCH($B796,Assumptions!$D$5:$D$12,0)))</x:f>
        <x:v>125</x:v>
      </x:c>
      <x:c r="E796" s="11" t="n">
        <x:f>IF($A796="","",INDEX(Assumptions!$M$5:$M$11,WEEKDAY($A796,2)))</x:f>
        <x:v>1.03</x:v>
      </x:c>
      <x:c r="F796" s="11" t="n">
        <x:f>IF($A796="","",Assumptions!$B$15)</x:f>
        <x:v>0.35</x:v>
      </x:c>
      <x:c r="G796" s="11" t="n">
        <x:f>IF($A796="","",MAX(INDEX(Assumptions!$H$5:$H$12,MATCH($B796,Assumptions!$D$5:$D$12,0)),MIN(INDEX(Assumptions!$I$5:$I$12,MATCH($B796,Assumptions!$D$5:$D$12,0)),($C796+$D796*SQRT(-2*LN(RAND()))*COS(2*PI()*RAND()))*$E796*$J796*$K796)))</x:f>
        <x:v>948.5678509765387</x:v>
      </x:c>
      <x:c r="H796" s="11" t="n">
        <x:f>IF($A796="","",$G796*$F796+$C796*(1-$F796))</x:f>
        <x:v>1014.4987478417886</x:v>
      </x:c>
      <x:c r="I796" s="11" t="n">
        <x:f>IF($A796="","",AVERAGE($H796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993.3240602573029</x:v>
      </x:c>
      <x:c r="J796" s="12" t="n">
        <x:f>IF($A796="","",1+SUMIFS(Assumptions!$S$5:$S$10,Assumptions!$P$5:$P$10,$B796,Assumptions!$Q$5:$Q$10,"&lt;="&amp;$A796,Assumptions!$R$5:$R$10,"&gt;="&amp;$A796))</x:f>
        <x:v>1</x:v>
      </x:c>
      <x:c r="K796" s="12" t="n">
        <x:f>IF($A796="","",1+((($A796-Assumptions!$B$5)/30)*INDEX(Assumptions!$J$5:$J$12,MATCH($B796,Assumptions!$D$5:$D$12,0))))</x:f>
        <x:v>1.0131666666666668</x:v>
      </x:c>
      <x:c r="L796" t="str">
        <x:f>IF($A796="","",IFERROR(INDEX(Assumptions!$O$5:$O$10,MATCH(1,(Assumptions!$P$5:$P$10=$B796)*(Assumptions!$Q$5:$Q$10&lt;=$A796)*(Assumptions!$R$5:$R$10&gt;=$A796),0)),""))</x:f>
      </x:c>
      <x:c r="M796" t="n">
        <x:f>--($A796&lt;&gt;"")</x:f>
        <x:v>1</x:v>
      </x:c>
    </x:row>
    <x:row r="797">
      <x:c r="A797" s="10" t="n">
        <x:f>IF(Assumptions!$B$5+INT((ROW()-2)/Assumptions!$B$7)&gt;Assumptions!$B$6,"",Assumptions!$B$5+INT((ROW()-2)/Assumptions!$B$7))</x:f>
        <x:v>46182</x:v>
      </x:c>
      <x:c r="B797" t="str">
        <x:f>IF($A797="","",INDEX(Assumptions!$D$5:$D$12,MOD(ROW()-2,Assumptions!$B$7)+1))</x:f>
        <x:v>Acheron Prime</x:v>
      </x:c>
      <x:c r="C797" s="11" t="n">
        <x:f>IF($A797="","",INDEX(Assumptions!$F$5:$F$12,MATCH($B797,Assumptions!$D$5:$D$12,0)))</x:f>
        <x:v>1120</x:v>
      </x:c>
      <x:c r="D797" s="11" t="n">
        <x:f>IF($A797="","",INDEX(Assumptions!$G$5:$G$12,MATCH($B797,Assumptions!$D$5:$D$12,0)))</x:f>
        <x:v>115</x:v>
      </x:c>
      <x:c r="E797" s="11" t="n">
        <x:f>IF($A797="","",INDEX(Assumptions!$M$5:$M$11,WEEKDAY($A797,2)))</x:f>
        <x:v>1.02</x:v>
      </x:c>
      <x:c r="F797" s="11" t="n">
        <x:f>IF($A797="","",Assumptions!$B$15)</x:f>
        <x:v>0.35</x:v>
      </x:c>
      <x:c r="G797" s="11" t="n">
        <x:f>IF($A797="","",MAX(INDEX(Assumptions!$H$5:$H$12,MATCH($B797,Assumptions!$D$5:$D$12,0)),MIN(INDEX(Assumptions!$I$5:$I$12,MATCH($B797,Assumptions!$D$5:$D$12,0)),($C797+$D797*SQRT(-2*LN(RAND()))*COS(2*PI()*RAND()))*$E797*$J797*$K797)))</x:f>
        <x:v>1051.3593868624716</x:v>
      </x:c>
      <x:c r="H797" s="11" t="n">
        <x:f>IF($A797="","",$G797*$F797+$C797*(1-$F797))</x:f>
        <x:v>1095.975785401865</x:v>
      </x:c>
      <x:c r="I797" s="11" t="n">
        <x:f>IF($A797="","",AVERAGE($H797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1102.070760923424</x:v>
      </x:c>
      <x:c r="J797" s="12" t="n">
        <x:f>IF($A797="","",1+SUMIFS(Assumptions!$S$5:$S$10,Assumptions!$P$5:$P$10,$B797,Assumptions!$Q$5:$Q$10,"&lt;="&amp;$A797,Assumptions!$R$5:$R$10,"&gt;="&amp;$A797))</x:f>
        <x:v>1</x:v>
      </x:c>
      <x:c r="K797" s="12" t="n">
        <x:f>IF($A797="","",1+((($A797-Assumptions!$B$5)/30)*INDEX(Assumptions!$J$5:$J$12,MATCH($B797,Assumptions!$D$5:$D$12,0))))</x:f>
        <x:v>1.0106</x:v>
      </x:c>
      <x:c r="L797" t="str">
        <x:f>IF($A797="","",IFERROR(INDEX(Assumptions!$O$5:$O$10,MATCH(1,(Assumptions!$P$5:$P$10=$B797)*(Assumptions!$Q$5:$Q$10&lt;=$A797)*(Assumptions!$R$5:$R$10&gt;=$A797),0)),""))</x:f>
      </x:c>
      <x:c r="M797" t="n">
        <x:f>--($A797&lt;&gt;"")</x:f>
        <x:v>1</x:v>
      </x:c>
    </x:row>
    <x:row r="798">
      <x:c r="A798" s="10" t="n">
        <x:f>IF(Assumptions!$B$5+INT((ROW()-2)/Assumptions!$B$7)&gt;Assumptions!$B$6,"",Assumptions!$B$5+INT((ROW()-2)/Assumptions!$B$7))</x:f>
        <x:v>46182</x:v>
      </x:c>
      <x:c r="B798" t="str">
        <x:f>IF($A798="","",INDEX(Assumptions!$D$5:$D$12,MOD(ROW()-2,Assumptions!$B$7)+1))</x:f>
        <x:v>LV-426 North</x:v>
      </x:c>
      <x:c r="C798" s="11" t="n">
        <x:f>IF($A798="","",INDEX(Assumptions!$F$5:$F$12,MATCH($B798,Assumptions!$D$5:$D$12,0)))</x:f>
        <x:v>930</x:v>
      </x:c>
      <x:c r="D798" s="11" t="n">
        <x:f>IF($A798="","",INDEX(Assumptions!$G$5:$G$12,MATCH($B798,Assumptions!$D$5:$D$12,0)))</x:f>
        <x:v>95</x:v>
      </x:c>
      <x:c r="E798" s="11" t="n">
        <x:f>IF($A798="","",INDEX(Assumptions!$M$5:$M$11,WEEKDAY($A798,2)))</x:f>
        <x:v>1.02</x:v>
      </x:c>
      <x:c r="F798" s="11" t="n">
        <x:f>IF($A798="","",Assumptions!$B$15)</x:f>
        <x:v>0.35</x:v>
      </x:c>
      <x:c r="G798" s="11" t="n">
        <x:f>IF($A798="","",MAX(INDEX(Assumptions!$H$5:$H$12,MATCH($B798,Assumptions!$D$5:$D$12,0)),MIN(INDEX(Assumptions!$I$5:$I$12,MATCH($B798,Assumptions!$D$5:$D$12,0)),($C798+$D798*SQRT(-2*LN(RAND()))*COS(2*PI()*RAND()))*$E798*$J798*$K798)))</x:f>
        <x:v>1108.1360209089019</x:v>
      </x:c>
      <x:c r="H798" s="11" t="n">
        <x:f>IF($A798="","",$G798*$F798+$C798*(1-$F798))</x:f>
        <x:v>992.3476073181157</x:v>
      </x:c>
      <x:c r="I798" s="11" t="n">
        <x:f>IF($A798="","",AVERAGE($H798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937.7399404781012</x:v>
      </x:c>
      <x:c r="J798" s="12" t="n">
        <x:f>IF($A798="","",1+SUMIFS(Assumptions!$S$5:$S$10,Assumptions!$P$5:$P$10,$B798,Assumptions!$Q$5:$Q$10,"&lt;="&amp;$A798,Assumptions!$R$5:$R$10,"&gt;="&amp;$A798))</x:f>
        <x:v>1</x:v>
      </x:c>
      <x:c r="K798" s="12" t="n">
        <x:f>IF($A798="","",1+((($A798-Assumptions!$B$5)/30)*INDEX(Assumptions!$J$5:$J$12,MATCH($B798,Assumptions!$D$5:$D$12,0))))</x:f>
        <x:v>0.9947</x:v>
      </x:c>
      <x:c r="L798" t="str">
        <x:f>IF($A798="","",IFERROR(INDEX(Assumptions!$O$5:$O$10,MATCH(1,(Assumptions!$P$5:$P$10=$B798)*(Assumptions!$Q$5:$Q$10&lt;=$A798)*(Assumptions!$R$5:$R$10&gt;=$A798),0)),""))</x:f>
      </x:c>
      <x:c r="M798" t="n">
        <x:f>--($A798&lt;&gt;"")</x:f>
        <x:v>1</x:v>
      </x:c>
    </x:row>
    <x:row r="799">
      <x:c r="A799" s="10" t="n">
        <x:f>IF(Assumptions!$B$5+INT((ROW()-2)/Assumptions!$B$7)&gt;Assumptions!$B$6,"",Assumptions!$B$5+INT((ROW()-2)/Assumptions!$B$7))</x:f>
        <x:v>46182</x:v>
      </x:c>
      <x:c r="B799" t="str">
        <x:f>IF($A799="","",INDEX(Assumptions!$D$5:$D$12,MOD(ROW()-2,Assumptions!$B$7)+1))</x:f>
        <x:v>Nostromo Deep</x:v>
      </x:c>
      <x:c r="C799" s="11" t="n">
        <x:f>IF($A799="","",INDEX(Assumptions!$F$5:$F$12,MATCH($B799,Assumptions!$D$5:$D$12,0)))</x:f>
        <x:v>1260</x:v>
      </x:c>
      <x:c r="D799" s="11" t="n">
        <x:f>IF($A799="","",INDEX(Assumptions!$G$5:$G$12,MATCH($B799,Assumptions!$D$5:$D$12,0)))</x:f>
        <x:v>145</x:v>
      </x:c>
      <x:c r="E799" s="11" t="n">
        <x:f>IF($A799="","",INDEX(Assumptions!$M$5:$M$11,WEEKDAY($A799,2)))</x:f>
        <x:v>1.02</x:v>
      </x:c>
      <x:c r="F799" s="11" t="n">
        <x:f>IF($A799="","",Assumptions!$B$15)</x:f>
        <x:v>0.35</x:v>
      </x:c>
      <x:c r="G799" s="11" t="n">
        <x:f>IF($A799="","",MAX(INDEX(Assumptions!$H$5:$H$12,MATCH($B799,Assumptions!$D$5:$D$12,0)),MIN(INDEX(Assumptions!$I$5:$I$12,MATCH($B799,Assumptions!$D$5:$D$12,0)),($C799+$D799*SQRT(-2*LN(RAND()))*COS(2*PI()*RAND()))*$E799*$J799*$K799)))</x:f>
        <x:v>1683.9709603022927</x:v>
      </x:c>
      <x:c r="H799" s="11" t="n">
        <x:f>IF($A799="","",$G799*$F799+$C799*(1-$F799))</x:f>
        <x:v>1408.3898361058023</x:v>
      </x:c>
      <x:c r="I799" s="11" t="n">
        <x:f>IF($A799="","",AVERAGE($H799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1265.8833110098817</x:v>
      </x:c>
      <x:c r="J799" s="12" t="n">
        <x:f>IF($A799="","",1+SUMIFS(Assumptions!$S$5:$S$10,Assumptions!$P$5:$P$10,$B799,Assumptions!$Q$5:$Q$10,"&lt;="&amp;$A799,Assumptions!$R$5:$R$10,"&gt;="&amp;$A799))</x:f>
        <x:v>1</x:v>
      </x:c>
      <x:c r="K799" s="12" t="n">
        <x:f>IF($A799="","",1+((($A799-Assumptions!$B$5)/30)*INDEX(Assumptions!$J$5:$J$12,MATCH($B799,Assumptions!$D$5:$D$12,0))))</x:f>
        <x:v>1.0159</x:v>
      </x:c>
      <x:c r="L799" t="str">
        <x:f>IF($A799="","",IFERROR(INDEX(Assumptions!$O$5:$O$10,MATCH(1,(Assumptions!$P$5:$P$10=$B799)*(Assumptions!$Q$5:$Q$10&lt;=$A799)*(Assumptions!$R$5:$R$10&gt;=$A799),0)),""))</x:f>
      </x:c>
      <x:c r="M799" t="n">
        <x:f>--($A799&lt;&gt;"")</x:f>
        <x:v>1</x:v>
      </x:c>
    </x:row>
    <x:row r="800">
      <x:c r="A800" s="10" t="n">
        <x:f>IF(Assumptions!$B$5+INT((ROW()-2)/Assumptions!$B$7)&gt;Assumptions!$B$6,"",Assumptions!$B$5+INT((ROW()-2)/Assumptions!$B$7))</x:f>
        <x:v>46182</x:v>
      </x:c>
      <x:c r="B800" t="str">
        <x:f>IF($A800="","",INDEX(Assumptions!$D$5:$D$12,MOD(ROW()-2,Assumptions!$B$7)+1))</x:f>
        <x:v>Hadley's Hope</x:v>
      </x:c>
      <x:c r="C800" s="11" t="n">
        <x:f>IF($A800="","",INDEX(Assumptions!$F$5:$F$12,MATCH($B800,Assumptions!$D$5:$D$12,0)))</x:f>
        <x:v>845</x:v>
      </x:c>
      <x:c r="D800" s="11" t="n">
        <x:f>IF($A800="","",INDEX(Assumptions!$G$5:$G$12,MATCH($B800,Assumptions!$D$5:$D$12,0)))</x:f>
        <x:v>80</x:v>
      </x:c>
      <x:c r="E800" s="11" t="n">
        <x:f>IF($A800="","",INDEX(Assumptions!$M$5:$M$11,WEEKDAY($A800,2)))</x:f>
        <x:v>1.02</x:v>
      </x:c>
      <x:c r="F800" s="11" t="n">
        <x:f>IF($A800="","",Assumptions!$B$15)</x:f>
        <x:v>0.35</x:v>
      </x:c>
      <x:c r="G800" s="11" t="n">
        <x:f>IF($A800="","",MAX(INDEX(Assumptions!$H$5:$H$12,MATCH($B800,Assumptions!$D$5:$D$12,0)),MIN(INDEX(Assumptions!$I$5:$I$12,MATCH($B800,Assumptions!$D$5:$D$12,0)),($C800+$D800*SQRT(-2*LN(RAND()))*COS(2*PI()*RAND()))*$E800*$J800*$K800)))</x:f>
        <x:v>966.7637072906682</x:v>
      </x:c>
      <x:c r="H800" s="11" t="n">
        <x:f>IF($A800="","",$G800*$F800+$C800*(1-$F800))</x:f>
        <x:v>887.6172975517338</x:v>
      </x:c>
      <x:c r="I800" s="11" t="n">
        <x:f>IF($A800="","",AVERAGE($H800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842.2775695173923</x:v>
      </x:c>
      <x:c r="J800" s="12" t="n">
        <x:f>IF($A800="","",1+SUMIFS(Assumptions!$S$5:$S$10,Assumptions!$P$5:$P$10,$B800,Assumptions!$Q$5:$Q$10,"&lt;="&amp;$A800,Assumptions!$R$5:$R$10,"&gt;="&amp;$A800))</x:f>
        <x:v>1</x:v>
      </x:c>
      <x:c r="K800" s="12" t="n">
        <x:f>IF($A800="","",1+((($A800-Assumptions!$B$5)/30)*INDEX(Assumptions!$J$5:$J$12,MATCH($B800,Assumptions!$D$5:$D$12,0))))</x:f>
        <x:v>1.0053</x:v>
      </x:c>
      <x:c r="L800" t="str">
        <x:f>IF($A800="","",IFERROR(INDEX(Assumptions!$O$5:$O$10,MATCH(1,(Assumptions!$P$5:$P$10=$B800)*(Assumptions!$Q$5:$Q$10&lt;=$A800)*(Assumptions!$R$5:$R$10&gt;=$A800),0)),""))</x:f>
      </x:c>
      <x:c r="M800" t="n">
        <x:f>--($A800&lt;&gt;"")</x:f>
        <x:v>1</x:v>
      </x:c>
    </x:row>
    <x:row r="801">
      <x:c r="A801" s="10" t="n">
        <x:f>IF(Assumptions!$B$5+INT((ROW()-2)/Assumptions!$B$7)&gt;Assumptions!$B$6,"",Assumptions!$B$5+INT((ROW()-2)/Assumptions!$B$7))</x:f>
        <x:v>46182</x:v>
      </x:c>
      <x:c r="B801" t="str">
        <x:f>IF($A801="","",INDEX(Assumptions!$D$5:$D$12,MOD(ROW()-2,Assumptions!$B$7)+1))</x:f>
        <x:v>Yutani Ridge</x:v>
      </x:c>
      <x:c r="C801" s="11" t="n">
        <x:f>IF($A801="","",INDEX(Assumptions!$F$5:$F$12,MATCH($B801,Assumptions!$D$5:$D$12,0)))</x:f>
        <x:v>1050</x:v>
      </x:c>
      <x:c r="D801" s="11" t="n">
        <x:f>IF($A801="","",INDEX(Assumptions!$G$5:$G$12,MATCH($B801,Assumptions!$D$5:$D$12,0)))</x:f>
        <x:v>125</x:v>
      </x:c>
      <x:c r="E801" s="11" t="n">
        <x:f>IF($A801="","",INDEX(Assumptions!$M$5:$M$11,WEEKDAY($A801,2)))</x:f>
        <x:v>1.02</x:v>
      </x:c>
      <x:c r="F801" s="11" t="n">
        <x:f>IF($A801="","",Assumptions!$B$15)</x:f>
        <x:v>0.35</x:v>
      </x:c>
      <x:c r="G801" s="11" t="n">
        <x:f>IF($A801="","",MAX(INDEX(Assumptions!$H$5:$H$12,MATCH($B801,Assumptions!$D$5:$D$12,0)),MIN(INDEX(Assumptions!$I$5:$I$12,MATCH($B801,Assumptions!$D$5:$D$12,0)),($C801+$D801*SQRT(-2*LN(RAND()))*COS(2*PI()*RAND()))*$E801*$J801*$K801)))</x:f>
        <x:v>1227.5612253312638</x:v>
      </x:c>
      <x:c r="H801" s="11" t="n">
        <x:f>IF($A801="","",$G801*$F801+$C801*(1-$F801))</x:f>
        <x:v>1112.1464288659422</x:v>
      </x:c>
      <x:c r="I801" s="11" t="n">
        <x:f>IF($A801="","",AVERAGE($H801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1018.1686893205577</x:v>
      </x:c>
      <x:c r="J801" s="12" t="n">
        <x:f>IF($A801="","",1+SUMIFS(Assumptions!$S$5:$S$10,Assumptions!$P$5:$P$10,$B801,Assumptions!$Q$5:$Q$10,"&lt;="&amp;$A801,Assumptions!$R$5:$R$10,"&gt;="&amp;$A801))</x:f>
        <x:v>1</x:v>
      </x:c>
      <x:c r="K801" s="12" t="n">
        <x:f>IF($A801="","",1+((($A801-Assumptions!$B$5)/30)*INDEX(Assumptions!$J$5:$J$12,MATCH($B801,Assumptions!$D$5:$D$12,0))))</x:f>
        <x:v>1.01325</x:v>
      </x:c>
      <x:c r="L801" t="str">
        <x:f>IF($A801="","",IFERROR(INDEX(Assumptions!$O$5:$O$10,MATCH(1,(Assumptions!$P$5:$P$10=$B801)*(Assumptions!$Q$5:$Q$10&lt;=$A801)*(Assumptions!$R$5:$R$10&gt;=$A801),0)),""))</x:f>
      </x:c>
      <x:c r="M801" t="n">
        <x:f>--($A801&lt;&gt;"")</x:f>
        <x:v>1</x:v>
      </x:c>
    </x:row>
    <x:row r="802">
      <x:c r="A802" s="10" t="n">
        <x:f>IF(Assumptions!$B$5+INT((ROW()-2)/Assumptions!$B$7)&gt;Assumptions!$B$6,"",Assumptions!$B$5+INT((ROW()-2)/Assumptions!$B$7))</x:f>
        <x:v>46183</x:v>
      </x:c>
      <x:c r="B802" t="str">
        <x:f>IF($A802="","",INDEX(Assumptions!$D$5:$D$12,MOD(ROW()-2,Assumptions!$B$7)+1))</x:f>
        <x:v>Acheron Prime</x:v>
      </x:c>
      <x:c r="C802" s="11" t="n">
        <x:f>IF($A802="","",INDEX(Assumptions!$F$5:$F$12,MATCH($B802,Assumptions!$D$5:$D$12,0)))</x:f>
        <x:v>1120</x:v>
      </x:c>
      <x:c r="D802" s="11" t="n">
        <x:f>IF($A802="","",INDEX(Assumptions!$G$5:$G$12,MATCH($B802,Assumptions!$D$5:$D$12,0)))</x:f>
        <x:v>115</x:v>
      </x:c>
      <x:c r="E802" s="11" t="n">
        <x:f>IF($A802="","",INDEX(Assumptions!$M$5:$M$11,WEEKDAY($A802,2)))</x:f>
        <x:v>1.01</x:v>
      </x:c>
      <x:c r="F802" s="11" t="n">
        <x:f>IF($A802="","",Assumptions!$B$15)</x:f>
        <x:v>0.35</x:v>
      </x:c>
      <x:c r="G802" s="11" t="n">
        <x:f>IF($A802="","",MAX(INDEX(Assumptions!$H$5:$H$12,MATCH($B802,Assumptions!$D$5:$D$12,0)),MIN(INDEX(Assumptions!$I$5:$I$12,MATCH($B802,Assumptions!$D$5:$D$12,0)),($C802+$D802*SQRT(-2*LN(RAND()))*COS(2*PI()*RAND()))*$E802*$J802*$K802)))</x:f>
        <x:v>1194.2161459917156</x:v>
      </x:c>
      <x:c r="H802" s="11" t="n">
        <x:f>IF($A802="","",$G802*$F802+$C802*(1-$F802))</x:f>
        <x:v>1145.9756510971006</x:v>
      </x:c>
      <x:c r="I802" s="11" t="n">
        <x:f>IF($A802="","",AVERAGE($H802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1106.5448333923212</x:v>
      </x:c>
      <x:c r="J802" s="12" t="n">
        <x:f>IF($A802="","",1+SUMIFS(Assumptions!$S$5:$S$10,Assumptions!$P$5:$P$10,$B802,Assumptions!$Q$5:$Q$10,"&lt;="&amp;$A802,Assumptions!$R$5:$R$10,"&gt;="&amp;$A802))</x:f>
        <x:v>1</x:v>
      </x:c>
      <x:c r="K802" s="12" t="n">
        <x:f>IF($A802="","",1+((($A802-Assumptions!$B$5)/30)*INDEX(Assumptions!$J$5:$J$12,MATCH($B802,Assumptions!$D$5:$D$12,0))))</x:f>
        <x:v>1.0106666666666666</x:v>
      </x:c>
      <x:c r="L802" t="str">
        <x:f>IF($A802="","",IFERROR(INDEX(Assumptions!$O$5:$O$10,MATCH(1,(Assumptions!$P$5:$P$10=$B802)*(Assumptions!$Q$5:$Q$10&lt;=$A802)*(Assumptions!$R$5:$R$10&gt;=$A802),0)),""))</x:f>
      </x:c>
      <x:c r="M802" t="n">
        <x:f>--($A802&lt;&gt;"")</x:f>
        <x:v>1</x:v>
      </x:c>
    </x:row>
    <x:row r="803">
      <x:c r="A803" s="10" t="n">
        <x:f>IF(Assumptions!$B$5+INT((ROW()-2)/Assumptions!$B$7)&gt;Assumptions!$B$6,"",Assumptions!$B$5+INT((ROW()-2)/Assumptions!$B$7))</x:f>
        <x:v>46183</x:v>
      </x:c>
      <x:c r="B803" t="str">
        <x:f>IF($A803="","",INDEX(Assumptions!$D$5:$D$12,MOD(ROW()-2,Assumptions!$B$7)+1))</x:f>
        <x:v>LV-426 North</x:v>
      </x:c>
      <x:c r="C803" s="11" t="n">
        <x:f>IF($A803="","",INDEX(Assumptions!$F$5:$F$12,MATCH($B803,Assumptions!$D$5:$D$12,0)))</x:f>
        <x:v>930</x:v>
      </x:c>
      <x:c r="D803" s="11" t="n">
        <x:f>IF($A803="","",INDEX(Assumptions!$G$5:$G$12,MATCH($B803,Assumptions!$D$5:$D$12,0)))</x:f>
        <x:v>95</x:v>
      </x:c>
      <x:c r="E803" s="11" t="n">
        <x:f>IF($A803="","",INDEX(Assumptions!$M$5:$M$11,WEEKDAY($A803,2)))</x:f>
        <x:v>1.01</x:v>
      </x:c>
      <x:c r="F803" s="11" t="n">
        <x:f>IF($A803="","",Assumptions!$B$15)</x:f>
        <x:v>0.35</x:v>
      </x:c>
      <x:c r="G803" s="11" t="n">
        <x:f>IF($A803="","",MAX(INDEX(Assumptions!$H$5:$H$12,MATCH($B803,Assumptions!$D$5:$D$12,0)),MIN(INDEX(Assumptions!$I$5:$I$12,MATCH($B803,Assumptions!$D$5:$D$12,0)),($C803+$D803*SQRT(-2*LN(RAND()))*COS(2*PI()*RAND()))*$E803*$J803*$K803)))</x:f>
        <x:v>892.0306528575381</x:v>
      </x:c>
      <x:c r="H803" s="11" t="n">
        <x:f>IF($A803="","",$G803*$F803+$C803*(1-$F803))</x:f>
        <x:v>916.7107285001383</x:v>
      </x:c>
      <x:c r="I803" s="11" t="n">
        <x:f>IF($A803="","",AVERAGE($H803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931.5748045109428</x:v>
      </x:c>
      <x:c r="J803" s="12" t="n">
        <x:f>IF($A803="","",1+SUMIFS(Assumptions!$S$5:$S$10,Assumptions!$P$5:$P$10,$B803,Assumptions!$Q$5:$Q$10,"&lt;="&amp;$A803,Assumptions!$R$5:$R$10,"&gt;="&amp;$A803))</x:f>
        <x:v>1</x:v>
      </x:c>
      <x:c r="K803" s="12" t="n">
        <x:f>IF($A803="","",1+((($A803-Assumptions!$B$5)/30)*INDEX(Assumptions!$J$5:$J$12,MATCH($B803,Assumptions!$D$5:$D$12,0))))</x:f>
        <x:v>0.9946666666666667</x:v>
      </x:c>
      <x:c r="L803" t="str">
        <x:f>IF($A803="","",IFERROR(INDEX(Assumptions!$O$5:$O$10,MATCH(1,(Assumptions!$P$5:$P$10=$B803)*(Assumptions!$Q$5:$Q$10&lt;=$A803)*(Assumptions!$R$5:$R$10&gt;=$A803),0)),""))</x:f>
      </x:c>
      <x:c r="M803" t="n">
        <x:f>--($A803&lt;&gt;"")</x:f>
        <x:v>1</x:v>
      </x:c>
    </x:row>
    <x:row r="804">
      <x:c r="A804" s="10" t="n">
        <x:f>IF(Assumptions!$B$5+INT((ROW()-2)/Assumptions!$B$7)&gt;Assumptions!$B$6,"",Assumptions!$B$5+INT((ROW()-2)/Assumptions!$B$7))</x:f>
        <x:v>46183</x:v>
      </x:c>
      <x:c r="B804" t="str">
        <x:f>IF($A804="","",INDEX(Assumptions!$D$5:$D$12,MOD(ROW()-2,Assumptions!$B$7)+1))</x:f>
        <x:v>Nostromo Deep</x:v>
      </x:c>
      <x:c r="C804" s="11" t="n">
        <x:f>IF($A804="","",INDEX(Assumptions!$F$5:$F$12,MATCH($B804,Assumptions!$D$5:$D$12,0)))</x:f>
        <x:v>1260</x:v>
      </x:c>
      <x:c r="D804" s="11" t="n">
        <x:f>IF($A804="","",INDEX(Assumptions!$G$5:$G$12,MATCH($B804,Assumptions!$D$5:$D$12,0)))</x:f>
        <x:v>145</x:v>
      </x:c>
      <x:c r="E804" s="11" t="n">
        <x:f>IF($A804="","",INDEX(Assumptions!$M$5:$M$11,WEEKDAY($A804,2)))</x:f>
        <x:v>1.01</x:v>
      </x:c>
      <x:c r="F804" s="11" t="n">
        <x:f>IF($A804="","",Assumptions!$B$15)</x:f>
        <x:v>0.35</x:v>
      </x:c>
      <x:c r="G804" s="11" t="n">
        <x:f>IF($A804="","",MAX(INDEX(Assumptions!$H$5:$H$12,MATCH($B804,Assumptions!$D$5:$D$12,0)),MIN(INDEX(Assumptions!$I$5:$I$12,MATCH($B804,Assumptions!$D$5:$D$12,0)),($C804+$D804*SQRT(-2*LN(RAND()))*COS(2*PI()*RAND()))*$E804*$J804*$K804)))</x:f>
        <x:v>1039.0643129013476</x:v>
      </x:c>
      <x:c r="H804" s="11" t="n">
        <x:f>IF($A804="","",$G804*$F804+$C804*(1-$F804))</x:f>
        <x:v>1182.6725095154716</x:v>
      </x:c>
      <x:c r="I804" s="11" t="n">
        <x:f>IF($A804="","",AVERAGE($H804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1261.0783599850224</x:v>
      </x:c>
      <x:c r="J804" s="12" t="n">
        <x:f>IF($A804="","",1+SUMIFS(Assumptions!$S$5:$S$10,Assumptions!$P$5:$P$10,$B804,Assumptions!$Q$5:$Q$10,"&lt;="&amp;$A804,Assumptions!$R$5:$R$10,"&gt;="&amp;$A804))</x:f>
        <x:v>1</x:v>
      </x:c>
      <x:c r="K804" s="12" t="n">
        <x:f>IF($A804="","",1+((($A804-Assumptions!$B$5)/30)*INDEX(Assumptions!$J$5:$J$12,MATCH($B804,Assumptions!$D$5:$D$12,0))))</x:f>
        <x:v>1.016</x:v>
      </x:c>
      <x:c r="L804" t="str">
        <x:f>IF($A804="","",IFERROR(INDEX(Assumptions!$O$5:$O$10,MATCH(1,(Assumptions!$P$5:$P$10=$B804)*(Assumptions!$Q$5:$Q$10&lt;=$A804)*(Assumptions!$R$5:$R$10&gt;=$A804),0)),""))</x:f>
      </x:c>
      <x:c r="M804" t="n">
        <x:f>--($A804&lt;&gt;"")</x:f>
        <x:v>1</x:v>
      </x:c>
    </x:row>
    <x:row r="805">
      <x:c r="A805" s="10" t="n">
        <x:f>IF(Assumptions!$B$5+INT((ROW()-2)/Assumptions!$B$7)&gt;Assumptions!$B$6,"",Assumptions!$B$5+INT((ROW()-2)/Assumptions!$B$7))</x:f>
        <x:v>46183</x:v>
      </x:c>
      <x:c r="B805" t="str">
        <x:f>IF($A805="","",INDEX(Assumptions!$D$5:$D$12,MOD(ROW()-2,Assumptions!$B$7)+1))</x:f>
        <x:v>Hadley's Hope</x:v>
      </x:c>
      <x:c r="C805" s="11" t="n">
        <x:f>IF($A805="","",INDEX(Assumptions!$F$5:$F$12,MATCH($B805,Assumptions!$D$5:$D$12,0)))</x:f>
        <x:v>845</x:v>
      </x:c>
      <x:c r="D805" s="11" t="n">
        <x:f>IF($A805="","",INDEX(Assumptions!$G$5:$G$12,MATCH($B805,Assumptions!$D$5:$D$12,0)))</x:f>
        <x:v>80</x:v>
      </x:c>
      <x:c r="E805" s="11" t="n">
        <x:f>IF($A805="","",INDEX(Assumptions!$M$5:$M$11,WEEKDAY($A805,2)))</x:f>
        <x:v>1.01</x:v>
      </x:c>
      <x:c r="F805" s="11" t="n">
        <x:f>IF($A805="","",Assumptions!$B$15)</x:f>
        <x:v>0.35</x:v>
      </x:c>
      <x:c r="G805" s="11" t="n">
        <x:f>IF($A805="","",MAX(INDEX(Assumptions!$H$5:$H$12,MATCH($B805,Assumptions!$D$5:$D$12,0)),MIN(INDEX(Assumptions!$I$5:$I$12,MATCH($B805,Assumptions!$D$5:$D$12,0)),($C805+$D805*SQRT(-2*LN(RAND()))*COS(2*PI()*RAND()))*$E805*$J805*$K805)))</x:f>
        <x:v>767.4436370088706</x:v>
      </x:c>
      <x:c r="H805" s="11" t="n">
        <x:f>IF($A805="","",$G805*$F805+$C805*(1-$F805))</x:f>
        <x:v>817.8552729531048</x:v>
      </x:c>
      <x:c r="I805" s="11" t="n">
        <x:f>IF($A805="","",AVERAGE($H805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841.6576365570075</x:v>
      </x:c>
      <x:c r="J805" s="12" t="n">
        <x:f>IF($A805="","",1+SUMIFS(Assumptions!$S$5:$S$10,Assumptions!$P$5:$P$10,$B805,Assumptions!$Q$5:$Q$10,"&lt;="&amp;$A805,Assumptions!$R$5:$R$10,"&gt;="&amp;$A805))</x:f>
        <x:v>1</x:v>
      </x:c>
      <x:c r="K805" s="12" t="n">
        <x:f>IF($A805="","",1+((($A805-Assumptions!$B$5)/30)*INDEX(Assumptions!$J$5:$J$12,MATCH($B805,Assumptions!$D$5:$D$12,0))))</x:f>
        <x:v>1.0053333333333334</x:v>
      </x:c>
      <x:c r="L805" t="str">
        <x:f>IF($A805="","",IFERROR(INDEX(Assumptions!$O$5:$O$10,MATCH(1,(Assumptions!$P$5:$P$10=$B805)*(Assumptions!$Q$5:$Q$10&lt;=$A805)*(Assumptions!$R$5:$R$10&gt;=$A805),0)),""))</x:f>
      </x:c>
      <x:c r="M805" t="n">
        <x:f>--($A805&lt;&gt;"")</x:f>
        <x:v>1</x:v>
      </x:c>
    </x:row>
    <x:row r="806">
      <x:c r="A806" s="10" t="n">
        <x:f>IF(Assumptions!$B$5+INT((ROW()-2)/Assumptions!$B$7)&gt;Assumptions!$B$6,"",Assumptions!$B$5+INT((ROW()-2)/Assumptions!$B$7))</x:f>
        <x:v>46183</x:v>
      </x:c>
      <x:c r="B806" t="str">
        <x:f>IF($A806="","",INDEX(Assumptions!$D$5:$D$12,MOD(ROW()-2,Assumptions!$B$7)+1))</x:f>
        <x:v>Yutani Ridge</x:v>
      </x:c>
      <x:c r="C806" s="11" t="n">
        <x:f>IF($A806="","",INDEX(Assumptions!$F$5:$F$12,MATCH($B806,Assumptions!$D$5:$D$12,0)))</x:f>
        <x:v>1050</x:v>
      </x:c>
      <x:c r="D806" s="11" t="n">
        <x:f>IF($A806="","",INDEX(Assumptions!$G$5:$G$12,MATCH($B806,Assumptions!$D$5:$D$12,0)))</x:f>
        <x:v>125</x:v>
      </x:c>
      <x:c r="E806" s="11" t="n">
        <x:f>IF($A806="","",INDEX(Assumptions!$M$5:$M$11,WEEKDAY($A806,2)))</x:f>
        <x:v>1.01</x:v>
      </x:c>
      <x:c r="F806" s="11" t="n">
        <x:f>IF($A806="","",Assumptions!$B$15)</x:f>
        <x:v>0.35</x:v>
      </x:c>
      <x:c r="G806" s="11" t="n">
        <x:f>IF($A806="","",MAX(INDEX(Assumptions!$H$5:$H$12,MATCH($B806,Assumptions!$D$5:$D$12,0)),MIN(INDEX(Assumptions!$I$5:$I$12,MATCH($B806,Assumptions!$D$5:$D$12,0)),($C806+$D806*SQRT(-2*LN(RAND()))*COS(2*PI()*RAND()))*$E806*$J806*$K806)))</x:f>
        <x:v>1220.3094337331052</x:v>
      </x:c>
      <x:c r="H806" s="11" t="n">
        <x:f>IF($A806="","",$G806*$F806+$C806*(1-$F806))</x:f>
        <x:v>1109.6083018065867</x:v>
      </x:c>
      <x:c r="I806" s="11" t="n">
        <x:f>IF($A806="","",AVERAGE($H806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1025.7657667270817</x:v>
      </x:c>
      <x:c r="J806" s="12" t="n">
        <x:f>IF($A806="","",1+SUMIFS(Assumptions!$S$5:$S$10,Assumptions!$P$5:$P$10,$B806,Assumptions!$Q$5:$Q$10,"&lt;="&amp;$A806,Assumptions!$R$5:$R$10,"&gt;="&amp;$A806))</x:f>
        <x:v>1</x:v>
      </x:c>
      <x:c r="K806" s="12" t="n">
        <x:f>IF($A806="","",1+((($A806-Assumptions!$B$5)/30)*INDEX(Assumptions!$J$5:$J$12,MATCH($B806,Assumptions!$D$5:$D$12,0))))</x:f>
        <x:v>1.0133333333333334</x:v>
      </x:c>
      <x:c r="L806" t="str">
        <x:f>IF($A806="","",IFERROR(INDEX(Assumptions!$O$5:$O$10,MATCH(1,(Assumptions!$P$5:$P$10=$B806)*(Assumptions!$Q$5:$Q$10&lt;=$A806)*(Assumptions!$R$5:$R$10&gt;=$A806),0)),""))</x:f>
      </x:c>
      <x:c r="M806" t="n">
        <x:f>--($A806&lt;&gt;"")</x:f>
        <x:v>1</x:v>
      </x:c>
    </x:row>
    <x:row r="807">
      <x:c r="A807" s="10" t="n">
        <x:f>IF(Assumptions!$B$5+INT((ROW()-2)/Assumptions!$B$7)&gt;Assumptions!$B$6,"",Assumptions!$B$5+INT((ROW()-2)/Assumptions!$B$7))</x:f>
        <x:v>46184</x:v>
      </x:c>
      <x:c r="B807" t="str">
        <x:f>IF($A807="","",INDEX(Assumptions!$D$5:$D$12,MOD(ROW()-2,Assumptions!$B$7)+1))</x:f>
        <x:v>Acheron Prime</x:v>
      </x:c>
      <x:c r="C807" s="11" t="n">
        <x:f>IF($A807="","",INDEX(Assumptions!$F$5:$F$12,MATCH($B807,Assumptions!$D$5:$D$12,0)))</x:f>
        <x:v>1120</x:v>
      </x:c>
      <x:c r="D807" s="11" t="n">
        <x:f>IF($A807="","",INDEX(Assumptions!$G$5:$G$12,MATCH($B807,Assumptions!$D$5:$D$12,0)))</x:f>
        <x:v>115</x:v>
      </x:c>
      <x:c r="E807" s="11" t="n">
        <x:f>IF($A807="","",INDEX(Assumptions!$M$5:$M$11,WEEKDAY($A807,2)))</x:f>
        <x:v>1</x:v>
      </x:c>
      <x:c r="F807" s="11" t="n">
        <x:f>IF($A807="","",Assumptions!$B$15)</x:f>
        <x:v>0.35</x:v>
      </x:c>
      <x:c r="G807" s="11" t="n">
        <x:f>IF($A807="","",MAX(INDEX(Assumptions!$H$5:$H$12,MATCH($B807,Assumptions!$D$5:$D$12,0)),MIN(INDEX(Assumptions!$I$5:$I$12,MATCH($B807,Assumptions!$D$5:$D$12,0)),($C807+$D807*SQRT(-2*LN(RAND()))*COS(2*PI()*RAND()))*$E807*$J807*$K807)))</x:f>
        <x:v>1222.3560732977421</x:v>
      </x:c>
      <x:c r="H807" s="11" t="n">
        <x:f>IF($A807="","",$G807*$F807+$C807*(1-$F807))</x:f>
        <x:v>1155.8246256542097</x:v>
      </x:c>
      <x:c r="I807" s="11" t="n">
        <x:f>IF($A807="","",AVERAGE($H807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1116.665025575662</x:v>
      </x:c>
      <x:c r="J807" s="12" t="n">
        <x:f>IF($A807="","",1+SUMIFS(Assumptions!$S$5:$S$10,Assumptions!$P$5:$P$10,$B807,Assumptions!$Q$5:$Q$10,"&lt;="&amp;$A807,Assumptions!$R$5:$R$10,"&gt;="&amp;$A807))</x:f>
        <x:v>1</x:v>
      </x:c>
      <x:c r="K807" s="12" t="n">
        <x:f>IF($A807="","",1+((($A807-Assumptions!$B$5)/30)*INDEX(Assumptions!$J$5:$J$12,MATCH($B807,Assumptions!$D$5:$D$12,0))))</x:f>
        <x:v>1.0107333333333333</x:v>
      </x:c>
      <x:c r="L807" t="str">
        <x:f>IF($A807="","",IFERROR(INDEX(Assumptions!$O$5:$O$10,MATCH(1,(Assumptions!$P$5:$P$10=$B807)*(Assumptions!$Q$5:$Q$10&lt;=$A807)*(Assumptions!$R$5:$R$10&gt;=$A807),0)),""))</x:f>
      </x:c>
      <x:c r="M807" t="n">
        <x:f>--($A807&lt;&gt;"")</x:f>
        <x:v>1</x:v>
      </x:c>
    </x:row>
    <x:row r="808">
      <x:c r="A808" s="10" t="n">
        <x:f>IF(Assumptions!$B$5+INT((ROW()-2)/Assumptions!$B$7)&gt;Assumptions!$B$6,"",Assumptions!$B$5+INT((ROW()-2)/Assumptions!$B$7))</x:f>
        <x:v>46184</x:v>
      </x:c>
      <x:c r="B808" t="str">
        <x:f>IF($A808="","",INDEX(Assumptions!$D$5:$D$12,MOD(ROW()-2,Assumptions!$B$7)+1))</x:f>
        <x:v>LV-426 North</x:v>
      </x:c>
      <x:c r="C808" s="11" t="n">
        <x:f>IF($A808="","",INDEX(Assumptions!$F$5:$F$12,MATCH($B808,Assumptions!$D$5:$D$12,0)))</x:f>
        <x:v>930</x:v>
      </x:c>
      <x:c r="D808" s="11" t="n">
        <x:f>IF($A808="","",INDEX(Assumptions!$G$5:$G$12,MATCH($B808,Assumptions!$D$5:$D$12,0)))</x:f>
        <x:v>95</x:v>
      </x:c>
      <x:c r="E808" s="11" t="n">
        <x:f>IF($A808="","",INDEX(Assumptions!$M$5:$M$11,WEEKDAY($A808,2)))</x:f>
        <x:v>1</x:v>
      </x:c>
      <x:c r="F808" s="11" t="n">
        <x:f>IF($A808="","",Assumptions!$B$15)</x:f>
        <x:v>0.35</x:v>
      </x:c>
      <x:c r="G808" s="11" t="n">
        <x:f>IF($A808="","",MAX(INDEX(Assumptions!$H$5:$H$12,MATCH($B808,Assumptions!$D$5:$D$12,0)),MIN(INDEX(Assumptions!$I$5:$I$12,MATCH($B808,Assumptions!$D$5:$D$12,0)),($C808+$D808*SQRT(-2*LN(RAND()))*COS(2*PI()*RAND()))*$E808*$J808*$K808)))</x:f>
        <x:v>949.7565636907256</x:v>
      </x:c>
      <x:c r="H808" s="11" t="n">
        <x:f>IF($A808="","",$G808*$F808+$C808*(1-$F808))</x:f>
        <x:v>936.914797291754</x:v>
      </x:c>
      <x:c r="I808" s="11" t="n">
        <x:f>IF($A808="","",AVERAGE($H808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929.9262010744761</x:v>
      </x:c>
      <x:c r="J808" s="12" t="n">
        <x:f>IF($A808="","",1+SUMIFS(Assumptions!$S$5:$S$10,Assumptions!$P$5:$P$10,$B808,Assumptions!$Q$5:$Q$10,"&lt;="&amp;$A808,Assumptions!$R$5:$R$10,"&gt;="&amp;$A808))</x:f>
        <x:v>1</x:v>
      </x:c>
      <x:c r="K808" s="12" t="n">
        <x:f>IF($A808="","",1+((($A808-Assumptions!$B$5)/30)*INDEX(Assumptions!$J$5:$J$12,MATCH($B808,Assumptions!$D$5:$D$12,0))))</x:f>
        <x:v>0.9946333333333334</x:v>
      </x:c>
      <x:c r="L808" t="str">
        <x:f>IF($A808="","",IFERROR(INDEX(Assumptions!$O$5:$O$10,MATCH(1,(Assumptions!$P$5:$P$10=$B808)*(Assumptions!$Q$5:$Q$10&lt;=$A808)*(Assumptions!$R$5:$R$10&gt;=$A808),0)),""))</x:f>
      </x:c>
      <x:c r="M808" t="n">
        <x:f>--($A808&lt;&gt;"")</x:f>
        <x:v>1</x:v>
      </x:c>
    </x:row>
    <x:row r="809">
      <x:c r="A809" s="10" t="n">
        <x:f>IF(Assumptions!$B$5+INT((ROW()-2)/Assumptions!$B$7)&gt;Assumptions!$B$6,"",Assumptions!$B$5+INT((ROW()-2)/Assumptions!$B$7))</x:f>
        <x:v>46184</x:v>
      </x:c>
      <x:c r="B809" t="str">
        <x:f>IF($A809="","",INDEX(Assumptions!$D$5:$D$12,MOD(ROW()-2,Assumptions!$B$7)+1))</x:f>
        <x:v>Nostromo Deep</x:v>
      </x:c>
      <x:c r="C809" s="11" t="n">
        <x:f>IF($A809="","",INDEX(Assumptions!$F$5:$F$12,MATCH($B809,Assumptions!$D$5:$D$12,0)))</x:f>
        <x:v>1260</x:v>
      </x:c>
      <x:c r="D809" s="11" t="n">
        <x:f>IF($A809="","",INDEX(Assumptions!$G$5:$G$12,MATCH($B809,Assumptions!$D$5:$D$12,0)))</x:f>
        <x:v>145</x:v>
      </x:c>
      <x:c r="E809" s="11" t="n">
        <x:f>IF($A809="","",INDEX(Assumptions!$M$5:$M$11,WEEKDAY($A809,2)))</x:f>
        <x:v>1</x:v>
      </x:c>
      <x:c r="F809" s="11" t="n">
        <x:f>IF($A809="","",Assumptions!$B$15)</x:f>
        <x:v>0.35</x:v>
      </x:c>
      <x:c r="G809" s="11" t="n">
        <x:f>IF($A809="","",MAX(INDEX(Assumptions!$H$5:$H$12,MATCH($B809,Assumptions!$D$5:$D$12,0)),MIN(INDEX(Assumptions!$I$5:$I$12,MATCH($B809,Assumptions!$D$5:$D$12,0)),($C809+$D809*SQRT(-2*LN(RAND()))*COS(2*PI()*RAND()))*$E809*$J809*$K809)))</x:f>
        <x:v>1256.1560163521087</x:v>
      </x:c>
      <x:c r="H809" s="11" t="n">
        <x:f>IF($A809="","",$G809*$F809+$C809*(1-$F809))</x:f>
        <x:v>1258.654605723238</x:v>
      </x:c>
      <x:c r="I809" s="11" t="n">
        <x:f>IF($A809="","",AVERAGE($H809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1267.510941431075</x:v>
      </x:c>
      <x:c r="J809" s="12" t="n">
        <x:f>IF($A809="","",1+SUMIFS(Assumptions!$S$5:$S$10,Assumptions!$P$5:$P$10,$B809,Assumptions!$Q$5:$Q$10,"&lt;="&amp;$A809,Assumptions!$R$5:$R$10,"&gt;="&amp;$A809))</x:f>
        <x:v>1</x:v>
      </x:c>
      <x:c r="K809" s="12" t="n">
        <x:f>IF($A809="","",1+((($A809-Assumptions!$B$5)/30)*INDEX(Assumptions!$J$5:$J$12,MATCH($B809,Assumptions!$D$5:$D$12,0))))</x:f>
        <x:v>1.0161</x:v>
      </x:c>
      <x:c r="L809" t="str">
        <x:f>IF($A809="","",IFERROR(INDEX(Assumptions!$O$5:$O$10,MATCH(1,(Assumptions!$P$5:$P$10=$B809)*(Assumptions!$Q$5:$Q$10&lt;=$A809)*(Assumptions!$R$5:$R$10&gt;=$A809),0)),""))</x:f>
      </x:c>
      <x:c r="M809" t="n">
        <x:f>--($A809&lt;&gt;"")</x:f>
        <x:v>1</x:v>
      </x:c>
    </x:row>
    <x:row r="810">
      <x:c r="A810" s="10" t="n">
        <x:f>IF(Assumptions!$B$5+INT((ROW()-2)/Assumptions!$B$7)&gt;Assumptions!$B$6,"",Assumptions!$B$5+INT((ROW()-2)/Assumptions!$B$7))</x:f>
        <x:v>46184</x:v>
      </x:c>
      <x:c r="B810" t="str">
        <x:f>IF($A810="","",INDEX(Assumptions!$D$5:$D$12,MOD(ROW()-2,Assumptions!$B$7)+1))</x:f>
        <x:v>Hadley's Hope</x:v>
      </x:c>
      <x:c r="C810" s="11" t="n">
        <x:f>IF($A810="","",INDEX(Assumptions!$F$5:$F$12,MATCH($B810,Assumptions!$D$5:$D$12,0)))</x:f>
        <x:v>845</x:v>
      </x:c>
      <x:c r="D810" s="11" t="n">
        <x:f>IF($A810="","",INDEX(Assumptions!$G$5:$G$12,MATCH($B810,Assumptions!$D$5:$D$12,0)))</x:f>
        <x:v>80</x:v>
      </x:c>
      <x:c r="E810" s="11" t="n">
        <x:f>IF($A810="","",INDEX(Assumptions!$M$5:$M$11,WEEKDAY($A810,2)))</x:f>
        <x:v>1</x:v>
      </x:c>
      <x:c r="F810" s="11" t="n">
        <x:f>IF($A810="","",Assumptions!$B$15)</x:f>
        <x:v>0.35</x:v>
      </x:c>
      <x:c r="G810" s="11" t="n">
        <x:f>IF($A810="","",MAX(INDEX(Assumptions!$H$5:$H$12,MATCH($B810,Assumptions!$D$5:$D$12,0)),MIN(INDEX(Assumptions!$I$5:$I$12,MATCH($B810,Assumptions!$D$5:$D$12,0)),($C810+$D810*SQRT(-2*LN(RAND()))*COS(2*PI()*RAND()))*$E810*$J810*$K810)))</x:f>
        <x:v>963.5707203930904</x:v>
      </x:c>
      <x:c r="H810" s="11" t="n">
        <x:f>IF($A810="","",$G810*$F810+$C810*(1-$F810))</x:f>
        <x:v>886.4997521375816</x:v>
      </x:c>
      <x:c r="I810" s="11" t="n">
        <x:f>IF($A810="","",AVERAGE($H810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845.8677041570476</x:v>
      </x:c>
      <x:c r="J810" s="12" t="n">
        <x:f>IF($A810="","",1+SUMIFS(Assumptions!$S$5:$S$10,Assumptions!$P$5:$P$10,$B810,Assumptions!$Q$5:$Q$10,"&lt;="&amp;$A810,Assumptions!$R$5:$R$10,"&gt;="&amp;$A810))</x:f>
        <x:v>1</x:v>
      </x:c>
      <x:c r="K810" s="12" t="n">
        <x:f>IF($A810="","",1+((($A810-Assumptions!$B$5)/30)*INDEX(Assumptions!$J$5:$J$12,MATCH($B810,Assumptions!$D$5:$D$12,0))))</x:f>
        <x:v>1.0053666666666667</x:v>
      </x:c>
      <x:c r="L810" t="str">
        <x:f>IF($A810="","",IFERROR(INDEX(Assumptions!$O$5:$O$10,MATCH(1,(Assumptions!$P$5:$P$10=$B810)*(Assumptions!$Q$5:$Q$10&lt;=$A810)*(Assumptions!$R$5:$R$10&gt;=$A810),0)),""))</x:f>
      </x:c>
      <x:c r="M810" t="n">
        <x:f>--($A810&lt;&gt;"")</x:f>
        <x:v>1</x:v>
      </x:c>
    </x:row>
    <x:row r="811">
      <x:c r="A811" s="10" t="n">
        <x:f>IF(Assumptions!$B$5+INT((ROW()-2)/Assumptions!$B$7)&gt;Assumptions!$B$6,"",Assumptions!$B$5+INT((ROW()-2)/Assumptions!$B$7))</x:f>
        <x:v>46184</x:v>
      </x:c>
      <x:c r="B811" t="str">
        <x:f>IF($A811="","",INDEX(Assumptions!$D$5:$D$12,MOD(ROW()-2,Assumptions!$B$7)+1))</x:f>
        <x:v>Yutani Ridge</x:v>
      </x:c>
      <x:c r="C811" s="11" t="n">
        <x:f>IF($A811="","",INDEX(Assumptions!$F$5:$F$12,MATCH($B811,Assumptions!$D$5:$D$12,0)))</x:f>
        <x:v>1050</x:v>
      </x:c>
      <x:c r="D811" s="11" t="n">
        <x:f>IF($A811="","",INDEX(Assumptions!$G$5:$G$12,MATCH($B811,Assumptions!$D$5:$D$12,0)))</x:f>
        <x:v>125</x:v>
      </x:c>
      <x:c r="E811" s="11" t="n">
        <x:f>IF($A811="","",INDEX(Assumptions!$M$5:$M$11,WEEKDAY($A811,2)))</x:f>
        <x:v>1</x:v>
      </x:c>
      <x:c r="F811" s="11" t="n">
        <x:f>IF($A811="","",Assumptions!$B$15)</x:f>
        <x:v>0.35</x:v>
      </x:c>
      <x:c r="G811" s="11" t="n">
        <x:f>IF($A811="","",MAX(INDEX(Assumptions!$H$5:$H$12,MATCH($B811,Assumptions!$D$5:$D$12,0)),MIN(INDEX(Assumptions!$I$5:$I$12,MATCH($B811,Assumptions!$D$5:$D$12,0)),($C811+$D811*SQRT(-2*LN(RAND()))*COS(2*PI()*RAND()))*$E811*$J811*$K811)))</x:f>
        <x:v>884.4678257767919</x:v>
      </x:c>
      <x:c r="H811" s="11" t="n">
        <x:f>IF($A811="","",$G811*$F811+$C811*(1-$F811))</x:f>
        <x:v>992.0637390218772</x:v>
      </x:c>
      <x:c r="I811" s="11" t="n">
        <x:f>IF($A811="","",AVERAGE($H811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1013.2401906253014</x:v>
      </x:c>
      <x:c r="J811" s="12" t="n">
        <x:f>IF($A811="","",1+SUMIFS(Assumptions!$S$5:$S$10,Assumptions!$P$5:$P$10,$B811,Assumptions!$Q$5:$Q$10,"&lt;="&amp;$A811,Assumptions!$R$5:$R$10,"&gt;="&amp;$A811))</x:f>
        <x:v>1</x:v>
      </x:c>
      <x:c r="K811" s="12" t="n">
        <x:f>IF($A811="","",1+((($A811-Assumptions!$B$5)/30)*INDEX(Assumptions!$J$5:$J$12,MATCH($B811,Assumptions!$D$5:$D$12,0))))</x:f>
        <x:v>1.0134166666666666</x:v>
      </x:c>
      <x:c r="L811" t="str">
        <x:f>IF($A811="","",IFERROR(INDEX(Assumptions!$O$5:$O$10,MATCH(1,(Assumptions!$P$5:$P$10=$B811)*(Assumptions!$Q$5:$Q$10&lt;=$A811)*(Assumptions!$R$5:$R$10&gt;=$A811),0)),""))</x:f>
      </x:c>
      <x:c r="M811" t="n">
        <x:f>--($A811&lt;&gt;"")</x:f>
        <x:v>1</x:v>
      </x:c>
    </x:row>
    <x:row r="812">
      <x:c r="A812" s="10" t="n">
        <x:f>IF(Assumptions!$B$5+INT((ROW()-2)/Assumptions!$B$7)&gt;Assumptions!$B$6,"",Assumptions!$B$5+INT((ROW()-2)/Assumptions!$B$7))</x:f>
        <x:v>46185</x:v>
      </x:c>
      <x:c r="B812" t="str">
        <x:f>IF($A812="","",INDEX(Assumptions!$D$5:$D$12,MOD(ROW()-2,Assumptions!$B$7)+1))</x:f>
        <x:v>Acheron Prime</x:v>
      </x:c>
      <x:c r="C812" s="11" t="n">
        <x:f>IF($A812="","",INDEX(Assumptions!$F$5:$F$12,MATCH($B812,Assumptions!$D$5:$D$12,0)))</x:f>
        <x:v>1120</x:v>
      </x:c>
      <x:c r="D812" s="11" t="n">
        <x:f>IF($A812="","",INDEX(Assumptions!$G$5:$G$12,MATCH($B812,Assumptions!$D$5:$D$12,0)))</x:f>
        <x:v>115</x:v>
      </x:c>
      <x:c r="E812" s="11" t="n">
        <x:f>IF($A812="","",INDEX(Assumptions!$M$5:$M$11,WEEKDAY($A812,2)))</x:f>
        <x:v>0.98</x:v>
      </x:c>
      <x:c r="F812" s="11" t="n">
        <x:f>IF($A812="","",Assumptions!$B$15)</x:f>
        <x:v>0.35</x:v>
      </x:c>
      <x:c r="G812" s="11" t="n">
        <x:f>IF($A812="","",MAX(INDEX(Assumptions!$H$5:$H$12,MATCH($B812,Assumptions!$D$5:$D$12,0)),MIN(INDEX(Assumptions!$I$5:$I$12,MATCH($B812,Assumptions!$D$5:$D$12,0)),($C812+$D812*SQRT(-2*LN(RAND()))*COS(2*PI()*RAND()))*$E812*$J812*$K812)))</x:f>
        <x:v>946.1590805863734</x:v>
      </x:c>
      <x:c r="H812" s="11" t="n">
        <x:f>IF($A812="","",$G812*$F812+$C812*(1-$F812))</x:f>
        <x:v>1059.1556782052307</x:v>
      </x:c>
      <x:c r="I812" s="11" t="n">
        <x:f>IF($A812="","",AVERAGE($H812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1116.2122196498474</x:v>
      </x:c>
      <x:c r="J812" s="12" t="n">
        <x:f>IF($A812="","",1+SUMIFS(Assumptions!$S$5:$S$10,Assumptions!$P$5:$P$10,$B812,Assumptions!$Q$5:$Q$10,"&lt;="&amp;$A812,Assumptions!$R$5:$R$10,"&gt;="&amp;$A812))</x:f>
        <x:v>1</x:v>
      </x:c>
      <x:c r="K812" s="12" t="n">
        <x:f>IF($A812="","",1+((($A812-Assumptions!$B$5)/30)*INDEX(Assumptions!$J$5:$J$12,MATCH($B812,Assumptions!$D$5:$D$12,0))))</x:f>
        <x:v>1.0108</x:v>
      </x:c>
      <x:c r="L812" t="str">
        <x:f>IF($A812="","",IFERROR(INDEX(Assumptions!$O$5:$O$10,MATCH(1,(Assumptions!$P$5:$P$10=$B812)*(Assumptions!$Q$5:$Q$10&lt;=$A812)*(Assumptions!$R$5:$R$10&gt;=$A812),0)),""))</x:f>
      </x:c>
      <x:c r="M812" t="n">
        <x:f>--($A812&lt;&gt;"")</x:f>
        <x:v>1</x:v>
      </x:c>
    </x:row>
    <x:row r="813">
      <x:c r="A813" s="10" t="n">
        <x:f>IF(Assumptions!$B$5+INT((ROW()-2)/Assumptions!$B$7)&gt;Assumptions!$B$6,"",Assumptions!$B$5+INT((ROW()-2)/Assumptions!$B$7))</x:f>
        <x:v>46185</x:v>
      </x:c>
      <x:c r="B813" t="str">
        <x:f>IF($A813="","",INDEX(Assumptions!$D$5:$D$12,MOD(ROW()-2,Assumptions!$B$7)+1))</x:f>
        <x:v>LV-426 North</x:v>
      </x:c>
      <x:c r="C813" s="11" t="n">
        <x:f>IF($A813="","",INDEX(Assumptions!$F$5:$F$12,MATCH($B813,Assumptions!$D$5:$D$12,0)))</x:f>
        <x:v>930</x:v>
      </x:c>
      <x:c r="D813" s="11" t="n">
        <x:f>IF($A813="","",INDEX(Assumptions!$G$5:$G$12,MATCH($B813,Assumptions!$D$5:$D$12,0)))</x:f>
        <x:v>95</x:v>
      </x:c>
      <x:c r="E813" s="11" t="n">
        <x:f>IF($A813="","",INDEX(Assumptions!$M$5:$M$11,WEEKDAY($A813,2)))</x:f>
        <x:v>0.98</x:v>
      </x:c>
      <x:c r="F813" s="11" t="n">
        <x:f>IF($A813="","",Assumptions!$B$15)</x:f>
        <x:v>0.35</x:v>
      </x:c>
      <x:c r="G813" s="11" t="n">
        <x:f>IF($A813="","",MAX(INDEX(Assumptions!$H$5:$H$12,MATCH($B813,Assumptions!$D$5:$D$12,0)),MIN(INDEX(Assumptions!$I$5:$I$12,MATCH($B813,Assumptions!$D$5:$D$12,0)),($C813+$D813*SQRT(-2*LN(RAND()))*COS(2*PI()*RAND()))*$E813*$J813*$K813)))</x:f>
        <x:v>1008.349581977392</x:v>
      </x:c>
      <x:c r="H813" s="11" t="n">
        <x:f>IF($A813="","",$G813*$F813+$C813*(1-$F813))</x:f>
        <x:v>957.4223536920872</x:v>
      </x:c>
      <x:c r="I813" s="11" t="n">
        <x:f>IF($A813="","",AVERAGE($H813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932.136848052833</x:v>
      </x:c>
      <x:c r="J813" s="12" t="n">
        <x:f>IF($A813="","",1+SUMIFS(Assumptions!$S$5:$S$10,Assumptions!$P$5:$P$10,$B813,Assumptions!$Q$5:$Q$10,"&lt;="&amp;$A813,Assumptions!$R$5:$R$10,"&gt;="&amp;$A813))</x:f>
        <x:v>1</x:v>
      </x:c>
      <x:c r="K813" s="12" t="n">
        <x:f>IF($A813="","",1+((($A813-Assumptions!$B$5)/30)*INDEX(Assumptions!$J$5:$J$12,MATCH($B813,Assumptions!$D$5:$D$12,0))))</x:f>
        <x:v>0.9946</x:v>
      </x:c>
      <x:c r="L813" t="str">
        <x:f>IF($A813="","",IFERROR(INDEX(Assumptions!$O$5:$O$10,MATCH(1,(Assumptions!$P$5:$P$10=$B813)*(Assumptions!$Q$5:$Q$10&lt;=$A813)*(Assumptions!$R$5:$R$10&gt;=$A813),0)),""))</x:f>
      </x:c>
      <x:c r="M813" t="n">
        <x:f>--($A813&lt;&gt;"")</x:f>
        <x:v>1</x:v>
      </x:c>
    </x:row>
    <x:row r="814">
      <x:c r="A814" s="10" t="n">
        <x:f>IF(Assumptions!$B$5+INT((ROW()-2)/Assumptions!$B$7)&gt;Assumptions!$B$6,"",Assumptions!$B$5+INT((ROW()-2)/Assumptions!$B$7))</x:f>
        <x:v>46185</x:v>
      </x:c>
      <x:c r="B814" t="str">
        <x:f>IF($A814="","",INDEX(Assumptions!$D$5:$D$12,MOD(ROW()-2,Assumptions!$B$7)+1))</x:f>
        <x:v>Nostromo Deep</x:v>
      </x:c>
      <x:c r="C814" s="11" t="n">
        <x:f>IF($A814="","",INDEX(Assumptions!$F$5:$F$12,MATCH($B814,Assumptions!$D$5:$D$12,0)))</x:f>
        <x:v>1260</x:v>
      </x:c>
      <x:c r="D814" s="11" t="n">
        <x:f>IF($A814="","",INDEX(Assumptions!$G$5:$G$12,MATCH($B814,Assumptions!$D$5:$D$12,0)))</x:f>
        <x:v>145</x:v>
      </x:c>
      <x:c r="E814" s="11" t="n">
        <x:f>IF($A814="","",INDEX(Assumptions!$M$5:$M$11,WEEKDAY($A814,2)))</x:f>
        <x:v>0.98</x:v>
      </x:c>
      <x:c r="F814" s="11" t="n">
        <x:f>IF($A814="","",Assumptions!$B$15)</x:f>
        <x:v>0.35</x:v>
      </x:c>
      <x:c r="G814" s="11" t="n">
        <x:f>IF($A814="","",MAX(INDEX(Assumptions!$H$5:$H$12,MATCH($B814,Assumptions!$D$5:$D$12,0)),MIN(INDEX(Assumptions!$I$5:$I$12,MATCH($B814,Assumptions!$D$5:$D$12,0)),($C814+$D814*SQRT(-2*LN(RAND()))*COS(2*PI()*RAND()))*$E814*$J814*$K814)))</x:f>
        <x:v>1461.362541832332</x:v>
      </x:c>
      <x:c r="H814" s="11" t="n">
        <x:f>IF($A814="","",$G814*$F814+$C814*(1-$F814))</x:f>
        <x:v>1330.4768896413161</x:v>
      </x:c>
      <x:c r="I814" s="11" t="n">
        <x:f>IF($A814="","",AVERAGE($H814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1283.8926232690549</x:v>
      </x:c>
      <x:c r="J814" s="12" t="n">
        <x:f>IF($A814="","",1+SUMIFS(Assumptions!$S$5:$S$10,Assumptions!$P$5:$P$10,$B814,Assumptions!$Q$5:$Q$10,"&lt;="&amp;$A814,Assumptions!$R$5:$R$10,"&gt;="&amp;$A814))</x:f>
        <x:v>1</x:v>
      </x:c>
      <x:c r="K814" s="12" t="n">
        <x:f>IF($A814="","",1+((($A814-Assumptions!$B$5)/30)*INDEX(Assumptions!$J$5:$J$12,MATCH($B814,Assumptions!$D$5:$D$12,0))))</x:f>
        <x:v>1.0162</x:v>
      </x:c>
      <x:c r="L814" t="str">
        <x:f>IF($A814="","",IFERROR(INDEX(Assumptions!$O$5:$O$10,MATCH(1,(Assumptions!$P$5:$P$10=$B814)*(Assumptions!$Q$5:$Q$10&lt;=$A814)*(Assumptions!$R$5:$R$10&gt;=$A814),0)),""))</x:f>
      </x:c>
      <x:c r="M814" t="n">
        <x:f>--($A814&lt;&gt;"")</x:f>
        <x:v>1</x:v>
      </x:c>
    </x:row>
    <x:row r="815">
      <x:c r="A815" s="10" t="n">
        <x:f>IF(Assumptions!$B$5+INT((ROW()-2)/Assumptions!$B$7)&gt;Assumptions!$B$6,"",Assumptions!$B$5+INT((ROW()-2)/Assumptions!$B$7))</x:f>
        <x:v>46185</x:v>
      </x:c>
      <x:c r="B815" t="str">
        <x:f>IF($A815="","",INDEX(Assumptions!$D$5:$D$12,MOD(ROW()-2,Assumptions!$B$7)+1))</x:f>
        <x:v>Hadley's Hope</x:v>
      </x:c>
      <x:c r="C815" s="11" t="n">
        <x:f>IF($A815="","",INDEX(Assumptions!$F$5:$F$12,MATCH($B815,Assumptions!$D$5:$D$12,0)))</x:f>
        <x:v>845</x:v>
      </x:c>
      <x:c r="D815" s="11" t="n">
        <x:f>IF($A815="","",INDEX(Assumptions!$G$5:$G$12,MATCH($B815,Assumptions!$D$5:$D$12,0)))</x:f>
        <x:v>80</x:v>
      </x:c>
      <x:c r="E815" s="11" t="n">
        <x:f>IF($A815="","",INDEX(Assumptions!$M$5:$M$11,WEEKDAY($A815,2)))</x:f>
        <x:v>0.98</x:v>
      </x:c>
      <x:c r="F815" s="11" t="n">
        <x:f>IF($A815="","",Assumptions!$B$15)</x:f>
        <x:v>0.35</x:v>
      </x:c>
      <x:c r="G815" s="11" t="n">
        <x:f>IF($A815="","",MAX(INDEX(Assumptions!$H$5:$H$12,MATCH($B815,Assumptions!$D$5:$D$12,0)),MIN(INDEX(Assumptions!$I$5:$I$12,MATCH($B815,Assumptions!$D$5:$D$12,0)),($C815+$D815*SQRT(-2*LN(RAND()))*COS(2*PI()*RAND()))*$E815*$J815*$K815)))</x:f>
        <x:v>721.4081001918621</x:v>
      </x:c>
      <x:c r="H815" s="11" t="n">
        <x:f>IF($A815="","",$G815*$F815+$C815*(1-$F815))</x:f>
        <x:v>801.7428350671518</x:v>
      </x:c>
      <x:c r="I815" s="11" t="n">
        <x:f>IF($A815="","",AVERAGE($H815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842.9547721895159</x:v>
      </x:c>
      <x:c r="J815" s="12" t="n">
        <x:f>IF($A815="","",1+SUMIFS(Assumptions!$S$5:$S$10,Assumptions!$P$5:$P$10,$B815,Assumptions!$Q$5:$Q$10,"&lt;="&amp;$A815,Assumptions!$R$5:$R$10,"&gt;="&amp;$A815))</x:f>
        <x:v>1</x:v>
      </x:c>
      <x:c r="K815" s="12" t="n">
        <x:f>IF($A815="","",1+((($A815-Assumptions!$B$5)/30)*INDEX(Assumptions!$J$5:$J$12,MATCH($B815,Assumptions!$D$5:$D$12,0))))</x:f>
        <x:v>1.0054</x:v>
      </x:c>
      <x:c r="L815" t="str">
        <x:f>IF($A815="","",IFERROR(INDEX(Assumptions!$O$5:$O$10,MATCH(1,(Assumptions!$P$5:$P$10=$B815)*(Assumptions!$Q$5:$Q$10&lt;=$A815)*(Assumptions!$R$5:$R$10&gt;=$A815),0)),""))</x:f>
      </x:c>
      <x:c r="M815" t="n">
        <x:f>--($A815&lt;&gt;"")</x:f>
        <x:v>1</x:v>
      </x:c>
    </x:row>
    <x:row r="816">
      <x:c r="A816" s="10" t="n">
        <x:f>IF(Assumptions!$B$5+INT((ROW()-2)/Assumptions!$B$7)&gt;Assumptions!$B$6,"",Assumptions!$B$5+INT((ROW()-2)/Assumptions!$B$7))</x:f>
        <x:v>46185</x:v>
      </x:c>
      <x:c r="B816" t="str">
        <x:f>IF($A816="","",INDEX(Assumptions!$D$5:$D$12,MOD(ROW()-2,Assumptions!$B$7)+1))</x:f>
        <x:v>Yutani Ridge</x:v>
      </x:c>
      <x:c r="C816" s="11" t="n">
        <x:f>IF($A816="","",INDEX(Assumptions!$F$5:$F$12,MATCH($B816,Assumptions!$D$5:$D$12,0)))</x:f>
        <x:v>1050</x:v>
      </x:c>
      <x:c r="D816" s="11" t="n">
        <x:f>IF($A816="","",INDEX(Assumptions!$G$5:$G$12,MATCH($B816,Assumptions!$D$5:$D$12,0)))</x:f>
        <x:v>125</x:v>
      </x:c>
      <x:c r="E816" s="11" t="n">
        <x:f>IF($A816="","",INDEX(Assumptions!$M$5:$M$11,WEEKDAY($A816,2)))</x:f>
        <x:v>0.98</x:v>
      </x:c>
      <x:c r="F816" s="11" t="n">
        <x:f>IF($A816="","",Assumptions!$B$15)</x:f>
        <x:v>0.35</x:v>
      </x:c>
      <x:c r="G816" s="11" t="n">
        <x:f>IF($A816="","",MAX(INDEX(Assumptions!$H$5:$H$12,MATCH($B816,Assumptions!$D$5:$D$12,0)),MIN(INDEX(Assumptions!$I$5:$I$12,MATCH($B816,Assumptions!$D$5:$D$12,0)),($C816+$D816*SQRT(-2*LN(RAND()))*COS(2*PI()*RAND()))*$E816*$J816*$K816)))</x:f>
        <x:v>981.0153479129808</x:v>
      </x:c>
      <x:c r="H816" s="11" t="n">
        <x:f>IF($A816="","",$G816*$F816+$C816*(1-$F816))</x:f>
        <x:v>1025.8553717695431</x:v>
      </x:c>
      <x:c r="I816" s="11" t="n">
        <x:f>IF($A816="","",AVERAGE($H816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1026.5678695797267</x:v>
      </x:c>
      <x:c r="J816" s="12" t="n">
        <x:f>IF($A816="","",1+SUMIFS(Assumptions!$S$5:$S$10,Assumptions!$P$5:$P$10,$B816,Assumptions!$Q$5:$Q$10,"&lt;="&amp;$A816,Assumptions!$R$5:$R$10,"&gt;="&amp;$A816))</x:f>
        <x:v>1</x:v>
      </x:c>
      <x:c r="K816" s="12" t="n">
        <x:f>IF($A816="","",1+((($A816-Assumptions!$B$5)/30)*INDEX(Assumptions!$J$5:$J$12,MATCH($B816,Assumptions!$D$5:$D$12,0))))</x:f>
        <x:v>1.0135</x:v>
      </x:c>
      <x:c r="L816" t="str">
        <x:f>IF($A816="","",IFERROR(INDEX(Assumptions!$O$5:$O$10,MATCH(1,(Assumptions!$P$5:$P$10=$B816)*(Assumptions!$Q$5:$Q$10&lt;=$A816)*(Assumptions!$R$5:$R$10&gt;=$A816),0)),""))</x:f>
      </x:c>
      <x:c r="M816" t="n">
        <x:f>--($A816&lt;&gt;"")</x:f>
        <x:v>1</x:v>
      </x:c>
    </x:row>
    <x:row r="817">
      <x:c r="A817" s="10" t="n">
        <x:f>IF(Assumptions!$B$5+INT((ROW()-2)/Assumptions!$B$7)&gt;Assumptions!$B$6,"",Assumptions!$B$5+INT((ROW()-2)/Assumptions!$B$7))</x:f>
        <x:v>46186</x:v>
      </x:c>
      <x:c r="B817" t="str">
        <x:f>IF($A817="","",INDEX(Assumptions!$D$5:$D$12,MOD(ROW()-2,Assumptions!$B$7)+1))</x:f>
        <x:v>Acheron Prime</x:v>
      </x:c>
      <x:c r="C817" s="11" t="n">
        <x:f>IF($A817="","",INDEX(Assumptions!$F$5:$F$12,MATCH($B817,Assumptions!$D$5:$D$12,0)))</x:f>
        <x:v>1120</x:v>
      </x:c>
      <x:c r="D817" s="11" t="n">
        <x:f>IF($A817="","",INDEX(Assumptions!$G$5:$G$12,MATCH($B817,Assumptions!$D$5:$D$12,0)))</x:f>
        <x:v>115</x:v>
      </x:c>
      <x:c r="E817" s="11" t="n">
        <x:f>IF($A817="","",INDEX(Assumptions!$M$5:$M$11,WEEKDAY($A817,2)))</x:f>
        <x:v>0.91</x:v>
      </x:c>
      <x:c r="F817" s="11" t="n">
        <x:f>IF($A817="","",Assumptions!$B$15)</x:f>
        <x:v>0.35</x:v>
      </x:c>
      <x:c r="G817" s="11" t="n">
        <x:f>IF($A817="","",MAX(INDEX(Assumptions!$H$5:$H$12,MATCH($B817,Assumptions!$D$5:$D$12,0)),MIN(INDEX(Assumptions!$I$5:$I$12,MATCH($B817,Assumptions!$D$5:$D$12,0)),($C817+$D817*SQRT(-2*LN(RAND()))*COS(2*PI()*RAND()))*$E817*$J817*$K817)))</x:f>
        <x:v>1178.4586544059107</x:v>
      </x:c>
      <x:c r="H817" s="11" t="n">
        <x:f>IF($A817="","",$G817*$F817+$C817*(1-$F817))</x:f>
        <x:v>1140.4605290420686</x:v>
      </x:c>
      <x:c r="I817" s="11" t="n">
        <x:f>IF($A817="","",AVERAGE($H817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1125.2547388912612</x:v>
      </x:c>
      <x:c r="J817" s="12" t="n">
        <x:f>IF($A817="","",1+SUMIFS(Assumptions!$S$5:$S$10,Assumptions!$P$5:$P$10,$B817,Assumptions!$Q$5:$Q$10,"&lt;="&amp;$A817,Assumptions!$R$5:$R$10,"&gt;="&amp;$A817))</x:f>
        <x:v>1</x:v>
      </x:c>
      <x:c r="K817" s="12" t="n">
        <x:f>IF($A817="","",1+((($A817-Assumptions!$B$5)/30)*INDEX(Assumptions!$J$5:$J$12,MATCH($B817,Assumptions!$D$5:$D$12,0))))</x:f>
        <x:v>1.0108666666666666</x:v>
      </x:c>
      <x:c r="L817" t="str">
        <x:f>IF($A817="","",IFERROR(INDEX(Assumptions!$O$5:$O$10,MATCH(1,(Assumptions!$P$5:$P$10=$B817)*(Assumptions!$Q$5:$Q$10&lt;=$A817)*(Assumptions!$R$5:$R$10&gt;=$A817),0)),""))</x:f>
      </x:c>
      <x:c r="M817" t="n">
        <x:f>--($A817&lt;&gt;"")</x:f>
        <x:v>1</x:v>
      </x:c>
    </x:row>
    <x:row r="818">
      <x:c r="A818" s="10" t="n">
        <x:f>IF(Assumptions!$B$5+INT((ROW()-2)/Assumptions!$B$7)&gt;Assumptions!$B$6,"",Assumptions!$B$5+INT((ROW()-2)/Assumptions!$B$7))</x:f>
        <x:v>46186</x:v>
      </x:c>
      <x:c r="B818" t="str">
        <x:f>IF($A818="","",INDEX(Assumptions!$D$5:$D$12,MOD(ROW()-2,Assumptions!$B$7)+1))</x:f>
        <x:v>LV-426 North</x:v>
      </x:c>
      <x:c r="C818" s="11" t="n">
        <x:f>IF($A818="","",INDEX(Assumptions!$F$5:$F$12,MATCH($B818,Assumptions!$D$5:$D$12,0)))</x:f>
        <x:v>930</x:v>
      </x:c>
      <x:c r="D818" s="11" t="n">
        <x:f>IF($A818="","",INDEX(Assumptions!$G$5:$G$12,MATCH($B818,Assumptions!$D$5:$D$12,0)))</x:f>
        <x:v>95</x:v>
      </x:c>
      <x:c r="E818" s="11" t="n">
        <x:f>IF($A818="","",INDEX(Assumptions!$M$5:$M$11,WEEKDAY($A818,2)))</x:f>
        <x:v>0.91</x:v>
      </x:c>
      <x:c r="F818" s="11" t="n">
        <x:f>IF($A818="","",Assumptions!$B$15)</x:f>
        <x:v>0.35</x:v>
      </x:c>
      <x:c r="G818" s="11" t="n">
        <x:f>IF($A818="","",MAX(INDEX(Assumptions!$H$5:$H$12,MATCH($B818,Assumptions!$D$5:$D$12,0)),MIN(INDEX(Assumptions!$I$5:$I$12,MATCH($B818,Assumptions!$D$5:$D$12,0)),($C818+$D818*SQRT(-2*LN(RAND()))*COS(2*PI()*RAND()))*$E818*$J818*$K818)))</x:f>
        <x:v>853.2223940258757</x:v>
      </x:c>
      <x:c r="H818" s="11" t="n">
        <x:f>IF($A818="","",$G818*$F818+$C818*(1-$F818))</x:f>
        <x:v>903.1278379090566</x:v>
      </x:c>
      <x:c r="I818" s="11" t="n">
        <x:f>IF($A818="","",AVERAGE($H818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932.6331468625891</x:v>
      </x:c>
      <x:c r="J818" s="12" t="n">
        <x:f>IF($A818="","",1+SUMIFS(Assumptions!$S$5:$S$10,Assumptions!$P$5:$P$10,$B818,Assumptions!$Q$5:$Q$10,"&lt;="&amp;$A818,Assumptions!$R$5:$R$10,"&gt;="&amp;$A818))</x:f>
        <x:v>1</x:v>
      </x:c>
      <x:c r="K818" s="12" t="n">
        <x:f>IF($A818="","",1+((($A818-Assumptions!$B$5)/30)*INDEX(Assumptions!$J$5:$J$12,MATCH($B818,Assumptions!$D$5:$D$12,0))))</x:f>
        <x:v>0.9945666666666667</x:v>
      </x:c>
      <x:c r="L818" t="str">
        <x:f>IF($A818="","",IFERROR(INDEX(Assumptions!$O$5:$O$10,MATCH(1,(Assumptions!$P$5:$P$10=$B818)*(Assumptions!$Q$5:$Q$10&lt;=$A818)*(Assumptions!$R$5:$R$10&gt;=$A818),0)),""))</x:f>
      </x:c>
      <x:c r="M818" t="n">
        <x:f>--($A818&lt;&gt;"")</x:f>
        <x:v>1</x:v>
      </x:c>
    </x:row>
    <x:row r="819">
      <x:c r="A819" s="10" t="n">
        <x:f>IF(Assumptions!$B$5+INT((ROW()-2)/Assumptions!$B$7)&gt;Assumptions!$B$6,"",Assumptions!$B$5+INT((ROW()-2)/Assumptions!$B$7))</x:f>
        <x:v>46186</x:v>
      </x:c>
      <x:c r="B819" t="str">
        <x:f>IF($A819="","",INDEX(Assumptions!$D$5:$D$12,MOD(ROW()-2,Assumptions!$B$7)+1))</x:f>
        <x:v>Nostromo Deep</x:v>
      </x:c>
      <x:c r="C819" s="11" t="n">
        <x:f>IF($A819="","",INDEX(Assumptions!$F$5:$F$12,MATCH($B819,Assumptions!$D$5:$D$12,0)))</x:f>
        <x:v>1260</x:v>
      </x:c>
      <x:c r="D819" s="11" t="n">
        <x:f>IF($A819="","",INDEX(Assumptions!$G$5:$G$12,MATCH($B819,Assumptions!$D$5:$D$12,0)))</x:f>
        <x:v>145</x:v>
      </x:c>
      <x:c r="E819" s="11" t="n">
        <x:f>IF($A819="","",INDEX(Assumptions!$M$5:$M$11,WEEKDAY($A819,2)))</x:f>
        <x:v>0.91</x:v>
      </x:c>
      <x:c r="F819" s="11" t="n">
        <x:f>IF($A819="","",Assumptions!$B$15)</x:f>
        <x:v>0.35</x:v>
      </x:c>
      <x:c r="G819" s="11" t="n">
        <x:f>IF($A819="","",MAX(INDEX(Assumptions!$H$5:$H$12,MATCH($B819,Assumptions!$D$5:$D$12,0)),MIN(INDEX(Assumptions!$I$5:$I$12,MATCH($B819,Assumptions!$D$5:$D$12,0)),($C819+$D819*SQRT(-2*LN(RAND()))*COS(2*PI()*RAND()))*$E819*$J819*$K819)))</x:f>
        <x:v>1353.879108441575</x:v>
      </x:c>
      <x:c r="H819" s="11" t="n">
        <x:f>IF($A819="","",$G819*$F819+$C819*(1-$F819))</x:f>
        <x:v>1292.8576879545512</x:v>
      </x:c>
      <x:c r="I819" s="11" t="n">
        <x:f>IF($A819="","",AVERAGE($H819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1298.423081968444</x:v>
      </x:c>
      <x:c r="J819" s="12" t="n">
        <x:f>IF($A819="","",1+SUMIFS(Assumptions!$S$5:$S$10,Assumptions!$P$5:$P$10,$B819,Assumptions!$Q$5:$Q$10,"&lt;="&amp;$A819,Assumptions!$R$5:$R$10,"&gt;="&amp;$A819))</x:f>
        <x:v>1</x:v>
      </x:c>
      <x:c r="K819" s="12" t="n">
        <x:f>IF($A819="","",1+((($A819-Assumptions!$B$5)/30)*INDEX(Assumptions!$J$5:$J$12,MATCH($B819,Assumptions!$D$5:$D$12,0))))</x:f>
        <x:v>1.0163</x:v>
      </x:c>
      <x:c r="L819" t="str">
        <x:f>IF($A819="","",IFERROR(INDEX(Assumptions!$O$5:$O$10,MATCH(1,(Assumptions!$P$5:$P$10=$B819)*(Assumptions!$Q$5:$Q$10&lt;=$A819)*(Assumptions!$R$5:$R$10&gt;=$A819),0)),""))</x:f>
      </x:c>
      <x:c r="M819" t="n">
        <x:f>--($A819&lt;&gt;"")</x:f>
        <x:v>1</x:v>
      </x:c>
    </x:row>
    <x:row r="820">
      <x:c r="A820" s="10" t="n">
        <x:f>IF(Assumptions!$B$5+INT((ROW()-2)/Assumptions!$B$7)&gt;Assumptions!$B$6,"",Assumptions!$B$5+INT((ROW()-2)/Assumptions!$B$7))</x:f>
        <x:v>46186</x:v>
      </x:c>
      <x:c r="B820" t="str">
        <x:f>IF($A820="","",INDEX(Assumptions!$D$5:$D$12,MOD(ROW()-2,Assumptions!$B$7)+1))</x:f>
        <x:v>Hadley's Hope</x:v>
      </x:c>
      <x:c r="C820" s="11" t="n">
        <x:f>IF($A820="","",INDEX(Assumptions!$F$5:$F$12,MATCH($B820,Assumptions!$D$5:$D$12,0)))</x:f>
        <x:v>845</x:v>
      </x:c>
      <x:c r="D820" s="11" t="n">
        <x:f>IF($A820="","",INDEX(Assumptions!$G$5:$G$12,MATCH($B820,Assumptions!$D$5:$D$12,0)))</x:f>
        <x:v>80</x:v>
      </x:c>
      <x:c r="E820" s="11" t="n">
        <x:f>IF($A820="","",INDEX(Assumptions!$M$5:$M$11,WEEKDAY($A820,2)))</x:f>
        <x:v>0.91</x:v>
      </x:c>
      <x:c r="F820" s="11" t="n">
        <x:f>IF($A820="","",Assumptions!$B$15)</x:f>
        <x:v>0.35</x:v>
      </x:c>
      <x:c r="G820" s="11" t="n">
        <x:f>IF($A820="","",MAX(INDEX(Assumptions!$H$5:$H$12,MATCH($B820,Assumptions!$D$5:$D$12,0)),MIN(INDEX(Assumptions!$I$5:$I$12,MATCH($B820,Assumptions!$D$5:$D$12,0)),($C820+$D820*SQRT(-2*LN(RAND()))*COS(2*PI()*RAND()))*$E820*$J820*$K820)))</x:f>
        <x:v>824.790420874521</x:v>
      </x:c>
      <x:c r="H820" s="11" t="n">
        <x:f>IF($A820="","",$G820*$F820+$C820*(1-$F820))</x:f>
        <x:v>837.9266473060823</x:v>
      </x:c>
      <x:c r="I820" s="11" t="n">
        <x:f>IF($A820="","",AVERAGE($H820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842.3270277889067</x:v>
      </x:c>
      <x:c r="J820" s="12" t="n">
        <x:f>IF($A820="","",1+SUMIFS(Assumptions!$S$5:$S$10,Assumptions!$P$5:$P$10,$B820,Assumptions!$Q$5:$Q$10,"&lt;="&amp;$A820,Assumptions!$R$5:$R$10,"&gt;="&amp;$A820))</x:f>
        <x:v>1</x:v>
      </x:c>
      <x:c r="K820" s="12" t="n">
        <x:f>IF($A820="","",1+((($A820-Assumptions!$B$5)/30)*INDEX(Assumptions!$J$5:$J$12,MATCH($B820,Assumptions!$D$5:$D$12,0))))</x:f>
        <x:v>1.0054333333333334</x:v>
      </x:c>
      <x:c r="L820" t="str">
        <x:f>IF($A820="","",IFERROR(INDEX(Assumptions!$O$5:$O$10,MATCH(1,(Assumptions!$P$5:$P$10=$B820)*(Assumptions!$Q$5:$Q$10&lt;=$A820)*(Assumptions!$R$5:$R$10&gt;=$A820),0)),""))</x:f>
      </x:c>
      <x:c r="M820" t="n">
        <x:f>--($A820&lt;&gt;"")</x:f>
        <x:v>1</x:v>
      </x:c>
    </x:row>
    <x:row r="821">
      <x:c r="A821" s="10" t="n">
        <x:f>IF(Assumptions!$B$5+INT((ROW()-2)/Assumptions!$B$7)&gt;Assumptions!$B$6,"",Assumptions!$B$5+INT((ROW()-2)/Assumptions!$B$7))</x:f>
        <x:v>46186</x:v>
      </x:c>
      <x:c r="B821" t="str">
        <x:f>IF($A821="","",INDEX(Assumptions!$D$5:$D$12,MOD(ROW()-2,Assumptions!$B$7)+1))</x:f>
        <x:v>Yutani Ridge</x:v>
      </x:c>
      <x:c r="C821" s="11" t="n">
        <x:f>IF($A821="","",INDEX(Assumptions!$F$5:$F$12,MATCH($B821,Assumptions!$D$5:$D$12,0)))</x:f>
        <x:v>1050</x:v>
      </x:c>
      <x:c r="D821" s="11" t="n">
        <x:f>IF($A821="","",INDEX(Assumptions!$G$5:$G$12,MATCH($B821,Assumptions!$D$5:$D$12,0)))</x:f>
        <x:v>125</x:v>
      </x:c>
      <x:c r="E821" s="11" t="n">
        <x:f>IF($A821="","",INDEX(Assumptions!$M$5:$M$11,WEEKDAY($A821,2)))</x:f>
        <x:v>0.91</x:v>
      </x:c>
      <x:c r="F821" s="11" t="n">
        <x:f>IF($A821="","",Assumptions!$B$15)</x:f>
        <x:v>0.35</x:v>
      </x:c>
      <x:c r="G821" s="11" t="n">
        <x:f>IF($A821="","",MAX(INDEX(Assumptions!$H$5:$H$12,MATCH($B821,Assumptions!$D$5:$D$12,0)),MIN(INDEX(Assumptions!$I$5:$I$12,MATCH($B821,Assumptions!$D$5:$D$12,0)),($C821+$D821*SQRT(-2*LN(RAND()))*COS(2*PI()*RAND()))*$E821*$J821*$K821)))</x:f>
        <x:v>887.061226180167</x:v>
      </x:c>
      <x:c r="H821" s="11" t="n">
        <x:f>IF($A821="","",$G821*$F821+$C821*(1-$F821))</x:f>
        <x:v>992.9714291630585</x:v>
      </x:c>
      <x:c r="I821" s="11" t="n">
        <x:f>IF($A821="","",AVERAGE($H821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1035.920930888735</x:v>
      </x:c>
      <x:c r="J821" s="12" t="n">
        <x:f>IF($A821="","",1+SUMIFS(Assumptions!$S$5:$S$10,Assumptions!$P$5:$P$10,$B821,Assumptions!$Q$5:$Q$10,"&lt;="&amp;$A821,Assumptions!$R$5:$R$10,"&gt;="&amp;$A821))</x:f>
        <x:v>1</x:v>
      </x:c>
      <x:c r="K821" s="12" t="n">
        <x:f>IF($A821="","",1+((($A821-Assumptions!$B$5)/30)*INDEX(Assumptions!$J$5:$J$12,MATCH($B821,Assumptions!$D$5:$D$12,0))))</x:f>
        <x:v>1.0135833333333333</x:v>
      </x:c>
      <x:c r="L821" t="str">
        <x:f>IF($A821="","",IFERROR(INDEX(Assumptions!$O$5:$O$10,MATCH(1,(Assumptions!$P$5:$P$10=$B821)*(Assumptions!$Q$5:$Q$10&lt;=$A821)*(Assumptions!$R$5:$R$10&gt;=$A821),0)),""))</x:f>
      </x:c>
      <x:c r="M821" t="n">
        <x:f>--($A821&lt;&gt;"")</x:f>
        <x:v>1</x:v>
      </x:c>
    </x:row>
    <x:row r="822">
      <x:c r="A822" s="10" t="n">
        <x:f>IF(Assumptions!$B$5+INT((ROW()-2)/Assumptions!$B$7)&gt;Assumptions!$B$6,"",Assumptions!$B$5+INT((ROW()-2)/Assumptions!$B$7))</x:f>
        <x:v>46187</x:v>
      </x:c>
      <x:c r="B822" t="str">
        <x:f>IF($A822="","",INDEX(Assumptions!$D$5:$D$12,MOD(ROW()-2,Assumptions!$B$7)+1))</x:f>
        <x:v>Acheron Prime</x:v>
      </x:c>
      <x:c r="C822" s="11" t="n">
        <x:f>IF($A822="","",INDEX(Assumptions!$F$5:$F$12,MATCH($B822,Assumptions!$D$5:$D$12,0)))</x:f>
        <x:v>1120</x:v>
      </x:c>
      <x:c r="D822" s="11" t="n">
        <x:f>IF($A822="","",INDEX(Assumptions!$G$5:$G$12,MATCH($B822,Assumptions!$D$5:$D$12,0)))</x:f>
        <x:v>115</x:v>
      </x:c>
      <x:c r="E822" s="11" t="n">
        <x:f>IF($A822="","",INDEX(Assumptions!$M$5:$M$11,WEEKDAY($A822,2)))</x:f>
        <x:v>0.87</x:v>
      </x:c>
      <x:c r="F822" s="11" t="n">
        <x:f>IF($A822="","",Assumptions!$B$15)</x:f>
        <x:v>0.35</x:v>
      </x:c>
      <x:c r="G822" s="11" t="n">
        <x:f>IF($A822="","",MAX(INDEX(Assumptions!$H$5:$H$12,MATCH($B822,Assumptions!$D$5:$D$12,0)),MIN(INDEX(Assumptions!$I$5:$I$12,MATCH($B822,Assumptions!$D$5:$D$12,0)),($C822+$D822*SQRT(-2*LN(RAND()))*COS(2*PI()*RAND()))*$E822*$J822*$K822)))</x:f>
        <x:v>1000.5213858974432</x:v>
      </x:c>
      <x:c r="H822" s="11" t="n">
        <x:f>IF($A822="","",$G822*$F822+$C822*(1-$F822))</x:f>
        <x:v>1078.182485064105</x:v>
      </x:c>
      <x:c r="I822" s="11" t="n">
        <x:f>IF($A822="","",AVERAGE($H822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1121.5548913574412</x:v>
      </x:c>
      <x:c r="J822" s="12" t="n">
        <x:f>IF($A822="","",1+SUMIFS(Assumptions!$S$5:$S$10,Assumptions!$P$5:$P$10,$B822,Assumptions!$Q$5:$Q$10,"&lt;="&amp;$A822,Assumptions!$R$5:$R$10,"&gt;="&amp;$A822))</x:f>
        <x:v>1</x:v>
      </x:c>
      <x:c r="K822" s="12" t="n">
        <x:f>IF($A822="","",1+((($A822-Assumptions!$B$5)/30)*INDEX(Assumptions!$J$5:$J$12,MATCH($B822,Assumptions!$D$5:$D$12,0))))</x:f>
        <x:v>1.0109333333333332</x:v>
      </x:c>
      <x:c r="L822" t="str">
        <x:f>IF($A822="","",IFERROR(INDEX(Assumptions!$O$5:$O$10,MATCH(1,(Assumptions!$P$5:$P$10=$B822)*(Assumptions!$Q$5:$Q$10&lt;=$A822)*(Assumptions!$R$5:$R$10&gt;=$A822),0)),""))</x:f>
      </x:c>
      <x:c r="M822" t="n">
        <x:f>--($A822&lt;&gt;"")</x:f>
        <x:v>1</x:v>
      </x:c>
    </x:row>
    <x:row r="823">
      <x:c r="A823" s="10" t="n">
        <x:f>IF(Assumptions!$B$5+INT((ROW()-2)/Assumptions!$B$7)&gt;Assumptions!$B$6,"",Assumptions!$B$5+INT((ROW()-2)/Assumptions!$B$7))</x:f>
        <x:v>46187</x:v>
      </x:c>
      <x:c r="B823" t="str">
        <x:f>IF($A823="","",INDEX(Assumptions!$D$5:$D$12,MOD(ROW()-2,Assumptions!$B$7)+1))</x:f>
        <x:v>LV-426 North</x:v>
      </x:c>
      <x:c r="C823" s="11" t="n">
        <x:f>IF($A823="","",INDEX(Assumptions!$F$5:$F$12,MATCH($B823,Assumptions!$D$5:$D$12,0)))</x:f>
        <x:v>930</x:v>
      </x:c>
      <x:c r="D823" s="11" t="n">
        <x:f>IF($A823="","",INDEX(Assumptions!$G$5:$G$12,MATCH($B823,Assumptions!$D$5:$D$12,0)))</x:f>
        <x:v>95</x:v>
      </x:c>
      <x:c r="E823" s="11" t="n">
        <x:f>IF($A823="","",INDEX(Assumptions!$M$5:$M$11,WEEKDAY($A823,2)))</x:f>
        <x:v>0.87</x:v>
      </x:c>
      <x:c r="F823" s="11" t="n">
        <x:f>IF($A823="","",Assumptions!$B$15)</x:f>
        <x:v>0.35</x:v>
      </x:c>
      <x:c r="G823" s="11" t="n">
        <x:f>IF($A823="","",MAX(INDEX(Assumptions!$H$5:$H$12,MATCH($B823,Assumptions!$D$5:$D$12,0)),MIN(INDEX(Assumptions!$I$5:$I$12,MATCH($B823,Assumptions!$D$5:$D$12,0)),($C823+$D823*SQRT(-2*LN(RAND()))*COS(2*PI()*RAND()))*$E823*$J823*$K823)))</x:f>
        <x:v>909.2265406730892</x:v>
      </x:c>
      <x:c r="H823" s="11" t="n">
        <x:f>IF($A823="","",$G823*$F823+$C823*(1-$F823))</x:f>
        <x:v>922.7292892355812</x:v>
      </x:c>
      <x:c r="I823" s="11" t="n">
        <x:f>IF($A823="","",AVERAGE($H823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941.0158068286704</x:v>
      </x:c>
      <x:c r="J823" s="12" t="n">
        <x:f>IF($A823="","",1+SUMIFS(Assumptions!$S$5:$S$10,Assumptions!$P$5:$P$10,$B823,Assumptions!$Q$5:$Q$10,"&lt;="&amp;$A823,Assumptions!$R$5:$R$10,"&gt;="&amp;$A823))</x:f>
        <x:v>1</x:v>
      </x:c>
      <x:c r="K823" s="12" t="n">
        <x:f>IF($A823="","",1+((($A823-Assumptions!$B$5)/30)*INDEX(Assumptions!$J$5:$J$12,MATCH($B823,Assumptions!$D$5:$D$12,0))))</x:f>
        <x:v>0.9945333333333334</x:v>
      </x:c>
      <x:c r="L823" t="str">
        <x:f>IF($A823="","",IFERROR(INDEX(Assumptions!$O$5:$O$10,MATCH(1,(Assumptions!$P$5:$P$10=$B823)*(Assumptions!$Q$5:$Q$10&lt;=$A823)*(Assumptions!$R$5:$R$10&gt;=$A823),0)),""))</x:f>
      </x:c>
      <x:c r="M823" t="n">
        <x:f>--($A823&lt;&gt;"")</x:f>
        <x:v>1</x:v>
      </x:c>
    </x:row>
    <x:row r="824">
      <x:c r="A824" s="10" t="n">
        <x:f>IF(Assumptions!$B$5+INT((ROW()-2)/Assumptions!$B$7)&gt;Assumptions!$B$6,"",Assumptions!$B$5+INT((ROW()-2)/Assumptions!$B$7))</x:f>
        <x:v>46187</x:v>
      </x:c>
      <x:c r="B824" t="str">
        <x:f>IF($A824="","",INDEX(Assumptions!$D$5:$D$12,MOD(ROW()-2,Assumptions!$B$7)+1))</x:f>
        <x:v>Nostromo Deep</x:v>
      </x:c>
      <x:c r="C824" s="11" t="n">
        <x:f>IF($A824="","",INDEX(Assumptions!$F$5:$F$12,MATCH($B824,Assumptions!$D$5:$D$12,0)))</x:f>
        <x:v>1260</x:v>
      </x:c>
      <x:c r="D824" s="11" t="n">
        <x:f>IF($A824="","",INDEX(Assumptions!$G$5:$G$12,MATCH($B824,Assumptions!$D$5:$D$12,0)))</x:f>
        <x:v>145</x:v>
      </x:c>
      <x:c r="E824" s="11" t="n">
        <x:f>IF($A824="","",INDEX(Assumptions!$M$5:$M$11,WEEKDAY($A824,2)))</x:f>
        <x:v>0.87</x:v>
      </x:c>
      <x:c r="F824" s="11" t="n">
        <x:f>IF($A824="","",Assumptions!$B$15)</x:f>
        <x:v>0.35</x:v>
      </x:c>
      <x:c r="G824" s="11" t="n">
        <x:f>IF($A824="","",MAX(INDEX(Assumptions!$H$5:$H$12,MATCH($B824,Assumptions!$D$5:$D$12,0)),MIN(INDEX(Assumptions!$I$5:$I$12,MATCH($B824,Assumptions!$D$5:$D$12,0)),($C824+$D824*SQRT(-2*LN(RAND()))*COS(2*PI()*RAND()))*$E824*$J824*$K824)))</x:f>
        <x:v>1120.816567916811</x:v>
      </x:c>
      <x:c r="H824" s="11" t="n">
        <x:f>IF($A824="","",$G824*$F824+$C824*(1-$F824))</x:f>
        <x:v>1211.285798770884</x:v>
      </x:c>
      <x:c r="I824" s="11" t="n">
        <x:f>IF($A824="","",AVERAGE($H824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1298.7696066209903</x:v>
      </x:c>
      <x:c r="J824" s="12" t="n">
        <x:f>IF($A824="","",1+SUMIFS(Assumptions!$S$5:$S$10,Assumptions!$P$5:$P$10,$B824,Assumptions!$Q$5:$Q$10,"&lt;="&amp;$A824,Assumptions!$R$5:$R$10,"&gt;="&amp;$A824))</x:f>
        <x:v>1</x:v>
      </x:c>
      <x:c r="K824" s="12" t="n">
        <x:f>IF($A824="","",1+((($A824-Assumptions!$B$5)/30)*INDEX(Assumptions!$J$5:$J$12,MATCH($B824,Assumptions!$D$5:$D$12,0))))</x:f>
        <x:v>1.0164</x:v>
      </x:c>
      <x:c r="L824" t="str">
        <x:f>IF($A824="","",IFERROR(INDEX(Assumptions!$O$5:$O$10,MATCH(1,(Assumptions!$P$5:$P$10=$B824)*(Assumptions!$Q$5:$Q$10&lt;=$A824)*(Assumptions!$R$5:$R$10&gt;=$A824),0)),""))</x:f>
      </x:c>
      <x:c r="M824" t="n">
        <x:f>--($A824&lt;&gt;"")</x:f>
        <x:v>1</x:v>
      </x:c>
    </x:row>
    <x:row r="825">
      <x:c r="A825" s="10" t="n">
        <x:f>IF(Assumptions!$B$5+INT((ROW()-2)/Assumptions!$B$7)&gt;Assumptions!$B$6,"",Assumptions!$B$5+INT((ROW()-2)/Assumptions!$B$7))</x:f>
        <x:v>46187</x:v>
      </x:c>
      <x:c r="B825" t="str">
        <x:f>IF($A825="","",INDEX(Assumptions!$D$5:$D$12,MOD(ROW()-2,Assumptions!$B$7)+1))</x:f>
        <x:v>Hadley's Hope</x:v>
      </x:c>
      <x:c r="C825" s="11" t="n">
        <x:f>IF($A825="","",INDEX(Assumptions!$F$5:$F$12,MATCH($B825,Assumptions!$D$5:$D$12,0)))</x:f>
        <x:v>845</x:v>
      </x:c>
      <x:c r="D825" s="11" t="n">
        <x:f>IF($A825="","",INDEX(Assumptions!$G$5:$G$12,MATCH($B825,Assumptions!$D$5:$D$12,0)))</x:f>
        <x:v>80</x:v>
      </x:c>
      <x:c r="E825" s="11" t="n">
        <x:f>IF($A825="","",INDEX(Assumptions!$M$5:$M$11,WEEKDAY($A825,2)))</x:f>
        <x:v>0.87</x:v>
      </x:c>
      <x:c r="F825" s="11" t="n">
        <x:f>IF($A825="","",Assumptions!$B$15)</x:f>
        <x:v>0.35</x:v>
      </x:c>
      <x:c r="G825" s="11" t="n">
        <x:f>IF($A825="","",MAX(INDEX(Assumptions!$H$5:$H$12,MATCH($B825,Assumptions!$D$5:$D$12,0)),MIN(INDEX(Assumptions!$I$5:$I$12,MATCH($B825,Assumptions!$D$5:$D$12,0)),($C825+$D825*SQRT(-2*LN(RAND()))*COS(2*PI()*RAND()))*$E825*$J825*$K825)))</x:f>
        <x:v>773.537018853912</x:v>
      </x:c>
      <x:c r="H825" s="11" t="n">
        <x:f>IF($A825="","",$G825*$F825+$C825*(1-$F825))</x:f>
        <x:v>819.9879565988692</x:v>
      </x:c>
      <x:c r="I825" s="11" t="n">
        <x:f>IF($A825="","",AVERAGE($H825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843.2240668253265</x:v>
      </x:c>
      <x:c r="J825" s="12" t="n">
        <x:f>IF($A825="","",1+SUMIFS(Assumptions!$S$5:$S$10,Assumptions!$P$5:$P$10,$B825,Assumptions!$Q$5:$Q$10,"&lt;="&amp;$A825,Assumptions!$R$5:$R$10,"&gt;="&amp;$A825))</x:f>
        <x:v>1</x:v>
      </x:c>
      <x:c r="K825" s="12" t="n">
        <x:f>IF($A825="","",1+((($A825-Assumptions!$B$5)/30)*INDEX(Assumptions!$J$5:$J$12,MATCH($B825,Assumptions!$D$5:$D$12,0))))</x:f>
        <x:v>1.0054666666666667</x:v>
      </x:c>
      <x:c r="L825" t="str">
        <x:f>IF($A825="","",IFERROR(INDEX(Assumptions!$O$5:$O$10,MATCH(1,(Assumptions!$P$5:$P$10=$B825)*(Assumptions!$Q$5:$Q$10&lt;=$A825)*(Assumptions!$R$5:$R$10&gt;=$A825),0)),""))</x:f>
      </x:c>
      <x:c r="M825" t="n">
        <x:f>--($A825&lt;&gt;"")</x:f>
        <x:v>1</x:v>
      </x:c>
    </x:row>
    <x:row r="826">
      <x:c r="A826" s="10" t="n">
        <x:f>IF(Assumptions!$B$5+INT((ROW()-2)/Assumptions!$B$7)&gt;Assumptions!$B$6,"",Assumptions!$B$5+INT((ROW()-2)/Assumptions!$B$7))</x:f>
        <x:v>46187</x:v>
      </x:c>
      <x:c r="B826" t="str">
        <x:f>IF($A826="","",INDEX(Assumptions!$D$5:$D$12,MOD(ROW()-2,Assumptions!$B$7)+1))</x:f>
        <x:v>Yutani Ridge</x:v>
      </x:c>
      <x:c r="C826" s="11" t="n">
        <x:f>IF($A826="","",INDEX(Assumptions!$F$5:$F$12,MATCH($B826,Assumptions!$D$5:$D$12,0)))</x:f>
        <x:v>1050</x:v>
      </x:c>
      <x:c r="D826" s="11" t="n">
        <x:f>IF($A826="","",INDEX(Assumptions!$G$5:$G$12,MATCH($B826,Assumptions!$D$5:$D$12,0)))</x:f>
        <x:v>125</x:v>
      </x:c>
      <x:c r="E826" s="11" t="n">
        <x:f>IF($A826="","",INDEX(Assumptions!$M$5:$M$11,WEEKDAY($A826,2)))</x:f>
        <x:v>0.87</x:v>
      </x:c>
      <x:c r="F826" s="11" t="n">
        <x:f>IF($A826="","",Assumptions!$B$15)</x:f>
        <x:v>0.35</x:v>
      </x:c>
      <x:c r="G826" s="11" t="n">
        <x:f>IF($A826="","",MAX(INDEX(Assumptions!$H$5:$H$12,MATCH($B826,Assumptions!$D$5:$D$12,0)),MIN(INDEX(Assumptions!$I$5:$I$12,MATCH($B826,Assumptions!$D$5:$D$12,0)),($C826+$D826*SQRT(-2*LN(RAND()))*COS(2*PI()*RAND()))*$E826*$J826*$K826)))</x:f>
        <x:v>913.4594615343029</x:v>
      </x:c>
      <x:c r="H826" s="11" t="n">
        <x:f>IF($A826="","",$G826*$F826+$C826*(1-$F826))</x:f>
        <x:v>1002.2108115370061</x:v>
      </x:c>
      <x:c r="I826" s="11" t="n">
        <x:f>IF($A826="","",AVERAGE($H826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1035.6221185722575</x:v>
      </x:c>
      <x:c r="J826" s="12" t="n">
        <x:f>IF($A826="","",1+SUMIFS(Assumptions!$S$5:$S$10,Assumptions!$P$5:$P$10,$B826,Assumptions!$Q$5:$Q$10,"&lt;="&amp;$A826,Assumptions!$R$5:$R$10,"&gt;="&amp;$A826))</x:f>
        <x:v>1</x:v>
      </x:c>
      <x:c r="K826" s="12" t="n">
        <x:f>IF($A826="","",1+((($A826-Assumptions!$B$5)/30)*INDEX(Assumptions!$J$5:$J$12,MATCH($B826,Assumptions!$D$5:$D$12,0))))</x:f>
        <x:v>1.0136666666666667</x:v>
      </x:c>
      <x:c r="L826" t="str">
        <x:f>IF($A826="","",IFERROR(INDEX(Assumptions!$O$5:$O$10,MATCH(1,(Assumptions!$P$5:$P$10=$B826)*(Assumptions!$Q$5:$Q$10&lt;=$A826)*(Assumptions!$R$5:$R$10&gt;=$A826),0)),""))</x:f>
      </x:c>
      <x:c r="M826" t="n">
        <x:f>--($A826&lt;&gt;"")</x:f>
        <x:v>1</x:v>
      </x:c>
    </x:row>
    <x:row r="827">
      <x:c r="A827" s="10" t="n">
        <x:f>IF(Assumptions!$B$5+INT((ROW()-2)/Assumptions!$B$7)&gt;Assumptions!$B$6,"",Assumptions!$B$5+INT((ROW()-2)/Assumptions!$B$7))</x:f>
        <x:v>46188</x:v>
      </x:c>
      <x:c r="B827" t="str">
        <x:f>IF($A827="","",INDEX(Assumptions!$D$5:$D$12,MOD(ROW()-2,Assumptions!$B$7)+1))</x:f>
        <x:v>Acheron Prime</x:v>
      </x:c>
      <x:c r="C827" s="11" t="n">
        <x:f>IF($A827="","",INDEX(Assumptions!$F$5:$F$12,MATCH($B827,Assumptions!$D$5:$D$12,0)))</x:f>
        <x:v>1120</x:v>
      </x:c>
      <x:c r="D827" s="11" t="n">
        <x:f>IF($A827="","",INDEX(Assumptions!$G$5:$G$12,MATCH($B827,Assumptions!$D$5:$D$12,0)))</x:f>
        <x:v>115</x:v>
      </x:c>
      <x:c r="E827" s="11" t="n">
        <x:f>IF($A827="","",INDEX(Assumptions!$M$5:$M$11,WEEKDAY($A827,2)))</x:f>
        <x:v>1.03</x:v>
      </x:c>
      <x:c r="F827" s="11" t="n">
        <x:f>IF($A827="","",Assumptions!$B$15)</x:f>
        <x:v>0.35</x:v>
      </x:c>
      <x:c r="G827" s="11" t="n">
        <x:f>IF($A827="","",MAX(INDEX(Assumptions!$H$5:$H$12,MATCH($B827,Assumptions!$D$5:$D$12,0)),MIN(INDEX(Assumptions!$I$5:$I$12,MATCH($B827,Assumptions!$D$5:$D$12,0)),($C827+$D827*SQRT(-2*LN(RAND()))*COS(2*PI()*RAND()))*$E827*$J827*$K827)))</x:f>
        <x:v>1211.9602708371483</x:v>
      </x:c>
      <x:c r="H827" s="11" t="n">
        <x:f>IF($A827="","",$G827*$F827+$C827*(1-$F827))</x:f>
        <x:v>1152.1860947930018</x:v>
      </x:c>
      <x:c r="I827" s="11" t="n">
        <x:f>IF($A827="","",AVERAGE($H827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1118.2515498939401</x:v>
      </x:c>
      <x:c r="J827" s="12" t="n">
        <x:f>IF($A827="","",1+SUMIFS(Assumptions!$S$5:$S$10,Assumptions!$P$5:$P$10,$B827,Assumptions!$Q$5:$Q$10,"&lt;="&amp;$A827,Assumptions!$R$5:$R$10,"&gt;="&amp;$A827))</x:f>
        <x:v>1</x:v>
      </x:c>
      <x:c r="K827" s="12" t="n">
        <x:f>IF($A827="","",1+((($A827-Assumptions!$B$5)/30)*INDEX(Assumptions!$J$5:$J$12,MATCH($B827,Assumptions!$D$5:$D$12,0))))</x:f>
        <x:v>1.011</x:v>
      </x:c>
      <x:c r="L827" t="str">
        <x:f>IF($A827="","",IFERROR(INDEX(Assumptions!$O$5:$O$10,MATCH(1,(Assumptions!$P$5:$P$10=$B827)*(Assumptions!$Q$5:$Q$10&lt;=$A827)*(Assumptions!$R$5:$R$10&gt;=$A827),0)),""))</x:f>
      </x:c>
      <x:c r="M827" t="n">
        <x:f>--($A827&lt;&gt;"")</x:f>
        <x:v>1</x:v>
      </x:c>
    </x:row>
    <x:row r="828">
      <x:c r="A828" s="10" t="n">
        <x:f>IF(Assumptions!$B$5+INT((ROW()-2)/Assumptions!$B$7)&gt;Assumptions!$B$6,"",Assumptions!$B$5+INT((ROW()-2)/Assumptions!$B$7))</x:f>
        <x:v>46188</x:v>
      </x:c>
      <x:c r="B828" t="str">
        <x:f>IF($A828="","",INDEX(Assumptions!$D$5:$D$12,MOD(ROW()-2,Assumptions!$B$7)+1))</x:f>
        <x:v>LV-426 North</x:v>
      </x:c>
      <x:c r="C828" s="11" t="n">
        <x:f>IF($A828="","",INDEX(Assumptions!$F$5:$F$12,MATCH($B828,Assumptions!$D$5:$D$12,0)))</x:f>
        <x:v>930</x:v>
      </x:c>
      <x:c r="D828" s="11" t="n">
        <x:f>IF($A828="","",INDEX(Assumptions!$G$5:$G$12,MATCH($B828,Assumptions!$D$5:$D$12,0)))</x:f>
        <x:v>95</x:v>
      </x:c>
      <x:c r="E828" s="11" t="n">
        <x:f>IF($A828="","",INDEX(Assumptions!$M$5:$M$11,WEEKDAY($A828,2)))</x:f>
        <x:v>1.03</x:v>
      </x:c>
      <x:c r="F828" s="11" t="n">
        <x:f>IF($A828="","",Assumptions!$B$15)</x:f>
        <x:v>0.35</x:v>
      </x:c>
      <x:c r="G828" s="11" t="n">
        <x:f>IF($A828="","",MAX(INDEX(Assumptions!$H$5:$H$12,MATCH($B828,Assumptions!$D$5:$D$12,0)),MIN(INDEX(Assumptions!$I$5:$I$12,MATCH($B828,Assumptions!$D$5:$D$12,0)),($C828+$D828*SQRT(-2*LN(RAND()))*COS(2*PI()*RAND()))*$E828*$J828*$K828)))</x:f>
        <x:v>932.8796176158997</x:v>
      </x:c>
      <x:c r="H828" s="11" t="n">
        <x:f>IF($A828="","",$G828*$F828+$C828*(1-$F828))</x:f>
        <x:v>931.0078661655649</x:v>
      </x:c>
      <x:c r="I828" s="11" t="n">
        <x:f>IF($A828="","",AVERAGE($H828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937.1800685874712</x:v>
      </x:c>
      <x:c r="J828" s="12" t="n">
        <x:f>IF($A828="","",1+SUMIFS(Assumptions!$S$5:$S$10,Assumptions!$P$5:$P$10,$B828,Assumptions!$Q$5:$Q$10,"&lt;="&amp;$A828,Assumptions!$R$5:$R$10,"&gt;="&amp;$A828))</x:f>
        <x:v>1</x:v>
      </x:c>
      <x:c r="K828" s="12" t="n">
        <x:f>IF($A828="","",1+((($A828-Assumptions!$B$5)/30)*INDEX(Assumptions!$J$5:$J$12,MATCH($B828,Assumptions!$D$5:$D$12,0))))</x:f>
        <x:v>0.9945</x:v>
      </x:c>
      <x:c r="L828" t="str">
        <x:f>IF($A828="","",IFERROR(INDEX(Assumptions!$O$5:$O$10,MATCH(1,(Assumptions!$P$5:$P$10=$B828)*(Assumptions!$Q$5:$Q$10&lt;=$A828)*(Assumptions!$R$5:$R$10&gt;=$A828),0)),""))</x:f>
      </x:c>
      <x:c r="M828" t="n">
        <x:f>--($A828&lt;&gt;"")</x:f>
        <x:v>1</x:v>
      </x:c>
    </x:row>
    <x:row r="829">
      <x:c r="A829" s="10" t="n">
        <x:f>IF(Assumptions!$B$5+INT((ROW()-2)/Assumptions!$B$7)&gt;Assumptions!$B$6,"",Assumptions!$B$5+INT((ROW()-2)/Assumptions!$B$7))</x:f>
        <x:v>46188</x:v>
      </x:c>
      <x:c r="B829" t="str">
        <x:f>IF($A829="","",INDEX(Assumptions!$D$5:$D$12,MOD(ROW()-2,Assumptions!$B$7)+1))</x:f>
        <x:v>Nostromo Deep</x:v>
      </x:c>
      <x:c r="C829" s="11" t="n">
        <x:f>IF($A829="","",INDEX(Assumptions!$F$5:$F$12,MATCH($B829,Assumptions!$D$5:$D$12,0)))</x:f>
        <x:v>1260</x:v>
      </x:c>
      <x:c r="D829" s="11" t="n">
        <x:f>IF($A829="","",INDEX(Assumptions!$G$5:$G$12,MATCH($B829,Assumptions!$D$5:$D$12,0)))</x:f>
        <x:v>145</x:v>
      </x:c>
      <x:c r="E829" s="11" t="n">
        <x:f>IF($A829="","",INDEX(Assumptions!$M$5:$M$11,WEEKDAY($A829,2)))</x:f>
        <x:v>1.03</x:v>
      </x:c>
      <x:c r="F829" s="11" t="n">
        <x:f>IF($A829="","",Assumptions!$B$15)</x:f>
        <x:v>0.35</x:v>
      </x:c>
      <x:c r="G829" s="11" t="n">
        <x:f>IF($A829="","",MAX(INDEX(Assumptions!$H$5:$H$12,MATCH($B829,Assumptions!$D$5:$D$12,0)),MIN(INDEX(Assumptions!$I$5:$I$12,MATCH($B829,Assumptions!$D$5:$D$12,0)),($C829+$D829*SQRT(-2*LN(RAND()))*COS(2*PI()*RAND()))*$E829*$J829*$K829)))</x:f>
        <x:v>1353.8403993824086</x:v>
      </x:c>
      <x:c r="H829" s="11" t="n">
        <x:f>IF($A829="","",$G829*$F829+$C829*(1-$F829))</x:f>
        <x:v>1292.844139783843</x:v>
      </x:c>
      <x:c r="I829" s="11" t="n">
        <x:f>IF($A829="","",AVERAGE($H829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1282.4544953564437</x:v>
      </x:c>
      <x:c r="J829" s="12" t="n">
        <x:f>IF($A829="","",1+SUMIFS(Assumptions!$S$5:$S$10,Assumptions!$P$5:$P$10,$B829,Assumptions!$Q$5:$Q$10,"&lt;="&amp;$A829,Assumptions!$R$5:$R$10,"&gt;="&amp;$A829))</x:f>
        <x:v>1</x:v>
      </x:c>
      <x:c r="K829" s="12" t="n">
        <x:f>IF($A829="","",1+((($A829-Assumptions!$B$5)/30)*INDEX(Assumptions!$J$5:$J$12,MATCH($B829,Assumptions!$D$5:$D$12,0))))</x:f>
        <x:v>1.0165</x:v>
      </x:c>
      <x:c r="L829" t="str">
        <x:f>IF($A829="","",IFERROR(INDEX(Assumptions!$O$5:$O$10,MATCH(1,(Assumptions!$P$5:$P$10=$B829)*(Assumptions!$Q$5:$Q$10&lt;=$A829)*(Assumptions!$R$5:$R$10&gt;=$A829),0)),""))</x:f>
      </x:c>
      <x:c r="M829" t="n">
        <x:f>--($A829&lt;&gt;"")</x:f>
        <x:v>1</x:v>
      </x:c>
    </x:row>
    <x:row r="830">
      <x:c r="A830" s="10" t="n">
        <x:f>IF(Assumptions!$B$5+INT((ROW()-2)/Assumptions!$B$7)&gt;Assumptions!$B$6,"",Assumptions!$B$5+INT((ROW()-2)/Assumptions!$B$7))</x:f>
        <x:v>46188</x:v>
      </x:c>
      <x:c r="B830" t="str">
        <x:f>IF($A830="","",INDEX(Assumptions!$D$5:$D$12,MOD(ROW()-2,Assumptions!$B$7)+1))</x:f>
        <x:v>Hadley's Hope</x:v>
      </x:c>
      <x:c r="C830" s="11" t="n">
        <x:f>IF($A830="","",INDEX(Assumptions!$F$5:$F$12,MATCH($B830,Assumptions!$D$5:$D$12,0)))</x:f>
        <x:v>845</x:v>
      </x:c>
      <x:c r="D830" s="11" t="n">
        <x:f>IF($A830="","",INDEX(Assumptions!$G$5:$G$12,MATCH($B830,Assumptions!$D$5:$D$12,0)))</x:f>
        <x:v>80</x:v>
      </x:c>
      <x:c r="E830" s="11" t="n">
        <x:f>IF($A830="","",INDEX(Assumptions!$M$5:$M$11,WEEKDAY($A830,2)))</x:f>
        <x:v>1.03</x:v>
      </x:c>
      <x:c r="F830" s="11" t="n">
        <x:f>IF($A830="","",Assumptions!$B$15)</x:f>
        <x:v>0.35</x:v>
      </x:c>
      <x:c r="G830" s="11" t="n">
        <x:f>IF($A830="","",MAX(INDEX(Assumptions!$H$5:$H$12,MATCH($B830,Assumptions!$D$5:$D$12,0)),MIN(INDEX(Assumptions!$I$5:$I$12,MATCH($B830,Assumptions!$D$5:$D$12,0)),($C830+$D830*SQRT(-2*LN(RAND()))*COS(2*PI()*RAND()))*$E830*$J830*$K830)))</x:f>
        <x:v>804.7079347489862</x:v>
      </x:c>
      <x:c r="H830" s="11" t="n">
        <x:f>IF($A830="","",$G830*$F830+$C830*(1-$F830))</x:f>
        <x:v>830.8977771621451</x:v>
      </x:c>
      <x:c r="I830" s="11" t="n">
        <x:f>IF($A830="","",AVERAGE($H830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840.3610769680955</x:v>
      </x:c>
      <x:c r="J830" s="12" t="n">
        <x:f>IF($A830="","",1+SUMIFS(Assumptions!$S$5:$S$10,Assumptions!$P$5:$P$10,$B830,Assumptions!$Q$5:$Q$10,"&lt;="&amp;$A830,Assumptions!$R$5:$R$10,"&gt;="&amp;$A830))</x:f>
        <x:v>1</x:v>
      </x:c>
      <x:c r="K830" s="12" t="n">
        <x:f>IF($A830="","",1+((($A830-Assumptions!$B$5)/30)*INDEX(Assumptions!$J$5:$J$12,MATCH($B830,Assumptions!$D$5:$D$12,0))))</x:f>
        <x:v>1.0055</x:v>
      </x:c>
      <x:c r="L830" t="str">
        <x:f>IF($A830="","",IFERROR(INDEX(Assumptions!$O$5:$O$10,MATCH(1,(Assumptions!$P$5:$P$10=$B830)*(Assumptions!$Q$5:$Q$10&lt;=$A830)*(Assumptions!$R$5:$R$10&gt;=$A830),0)),""))</x:f>
      </x:c>
      <x:c r="M830" t="n">
        <x:f>--($A830&lt;&gt;"")</x:f>
        <x:v>1</x:v>
      </x:c>
    </x:row>
    <x:row r="831">
      <x:c r="A831" s="10" t="n">
        <x:f>IF(Assumptions!$B$5+INT((ROW()-2)/Assumptions!$B$7)&gt;Assumptions!$B$6,"",Assumptions!$B$5+INT((ROW()-2)/Assumptions!$B$7))</x:f>
        <x:v>46188</x:v>
      </x:c>
      <x:c r="B831" t="str">
        <x:f>IF($A831="","",INDEX(Assumptions!$D$5:$D$12,MOD(ROW()-2,Assumptions!$B$7)+1))</x:f>
        <x:v>Yutani Ridge</x:v>
      </x:c>
      <x:c r="C831" s="11" t="n">
        <x:f>IF($A831="","",INDEX(Assumptions!$F$5:$F$12,MATCH($B831,Assumptions!$D$5:$D$12,0)))</x:f>
        <x:v>1050</x:v>
      </x:c>
      <x:c r="D831" s="11" t="n">
        <x:f>IF($A831="","",INDEX(Assumptions!$G$5:$G$12,MATCH($B831,Assumptions!$D$5:$D$12,0)))</x:f>
        <x:v>125</x:v>
      </x:c>
      <x:c r="E831" s="11" t="n">
        <x:f>IF($A831="","",INDEX(Assumptions!$M$5:$M$11,WEEKDAY($A831,2)))</x:f>
        <x:v>1.03</x:v>
      </x:c>
      <x:c r="F831" s="11" t="n">
        <x:f>IF($A831="","",Assumptions!$B$15)</x:f>
        <x:v>0.35</x:v>
      </x:c>
      <x:c r="G831" s="11" t="n">
        <x:f>IF($A831="","",MAX(INDEX(Assumptions!$H$5:$H$12,MATCH($B831,Assumptions!$D$5:$D$12,0)),MIN(INDEX(Assumptions!$I$5:$I$12,MATCH($B831,Assumptions!$D$5:$D$12,0)),($C831+$D831*SQRT(-2*LN(RAND()))*COS(2*PI()*RAND()))*$E831*$J831*$K831)))</x:f>
        <x:v>1190.660344586566</x:v>
      </x:c>
      <x:c r="H831" s="11" t="n">
        <x:f>IF($A831="","",$G831*$F831+$C831*(1-$F831))</x:f>
        <x:v>1099.2311206052982</x:v>
      </x:c>
      <x:c r="I831" s="11" t="n">
        <x:f>IF($A831="","",AVERAGE($H831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1047.7267432527588</x:v>
      </x:c>
      <x:c r="J831" s="12" t="n">
        <x:f>IF($A831="","",1+SUMIFS(Assumptions!$S$5:$S$10,Assumptions!$P$5:$P$10,$B831,Assumptions!$Q$5:$Q$10,"&lt;="&amp;$A831,Assumptions!$R$5:$R$10,"&gt;="&amp;$A831))</x:f>
        <x:v>1</x:v>
      </x:c>
      <x:c r="K831" s="12" t="n">
        <x:f>IF($A831="","",1+((($A831-Assumptions!$B$5)/30)*INDEX(Assumptions!$J$5:$J$12,MATCH($B831,Assumptions!$D$5:$D$12,0))))</x:f>
        <x:v>1.01375</x:v>
      </x:c>
      <x:c r="L831" t="str">
        <x:f>IF($A831="","",IFERROR(INDEX(Assumptions!$O$5:$O$10,MATCH(1,(Assumptions!$P$5:$P$10=$B831)*(Assumptions!$Q$5:$Q$10&lt;=$A831)*(Assumptions!$R$5:$R$10&gt;=$A831),0)),""))</x:f>
      </x:c>
      <x:c r="M831" t="n">
        <x:f>--($A831&lt;&gt;"")</x:f>
        <x:v>1</x:v>
      </x:c>
    </x:row>
    <x:row r="832">
      <x:c r="A832" s="10" t="n">
        <x:f>IF(Assumptions!$B$5+INT((ROW()-2)/Assumptions!$B$7)&gt;Assumptions!$B$6,"",Assumptions!$B$5+INT((ROW()-2)/Assumptions!$B$7))</x:f>
        <x:v>46189</x:v>
      </x:c>
      <x:c r="B832" t="str">
        <x:f>IF($A832="","",INDEX(Assumptions!$D$5:$D$12,MOD(ROW()-2,Assumptions!$B$7)+1))</x:f>
        <x:v>Acheron Prime</x:v>
      </x:c>
      <x:c r="C832" s="11" t="n">
        <x:f>IF($A832="","",INDEX(Assumptions!$F$5:$F$12,MATCH($B832,Assumptions!$D$5:$D$12,0)))</x:f>
        <x:v>1120</x:v>
      </x:c>
      <x:c r="D832" s="11" t="n">
        <x:f>IF($A832="","",INDEX(Assumptions!$G$5:$G$12,MATCH($B832,Assumptions!$D$5:$D$12,0)))</x:f>
        <x:v>115</x:v>
      </x:c>
      <x:c r="E832" s="11" t="n">
        <x:f>IF($A832="","",INDEX(Assumptions!$M$5:$M$11,WEEKDAY($A832,2)))</x:f>
        <x:v>1.02</x:v>
      </x:c>
      <x:c r="F832" s="11" t="n">
        <x:f>IF($A832="","",Assumptions!$B$15)</x:f>
        <x:v>0.35</x:v>
      </x:c>
      <x:c r="G832" s="11" t="n">
        <x:f>IF($A832="","",MAX(INDEX(Assumptions!$H$5:$H$12,MATCH($B832,Assumptions!$D$5:$D$12,0)),MIN(INDEX(Assumptions!$I$5:$I$12,MATCH($B832,Assumptions!$D$5:$D$12,0)),($C832+$D832*SQRT(-2*LN(RAND()))*COS(2*PI()*RAND()))*$E832*$J832*$K832)))</x:f>
        <x:v>1133.2703652265438</x:v>
      </x:c>
      <x:c r="H832" s="11" t="n">
        <x:f>IF($A832="","",$G832*$F832+$C832*(1-$F832))</x:f>
        <x:v>1124.6446278292904</x:v>
      </x:c>
      <x:c r="I832" s="11" t="n">
        <x:f>IF($A832="","",AVERAGE($H832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1122.347098812144</x:v>
      </x:c>
      <x:c r="J832" s="12" t="n">
        <x:f>IF($A832="","",1+SUMIFS(Assumptions!$S$5:$S$10,Assumptions!$P$5:$P$10,$B832,Assumptions!$Q$5:$Q$10,"&lt;="&amp;$A832,Assumptions!$R$5:$R$10,"&gt;="&amp;$A832))</x:f>
        <x:v>1</x:v>
      </x:c>
      <x:c r="K832" s="12" t="n">
        <x:f>IF($A832="","",1+((($A832-Assumptions!$B$5)/30)*INDEX(Assumptions!$J$5:$J$12,MATCH($B832,Assumptions!$D$5:$D$12,0))))</x:f>
        <x:v>1.0110666666666666</x:v>
      </x:c>
      <x:c r="L832" t="str">
        <x:f>IF($A832="","",IFERROR(INDEX(Assumptions!$O$5:$O$10,MATCH(1,(Assumptions!$P$5:$P$10=$B832)*(Assumptions!$Q$5:$Q$10&lt;=$A832)*(Assumptions!$R$5:$R$10&gt;=$A832),0)),""))</x:f>
      </x:c>
      <x:c r="M832" t="n">
        <x:f>--($A832&lt;&gt;"")</x:f>
        <x:v>1</x:v>
      </x:c>
    </x:row>
    <x:row r="833">
      <x:c r="A833" s="10" t="n">
        <x:f>IF(Assumptions!$B$5+INT((ROW()-2)/Assumptions!$B$7)&gt;Assumptions!$B$6,"",Assumptions!$B$5+INT((ROW()-2)/Assumptions!$B$7))</x:f>
        <x:v>46189</x:v>
      </x:c>
      <x:c r="B833" t="str">
        <x:f>IF($A833="","",INDEX(Assumptions!$D$5:$D$12,MOD(ROW()-2,Assumptions!$B$7)+1))</x:f>
        <x:v>LV-426 North</x:v>
      </x:c>
      <x:c r="C833" s="11" t="n">
        <x:f>IF($A833="","",INDEX(Assumptions!$F$5:$F$12,MATCH($B833,Assumptions!$D$5:$D$12,0)))</x:f>
        <x:v>930</x:v>
      </x:c>
      <x:c r="D833" s="11" t="n">
        <x:f>IF($A833="","",INDEX(Assumptions!$G$5:$G$12,MATCH($B833,Assumptions!$D$5:$D$12,0)))</x:f>
        <x:v>95</x:v>
      </x:c>
      <x:c r="E833" s="11" t="n">
        <x:f>IF($A833="","",INDEX(Assumptions!$M$5:$M$11,WEEKDAY($A833,2)))</x:f>
        <x:v>1.02</x:v>
      </x:c>
      <x:c r="F833" s="11" t="n">
        <x:f>IF($A833="","",Assumptions!$B$15)</x:f>
        <x:v>0.35</x:v>
      </x:c>
      <x:c r="G833" s="11" t="n">
        <x:f>IF($A833="","",MAX(INDEX(Assumptions!$H$5:$H$12,MATCH($B833,Assumptions!$D$5:$D$12,0)),MIN(INDEX(Assumptions!$I$5:$I$12,MATCH($B833,Assumptions!$D$5:$D$12,0)),($C833+$D833*SQRT(-2*LN(RAND()))*COS(2*PI()*RAND()))*$E833*$J833*$K833)))</x:f>
        <x:v>946.0963173010529</x:v>
      </x:c>
      <x:c r="H833" s="11" t="n">
        <x:f>IF($A833="","",$G833*$F833+$C833*(1-$F833))</x:f>
        <x:v>935.6337110553685</x:v>
      </x:c>
      <x:c r="I833" s="11" t="n">
        <x:f>IF($A833="","",AVERAGE($H833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929.0780834070787</x:v>
      </x:c>
      <x:c r="J833" s="12" t="n">
        <x:f>IF($A833="","",1+SUMIFS(Assumptions!$S$5:$S$10,Assumptions!$P$5:$P$10,$B833,Assumptions!$Q$5:$Q$10,"&lt;="&amp;$A833,Assumptions!$R$5:$R$10,"&gt;="&amp;$A833))</x:f>
        <x:v>1</x:v>
      </x:c>
      <x:c r="K833" s="12" t="n">
        <x:f>IF($A833="","",1+((($A833-Assumptions!$B$5)/30)*INDEX(Assumptions!$J$5:$J$12,MATCH($B833,Assumptions!$D$5:$D$12,0))))</x:f>
        <x:v>0.9944666666666667</x:v>
      </x:c>
      <x:c r="L833" t="str">
        <x:f>IF($A833="","",IFERROR(INDEX(Assumptions!$O$5:$O$10,MATCH(1,(Assumptions!$P$5:$P$10=$B833)*(Assumptions!$Q$5:$Q$10&lt;=$A833)*(Assumptions!$R$5:$R$10&gt;=$A833),0)),""))</x:f>
      </x:c>
      <x:c r="M833" t="n">
        <x:f>--($A833&lt;&gt;"")</x:f>
        <x:v>1</x:v>
      </x:c>
    </x:row>
    <x:row r="834">
      <x:c r="A834" s="10" t="n">
        <x:f>IF(Assumptions!$B$5+INT((ROW()-2)/Assumptions!$B$7)&gt;Assumptions!$B$6,"",Assumptions!$B$5+INT((ROW()-2)/Assumptions!$B$7))</x:f>
        <x:v>46189</x:v>
      </x:c>
      <x:c r="B834" t="str">
        <x:f>IF($A834="","",INDEX(Assumptions!$D$5:$D$12,MOD(ROW()-2,Assumptions!$B$7)+1))</x:f>
        <x:v>Nostromo Deep</x:v>
      </x:c>
      <x:c r="C834" s="11" t="n">
        <x:f>IF($A834="","",INDEX(Assumptions!$F$5:$F$12,MATCH($B834,Assumptions!$D$5:$D$12,0)))</x:f>
        <x:v>1260</x:v>
      </x:c>
      <x:c r="D834" s="11" t="n">
        <x:f>IF($A834="","",INDEX(Assumptions!$G$5:$G$12,MATCH($B834,Assumptions!$D$5:$D$12,0)))</x:f>
        <x:v>145</x:v>
      </x:c>
      <x:c r="E834" s="11" t="n">
        <x:f>IF($A834="","",INDEX(Assumptions!$M$5:$M$11,WEEKDAY($A834,2)))</x:f>
        <x:v>1.02</x:v>
      </x:c>
      <x:c r="F834" s="11" t="n">
        <x:f>IF($A834="","",Assumptions!$B$15)</x:f>
        <x:v>0.35</x:v>
      </x:c>
      <x:c r="G834" s="11" t="n">
        <x:f>IF($A834="","",MAX(INDEX(Assumptions!$H$5:$H$12,MATCH($B834,Assumptions!$D$5:$D$12,0)),MIN(INDEX(Assumptions!$I$5:$I$12,MATCH($B834,Assumptions!$D$5:$D$12,0)),($C834+$D834*SQRT(-2*LN(RAND()))*COS(2*PI()*RAND()))*$E834*$J834*$K834)))</x:f>
        <x:v>1540.0700996970804</x:v>
      </x:c>
      <x:c r="H834" s="11" t="n">
        <x:f>IF($A834="","",$G834*$F834+$C834*(1-$F834))</x:f>
        <x:v>1358.024534893978</x:v>
      </x:c>
      <x:c r="I834" s="11" t="n">
        <x:f>IF($A834="","",AVERAGE($H834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1275.2594523261832</x:v>
      </x:c>
      <x:c r="J834" s="12" t="n">
        <x:f>IF($A834="","",1+SUMIFS(Assumptions!$S$5:$S$10,Assumptions!$P$5:$P$10,$B834,Assumptions!$Q$5:$Q$10,"&lt;="&amp;$A834,Assumptions!$R$5:$R$10,"&gt;="&amp;$A834))</x:f>
        <x:v>1</x:v>
      </x:c>
      <x:c r="K834" s="12" t="n">
        <x:f>IF($A834="","",1+((($A834-Assumptions!$B$5)/30)*INDEX(Assumptions!$J$5:$J$12,MATCH($B834,Assumptions!$D$5:$D$12,0))))</x:f>
        <x:v>1.0166</x:v>
      </x:c>
      <x:c r="L834" t="str">
        <x:f>IF($A834="","",IFERROR(INDEX(Assumptions!$O$5:$O$10,MATCH(1,(Assumptions!$P$5:$P$10=$B834)*(Assumptions!$Q$5:$Q$10&lt;=$A834)*(Assumptions!$R$5:$R$10&gt;=$A834),0)),""))</x:f>
      </x:c>
      <x:c r="M834" t="n">
        <x:f>--($A834&lt;&gt;"")</x:f>
        <x:v>1</x:v>
      </x:c>
    </x:row>
    <x:row r="835">
      <x:c r="A835" s="10" t="n">
        <x:f>IF(Assumptions!$B$5+INT((ROW()-2)/Assumptions!$B$7)&gt;Assumptions!$B$6,"",Assumptions!$B$5+INT((ROW()-2)/Assumptions!$B$7))</x:f>
        <x:v>46189</x:v>
      </x:c>
      <x:c r="B835" t="str">
        <x:f>IF($A835="","",INDEX(Assumptions!$D$5:$D$12,MOD(ROW()-2,Assumptions!$B$7)+1))</x:f>
        <x:v>Hadley's Hope</x:v>
      </x:c>
      <x:c r="C835" s="11" t="n">
        <x:f>IF($A835="","",INDEX(Assumptions!$F$5:$F$12,MATCH($B835,Assumptions!$D$5:$D$12,0)))</x:f>
        <x:v>845</x:v>
      </x:c>
      <x:c r="D835" s="11" t="n">
        <x:f>IF($A835="","",INDEX(Assumptions!$G$5:$G$12,MATCH($B835,Assumptions!$D$5:$D$12,0)))</x:f>
        <x:v>80</x:v>
      </x:c>
      <x:c r="E835" s="11" t="n">
        <x:f>IF($A835="","",INDEX(Assumptions!$M$5:$M$11,WEEKDAY($A835,2)))</x:f>
        <x:v>1.02</x:v>
      </x:c>
      <x:c r="F835" s="11" t="n">
        <x:f>IF($A835="","",Assumptions!$B$15)</x:f>
        <x:v>0.35</x:v>
      </x:c>
      <x:c r="G835" s="11" t="n">
        <x:f>IF($A835="","",MAX(INDEX(Assumptions!$H$5:$H$12,MATCH($B835,Assumptions!$D$5:$D$12,0)),MIN(INDEX(Assumptions!$I$5:$I$12,MATCH($B835,Assumptions!$D$5:$D$12,0)),($C835+$D835*SQRT(-2*LN(RAND()))*COS(2*PI()*RAND()))*$E835*$J835*$K835)))</x:f>
        <x:v>954.1840443422427</x:v>
      </x:c>
      <x:c r="H835" s="11" t="n">
        <x:f>IF($A835="","",$G835*$F835+$C835*(1-$F835))</x:f>
        <x:v>883.214415519785</x:v>
      </x:c>
      <x:c r="I835" s="11" t="n">
        <x:f>IF($A835="","",AVERAGE($H835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839.7320938206742</x:v>
      </x:c>
      <x:c r="J835" s="12" t="n">
        <x:f>IF($A835="","",1+SUMIFS(Assumptions!$S$5:$S$10,Assumptions!$P$5:$P$10,$B835,Assumptions!$Q$5:$Q$10,"&lt;="&amp;$A835,Assumptions!$R$5:$R$10,"&gt;="&amp;$A835))</x:f>
        <x:v>1</x:v>
      </x:c>
      <x:c r="K835" s="12" t="n">
        <x:f>IF($A835="","",1+((($A835-Assumptions!$B$5)/30)*INDEX(Assumptions!$J$5:$J$12,MATCH($B835,Assumptions!$D$5:$D$12,0))))</x:f>
        <x:v>1.0055333333333334</x:v>
      </x:c>
      <x:c r="L835" t="str">
        <x:f>IF($A835="","",IFERROR(INDEX(Assumptions!$O$5:$O$10,MATCH(1,(Assumptions!$P$5:$P$10=$B835)*(Assumptions!$Q$5:$Q$10&lt;=$A835)*(Assumptions!$R$5:$R$10&gt;=$A835),0)),""))</x:f>
      </x:c>
      <x:c r="M835" t="n">
        <x:f>--($A835&lt;&gt;"")</x:f>
        <x:v>1</x:v>
      </x:c>
    </x:row>
    <x:row r="836">
      <x:c r="A836" s="10" t="n">
        <x:f>IF(Assumptions!$B$5+INT((ROW()-2)/Assumptions!$B$7)&gt;Assumptions!$B$6,"",Assumptions!$B$5+INT((ROW()-2)/Assumptions!$B$7))</x:f>
        <x:v>46189</x:v>
      </x:c>
      <x:c r="B836" t="str">
        <x:f>IF($A836="","",INDEX(Assumptions!$D$5:$D$12,MOD(ROW()-2,Assumptions!$B$7)+1))</x:f>
        <x:v>Yutani Ridge</x:v>
      </x:c>
      <x:c r="C836" s="11" t="n">
        <x:f>IF($A836="","",INDEX(Assumptions!$F$5:$F$12,MATCH($B836,Assumptions!$D$5:$D$12,0)))</x:f>
        <x:v>1050</x:v>
      </x:c>
      <x:c r="D836" s="11" t="n">
        <x:f>IF($A836="","",INDEX(Assumptions!$G$5:$G$12,MATCH($B836,Assumptions!$D$5:$D$12,0)))</x:f>
        <x:v>125</x:v>
      </x:c>
      <x:c r="E836" s="11" t="n">
        <x:f>IF($A836="","",INDEX(Assumptions!$M$5:$M$11,WEEKDAY($A836,2)))</x:f>
        <x:v>1.02</x:v>
      </x:c>
      <x:c r="F836" s="11" t="n">
        <x:f>IF($A836="","",Assumptions!$B$15)</x:f>
        <x:v>0.35</x:v>
      </x:c>
      <x:c r="G836" s="11" t="n">
        <x:f>IF($A836="","",MAX(INDEX(Assumptions!$H$5:$H$12,MATCH($B836,Assumptions!$D$5:$D$12,0)),MIN(INDEX(Assumptions!$I$5:$I$12,MATCH($B836,Assumptions!$D$5:$D$12,0)),($C836+$D836*SQRT(-2*LN(RAND()))*COS(2*PI()*RAND()))*$E836*$J836*$K836)))</x:f>
        <x:v>1269.7772299241535</x:v>
      </x:c>
      <x:c r="H836" s="11" t="n">
        <x:f>IF($A836="","",$G836*$F836+$C836*(1-$F836))</x:f>
        <x:v>1126.9220304734538</x:v>
      </x:c>
      <x:c r="I836" s="11" t="n">
        <x:f>IF($A836="","",AVERAGE($H836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1049.8375434824034</x:v>
      </x:c>
      <x:c r="J836" s="12" t="n">
        <x:f>IF($A836="","",1+SUMIFS(Assumptions!$S$5:$S$10,Assumptions!$P$5:$P$10,$B836,Assumptions!$Q$5:$Q$10,"&lt;="&amp;$A836,Assumptions!$R$5:$R$10,"&gt;="&amp;$A836))</x:f>
        <x:v>1</x:v>
      </x:c>
      <x:c r="K836" s="12" t="n">
        <x:f>IF($A836="","",1+((($A836-Assumptions!$B$5)/30)*INDEX(Assumptions!$J$5:$J$12,MATCH($B836,Assumptions!$D$5:$D$12,0))))</x:f>
        <x:v>1.0138333333333334</x:v>
      </x:c>
      <x:c r="L836" t="str">
        <x:f>IF($A836="","",IFERROR(INDEX(Assumptions!$O$5:$O$10,MATCH(1,(Assumptions!$P$5:$P$10=$B836)*(Assumptions!$Q$5:$Q$10&lt;=$A836)*(Assumptions!$R$5:$R$10&gt;=$A836),0)),""))</x:f>
      </x:c>
      <x:c r="M836" t="n">
        <x:f>--($A836&lt;&gt;"")</x:f>
        <x:v>1</x:v>
      </x:c>
    </x:row>
    <x:row r="837">
      <x:c r="A837" s="10" t="n">
        <x:f>IF(Assumptions!$B$5+INT((ROW()-2)/Assumptions!$B$7)&gt;Assumptions!$B$6,"",Assumptions!$B$5+INT((ROW()-2)/Assumptions!$B$7))</x:f>
        <x:v>46190</x:v>
      </x:c>
      <x:c r="B837" t="str">
        <x:f>IF($A837="","",INDEX(Assumptions!$D$5:$D$12,MOD(ROW()-2,Assumptions!$B$7)+1))</x:f>
        <x:v>Acheron Prime</x:v>
      </x:c>
      <x:c r="C837" s="11" t="n">
        <x:f>IF($A837="","",INDEX(Assumptions!$F$5:$F$12,MATCH($B837,Assumptions!$D$5:$D$12,0)))</x:f>
        <x:v>1120</x:v>
      </x:c>
      <x:c r="D837" s="11" t="n">
        <x:f>IF($A837="","",INDEX(Assumptions!$G$5:$G$12,MATCH($B837,Assumptions!$D$5:$D$12,0)))</x:f>
        <x:v>115</x:v>
      </x:c>
      <x:c r="E837" s="11" t="n">
        <x:f>IF($A837="","",INDEX(Assumptions!$M$5:$M$11,WEEKDAY($A837,2)))</x:f>
        <x:v>1.01</x:v>
      </x:c>
      <x:c r="F837" s="11" t="n">
        <x:f>IF($A837="","",Assumptions!$B$15)</x:f>
        <x:v>0.35</x:v>
      </x:c>
      <x:c r="G837" s="11" t="n">
        <x:f>IF($A837="","",MAX(INDEX(Assumptions!$H$5:$H$12,MATCH($B837,Assumptions!$D$5:$D$12,0)),MIN(INDEX(Assumptions!$I$5:$I$12,MATCH($B837,Assumptions!$D$5:$D$12,0)),($C837+$D837*SQRT(-2*LN(RAND()))*COS(2*PI()*RAND()))*$E837*$J837*$K837)))</x:f>
        <x:v>1167.1243350006712</x:v>
      </x:c>
      <x:c r="H837" s="11" t="n">
        <x:f>IF($A837="","",$G837*$F837+$C837*(1-$F837))</x:f>
        <x:v>1136.4935172502348</x:v>
      </x:c>
      <x:c r="I837" s="11" t="n">
        <x:f>IF($A837="","",AVERAGE($H837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1120.9925082625916</x:v>
      </x:c>
      <x:c r="J837" s="12" t="n">
        <x:f>IF($A837="","",1+SUMIFS(Assumptions!$S$5:$S$10,Assumptions!$P$5:$P$10,$B837,Assumptions!$Q$5:$Q$10,"&lt;="&amp;$A837,Assumptions!$R$5:$R$10,"&gt;="&amp;$A837))</x:f>
        <x:v>1</x:v>
      </x:c>
      <x:c r="K837" s="12" t="n">
        <x:f>IF($A837="","",1+((($A837-Assumptions!$B$5)/30)*INDEX(Assumptions!$J$5:$J$12,MATCH($B837,Assumptions!$D$5:$D$12,0))))</x:f>
        <x:v>1.0111333333333334</x:v>
      </x:c>
      <x:c r="L837" t="str">
        <x:f>IF($A837="","",IFERROR(INDEX(Assumptions!$O$5:$O$10,MATCH(1,(Assumptions!$P$5:$P$10=$B837)*(Assumptions!$Q$5:$Q$10&lt;=$A837)*(Assumptions!$R$5:$R$10&gt;=$A837),0)),""))</x:f>
      </x:c>
      <x:c r="M837" t="n">
        <x:f>--($A837&lt;&gt;"")</x:f>
        <x:v>1</x:v>
      </x:c>
    </x:row>
    <x:row r="838">
      <x:c r="A838" s="10" t="n">
        <x:f>IF(Assumptions!$B$5+INT((ROW()-2)/Assumptions!$B$7)&gt;Assumptions!$B$6,"",Assumptions!$B$5+INT((ROW()-2)/Assumptions!$B$7))</x:f>
        <x:v>46190</x:v>
      </x:c>
      <x:c r="B838" t="str">
        <x:f>IF($A838="","",INDEX(Assumptions!$D$5:$D$12,MOD(ROW()-2,Assumptions!$B$7)+1))</x:f>
        <x:v>LV-426 North</x:v>
      </x:c>
      <x:c r="C838" s="11" t="n">
        <x:f>IF($A838="","",INDEX(Assumptions!$F$5:$F$12,MATCH($B838,Assumptions!$D$5:$D$12,0)))</x:f>
        <x:v>930</x:v>
      </x:c>
      <x:c r="D838" s="11" t="n">
        <x:f>IF($A838="","",INDEX(Assumptions!$G$5:$G$12,MATCH($B838,Assumptions!$D$5:$D$12,0)))</x:f>
        <x:v>95</x:v>
      </x:c>
      <x:c r="E838" s="11" t="n">
        <x:f>IF($A838="","",INDEX(Assumptions!$M$5:$M$11,WEEKDAY($A838,2)))</x:f>
        <x:v>1.01</x:v>
      </x:c>
      <x:c r="F838" s="11" t="n">
        <x:f>IF($A838="","",Assumptions!$B$15)</x:f>
        <x:v>0.35</x:v>
      </x:c>
      <x:c r="G838" s="11" t="n">
        <x:f>IF($A838="","",MAX(INDEX(Assumptions!$H$5:$H$12,MATCH($B838,Assumptions!$D$5:$D$12,0)),MIN(INDEX(Assumptions!$I$5:$I$12,MATCH($B838,Assumptions!$D$5:$D$12,0)),($C838+$D838*SQRT(-2*LN(RAND()))*COS(2*PI()*RAND()))*$E838*$J838*$K838)))</x:f>
        <x:v>987.3365399285184</x:v>
      </x:c>
      <x:c r="H838" s="11" t="n">
        <x:f>IF($A838="","",$G838*$F838+$C838*(1-$F838))</x:f>
        <x:v>950.0677889749813</x:v>
      </x:c>
      <x:c r="I838" s="11" t="n">
        <x:f>IF($A838="","",AVERAGE($H838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933.8433777606276</x:v>
      </x:c>
      <x:c r="J838" s="12" t="n">
        <x:f>IF($A838="","",1+SUMIFS(Assumptions!$S$5:$S$10,Assumptions!$P$5:$P$10,$B838,Assumptions!$Q$5:$Q$10,"&lt;="&amp;$A838,Assumptions!$R$5:$R$10,"&gt;="&amp;$A838))</x:f>
        <x:v>1</x:v>
      </x:c>
      <x:c r="K838" s="12" t="n">
        <x:f>IF($A838="","",1+((($A838-Assumptions!$B$5)/30)*INDEX(Assumptions!$J$5:$J$12,MATCH($B838,Assumptions!$D$5:$D$12,0))))</x:f>
        <x:v>0.9944333333333333</x:v>
      </x:c>
      <x:c r="L838" t="str">
        <x:f>IF($A838="","",IFERROR(INDEX(Assumptions!$O$5:$O$10,MATCH(1,(Assumptions!$P$5:$P$10=$B838)*(Assumptions!$Q$5:$Q$10&lt;=$A838)*(Assumptions!$R$5:$R$10&gt;=$A838),0)),""))</x:f>
      </x:c>
      <x:c r="M838" t="n">
        <x:f>--($A838&lt;&gt;"")</x:f>
        <x:v>1</x:v>
      </x:c>
    </x:row>
    <x:row r="839">
      <x:c r="A839" s="10" t="n">
        <x:f>IF(Assumptions!$B$5+INT((ROW()-2)/Assumptions!$B$7)&gt;Assumptions!$B$6,"",Assumptions!$B$5+INT((ROW()-2)/Assumptions!$B$7))</x:f>
        <x:v>46190</x:v>
      </x:c>
      <x:c r="B839" t="str">
        <x:f>IF($A839="","",INDEX(Assumptions!$D$5:$D$12,MOD(ROW()-2,Assumptions!$B$7)+1))</x:f>
        <x:v>Nostromo Deep</x:v>
      </x:c>
      <x:c r="C839" s="11" t="n">
        <x:f>IF($A839="","",INDEX(Assumptions!$F$5:$F$12,MATCH($B839,Assumptions!$D$5:$D$12,0)))</x:f>
        <x:v>1260</x:v>
      </x:c>
      <x:c r="D839" s="11" t="n">
        <x:f>IF($A839="","",INDEX(Assumptions!$G$5:$G$12,MATCH($B839,Assumptions!$D$5:$D$12,0)))</x:f>
        <x:v>145</x:v>
      </x:c>
      <x:c r="E839" s="11" t="n">
        <x:f>IF($A839="","",INDEX(Assumptions!$M$5:$M$11,WEEKDAY($A839,2)))</x:f>
        <x:v>1.01</x:v>
      </x:c>
      <x:c r="F839" s="11" t="n">
        <x:f>IF($A839="","",Assumptions!$B$15)</x:f>
        <x:v>0.35</x:v>
      </x:c>
      <x:c r="G839" s="11" t="n">
        <x:f>IF($A839="","",MAX(INDEX(Assumptions!$H$5:$H$12,MATCH($B839,Assumptions!$D$5:$D$12,0)),MIN(INDEX(Assumptions!$I$5:$I$12,MATCH($B839,Assumptions!$D$5:$D$12,0)),($C839+$D839*SQRT(-2*LN(RAND()))*COS(2*PI()*RAND()))*$E839*$J839*$K839)))</x:f>
        <x:v>1074.7887591071533</x:v>
      </x:c>
      <x:c r="H839" s="11" t="n">
        <x:f>IF($A839="","",$G839*$F839+$C839*(1-$F839))</x:f>
        <x:v>1195.1760656875035</x:v>
      </x:c>
      <x:c r="I839" s="11" t="n">
        <x:f>IF($A839="","",AVERAGE($H839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1277.0456746364732</x:v>
      </x:c>
      <x:c r="J839" s="12" t="n">
        <x:f>IF($A839="","",1+SUMIFS(Assumptions!$S$5:$S$10,Assumptions!$P$5:$P$10,$B839,Assumptions!$Q$5:$Q$10,"&lt;="&amp;$A839,Assumptions!$R$5:$R$10,"&gt;="&amp;$A839))</x:f>
        <x:v>1</x:v>
      </x:c>
      <x:c r="K839" s="12" t="n">
        <x:f>IF($A839="","",1+((($A839-Assumptions!$B$5)/30)*INDEX(Assumptions!$J$5:$J$12,MATCH($B839,Assumptions!$D$5:$D$12,0))))</x:f>
        <x:v>1.0167</x:v>
      </x:c>
      <x:c r="L839" t="str">
        <x:f>IF($A839="","",IFERROR(INDEX(Assumptions!$O$5:$O$10,MATCH(1,(Assumptions!$P$5:$P$10=$B839)*(Assumptions!$Q$5:$Q$10&lt;=$A839)*(Assumptions!$R$5:$R$10&gt;=$A839),0)),""))</x:f>
      </x:c>
      <x:c r="M839" t="n">
        <x:f>--($A839&lt;&gt;"")</x:f>
        <x:v>1</x:v>
      </x:c>
    </x:row>
    <x:row r="840">
      <x:c r="A840" s="10" t="n">
        <x:f>IF(Assumptions!$B$5+INT((ROW()-2)/Assumptions!$B$7)&gt;Assumptions!$B$6,"",Assumptions!$B$5+INT((ROW()-2)/Assumptions!$B$7))</x:f>
        <x:v>46190</x:v>
      </x:c>
      <x:c r="B840" t="str">
        <x:f>IF($A840="","",INDEX(Assumptions!$D$5:$D$12,MOD(ROW()-2,Assumptions!$B$7)+1))</x:f>
        <x:v>Hadley's Hope</x:v>
      </x:c>
      <x:c r="C840" s="11" t="n">
        <x:f>IF($A840="","",INDEX(Assumptions!$F$5:$F$12,MATCH($B840,Assumptions!$D$5:$D$12,0)))</x:f>
        <x:v>845</x:v>
      </x:c>
      <x:c r="D840" s="11" t="n">
        <x:f>IF($A840="","",INDEX(Assumptions!$G$5:$G$12,MATCH($B840,Assumptions!$D$5:$D$12,0)))</x:f>
        <x:v>80</x:v>
      </x:c>
      <x:c r="E840" s="11" t="n">
        <x:f>IF($A840="","",INDEX(Assumptions!$M$5:$M$11,WEEKDAY($A840,2)))</x:f>
        <x:v>1.01</x:v>
      </x:c>
      <x:c r="F840" s="11" t="n">
        <x:f>IF($A840="","",Assumptions!$B$15)</x:f>
        <x:v>0.35</x:v>
      </x:c>
      <x:c r="G840" s="11" t="n">
        <x:f>IF($A840="","",MAX(INDEX(Assumptions!$H$5:$H$12,MATCH($B840,Assumptions!$D$5:$D$12,0)),MIN(INDEX(Assumptions!$I$5:$I$12,MATCH($B840,Assumptions!$D$5:$D$12,0)),($C840+$D840*SQRT(-2*LN(RAND()))*COS(2*PI()*RAND()))*$E840*$J840*$K840)))</x:f>
        <x:v>765.2724970262083</x:v>
      </x:c>
      <x:c r="H840" s="11" t="n">
        <x:f>IF($A840="","",$G840*$F840+$C840*(1-$F840))</x:f>
        <x:v>817.0953739591729</x:v>
      </x:c>
      <x:c r="I840" s="11" t="n">
        <x:f>IF($A840="","",AVERAGE($H840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839.6235368215412</x:v>
      </x:c>
      <x:c r="J840" s="12" t="n">
        <x:f>IF($A840="","",1+SUMIFS(Assumptions!$S$5:$S$10,Assumptions!$P$5:$P$10,$B840,Assumptions!$Q$5:$Q$10,"&lt;="&amp;$A840,Assumptions!$R$5:$R$10,"&gt;="&amp;$A840))</x:f>
        <x:v>1</x:v>
      </x:c>
      <x:c r="K840" s="12" t="n">
        <x:f>IF($A840="","",1+((($A840-Assumptions!$B$5)/30)*INDEX(Assumptions!$J$5:$J$12,MATCH($B840,Assumptions!$D$5:$D$12,0))))</x:f>
        <x:v>1.0055666666666667</x:v>
      </x:c>
      <x:c r="L840" t="str">
        <x:f>IF($A840="","",IFERROR(INDEX(Assumptions!$O$5:$O$10,MATCH(1,(Assumptions!$P$5:$P$10=$B840)*(Assumptions!$Q$5:$Q$10&lt;=$A840)*(Assumptions!$R$5:$R$10&gt;=$A840),0)),""))</x:f>
      </x:c>
      <x:c r="M840" t="n">
        <x:f>--($A840&lt;&gt;"")</x:f>
        <x:v>1</x:v>
      </x:c>
    </x:row>
    <x:row r="841">
      <x:c r="A841" s="10" t="n">
        <x:f>IF(Assumptions!$B$5+INT((ROW()-2)/Assumptions!$B$7)&gt;Assumptions!$B$6,"",Assumptions!$B$5+INT((ROW()-2)/Assumptions!$B$7))</x:f>
        <x:v>46190</x:v>
      </x:c>
      <x:c r="B841" t="str">
        <x:f>IF($A841="","",INDEX(Assumptions!$D$5:$D$12,MOD(ROW()-2,Assumptions!$B$7)+1))</x:f>
        <x:v>Yutani Ridge</x:v>
      </x:c>
      <x:c r="C841" s="11" t="n">
        <x:f>IF($A841="","",INDEX(Assumptions!$F$5:$F$12,MATCH($B841,Assumptions!$D$5:$D$12,0)))</x:f>
        <x:v>1050</x:v>
      </x:c>
      <x:c r="D841" s="11" t="n">
        <x:f>IF($A841="","",INDEX(Assumptions!$G$5:$G$12,MATCH($B841,Assumptions!$D$5:$D$12,0)))</x:f>
        <x:v>125</x:v>
      </x:c>
      <x:c r="E841" s="11" t="n">
        <x:f>IF($A841="","",INDEX(Assumptions!$M$5:$M$11,WEEKDAY($A841,2)))</x:f>
        <x:v>1.01</x:v>
      </x:c>
      <x:c r="F841" s="11" t="n">
        <x:f>IF($A841="","",Assumptions!$B$15)</x:f>
        <x:v>0.35</x:v>
      </x:c>
      <x:c r="G841" s="11" t="n">
        <x:f>IF($A841="","",MAX(INDEX(Assumptions!$H$5:$H$12,MATCH($B841,Assumptions!$D$5:$D$12,0)),MIN(INDEX(Assumptions!$I$5:$I$12,MATCH($B841,Assumptions!$D$5:$D$12,0)),($C841+$D841*SQRT(-2*LN(RAND()))*COS(2*PI()*RAND()))*$E841*$J841*$K841)))</x:f>
        <x:v>1046.5731584576445</x:v>
      </x:c>
      <x:c r="H841" s="11" t="n">
        <x:f>IF($A841="","",$G841*$F841+$C841*(1-$F841))</x:f>
        <x:v>1048.8006054601756</x:v>
      </x:c>
      <x:c r="I841" s="11" t="n">
        <x:f>IF($A841="","",AVERAGE($H841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1041.1507297186304</x:v>
      </x:c>
      <x:c r="J841" s="12" t="n">
        <x:f>IF($A841="","",1+SUMIFS(Assumptions!$S$5:$S$10,Assumptions!$P$5:$P$10,$B841,Assumptions!$Q$5:$Q$10,"&lt;="&amp;$A841,Assumptions!$R$5:$R$10,"&gt;="&amp;$A841))</x:f>
        <x:v>1</x:v>
      </x:c>
      <x:c r="K841" s="12" t="n">
        <x:f>IF($A841="","",1+((($A841-Assumptions!$B$5)/30)*INDEX(Assumptions!$J$5:$J$12,MATCH($B841,Assumptions!$D$5:$D$12,0))))</x:f>
        <x:v>1.0139166666666666</x:v>
      </x:c>
      <x:c r="L841" t="str">
        <x:f>IF($A841="","",IFERROR(INDEX(Assumptions!$O$5:$O$10,MATCH(1,(Assumptions!$P$5:$P$10=$B841)*(Assumptions!$Q$5:$Q$10&lt;=$A841)*(Assumptions!$R$5:$R$10&gt;=$A841),0)),""))</x:f>
      </x:c>
      <x:c r="M841" t="n">
        <x:f>--($A841&lt;&gt;"")</x:f>
        <x:v>1</x:v>
      </x:c>
    </x:row>
    <x:row r="842">
      <x:c r="A842" s="10" t="n">
        <x:f>IF(Assumptions!$B$5+INT((ROW()-2)/Assumptions!$B$7)&gt;Assumptions!$B$6,"",Assumptions!$B$5+INT((ROW()-2)/Assumptions!$B$7))</x:f>
        <x:v>46191</x:v>
      </x:c>
      <x:c r="B842" t="str">
        <x:f>IF($A842="","",INDEX(Assumptions!$D$5:$D$12,MOD(ROW()-2,Assumptions!$B$7)+1))</x:f>
        <x:v>Acheron Prime</x:v>
      </x:c>
      <x:c r="C842" s="11" t="n">
        <x:f>IF($A842="","",INDEX(Assumptions!$F$5:$F$12,MATCH($B842,Assumptions!$D$5:$D$12,0)))</x:f>
        <x:v>1120</x:v>
      </x:c>
      <x:c r="D842" s="11" t="n">
        <x:f>IF($A842="","",INDEX(Assumptions!$G$5:$G$12,MATCH($B842,Assumptions!$D$5:$D$12,0)))</x:f>
        <x:v>115</x:v>
      </x:c>
      <x:c r="E842" s="11" t="n">
        <x:f>IF($A842="","",INDEX(Assumptions!$M$5:$M$11,WEEKDAY($A842,2)))</x:f>
        <x:v>1</x:v>
      </x:c>
      <x:c r="F842" s="11" t="n">
        <x:f>IF($A842="","",Assumptions!$B$15)</x:f>
        <x:v>0.35</x:v>
      </x:c>
      <x:c r="G842" s="11" t="n">
        <x:f>IF($A842="","",MAX(INDEX(Assumptions!$H$5:$H$12,MATCH($B842,Assumptions!$D$5:$D$12,0)),MIN(INDEX(Assumptions!$I$5:$I$12,MATCH($B842,Assumptions!$D$5:$D$12,0)),($C842+$D842*SQRT(-2*LN(RAND()))*COS(2*PI()*RAND()))*$E842*$J842*$K842)))</x:f>
        <x:v>1040.1356306640948</x:v>
      </x:c>
      <x:c r="H842" s="11" t="n">
        <x:f>IF($A842="","",$G842*$F842+$C842*(1-$F842))</x:f>
        <x:v>1092.047470732433</x:v>
      </x:c>
      <x:c r="I842" s="11" t="n">
        <x:f>IF($A842="","",AVERAGE($H842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1111.8814861309093</x:v>
      </x:c>
      <x:c r="J842" s="12" t="n">
        <x:f>IF($A842="","",1+SUMIFS(Assumptions!$S$5:$S$10,Assumptions!$P$5:$P$10,$B842,Assumptions!$Q$5:$Q$10,"&lt;="&amp;$A842,Assumptions!$R$5:$R$10,"&gt;="&amp;$A842))</x:f>
        <x:v>1</x:v>
      </x:c>
      <x:c r="K842" s="12" t="n">
        <x:f>IF($A842="","",1+((($A842-Assumptions!$B$5)/30)*INDEX(Assumptions!$J$5:$J$12,MATCH($B842,Assumptions!$D$5:$D$12,0))))</x:f>
        <x:v>1.0112</x:v>
      </x:c>
      <x:c r="L842" t="str">
        <x:f>IF($A842="","",IFERROR(INDEX(Assumptions!$O$5:$O$10,MATCH(1,(Assumptions!$P$5:$P$10=$B842)*(Assumptions!$Q$5:$Q$10&lt;=$A842)*(Assumptions!$R$5:$R$10&gt;=$A842),0)),""))</x:f>
      </x:c>
      <x:c r="M842" t="n">
        <x:f>--($A842&lt;&gt;"")</x:f>
        <x:v>1</x:v>
      </x:c>
    </x:row>
    <x:row r="843">
      <x:c r="A843" s="10" t="n">
        <x:f>IF(Assumptions!$B$5+INT((ROW()-2)/Assumptions!$B$7)&gt;Assumptions!$B$6,"",Assumptions!$B$5+INT((ROW()-2)/Assumptions!$B$7))</x:f>
        <x:v>46191</x:v>
      </x:c>
      <x:c r="B843" t="str">
        <x:f>IF($A843="","",INDEX(Assumptions!$D$5:$D$12,MOD(ROW()-2,Assumptions!$B$7)+1))</x:f>
        <x:v>LV-426 North</x:v>
      </x:c>
      <x:c r="C843" s="11" t="n">
        <x:f>IF($A843="","",INDEX(Assumptions!$F$5:$F$12,MATCH($B843,Assumptions!$D$5:$D$12,0)))</x:f>
        <x:v>930</x:v>
      </x:c>
      <x:c r="D843" s="11" t="n">
        <x:f>IF($A843="","",INDEX(Assumptions!$G$5:$G$12,MATCH($B843,Assumptions!$D$5:$D$12,0)))</x:f>
        <x:v>95</x:v>
      </x:c>
      <x:c r="E843" s="11" t="n">
        <x:f>IF($A843="","",INDEX(Assumptions!$M$5:$M$11,WEEKDAY($A843,2)))</x:f>
        <x:v>1</x:v>
      </x:c>
      <x:c r="F843" s="11" t="n">
        <x:f>IF($A843="","",Assumptions!$B$15)</x:f>
        <x:v>0.35</x:v>
      </x:c>
      <x:c r="G843" s="11" t="n">
        <x:f>IF($A843="","",MAX(INDEX(Assumptions!$H$5:$H$12,MATCH($B843,Assumptions!$D$5:$D$12,0)),MIN(INDEX(Assumptions!$I$5:$I$12,MATCH($B843,Assumptions!$D$5:$D$12,0)),($C843+$D843*SQRT(-2*LN(RAND()))*COS(2*PI()*RAND()))*$E843*$J843*$K843)))</x:f>
        <x:v>869.3937897085374</x:v>
      </x:c>
      <x:c r="H843" s="11" t="n">
        <x:f>IF($A843="","",$G843*$F843+$C843*(1-$F843))</x:f>
        <x:v>908.787826397988</x:v>
      </x:c>
      <x:c r="I843" s="11" t="n">
        <x:f>IF($A843="","",AVERAGE($H843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929.8252390615181</x:v>
      </x:c>
      <x:c r="J843" s="12" t="n">
        <x:f>IF($A843="","",1+SUMIFS(Assumptions!$S$5:$S$10,Assumptions!$P$5:$P$10,$B843,Assumptions!$Q$5:$Q$10,"&lt;="&amp;$A843,Assumptions!$R$5:$R$10,"&gt;="&amp;$A843))</x:f>
        <x:v>1</x:v>
      </x:c>
      <x:c r="K843" s="12" t="n">
        <x:f>IF($A843="","",1+((($A843-Assumptions!$B$5)/30)*INDEX(Assumptions!$J$5:$J$12,MATCH($B843,Assumptions!$D$5:$D$12,0))))</x:f>
        <x:v>0.9944</x:v>
      </x:c>
      <x:c r="L843" t="str">
        <x:f>IF($A843="","",IFERROR(INDEX(Assumptions!$O$5:$O$10,MATCH(1,(Assumptions!$P$5:$P$10=$B843)*(Assumptions!$Q$5:$Q$10&lt;=$A843)*(Assumptions!$R$5:$R$10&gt;=$A843),0)),""))</x:f>
      </x:c>
      <x:c r="M843" t="n">
        <x:f>--($A843&lt;&gt;"")</x:f>
        <x:v>1</x:v>
      </x:c>
    </x:row>
    <x:row r="844">
      <x:c r="A844" s="10" t="n">
        <x:f>IF(Assumptions!$B$5+INT((ROW()-2)/Assumptions!$B$7)&gt;Assumptions!$B$6,"",Assumptions!$B$5+INT((ROW()-2)/Assumptions!$B$7))</x:f>
        <x:v>46191</x:v>
      </x:c>
      <x:c r="B844" t="str">
        <x:f>IF($A844="","",INDEX(Assumptions!$D$5:$D$12,MOD(ROW()-2,Assumptions!$B$7)+1))</x:f>
        <x:v>Nostromo Deep</x:v>
      </x:c>
      <x:c r="C844" s="11" t="n">
        <x:f>IF($A844="","",INDEX(Assumptions!$F$5:$F$12,MATCH($B844,Assumptions!$D$5:$D$12,0)))</x:f>
        <x:v>1260</x:v>
      </x:c>
      <x:c r="D844" s="11" t="n">
        <x:f>IF($A844="","",INDEX(Assumptions!$G$5:$G$12,MATCH($B844,Assumptions!$D$5:$D$12,0)))</x:f>
        <x:v>145</x:v>
      </x:c>
      <x:c r="E844" s="11" t="n">
        <x:f>IF($A844="","",INDEX(Assumptions!$M$5:$M$11,WEEKDAY($A844,2)))</x:f>
        <x:v>1</x:v>
      </x:c>
      <x:c r="F844" s="11" t="n">
        <x:f>IF($A844="","",Assumptions!$B$15)</x:f>
        <x:v>0.35</x:v>
      </x:c>
      <x:c r="G844" s="11" t="n">
        <x:f>IF($A844="","",MAX(INDEX(Assumptions!$H$5:$H$12,MATCH($B844,Assumptions!$D$5:$D$12,0)),MIN(INDEX(Assumptions!$I$5:$I$12,MATCH($B844,Assumptions!$D$5:$D$12,0)),($C844+$D844*SQRT(-2*LN(RAND()))*COS(2*PI()*RAND()))*$E844*$J844*$K844)))</x:f>
        <x:v>1207.2438211770432</x:v>
      </x:c>
      <x:c r="H844" s="11" t="n">
        <x:f>IF($A844="","",$G844*$F844+$C844*(1-$F844))</x:f>
        <x:v>1241.535337411965</x:v>
      </x:c>
      <x:c r="I844" s="11" t="n">
        <x:f>IF($A844="","",AVERAGE($H844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1274.6000648777201</x:v>
      </x:c>
      <x:c r="J844" s="12" t="n">
        <x:f>IF($A844="","",1+SUMIFS(Assumptions!$S$5:$S$10,Assumptions!$P$5:$P$10,$B844,Assumptions!$Q$5:$Q$10,"&lt;="&amp;$A844,Assumptions!$R$5:$R$10,"&gt;="&amp;$A844))</x:f>
        <x:v>1</x:v>
      </x:c>
      <x:c r="K844" s="12" t="n">
        <x:f>IF($A844="","",1+((($A844-Assumptions!$B$5)/30)*INDEX(Assumptions!$J$5:$J$12,MATCH($B844,Assumptions!$D$5:$D$12,0))))</x:f>
        <x:v>1.0168</x:v>
      </x:c>
      <x:c r="L844" t="str">
        <x:f>IF($A844="","",IFERROR(INDEX(Assumptions!$O$5:$O$10,MATCH(1,(Assumptions!$P$5:$P$10=$B844)*(Assumptions!$Q$5:$Q$10&lt;=$A844)*(Assumptions!$R$5:$R$10&gt;=$A844),0)),""))</x:f>
      </x:c>
      <x:c r="M844" t="n">
        <x:f>--($A844&lt;&gt;"")</x:f>
        <x:v>1</x:v>
      </x:c>
    </x:row>
    <x:row r="845">
      <x:c r="A845" s="10" t="n">
        <x:f>IF(Assumptions!$B$5+INT((ROW()-2)/Assumptions!$B$7)&gt;Assumptions!$B$6,"",Assumptions!$B$5+INT((ROW()-2)/Assumptions!$B$7))</x:f>
        <x:v>46191</x:v>
      </x:c>
      <x:c r="B845" t="str">
        <x:f>IF($A845="","",INDEX(Assumptions!$D$5:$D$12,MOD(ROW()-2,Assumptions!$B$7)+1))</x:f>
        <x:v>Hadley's Hope</x:v>
      </x:c>
      <x:c r="C845" s="11" t="n">
        <x:f>IF($A845="","",INDEX(Assumptions!$F$5:$F$12,MATCH($B845,Assumptions!$D$5:$D$12,0)))</x:f>
        <x:v>845</x:v>
      </x:c>
      <x:c r="D845" s="11" t="n">
        <x:f>IF($A845="","",INDEX(Assumptions!$G$5:$G$12,MATCH($B845,Assumptions!$D$5:$D$12,0)))</x:f>
        <x:v>80</x:v>
      </x:c>
      <x:c r="E845" s="11" t="n">
        <x:f>IF($A845="","",INDEX(Assumptions!$M$5:$M$11,WEEKDAY($A845,2)))</x:f>
        <x:v>1</x:v>
      </x:c>
      <x:c r="F845" s="11" t="n">
        <x:f>IF($A845="","",Assumptions!$B$15)</x:f>
        <x:v>0.35</x:v>
      </x:c>
      <x:c r="G845" s="11" t="n">
        <x:f>IF($A845="","",MAX(INDEX(Assumptions!$H$5:$H$12,MATCH($B845,Assumptions!$D$5:$D$12,0)),MIN(INDEX(Assumptions!$I$5:$I$12,MATCH($B845,Assumptions!$D$5:$D$12,0)),($C845+$D845*SQRT(-2*LN(RAND()))*COS(2*PI()*RAND()))*$E845*$J845*$K845)))</x:f>
        <x:v>883.840772250294</x:v>
      </x:c>
      <x:c r="H845" s="11" t="n">
        <x:f>IF($A845="","",$G845*$F845+$C845*(1-$F845))</x:f>
        <x:v>858.5942702876029</x:v>
      </x:c>
      <x:c r="I845" s="11" t="n">
        <x:f>IF($A845="","",AVERAGE($H845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835.6370394144013</x:v>
      </x:c>
      <x:c r="J845" s="12" t="n">
        <x:f>IF($A845="","",1+SUMIFS(Assumptions!$S$5:$S$10,Assumptions!$P$5:$P$10,$B845,Assumptions!$Q$5:$Q$10,"&lt;="&amp;$A845,Assumptions!$R$5:$R$10,"&gt;="&amp;$A845))</x:f>
        <x:v>1</x:v>
      </x:c>
      <x:c r="K845" s="12" t="n">
        <x:f>IF($A845="","",1+((($A845-Assumptions!$B$5)/30)*INDEX(Assumptions!$J$5:$J$12,MATCH($B845,Assumptions!$D$5:$D$12,0))))</x:f>
        <x:v>1.0056</x:v>
      </x:c>
      <x:c r="L845" t="str">
        <x:f>IF($A845="","",IFERROR(INDEX(Assumptions!$O$5:$O$10,MATCH(1,(Assumptions!$P$5:$P$10=$B845)*(Assumptions!$Q$5:$Q$10&lt;=$A845)*(Assumptions!$R$5:$R$10&gt;=$A845),0)),""))</x:f>
      </x:c>
      <x:c r="M845" t="n">
        <x:f>--($A845&lt;&gt;"")</x:f>
        <x:v>1</x:v>
      </x:c>
    </x:row>
    <x:row r="846">
      <x:c r="A846" s="10" t="n">
        <x:f>IF(Assumptions!$B$5+INT((ROW()-2)/Assumptions!$B$7)&gt;Assumptions!$B$6,"",Assumptions!$B$5+INT((ROW()-2)/Assumptions!$B$7))</x:f>
        <x:v>46191</x:v>
      </x:c>
      <x:c r="B846" t="str">
        <x:f>IF($A846="","",INDEX(Assumptions!$D$5:$D$12,MOD(ROW()-2,Assumptions!$B$7)+1))</x:f>
        <x:v>Yutani Ridge</x:v>
      </x:c>
      <x:c r="C846" s="11" t="n">
        <x:f>IF($A846="","",INDEX(Assumptions!$F$5:$F$12,MATCH($B846,Assumptions!$D$5:$D$12,0)))</x:f>
        <x:v>1050</x:v>
      </x:c>
      <x:c r="D846" s="11" t="n">
        <x:f>IF($A846="","",INDEX(Assumptions!$G$5:$G$12,MATCH($B846,Assumptions!$D$5:$D$12,0)))</x:f>
        <x:v>125</x:v>
      </x:c>
      <x:c r="E846" s="11" t="n">
        <x:f>IF($A846="","",INDEX(Assumptions!$M$5:$M$11,WEEKDAY($A846,2)))</x:f>
        <x:v>1</x:v>
      </x:c>
      <x:c r="F846" s="11" t="n">
        <x:f>IF($A846="","",Assumptions!$B$15)</x:f>
        <x:v>0.35</x:v>
      </x:c>
      <x:c r="G846" s="11" t="n">
        <x:f>IF($A846="","",MAX(INDEX(Assumptions!$H$5:$H$12,MATCH($B846,Assumptions!$D$5:$D$12,0)),MIN(INDEX(Assumptions!$I$5:$I$12,MATCH($B846,Assumptions!$D$5:$D$12,0)),($C846+$D846*SQRT(-2*LN(RAND()))*COS(2*PI()*RAND()))*$E846*$J846*$K846)))</x:f>
        <x:v>1204.6661538265125</x:v>
      </x:c>
      <x:c r="H846" s="11" t="n">
        <x:f>IF($A846="","",$G846*$F846+$C846*(1-$F846))</x:f>
        <x:v>1104.1331538392794</x:v>
      </x:c>
      <x:c r="I846" s="11" t="n">
        <x:f>IF($A846="","",AVERAGE($H846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1057.1606461211163</x:v>
      </x:c>
      <x:c r="J846" s="12" t="n">
        <x:f>IF($A846="","",1+SUMIFS(Assumptions!$S$5:$S$10,Assumptions!$P$5:$P$10,$B846,Assumptions!$Q$5:$Q$10,"&lt;="&amp;$A846,Assumptions!$R$5:$R$10,"&gt;="&amp;$A846))</x:f>
        <x:v>1</x:v>
      </x:c>
      <x:c r="K846" s="12" t="n">
        <x:f>IF($A846="","",1+((($A846-Assumptions!$B$5)/30)*INDEX(Assumptions!$J$5:$J$12,MATCH($B846,Assumptions!$D$5:$D$12,0))))</x:f>
        <x:v>1.014</x:v>
      </x:c>
      <x:c r="L846" t="str">
        <x:f>IF($A846="","",IFERROR(INDEX(Assumptions!$O$5:$O$10,MATCH(1,(Assumptions!$P$5:$P$10=$B846)*(Assumptions!$Q$5:$Q$10&lt;=$A846)*(Assumptions!$R$5:$R$10&gt;=$A846),0)),""))</x:f>
      </x:c>
      <x:c r="M846" t="n">
        <x:f>--($A846&lt;&gt;"")</x:f>
        <x:v>1</x:v>
      </x:c>
    </x:row>
    <x:row r="847">
      <x:c r="A847" s="10" t="n">
        <x:f>IF(Assumptions!$B$5+INT((ROW()-2)/Assumptions!$B$7)&gt;Assumptions!$B$6,"",Assumptions!$B$5+INT((ROW()-2)/Assumptions!$B$7))</x:f>
        <x:v>46192</x:v>
      </x:c>
      <x:c r="B847" t="str">
        <x:f>IF($A847="","",INDEX(Assumptions!$D$5:$D$12,MOD(ROW()-2,Assumptions!$B$7)+1))</x:f>
        <x:v>Acheron Prime</x:v>
      </x:c>
      <x:c r="C847" s="11" t="n">
        <x:f>IF($A847="","",INDEX(Assumptions!$F$5:$F$12,MATCH($B847,Assumptions!$D$5:$D$12,0)))</x:f>
        <x:v>1120</x:v>
      </x:c>
      <x:c r="D847" s="11" t="n">
        <x:f>IF($A847="","",INDEX(Assumptions!$G$5:$G$12,MATCH($B847,Assumptions!$D$5:$D$12,0)))</x:f>
        <x:v>115</x:v>
      </x:c>
      <x:c r="E847" s="11" t="n">
        <x:f>IF($A847="","",INDEX(Assumptions!$M$5:$M$11,WEEKDAY($A847,2)))</x:f>
        <x:v>0.98</x:v>
      </x:c>
      <x:c r="F847" s="11" t="n">
        <x:f>IF($A847="","",Assumptions!$B$15)</x:f>
        <x:v>0.35</x:v>
      </x:c>
      <x:c r="G847" s="11" t="n">
        <x:f>IF($A847="","",MAX(INDEX(Assumptions!$H$5:$H$12,MATCH($B847,Assumptions!$D$5:$D$12,0)),MIN(INDEX(Assumptions!$I$5:$I$12,MATCH($B847,Assumptions!$D$5:$D$12,0)),($C847+$D847*SQRT(-2*LN(RAND()))*COS(2*PI()*RAND()))*$E847*$J847*$K847)))</x:f>
        <x:v>1265.1310877138171</x:v>
      </x:c>
      <x:c r="H847" s="11" t="n">
        <x:f>IF($A847="","",$G847*$F847+$C847*(1-$F847))</x:f>
        <x:v>1170.7958806998358</x:v>
      </x:c>
      <x:c r="I847" s="11" t="n">
        <x:f>IF($A847="","",AVERAGE($H847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1127.8300864872813</x:v>
      </x:c>
      <x:c r="J847" s="12" t="n">
        <x:f>IF($A847="","",1+SUMIFS(Assumptions!$S$5:$S$10,Assumptions!$P$5:$P$10,$B847,Assumptions!$Q$5:$Q$10,"&lt;="&amp;$A847,Assumptions!$R$5:$R$10,"&gt;="&amp;$A847))</x:f>
        <x:v>1</x:v>
      </x:c>
      <x:c r="K847" s="12" t="n">
        <x:f>IF($A847="","",1+((($A847-Assumptions!$B$5)/30)*INDEX(Assumptions!$J$5:$J$12,MATCH($B847,Assumptions!$D$5:$D$12,0))))</x:f>
        <x:v>1.0112666666666668</x:v>
      </x:c>
      <x:c r="L847" t="str">
        <x:f>IF($A847="","",IFERROR(INDEX(Assumptions!$O$5:$O$10,MATCH(1,(Assumptions!$P$5:$P$10=$B847)*(Assumptions!$Q$5:$Q$10&lt;=$A847)*(Assumptions!$R$5:$R$10&gt;=$A847),0)),""))</x:f>
      </x:c>
      <x:c r="M847" t="n">
        <x:f>--($A847&lt;&gt;"")</x:f>
        <x:v>1</x:v>
      </x:c>
    </x:row>
    <x:row r="848">
      <x:c r="A848" s="10" t="n">
        <x:f>IF(Assumptions!$B$5+INT((ROW()-2)/Assumptions!$B$7)&gt;Assumptions!$B$6,"",Assumptions!$B$5+INT((ROW()-2)/Assumptions!$B$7))</x:f>
        <x:v>46192</x:v>
      </x:c>
      <x:c r="B848" t="str">
        <x:f>IF($A848="","",INDEX(Assumptions!$D$5:$D$12,MOD(ROW()-2,Assumptions!$B$7)+1))</x:f>
        <x:v>LV-426 North</x:v>
      </x:c>
      <x:c r="C848" s="11" t="n">
        <x:f>IF($A848="","",INDEX(Assumptions!$F$5:$F$12,MATCH($B848,Assumptions!$D$5:$D$12,0)))</x:f>
        <x:v>930</x:v>
      </x:c>
      <x:c r="D848" s="11" t="n">
        <x:f>IF($A848="","",INDEX(Assumptions!$G$5:$G$12,MATCH($B848,Assumptions!$D$5:$D$12,0)))</x:f>
        <x:v>95</x:v>
      </x:c>
      <x:c r="E848" s="11" t="n">
        <x:f>IF($A848="","",INDEX(Assumptions!$M$5:$M$11,WEEKDAY($A848,2)))</x:f>
        <x:v>0.98</x:v>
      </x:c>
      <x:c r="F848" s="11" t="n">
        <x:f>IF($A848="","",Assumptions!$B$15)</x:f>
        <x:v>0.35</x:v>
      </x:c>
      <x:c r="G848" s="11" t="n">
        <x:f>IF($A848="","",MAX(INDEX(Assumptions!$H$5:$H$12,MATCH($B848,Assumptions!$D$5:$D$12,0)),MIN(INDEX(Assumptions!$I$5:$I$12,MATCH($B848,Assumptions!$D$5:$D$12,0)),($C848+$D848*SQRT(-2*LN(RAND()))*COS(2*PI()*RAND()))*$E848*$J848*$K848)))</x:f>
        <x:v>1080.3836529156324</x:v>
      </x:c>
      <x:c r="H848" s="11" t="n">
        <x:f>IF($A848="","",$G848*$F848+$C848*(1-$F848))</x:f>
        <x:v>982.6342785204713</x:v>
      </x:c>
      <x:c r="I848" s="11" t="n">
        <x:f>IF($A848="","",AVERAGE($H848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933.4269426084302</x:v>
      </x:c>
      <x:c r="J848" s="12" t="n">
        <x:f>IF($A848="","",1+SUMIFS(Assumptions!$S$5:$S$10,Assumptions!$P$5:$P$10,$B848,Assumptions!$Q$5:$Q$10,"&lt;="&amp;$A848,Assumptions!$R$5:$R$10,"&gt;="&amp;$A848))</x:f>
        <x:v>1</x:v>
      </x:c>
      <x:c r="K848" s="12" t="n">
        <x:f>IF($A848="","",1+((($A848-Assumptions!$B$5)/30)*INDEX(Assumptions!$J$5:$J$12,MATCH($B848,Assumptions!$D$5:$D$12,0))))</x:f>
        <x:v>0.9943666666666666</x:v>
      </x:c>
      <x:c r="L848" t="str">
        <x:f>IF($A848="","",IFERROR(INDEX(Assumptions!$O$5:$O$10,MATCH(1,(Assumptions!$P$5:$P$10=$B848)*(Assumptions!$Q$5:$Q$10&lt;=$A848)*(Assumptions!$R$5:$R$10&gt;=$A848),0)),""))</x:f>
      </x:c>
      <x:c r="M848" t="n">
        <x:f>--($A848&lt;&gt;"")</x:f>
        <x:v>1</x:v>
      </x:c>
    </x:row>
    <x:row r="849">
      <x:c r="A849" s="10" t="n">
        <x:f>IF(Assumptions!$B$5+INT((ROW()-2)/Assumptions!$B$7)&gt;Assumptions!$B$6,"",Assumptions!$B$5+INT((ROW()-2)/Assumptions!$B$7))</x:f>
        <x:v>46192</x:v>
      </x:c>
      <x:c r="B849" t="str">
        <x:f>IF($A849="","",INDEX(Assumptions!$D$5:$D$12,MOD(ROW()-2,Assumptions!$B$7)+1))</x:f>
        <x:v>Nostromo Deep</x:v>
      </x:c>
      <x:c r="C849" s="11" t="n">
        <x:f>IF($A849="","",INDEX(Assumptions!$F$5:$F$12,MATCH($B849,Assumptions!$D$5:$D$12,0)))</x:f>
        <x:v>1260</x:v>
      </x:c>
      <x:c r="D849" s="11" t="n">
        <x:f>IF($A849="","",INDEX(Assumptions!$G$5:$G$12,MATCH($B849,Assumptions!$D$5:$D$12,0)))</x:f>
        <x:v>145</x:v>
      </x:c>
      <x:c r="E849" s="11" t="n">
        <x:f>IF($A849="","",INDEX(Assumptions!$M$5:$M$11,WEEKDAY($A849,2)))</x:f>
        <x:v>0.98</x:v>
      </x:c>
      <x:c r="F849" s="11" t="n">
        <x:f>IF($A849="","",Assumptions!$B$15)</x:f>
        <x:v>0.35</x:v>
      </x:c>
      <x:c r="G849" s="11" t="n">
        <x:f>IF($A849="","",MAX(INDEX(Assumptions!$H$5:$H$12,MATCH($B849,Assumptions!$D$5:$D$12,0)),MIN(INDEX(Assumptions!$I$5:$I$12,MATCH($B849,Assumptions!$D$5:$D$12,0)),($C849+$D849*SQRT(-2*LN(RAND()))*COS(2*PI()*RAND()))*$E849*$J849*$K849)))</x:f>
        <x:v>1304.608853175485</x:v>
      </x:c>
      <x:c r="H849" s="11" t="n">
        <x:f>IF($A849="","",$G849*$F849+$C849*(1-$F849))</x:f>
        <x:v>1275.6130986114197</x:v>
      </x:c>
      <x:c r="I849" s="11" t="n">
        <x:f>IF($A849="","",AVERAGE($H849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1266.7623804448779</x:v>
      </x:c>
      <x:c r="J849" s="12" t="n">
        <x:f>IF($A849="","",1+SUMIFS(Assumptions!$S$5:$S$10,Assumptions!$P$5:$P$10,$B849,Assumptions!$Q$5:$Q$10,"&lt;="&amp;$A849,Assumptions!$R$5:$R$10,"&gt;="&amp;$A849))</x:f>
        <x:v>1</x:v>
      </x:c>
      <x:c r="K849" s="12" t="n">
        <x:f>IF($A849="","",1+((($A849-Assumptions!$B$5)/30)*INDEX(Assumptions!$J$5:$J$12,MATCH($B849,Assumptions!$D$5:$D$12,0))))</x:f>
        <x:v>1.0169</x:v>
      </x:c>
      <x:c r="L849" t="str">
        <x:f>IF($A849="","",IFERROR(INDEX(Assumptions!$O$5:$O$10,MATCH(1,(Assumptions!$P$5:$P$10=$B849)*(Assumptions!$Q$5:$Q$10&lt;=$A849)*(Assumptions!$R$5:$R$10&gt;=$A849),0)),""))</x:f>
      </x:c>
      <x:c r="M849" t="n">
        <x:f>--($A849&lt;&gt;"")</x:f>
        <x:v>1</x:v>
      </x:c>
    </x:row>
    <x:row r="850">
      <x:c r="A850" s="10" t="n">
        <x:f>IF(Assumptions!$B$5+INT((ROW()-2)/Assumptions!$B$7)&gt;Assumptions!$B$6,"",Assumptions!$B$5+INT((ROW()-2)/Assumptions!$B$7))</x:f>
        <x:v>46192</x:v>
      </x:c>
      <x:c r="B850" t="str">
        <x:f>IF($A850="","",INDEX(Assumptions!$D$5:$D$12,MOD(ROW()-2,Assumptions!$B$7)+1))</x:f>
        <x:v>Hadley's Hope</x:v>
      </x:c>
      <x:c r="C850" s="11" t="n">
        <x:f>IF($A850="","",INDEX(Assumptions!$F$5:$F$12,MATCH($B850,Assumptions!$D$5:$D$12,0)))</x:f>
        <x:v>845</x:v>
      </x:c>
      <x:c r="D850" s="11" t="n">
        <x:f>IF($A850="","",INDEX(Assumptions!$G$5:$G$12,MATCH($B850,Assumptions!$D$5:$D$12,0)))</x:f>
        <x:v>80</x:v>
      </x:c>
      <x:c r="E850" s="11" t="n">
        <x:f>IF($A850="","",INDEX(Assumptions!$M$5:$M$11,WEEKDAY($A850,2)))</x:f>
        <x:v>0.98</x:v>
      </x:c>
      <x:c r="F850" s="11" t="n">
        <x:f>IF($A850="","",Assumptions!$B$15)</x:f>
        <x:v>0.35</x:v>
      </x:c>
      <x:c r="G850" s="11" t="n">
        <x:f>IF($A850="","",MAX(INDEX(Assumptions!$H$5:$H$12,MATCH($B850,Assumptions!$D$5:$D$12,0)),MIN(INDEX(Assumptions!$I$5:$I$12,MATCH($B850,Assumptions!$D$5:$D$12,0)),($C850+$D850*SQRT(-2*LN(RAND()))*COS(2*PI()*RAND()))*$E850*$J850*$K850)))</x:f>
        <x:v>822.1909831649539</x:v>
      </x:c>
      <x:c r="H850" s="11" t="n">
        <x:f>IF($A850="","",$G850*$F850+$C850*(1-$F850))</x:f>
        <x:v>837.0168441077338</x:v>
      </x:c>
      <x:c r="I850" s="11" t="n">
        <x:f>IF($A850="","",AVERAGE($H850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840.6761835630559</x:v>
      </x:c>
      <x:c r="J850" s="12" t="n">
        <x:f>IF($A850="","",1+SUMIFS(Assumptions!$S$5:$S$10,Assumptions!$P$5:$P$10,$B850,Assumptions!$Q$5:$Q$10,"&lt;="&amp;$A850,Assumptions!$R$5:$R$10,"&gt;="&amp;$A850))</x:f>
        <x:v>1</x:v>
      </x:c>
      <x:c r="K850" s="12" t="n">
        <x:f>IF($A850="","",1+((($A850-Assumptions!$B$5)/30)*INDEX(Assumptions!$J$5:$J$12,MATCH($B850,Assumptions!$D$5:$D$12,0))))</x:f>
        <x:v>1.0056333333333334</x:v>
      </x:c>
      <x:c r="L850" t="str">
        <x:f>IF($A850="","",IFERROR(INDEX(Assumptions!$O$5:$O$10,MATCH(1,(Assumptions!$P$5:$P$10=$B850)*(Assumptions!$Q$5:$Q$10&lt;=$A850)*(Assumptions!$R$5:$R$10&gt;=$A850),0)),""))</x:f>
      </x:c>
      <x:c r="M850" t="n">
        <x:f>--($A850&lt;&gt;"")</x:f>
        <x:v>1</x:v>
      </x:c>
    </x:row>
    <x:row r="851">
      <x:c r="A851" s="10" t="n">
        <x:f>IF(Assumptions!$B$5+INT((ROW()-2)/Assumptions!$B$7)&gt;Assumptions!$B$6,"",Assumptions!$B$5+INT((ROW()-2)/Assumptions!$B$7))</x:f>
        <x:v>46192</x:v>
      </x:c>
      <x:c r="B851" t="str">
        <x:f>IF($A851="","",INDEX(Assumptions!$D$5:$D$12,MOD(ROW()-2,Assumptions!$B$7)+1))</x:f>
        <x:v>Yutani Ridge</x:v>
      </x:c>
      <x:c r="C851" s="11" t="n">
        <x:f>IF($A851="","",INDEX(Assumptions!$F$5:$F$12,MATCH($B851,Assumptions!$D$5:$D$12,0)))</x:f>
        <x:v>1050</x:v>
      </x:c>
      <x:c r="D851" s="11" t="n">
        <x:f>IF($A851="","",INDEX(Assumptions!$G$5:$G$12,MATCH($B851,Assumptions!$D$5:$D$12,0)))</x:f>
        <x:v>125</x:v>
      </x:c>
      <x:c r="E851" s="11" t="n">
        <x:f>IF($A851="","",INDEX(Assumptions!$M$5:$M$11,WEEKDAY($A851,2)))</x:f>
        <x:v>0.98</x:v>
      </x:c>
      <x:c r="F851" s="11" t="n">
        <x:f>IF($A851="","",Assumptions!$B$15)</x:f>
        <x:v>0.35</x:v>
      </x:c>
      <x:c r="G851" s="11" t="n">
        <x:f>IF($A851="","",MAX(INDEX(Assumptions!$H$5:$H$12,MATCH($B851,Assumptions!$D$5:$D$12,0)),MIN(INDEX(Assumptions!$I$5:$I$12,MATCH($B851,Assumptions!$D$5:$D$12,0)),($C851+$D851*SQRT(-2*LN(RAND()))*COS(2*PI()*RAND()))*$E851*$J851*$K851)))</x:f>
        <x:v>829.6034583074626</x:v>
      </x:c>
      <x:c r="H851" s="11" t="n">
        <x:f>IF($A851="","",$G851*$F851+$C851*(1-$F851))</x:f>
        <x:v>972.8612104076119</x:v>
      </x:c>
      <x:c r="I851" s="11" t="n">
        <x:f>IF($A851="","",AVERAGE($H851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1049.5900516408406</x:v>
      </x:c>
      <x:c r="J851" s="12" t="n">
        <x:f>IF($A851="","",1+SUMIFS(Assumptions!$S$5:$S$10,Assumptions!$P$5:$P$10,$B851,Assumptions!$Q$5:$Q$10,"&lt;="&amp;$A851,Assumptions!$R$5:$R$10,"&gt;="&amp;$A851))</x:f>
        <x:v>1</x:v>
      </x:c>
      <x:c r="K851" s="12" t="n">
        <x:f>IF($A851="","",1+((($A851-Assumptions!$B$5)/30)*INDEX(Assumptions!$J$5:$J$12,MATCH($B851,Assumptions!$D$5:$D$12,0))))</x:f>
        <x:v>1.0140833333333332</x:v>
      </x:c>
      <x:c r="L851" t="str">
        <x:f>IF($A851="","",IFERROR(INDEX(Assumptions!$O$5:$O$10,MATCH(1,(Assumptions!$P$5:$P$10=$B851)*(Assumptions!$Q$5:$Q$10&lt;=$A851)*(Assumptions!$R$5:$R$10&gt;=$A851),0)),""))</x:f>
      </x:c>
      <x:c r="M851" t="n">
        <x:f>--($A851&lt;&gt;"")</x:f>
        <x:v>1</x:v>
      </x:c>
    </x:row>
    <x:row r="852">
      <x:c r="A852" s="10" t="n">
        <x:f>IF(Assumptions!$B$5+INT((ROW()-2)/Assumptions!$B$7)&gt;Assumptions!$B$6,"",Assumptions!$B$5+INT((ROW()-2)/Assumptions!$B$7))</x:f>
        <x:v>46193</x:v>
      </x:c>
      <x:c r="B852" t="str">
        <x:f>IF($A852="","",INDEX(Assumptions!$D$5:$D$12,MOD(ROW()-2,Assumptions!$B$7)+1))</x:f>
        <x:v>Acheron Prime</x:v>
      </x:c>
      <x:c r="C852" s="11" t="n">
        <x:f>IF($A852="","",INDEX(Assumptions!$F$5:$F$12,MATCH($B852,Assumptions!$D$5:$D$12,0)))</x:f>
        <x:v>1120</x:v>
      </x:c>
      <x:c r="D852" s="11" t="n">
        <x:f>IF($A852="","",INDEX(Assumptions!$G$5:$G$12,MATCH($B852,Assumptions!$D$5:$D$12,0)))</x:f>
        <x:v>115</x:v>
      </x:c>
      <x:c r="E852" s="11" t="n">
        <x:f>IF($A852="","",INDEX(Assumptions!$M$5:$M$11,WEEKDAY($A852,2)))</x:f>
        <x:v>0.91</x:v>
      </x:c>
      <x:c r="F852" s="11" t="n">
        <x:f>IF($A852="","",Assumptions!$B$15)</x:f>
        <x:v>0.35</x:v>
      </x:c>
      <x:c r="G852" s="11" t="n">
        <x:f>IF($A852="","",MAX(INDEX(Assumptions!$H$5:$H$12,MATCH($B852,Assumptions!$D$5:$D$12,0)),MIN(INDEX(Assumptions!$I$5:$I$12,MATCH($B852,Assumptions!$D$5:$D$12,0)),($C852+$D852*SQRT(-2*LN(RAND()))*COS(2*PI()*RAND()))*$E852*$J852*$K852)))</x:f>
        <x:v>1189.4332053596586</x:v>
      </x:c>
      <x:c r="H852" s="11" t="n">
        <x:f>IF($A852="","",$G852*$F852+$C852*(1-$F852))</x:f>
        <x:v>1144.3016218758805</x:v>
      </x:c>
      <x:c r="I852" s="11" t="n">
        <x:f>IF($A852="","",AVERAGE($H852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1128.3788140349686</x:v>
      </x:c>
      <x:c r="J852" s="12" t="n">
        <x:f>IF($A852="","",1+SUMIFS(Assumptions!$S$5:$S$10,Assumptions!$P$5:$P$10,$B852,Assumptions!$Q$5:$Q$10,"&lt;="&amp;$A852,Assumptions!$R$5:$R$10,"&gt;="&amp;$A852))</x:f>
        <x:v>1</x:v>
      </x:c>
      <x:c r="K852" s="12" t="n">
        <x:f>IF($A852="","",1+((($A852-Assumptions!$B$5)/30)*INDEX(Assumptions!$J$5:$J$12,MATCH($B852,Assumptions!$D$5:$D$12,0))))</x:f>
        <x:v>1.0113333333333334</x:v>
      </x:c>
      <x:c r="L852" t="str">
        <x:f>IF($A852="","",IFERROR(INDEX(Assumptions!$O$5:$O$10,MATCH(1,(Assumptions!$P$5:$P$10=$B852)*(Assumptions!$Q$5:$Q$10&lt;=$A852)*(Assumptions!$R$5:$R$10&gt;=$A852),0)),""))</x:f>
      </x:c>
      <x:c r="M852" t="n">
        <x:f>--($A852&lt;&gt;"")</x:f>
        <x:v>1</x:v>
      </x:c>
    </x:row>
    <x:row r="853">
      <x:c r="A853" s="10" t="n">
        <x:f>IF(Assumptions!$B$5+INT((ROW()-2)/Assumptions!$B$7)&gt;Assumptions!$B$6,"",Assumptions!$B$5+INT((ROW()-2)/Assumptions!$B$7))</x:f>
        <x:v>46193</x:v>
      </x:c>
      <x:c r="B853" t="str">
        <x:f>IF($A853="","",INDEX(Assumptions!$D$5:$D$12,MOD(ROW()-2,Assumptions!$B$7)+1))</x:f>
        <x:v>LV-426 North</x:v>
      </x:c>
      <x:c r="C853" s="11" t="n">
        <x:f>IF($A853="","",INDEX(Assumptions!$F$5:$F$12,MATCH($B853,Assumptions!$D$5:$D$12,0)))</x:f>
        <x:v>930</x:v>
      </x:c>
      <x:c r="D853" s="11" t="n">
        <x:f>IF($A853="","",INDEX(Assumptions!$G$5:$G$12,MATCH($B853,Assumptions!$D$5:$D$12,0)))</x:f>
        <x:v>95</x:v>
      </x:c>
      <x:c r="E853" s="11" t="n">
        <x:f>IF($A853="","",INDEX(Assumptions!$M$5:$M$11,WEEKDAY($A853,2)))</x:f>
        <x:v>0.91</x:v>
      </x:c>
      <x:c r="F853" s="11" t="n">
        <x:f>IF($A853="","",Assumptions!$B$15)</x:f>
        <x:v>0.35</x:v>
      </x:c>
      <x:c r="G853" s="11" t="n">
        <x:f>IF($A853="","",MAX(INDEX(Assumptions!$H$5:$H$12,MATCH($B853,Assumptions!$D$5:$D$12,0)),MIN(INDEX(Assumptions!$I$5:$I$12,MATCH($B853,Assumptions!$D$5:$D$12,0)),($C853+$D853*SQRT(-2*LN(RAND()))*COS(2*PI()*RAND()))*$E853*$J853*$K853)))</x:f>
        <x:v>1049.1402076223153</x:v>
      </x:c>
      <x:c r="H853" s="11" t="n">
        <x:f>IF($A853="","",$G853*$F853+$C853*(1-$F853))</x:f>
        <x:v>971.6990726678104</x:v>
      </x:c>
      <x:c r="I853" s="11" t="n">
        <x:f>IF($A853="","",AVERAGE($H853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943.2228332882522</x:v>
      </x:c>
      <x:c r="J853" s="12" t="n">
        <x:f>IF($A853="","",1+SUMIFS(Assumptions!$S$5:$S$10,Assumptions!$P$5:$P$10,$B853,Assumptions!$Q$5:$Q$10,"&lt;="&amp;$A853,Assumptions!$R$5:$R$10,"&gt;="&amp;$A853))</x:f>
        <x:v>1</x:v>
      </x:c>
      <x:c r="K853" s="12" t="n">
        <x:f>IF($A853="","",1+((($A853-Assumptions!$B$5)/30)*INDEX(Assumptions!$J$5:$J$12,MATCH($B853,Assumptions!$D$5:$D$12,0))))</x:f>
        <x:v>0.9943333333333333</x:v>
      </x:c>
      <x:c r="L853" t="str">
        <x:f>IF($A853="","",IFERROR(INDEX(Assumptions!$O$5:$O$10,MATCH(1,(Assumptions!$P$5:$P$10=$B853)*(Assumptions!$Q$5:$Q$10&lt;=$A853)*(Assumptions!$R$5:$R$10&gt;=$A853),0)),""))</x:f>
      </x:c>
      <x:c r="M853" t="n">
        <x:f>--($A853&lt;&gt;"")</x:f>
        <x:v>1</x:v>
      </x:c>
    </x:row>
    <x:row r="854">
      <x:c r="A854" s="10" t="n">
        <x:f>IF(Assumptions!$B$5+INT((ROW()-2)/Assumptions!$B$7)&gt;Assumptions!$B$6,"",Assumptions!$B$5+INT((ROW()-2)/Assumptions!$B$7))</x:f>
        <x:v>46193</x:v>
      </x:c>
      <x:c r="B854" t="str">
        <x:f>IF($A854="","",INDEX(Assumptions!$D$5:$D$12,MOD(ROW()-2,Assumptions!$B$7)+1))</x:f>
        <x:v>Nostromo Deep</x:v>
      </x:c>
      <x:c r="C854" s="11" t="n">
        <x:f>IF($A854="","",INDEX(Assumptions!$F$5:$F$12,MATCH($B854,Assumptions!$D$5:$D$12,0)))</x:f>
        <x:v>1260</x:v>
      </x:c>
      <x:c r="D854" s="11" t="n">
        <x:f>IF($A854="","",INDEX(Assumptions!$G$5:$G$12,MATCH($B854,Assumptions!$D$5:$D$12,0)))</x:f>
        <x:v>145</x:v>
      </x:c>
      <x:c r="E854" s="11" t="n">
        <x:f>IF($A854="","",INDEX(Assumptions!$M$5:$M$11,WEEKDAY($A854,2)))</x:f>
        <x:v>0.91</x:v>
      </x:c>
      <x:c r="F854" s="11" t="n">
        <x:f>IF($A854="","",Assumptions!$B$15)</x:f>
        <x:v>0.35</x:v>
      </x:c>
      <x:c r="G854" s="11" t="n">
        <x:f>IF($A854="","",MAX(INDEX(Assumptions!$H$5:$H$12,MATCH($B854,Assumptions!$D$5:$D$12,0)),MIN(INDEX(Assumptions!$I$5:$I$12,MATCH($B854,Assumptions!$D$5:$D$12,0)),($C854+$D854*SQRT(-2*LN(RAND()))*COS(2*PI()*RAND()))*$E854*$J854*$K854)))</x:f>
        <x:v>1200.8101856030269</x:v>
      </x:c>
      <x:c r="H854" s="11" t="n">
        <x:f>IF($A854="","",$G854*$F854+$C854*(1-$F854))</x:f>
        <x:v>1239.2835649610593</x:v>
      </x:c>
      <x:c r="I854" s="11" t="n">
        <x:f>IF($A854="","",AVERAGE($H854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1259.1089343029505</x:v>
      </x:c>
      <x:c r="J854" s="12" t="n">
        <x:f>IF($A854="","",1+SUMIFS(Assumptions!$S$5:$S$10,Assumptions!$P$5:$P$10,$B854,Assumptions!$Q$5:$Q$10,"&lt;="&amp;$A854,Assumptions!$R$5:$R$10,"&gt;="&amp;$A854))</x:f>
        <x:v>1</x:v>
      </x:c>
      <x:c r="K854" s="12" t="n">
        <x:f>IF($A854="","",1+((($A854-Assumptions!$B$5)/30)*INDEX(Assumptions!$J$5:$J$12,MATCH($B854,Assumptions!$D$5:$D$12,0))))</x:f>
        <x:v>1.017</x:v>
      </x:c>
      <x:c r="L854" t="str">
        <x:f>IF($A854="","",IFERROR(INDEX(Assumptions!$O$5:$O$10,MATCH(1,(Assumptions!$P$5:$P$10=$B854)*(Assumptions!$Q$5:$Q$10&lt;=$A854)*(Assumptions!$R$5:$R$10&gt;=$A854),0)),""))</x:f>
      </x:c>
      <x:c r="M854" t="n">
        <x:f>--($A854&lt;&gt;"")</x:f>
        <x:v>1</x:v>
      </x:c>
    </x:row>
    <x:row r="855">
      <x:c r="A855" s="10" t="n">
        <x:f>IF(Assumptions!$B$5+INT((ROW()-2)/Assumptions!$B$7)&gt;Assumptions!$B$6,"",Assumptions!$B$5+INT((ROW()-2)/Assumptions!$B$7))</x:f>
        <x:v>46193</x:v>
      </x:c>
      <x:c r="B855" t="str">
        <x:f>IF($A855="","",INDEX(Assumptions!$D$5:$D$12,MOD(ROW()-2,Assumptions!$B$7)+1))</x:f>
        <x:v>Hadley's Hope</x:v>
      </x:c>
      <x:c r="C855" s="11" t="n">
        <x:f>IF($A855="","",INDEX(Assumptions!$F$5:$F$12,MATCH($B855,Assumptions!$D$5:$D$12,0)))</x:f>
        <x:v>845</x:v>
      </x:c>
      <x:c r="D855" s="11" t="n">
        <x:f>IF($A855="","",INDEX(Assumptions!$G$5:$G$12,MATCH($B855,Assumptions!$D$5:$D$12,0)))</x:f>
        <x:v>80</x:v>
      </x:c>
      <x:c r="E855" s="11" t="n">
        <x:f>IF($A855="","",INDEX(Assumptions!$M$5:$M$11,WEEKDAY($A855,2)))</x:f>
        <x:v>0.91</x:v>
      </x:c>
      <x:c r="F855" s="11" t="n">
        <x:f>IF($A855="","",Assumptions!$B$15)</x:f>
        <x:v>0.35</x:v>
      </x:c>
      <x:c r="G855" s="11" t="n">
        <x:f>IF($A855="","",MAX(INDEX(Assumptions!$H$5:$H$12,MATCH($B855,Assumptions!$D$5:$D$12,0)),MIN(INDEX(Assumptions!$I$5:$I$12,MATCH($B855,Assumptions!$D$5:$D$12,0)),($C855+$D855*SQRT(-2*LN(RAND()))*COS(2*PI()*RAND()))*$E855*$J855*$K855)))</x:f>
        <x:v>839.5042696877013</x:v>
      </x:c>
      <x:c r="H855" s="11" t="n">
        <x:f>IF($A855="","",$G855*$F855+$C855*(1-$F855))</x:f>
        <x:v>843.0764943906954</x:v>
      </x:c>
      <x:c r="I855" s="11" t="n">
        <x:f>IF($A855="","",AVERAGE($H855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841.4118760037148</x:v>
      </x:c>
      <x:c r="J855" s="12" t="n">
        <x:f>IF($A855="","",1+SUMIFS(Assumptions!$S$5:$S$10,Assumptions!$P$5:$P$10,$B855,Assumptions!$Q$5:$Q$10,"&lt;="&amp;$A855,Assumptions!$R$5:$R$10,"&gt;="&amp;$A855))</x:f>
        <x:v>1</x:v>
      </x:c>
      <x:c r="K855" s="12" t="n">
        <x:f>IF($A855="","",1+((($A855-Assumptions!$B$5)/30)*INDEX(Assumptions!$J$5:$J$12,MATCH($B855,Assumptions!$D$5:$D$12,0))))</x:f>
        <x:v>1.0056666666666667</x:v>
      </x:c>
      <x:c r="L855" t="str">
        <x:f>IF($A855="","",IFERROR(INDEX(Assumptions!$O$5:$O$10,MATCH(1,(Assumptions!$P$5:$P$10=$B855)*(Assumptions!$Q$5:$Q$10&lt;=$A855)*(Assumptions!$R$5:$R$10&gt;=$A855),0)),""))</x:f>
      </x:c>
      <x:c r="M855" t="n">
        <x:f>--($A855&lt;&gt;"")</x:f>
        <x:v>1</x:v>
      </x:c>
    </x:row>
    <x:row r="856">
      <x:c r="A856" s="10" t="n">
        <x:f>IF(Assumptions!$B$5+INT((ROW()-2)/Assumptions!$B$7)&gt;Assumptions!$B$6,"",Assumptions!$B$5+INT((ROW()-2)/Assumptions!$B$7))</x:f>
        <x:v>46193</x:v>
      </x:c>
      <x:c r="B856" t="str">
        <x:f>IF($A856="","",INDEX(Assumptions!$D$5:$D$12,MOD(ROW()-2,Assumptions!$B$7)+1))</x:f>
        <x:v>Yutani Ridge</x:v>
      </x:c>
      <x:c r="C856" s="11" t="n">
        <x:f>IF($A856="","",INDEX(Assumptions!$F$5:$F$12,MATCH($B856,Assumptions!$D$5:$D$12,0)))</x:f>
        <x:v>1050</x:v>
      </x:c>
      <x:c r="D856" s="11" t="n">
        <x:f>IF($A856="","",INDEX(Assumptions!$G$5:$G$12,MATCH($B856,Assumptions!$D$5:$D$12,0)))</x:f>
        <x:v>125</x:v>
      </x:c>
      <x:c r="E856" s="11" t="n">
        <x:f>IF($A856="","",INDEX(Assumptions!$M$5:$M$11,WEEKDAY($A856,2)))</x:f>
        <x:v>0.91</x:v>
      </x:c>
      <x:c r="F856" s="11" t="n">
        <x:f>IF($A856="","",Assumptions!$B$15)</x:f>
        <x:v>0.35</x:v>
      </x:c>
      <x:c r="G856" s="11" t="n">
        <x:f>IF($A856="","",MAX(INDEX(Assumptions!$H$5:$H$12,MATCH($B856,Assumptions!$D$5:$D$12,0)),MIN(INDEX(Assumptions!$I$5:$I$12,MATCH($B856,Assumptions!$D$5:$D$12,0)),($C856+$D856*SQRT(-2*LN(RAND()))*COS(2*PI()*RAND()))*$E856*$J856*$K856)))</x:f>
        <x:v>1078.5833186700067</x:v>
      </x:c>
      <x:c r="H856" s="11" t="n">
        <x:f>IF($A856="","",$G856*$F856+$C856*(1-$F856))</x:f>
        <x:v>1060.0041615345024</x:v>
      </x:c>
      <x:c r="I856" s="11" t="n">
        <x:f>IF($A856="","",AVERAGE($H856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1059.1661562653323</x:v>
      </x:c>
      <x:c r="J856" s="12" t="n">
        <x:f>IF($A856="","",1+SUMIFS(Assumptions!$S$5:$S$10,Assumptions!$P$5:$P$10,$B856,Assumptions!$Q$5:$Q$10,"&lt;="&amp;$A856,Assumptions!$R$5:$R$10,"&gt;="&amp;$A856))</x:f>
        <x:v>1</x:v>
      </x:c>
      <x:c r="K856" s="12" t="n">
        <x:f>IF($A856="","",1+((($A856-Assumptions!$B$5)/30)*INDEX(Assumptions!$J$5:$J$12,MATCH($B856,Assumptions!$D$5:$D$12,0))))</x:f>
        <x:v>1.0141666666666667</x:v>
      </x:c>
      <x:c r="L856" t="str">
        <x:f>IF($A856="","",IFERROR(INDEX(Assumptions!$O$5:$O$10,MATCH(1,(Assumptions!$P$5:$P$10=$B856)*(Assumptions!$Q$5:$Q$10&lt;=$A856)*(Assumptions!$R$5:$R$10&gt;=$A856),0)),""))</x:f>
      </x:c>
      <x:c r="M856" t="n">
        <x:f>--($A856&lt;&gt;"")</x:f>
        <x:v>1</x:v>
      </x:c>
    </x:row>
    <x:row r="857">
      <x:c r="A857" s="10" t="n">
        <x:f>IF(Assumptions!$B$5+INT((ROW()-2)/Assumptions!$B$7)&gt;Assumptions!$B$6,"",Assumptions!$B$5+INT((ROW()-2)/Assumptions!$B$7))</x:f>
        <x:v>46194</x:v>
      </x:c>
      <x:c r="B857" t="str">
        <x:f>IF($A857="","",INDEX(Assumptions!$D$5:$D$12,MOD(ROW()-2,Assumptions!$B$7)+1))</x:f>
        <x:v>Acheron Prime</x:v>
      </x:c>
      <x:c r="C857" s="11" t="n">
        <x:f>IF($A857="","",INDEX(Assumptions!$F$5:$F$12,MATCH($B857,Assumptions!$D$5:$D$12,0)))</x:f>
        <x:v>1120</x:v>
      </x:c>
      <x:c r="D857" s="11" t="n">
        <x:f>IF($A857="","",INDEX(Assumptions!$G$5:$G$12,MATCH($B857,Assumptions!$D$5:$D$12,0)))</x:f>
        <x:v>115</x:v>
      </x:c>
      <x:c r="E857" s="11" t="n">
        <x:f>IF($A857="","",INDEX(Assumptions!$M$5:$M$11,WEEKDAY($A857,2)))</x:f>
        <x:v>0.87</x:v>
      </x:c>
      <x:c r="F857" s="11" t="n">
        <x:f>IF($A857="","",Assumptions!$B$15)</x:f>
        <x:v>0.35</x:v>
      </x:c>
      <x:c r="G857" s="11" t="n">
        <x:f>IF($A857="","",MAX(INDEX(Assumptions!$H$5:$H$12,MATCH($B857,Assumptions!$D$5:$D$12,0)),MIN(INDEX(Assumptions!$I$5:$I$12,MATCH($B857,Assumptions!$D$5:$D$12,0)),($C857+$D857*SQRT(-2*LN(RAND()))*COS(2*PI()*RAND()))*$E857*$J857*$K857)))</x:f>
        <x:v>898.0339392573804</x:v>
      </x:c>
      <x:c r="H857" s="11" t="n">
        <x:f>IF($A857="","",$G857*$F857+$C857*(1-$F857))</x:f>
        <x:v>1042.311878740083</x:v>
      </x:c>
      <x:c r="I857" s="11" t="n">
        <x:f>IF($A857="","",AVERAGE($H857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1123.2544417029656</x:v>
      </x:c>
      <x:c r="J857" s="12" t="n">
        <x:f>IF($A857="","",1+SUMIFS(Assumptions!$S$5:$S$10,Assumptions!$P$5:$P$10,$B857,Assumptions!$Q$5:$Q$10,"&lt;="&amp;$A857,Assumptions!$R$5:$R$10,"&gt;="&amp;$A857))</x:f>
        <x:v>1</x:v>
      </x:c>
      <x:c r="K857" s="12" t="n">
        <x:f>IF($A857="","",1+((($A857-Assumptions!$B$5)/30)*INDEX(Assumptions!$J$5:$J$12,MATCH($B857,Assumptions!$D$5:$D$12,0))))</x:f>
        <x:v>1.0114</x:v>
      </x:c>
      <x:c r="L857" t="str">
        <x:f>IF($A857="","",IFERROR(INDEX(Assumptions!$O$5:$O$10,MATCH(1,(Assumptions!$P$5:$P$10=$B857)*(Assumptions!$Q$5:$Q$10&lt;=$A857)*(Assumptions!$R$5:$R$10&gt;=$A857),0)),""))</x:f>
      </x:c>
      <x:c r="M857" t="n">
        <x:f>--($A857&lt;&gt;"")</x:f>
        <x:v>1</x:v>
      </x:c>
    </x:row>
    <x:row r="858">
      <x:c r="A858" s="10" t="n">
        <x:f>IF(Assumptions!$B$5+INT((ROW()-2)/Assumptions!$B$7)&gt;Assumptions!$B$6,"",Assumptions!$B$5+INT((ROW()-2)/Assumptions!$B$7))</x:f>
        <x:v>46194</x:v>
      </x:c>
      <x:c r="B858" t="str">
        <x:f>IF($A858="","",INDEX(Assumptions!$D$5:$D$12,MOD(ROW()-2,Assumptions!$B$7)+1))</x:f>
        <x:v>LV-426 North</x:v>
      </x:c>
      <x:c r="C858" s="11" t="n">
        <x:f>IF($A858="","",INDEX(Assumptions!$F$5:$F$12,MATCH($B858,Assumptions!$D$5:$D$12,0)))</x:f>
        <x:v>930</x:v>
      </x:c>
      <x:c r="D858" s="11" t="n">
        <x:f>IF($A858="","",INDEX(Assumptions!$G$5:$G$12,MATCH($B858,Assumptions!$D$5:$D$12,0)))</x:f>
        <x:v>95</x:v>
      </x:c>
      <x:c r="E858" s="11" t="n">
        <x:f>IF($A858="","",INDEX(Assumptions!$M$5:$M$11,WEEKDAY($A858,2)))</x:f>
        <x:v>0.87</x:v>
      </x:c>
      <x:c r="F858" s="11" t="n">
        <x:f>IF($A858="","",Assumptions!$B$15)</x:f>
        <x:v>0.35</x:v>
      </x:c>
      <x:c r="G858" s="11" t="n">
        <x:f>IF($A858="","",MAX(INDEX(Assumptions!$H$5:$H$12,MATCH($B858,Assumptions!$D$5:$D$12,0)),MIN(INDEX(Assumptions!$I$5:$I$12,MATCH($B858,Assumptions!$D$5:$D$12,0)),($C858+$D858*SQRT(-2*LN(RAND()))*COS(2*PI()*RAND()))*$E858*$J858*$K858)))</x:f>
        <x:v>812.3061754908546</x:v>
      </x:c>
      <x:c r="H858" s="11" t="n">
        <x:f>IF($A858="","",$G858*$F858+$C858*(1-$F858))</x:f>
        <x:v>888.807161421799</x:v>
      </x:c>
      <x:c r="I858" s="11" t="n">
        <x:f>IF($A858="","",AVERAGE($H858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938.3768150291406</x:v>
      </x:c>
      <x:c r="J858" s="12" t="n">
        <x:f>IF($A858="","",1+SUMIFS(Assumptions!$S$5:$S$10,Assumptions!$P$5:$P$10,$B858,Assumptions!$Q$5:$Q$10,"&lt;="&amp;$A858,Assumptions!$R$5:$R$10,"&gt;="&amp;$A858))</x:f>
        <x:v>1</x:v>
      </x:c>
      <x:c r="K858" s="12" t="n">
        <x:f>IF($A858="","",1+((($A858-Assumptions!$B$5)/30)*INDEX(Assumptions!$J$5:$J$12,MATCH($B858,Assumptions!$D$5:$D$12,0))))</x:f>
        <x:v>0.9943</x:v>
      </x:c>
      <x:c r="L858" t="str">
        <x:f>IF($A858="","",IFERROR(INDEX(Assumptions!$O$5:$O$10,MATCH(1,(Assumptions!$P$5:$P$10=$B858)*(Assumptions!$Q$5:$Q$10&lt;=$A858)*(Assumptions!$R$5:$R$10&gt;=$A858),0)),""))</x:f>
      </x:c>
      <x:c r="M858" t="n">
        <x:f>--($A858&lt;&gt;"")</x:f>
        <x:v>1</x:v>
      </x:c>
    </x:row>
    <x:row r="859">
      <x:c r="A859" s="10" t="n">
        <x:f>IF(Assumptions!$B$5+INT((ROW()-2)/Assumptions!$B$7)&gt;Assumptions!$B$6,"",Assumptions!$B$5+INT((ROW()-2)/Assumptions!$B$7))</x:f>
        <x:v>46194</x:v>
      </x:c>
      <x:c r="B859" t="str">
        <x:f>IF($A859="","",INDEX(Assumptions!$D$5:$D$12,MOD(ROW()-2,Assumptions!$B$7)+1))</x:f>
        <x:v>Nostromo Deep</x:v>
      </x:c>
      <x:c r="C859" s="11" t="n">
        <x:f>IF($A859="","",INDEX(Assumptions!$F$5:$F$12,MATCH($B859,Assumptions!$D$5:$D$12,0)))</x:f>
        <x:v>1260</x:v>
      </x:c>
      <x:c r="D859" s="11" t="n">
        <x:f>IF($A859="","",INDEX(Assumptions!$G$5:$G$12,MATCH($B859,Assumptions!$D$5:$D$12,0)))</x:f>
        <x:v>145</x:v>
      </x:c>
      <x:c r="E859" s="11" t="n">
        <x:f>IF($A859="","",INDEX(Assumptions!$M$5:$M$11,WEEKDAY($A859,2)))</x:f>
        <x:v>0.87</x:v>
      </x:c>
      <x:c r="F859" s="11" t="n">
        <x:f>IF($A859="","",Assumptions!$B$15)</x:f>
        <x:v>0.35</x:v>
      </x:c>
      <x:c r="G859" s="11" t="n">
        <x:f>IF($A859="","",MAX(INDEX(Assumptions!$H$5:$H$12,MATCH($B859,Assumptions!$D$5:$D$12,0)),MIN(INDEX(Assumptions!$I$5:$I$12,MATCH($B859,Assumptions!$D$5:$D$12,0)),($C859+$D859*SQRT(-2*LN(RAND()))*COS(2*PI()*RAND()))*$E859*$J859*$K859)))</x:f>
        <x:v>1107.5123057047554</x:v>
      </x:c>
      <x:c r="H859" s="11" t="n">
        <x:f>IF($A859="","",$G859*$F859+$C859*(1-$F859))</x:f>
        <x:v>1206.6293069966644</x:v>
      </x:c>
      <x:c r="I859" s="11" t="n">
        <x:f>IF($A859="","",AVERAGE($H859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1258.4437211923473</x:v>
      </x:c>
      <x:c r="J859" s="12" t="n">
        <x:f>IF($A859="","",1+SUMIFS(Assumptions!$S$5:$S$10,Assumptions!$P$5:$P$10,$B859,Assumptions!$Q$5:$Q$10,"&lt;="&amp;$A859,Assumptions!$R$5:$R$10,"&gt;="&amp;$A859))</x:f>
        <x:v>1</x:v>
      </x:c>
      <x:c r="K859" s="12" t="n">
        <x:f>IF($A859="","",1+((($A859-Assumptions!$B$5)/30)*INDEX(Assumptions!$J$5:$J$12,MATCH($B859,Assumptions!$D$5:$D$12,0))))</x:f>
        <x:v>1.0171</x:v>
      </x:c>
      <x:c r="L859" t="str">
        <x:f>IF($A859="","",IFERROR(INDEX(Assumptions!$O$5:$O$10,MATCH(1,(Assumptions!$P$5:$P$10=$B859)*(Assumptions!$Q$5:$Q$10&lt;=$A859)*(Assumptions!$R$5:$R$10&gt;=$A859),0)),""))</x:f>
      </x:c>
      <x:c r="M859" t="n">
        <x:f>--($A859&lt;&gt;"")</x:f>
        <x:v>1</x:v>
      </x:c>
    </x:row>
    <x:row r="860">
      <x:c r="A860" s="10" t="n">
        <x:f>IF(Assumptions!$B$5+INT((ROW()-2)/Assumptions!$B$7)&gt;Assumptions!$B$6,"",Assumptions!$B$5+INT((ROW()-2)/Assumptions!$B$7))</x:f>
        <x:v>46194</x:v>
      </x:c>
      <x:c r="B860" t="str">
        <x:f>IF($A860="","",INDEX(Assumptions!$D$5:$D$12,MOD(ROW()-2,Assumptions!$B$7)+1))</x:f>
        <x:v>Hadley's Hope</x:v>
      </x:c>
      <x:c r="C860" s="11" t="n">
        <x:f>IF($A860="","",INDEX(Assumptions!$F$5:$F$12,MATCH($B860,Assumptions!$D$5:$D$12,0)))</x:f>
        <x:v>845</x:v>
      </x:c>
      <x:c r="D860" s="11" t="n">
        <x:f>IF($A860="","",INDEX(Assumptions!$G$5:$G$12,MATCH($B860,Assumptions!$D$5:$D$12,0)))</x:f>
        <x:v>80</x:v>
      </x:c>
      <x:c r="E860" s="11" t="n">
        <x:f>IF($A860="","",INDEX(Assumptions!$M$5:$M$11,WEEKDAY($A860,2)))</x:f>
        <x:v>0.87</x:v>
      </x:c>
      <x:c r="F860" s="11" t="n">
        <x:f>IF($A860="","",Assumptions!$B$15)</x:f>
        <x:v>0.35</x:v>
      </x:c>
      <x:c r="G860" s="11" t="n">
        <x:f>IF($A860="","",MAX(INDEX(Assumptions!$H$5:$H$12,MATCH($B860,Assumptions!$D$5:$D$12,0)),MIN(INDEX(Assumptions!$I$5:$I$12,MATCH($B860,Assumptions!$D$5:$D$12,0)),($C860+$D860*SQRT(-2*LN(RAND()))*COS(2*PI()*RAND()))*$E860*$J860*$K860)))</x:f>
        <x:v>836.1012849901973</x:v>
      </x:c>
      <x:c r="H860" s="11" t="n">
        <x:f>IF($A860="","",$G860*$F860+$C860*(1-$F860))</x:f>
        <x:v>841.8854497465691</x:v>
      </x:c>
      <x:c r="I860" s="11" t="n">
        <x:f>IF($A860="","",AVERAGE($H860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844.5400893105291</x:v>
      </x:c>
      <x:c r="J860" s="12" t="n">
        <x:f>IF($A860="","",1+SUMIFS(Assumptions!$S$5:$S$10,Assumptions!$P$5:$P$10,$B860,Assumptions!$Q$5:$Q$10,"&lt;="&amp;$A860,Assumptions!$R$5:$R$10,"&gt;="&amp;$A860))</x:f>
        <x:v>1</x:v>
      </x:c>
      <x:c r="K860" s="12" t="n">
        <x:f>IF($A860="","",1+((($A860-Assumptions!$B$5)/30)*INDEX(Assumptions!$J$5:$J$12,MATCH($B860,Assumptions!$D$5:$D$12,0))))</x:f>
        <x:v>1.0057</x:v>
      </x:c>
      <x:c r="L860" t="str">
        <x:f>IF($A860="","",IFERROR(INDEX(Assumptions!$O$5:$O$10,MATCH(1,(Assumptions!$P$5:$P$10=$B860)*(Assumptions!$Q$5:$Q$10&lt;=$A860)*(Assumptions!$R$5:$R$10&gt;=$A860),0)),""))</x:f>
      </x:c>
      <x:c r="M860" t="n">
        <x:f>--($A860&lt;&gt;"")</x:f>
        <x:v>1</x:v>
      </x:c>
    </x:row>
    <x:row r="861">
      <x:c r="A861" s="10" t="n">
        <x:f>IF(Assumptions!$B$5+INT((ROW()-2)/Assumptions!$B$7)&gt;Assumptions!$B$6,"",Assumptions!$B$5+INT((ROW()-2)/Assumptions!$B$7))</x:f>
        <x:v>46194</x:v>
      </x:c>
      <x:c r="B861" t="str">
        <x:f>IF($A861="","",INDEX(Assumptions!$D$5:$D$12,MOD(ROW()-2,Assumptions!$B$7)+1))</x:f>
        <x:v>Yutani Ridge</x:v>
      </x:c>
      <x:c r="C861" s="11" t="n">
        <x:f>IF($A861="","",INDEX(Assumptions!$F$5:$F$12,MATCH($B861,Assumptions!$D$5:$D$12,0)))</x:f>
        <x:v>1050</x:v>
      </x:c>
      <x:c r="D861" s="11" t="n">
        <x:f>IF($A861="","",INDEX(Assumptions!$G$5:$G$12,MATCH($B861,Assumptions!$D$5:$D$12,0)))</x:f>
        <x:v>125</x:v>
      </x:c>
      <x:c r="E861" s="11" t="n">
        <x:f>IF($A861="","",INDEX(Assumptions!$M$5:$M$11,WEEKDAY($A861,2)))</x:f>
        <x:v>0.87</x:v>
      </x:c>
      <x:c r="F861" s="11" t="n">
        <x:f>IF($A861="","",Assumptions!$B$15)</x:f>
        <x:v>0.35</x:v>
      </x:c>
      <x:c r="G861" s="11" t="n">
        <x:f>IF($A861="","",MAX(INDEX(Assumptions!$H$5:$H$12,MATCH($B861,Assumptions!$D$5:$D$12,0)),MIN(INDEX(Assumptions!$I$5:$I$12,MATCH($B861,Assumptions!$D$5:$D$12,0)),($C861+$D861*SQRT(-2*LN(RAND()))*COS(2*PI()*RAND()))*$E861*$J861*$K861)))</x:f>
        <x:v>1027.1686184543616</x:v>
      </x:c>
      <x:c r="H861" s="11" t="n">
        <x:f>IF($A861="","",$G861*$F861+$C861*(1-$F861))</x:f>
        <x:v>1042.0090164590265</x:v>
      </x:c>
      <x:c r="I861" s="11" t="n">
        <x:f>IF($A861="","",AVERAGE($H861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1064.8516141113355</x:v>
      </x:c>
      <x:c r="J861" s="12" t="n">
        <x:f>IF($A861="","",1+SUMIFS(Assumptions!$S$5:$S$10,Assumptions!$P$5:$P$10,$B861,Assumptions!$Q$5:$Q$10,"&lt;="&amp;$A861,Assumptions!$R$5:$R$10,"&gt;="&amp;$A861))</x:f>
        <x:v>1</x:v>
      </x:c>
      <x:c r="K861" s="12" t="n">
        <x:f>IF($A861="","",1+((($A861-Assumptions!$B$5)/30)*INDEX(Assumptions!$J$5:$J$12,MATCH($B861,Assumptions!$D$5:$D$12,0))))</x:f>
        <x:v>1.01425</x:v>
      </x:c>
      <x:c r="L861" t="str">
        <x:f>IF($A861="","",IFERROR(INDEX(Assumptions!$O$5:$O$10,MATCH(1,(Assumptions!$P$5:$P$10=$B861)*(Assumptions!$Q$5:$Q$10&lt;=$A861)*(Assumptions!$R$5:$R$10&gt;=$A861),0)),""))</x:f>
      </x:c>
      <x:c r="M861" t="n">
        <x:f>--($A861&lt;&gt;"")</x:f>
        <x:v>1</x:v>
      </x:c>
    </x:row>
    <x:row r="862">
      <x:c r="A862" s="10" t="n">
        <x:f>IF(Assumptions!$B$5+INT((ROW()-2)/Assumptions!$B$7)&gt;Assumptions!$B$6,"",Assumptions!$B$5+INT((ROW()-2)/Assumptions!$B$7))</x:f>
        <x:v>46195</x:v>
      </x:c>
      <x:c r="B862" t="str">
        <x:f>IF($A862="","",INDEX(Assumptions!$D$5:$D$12,MOD(ROW()-2,Assumptions!$B$7)+1))</x:f>
        <x:v>Acheron Prime</x:v>
      </x:c>
      <x:c r="C862" s="11" t="n">
        <x:f>IF($A862="","",INDEX(Assumptions!$F$5:$F$12,MATCH($B862,Assumptions!$D$5:$D$12,0)))</x:f>
        <x:v>1120</x:v>
      </x:c>
      <x:c r="D862" s="11" t="n">
        <x:f>IF($A862="","",INDEX(Assumptions!$G$5:$G$12,MATCH($B862,Assumptions!$D$5:$D$12,0)))</x:f>
        <x:v>115</x:v>
      </x:c>
      <x:c r="E862" s="11" t="n">
        <x:f>IF($A862="","",INDEX(Assumptions!$M$5:$M$11,WEEKDAY($A862,2)))</x:f>
        <x:v>1.03</x:v>
      </x:c>
      <x:c r="F862" s="11" t="n">
        <x:f>IF($A862="","",Assumptions!$B$15)</x:f>
        <x:v>0.35</x:v>
      </x:c>
      <x:c r="G862" s="11" t="n">
        <x:f>IF($A862="","",MAX(INDEX(Assumptions!$H$5:$H$12,MATCH($B862,Assumptions!$D$5:$D$12,0)),MIN(INDEX(Assumptions!$I$5:$I$12,MATCH($B862,Assumptions!$D$5:$D$12,0)),($C862+$D862*SQRT(-2*LN(RAND()))*COS(2*PI()*RAND()))*$E862*$J862*$K862)))</x:f>
        <x:v>878.77974316071</x:v>
      </x:c>
      <x:c r="H862" s="11" t="n">
        <x:f>IF($A862="","",$G862*$F862+$C862*(1-$F862))</x:f>
        <x:v>1035.5729101062484</x:v>
      </x:c>
      <x:c r="I862" s="11" t="n">
        <x:f>IF($A862="","",AVERAGE($H862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1106.5954153191437</x:v>
      </x:c>
      <x:c r="J862" s="12" t="n">
        <x:f>IF($A862="","",1+SUMIFS(Assumptions!$S$5:$S$10,Assumptions!$P$5:$P$10,$B862,Assumptions!$Q$5:$Q$10,"&lt;="&amp;$A862,Assumptions!$R$5:$R$10,"&gt;="&amp;$A862))</x:f>
        <x:v>1</x:v>
      </x:c>
      <x:c r="K862" s="12" t="n">
        <x:f>IF($A862="","",1+((($A862-Assumptions!$B$5)/30)*INDEX(Assumptions!$J$5:$J$12,MATCH($B862,Assumptions!$D$5:$D$12,0))))</x:f>
        <x:v>1.0114666666666667</x:v>
      </x:c>
      <x:c r="L862" t="str">
        <x:f>IF($A862="","",IFERROR(INDEX(Assumptions!$O$5:$O$10,MATCH(1,(Assumptions!$P$5:$P$10=$B862)*(Assumptions!$Q$5:$Q$10&lt;=$A862)*(Assumptions!$R$5:$R$10&gt;=$A862),0)),""))</x:f>
      </x:c>
      <x:c r="M862" t="n">
        <x:f>--($A862&lt;&gt;"")</x:f>
        <x:v>1</x:v>
      </x:c>
    </x:row>
    <x:row r="863">
      <x:c r="A863" s="10" t="n">
        <x:f>IF(Assumptions!$B$5+INT((ROW()-2)/Assumptions!$B$7)&gt;Assumptions!$B$6,"",Assumptions!$B$5+INT((ROW()-2)/Assumptions!$B$7))</x:f>
        <x:v>46195</x:v>
      </x:c>
      <x:c r="B863" t="str">
        <x:f>IF($A863="","",INDEX(Assumptions!$D$5:$D$12,MOD(ROW()-2,Assumptions!$B$7)+1))</x:f>
        <x:v>LV-426 North</x:v>
      </x:c>
      <x:c r="C863" s="11" t="n">
        <x:f>IF($A863="","",INDEX(Assumptions!$F$5:$F$12,MATCH($B863,Assumptions!$D$5:$D$12,0)))</x:f>
        <x:v>930</x:v>
      </x:c>
      <x:c r="D863" s="11" t="n">
        <x:f>IF($A863="","",INDEX(Assumptions!$G$5:$G$12,MATCH($B863,Assumptions!$D$5:$D$12,0)))</x:f>
        <x:v>95</x:v>
      </x:c>
      <x:c r="E863" s="11" t="n">
        <x:f>IF($A863="","",INDEX(Assumptions!$M$5:$M$11,WEEKDAY($A863,2)))</x:f>
        <x:v>1.03</x:v>
      </x:c>
      <x:c r="F863" s="11" t="n">
        <x:f>IF($A863="","",Assumptions!$B$15)</x:f>
        <x:v>0.35</x:v>
      </x:c>
      <x:c r="G863" s="11" t="n">
        <x:f>IF($A863="","",MAX(INDEX(Assumptions!$H$5:$H$12,MATCH($B863,Assumptions!$D$5:$D$12,0)),MIN(INDEX(Assumptions!$I$5:$I$12,MATCH($B863,Assumptions!$D$5:$D$12,0)),($C863+$D863*SQRT(-2*LN(RAND()))*COS(2*PI()*RAND()))*$E863*$J863*$K863)))</x:f>
        <x:v>1053.4663702665175</x:v>
      </x:c>
      <x:c r="H863" s="11" t="n">
        <x:f>IF($A863="","",$G863*$F863+$C863*(1-$F863))</x:f>
        <x:v>973.2132295932811</x:v>
      </x:c>
      <x:c r="I863" s="11" t="n">
        <x:f>IF($A863="","",AVERAGE($H863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944.4061526616714</x:v>
      </x:c>
      <x:c r="J863" s="12" t="n">
        <x:f>IF($A863="","",1+SUMIFS(Assumptions!$S$5:$S$10,Assumptions!$P$5:$P$10,$B863,Assumptions!$Q$5:$Q$10,"&lt;="&amp;$A863,Assumptions!$R$5:$R$10,"&gt;="&amp;$A863))</x:f>
        <x:v>1</x:v>
      </x:c>
      <x:c r="K863" s="12" t="n">
        <x:f>IF($A863="","",1+((($A863-Assumptions!$B$5)/30)*INDEX(Assumptions!$J$5:$J$12,MATCH($B863,Assumptions!$D$5:$D$12,0))))</x:f>
        <x:v>0.9942666666666666</x:v>
      </x:c>
      <x:c r="L863" t="str">
        <x:f>IF($A863="","",IFERROR(INDEX(Assumptions!$O$5:$O$10,MATCH(1,(Assumptions!$P$5:$P$10=$B863)*(Assumptions!$Q$5:$Q$10&lt;=$A863)*(Assumptions!$R$5:$R$10&gt;=$A863),0)),""))</x:f>
      </x:c>
      <x:c r="M863" t="n">
        <x:f>--($A863&lt;&gt;"")</x:f>
        <x:v>1</x:v>
      </x:c>
    </x:row>
    <x:row r="864">
      <x:c r="A864" s="10" t="n">
        <x:f>IF(Assumptions!$B$5+INT((ROW()-2)/Assumptions!$B$7)&gt;Assumptions!$B$6,"",Assumptions!$B$5+INT((ROW()-2)/Assumptions!$B$7))</x:f>
        <x:v>46195</x:v>
      </x:c>
      <x:c r="B864" t="str">
        <x:f>IF($A864="","",INDEX(Assumptions!$D$5:$D$12,MOD(ROW()-2,Assumptions!$B$7)+1))</x:f>
        <x:v>Nostromo Deep</x:v>
      </x:c>
      <x:c r="C864" s="11" t="n">
        <x:f>IF($A864="","",INDEX(Assumptions!$F$5:$F$12,MATCH($B864,Assumptions!$D$5:$D$12,0)))</x:f>
        <x:v>1260</x:v>
      </x:c>
      <x:c r="D864" s="11" t="n">
        <x:f>IF($A864="","",INDEX(Assumptions!$G$5:$G$12,MATCH($B864,Assumptions!$D$5:$D$12,0)))</x:f>
        <x:v>145</x:v>
      </x:c>
      <x:c r="E864" s="11" t="n">
        <x:f>IF($A864="","",INDEX(Assumptions!$M$5:$M$11,WEEKDAY($A864,2)))</x:f>
        <x:v>1.03</x:v>
      </x:c>
      <x:c r="F864" s="11" t="n">
        <x:f>IF($A864="","",Assumptions!$B$15)</x:f>
        <x:v>0.35</x:v>
      </x:c>
      <x:c r="G864" s="11" t="n">
        <x:f>IF($A864="","",MAX(INDEX(Assumptions!$H$5:$H$12,MATCH($B864,Assumptions!$D$5:$D$12,0)),MIN(INDEX(Assumptions!$I$5:$I$12,MATCH($B864,Assumptions!$D$5:$D$12,0)),($C864+$D864*SQRT(-2*LN(RAND()))*COS(2*PI()*RAND()))*$E864*$J864*$K864)))</x:f>
        <x:v>1239.703260356276</x:v>
      </x:c>
      <x:c r="H864" s="11" t="n">
        <x:f>IF($A864="","",$G864*$F864+$C864*(1-$F864))</x:f>
        <x:v>1252.8961411246964</x:v>
      </x:c>
      <x:c r="I864" s="11" t="n">
        <x:f>IF($A864="","",AVERAGE($H864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1252.7368642410406</x:v>
      </x:c>
      <x:c r="J864" s="12" t="n">
        <x:f>IF($A864="","",1+SUMIFS(Assumptions!$S$5:$S$10,Assumptions!$P$5:$P$10,$B864,Assumptions!$Q$5:$Q$10,"&lt;="&amp;$A864,Assumptions!$R$5:$R$10,"&gt;="&amp;$A864))</x:f>
        <x:v>1</x:v>
      </x:c>
      <x:c r="K864" s="12" t="n">
        <x:f>IF($A864="","",1+((($A864-Assumptions!$B$5)/30)*INDEX(Assumptions!$J$5:$J$12,MATCH($B864,Assumptions!$D$5:$D$12,0))))</x:f>
        <x:v>1.0172</x:v>
      </x:c>
      <x:c r="L864" t="str">
        <x:f>IF($A864="","",IFERROR(INDEX(Assumptions!$O$5:$O$10,MATCH(1,(Assumptions!$P$5:$P$10=$B864)*(Assumptions!$Q$5:$Q$10&lt;=$A864)*(Assumptions!$R$5:$R$10&gt;=$A864),0)),""))</x:f>
      </x:c>
      <x:c r="M864" t="n">
        <x:f>--($A864&lt;&gt;"")</x:f>
        <x:v>1</x:v>
      </x:c>
    </x:row>
    <x:row r="865">
      <x:c r="A865" s="10" t="n">
        <x:f>IF(Assumptions!$B$5+INT((ROW()-2)/Assumptions!$B$7)&gt;Assumptions!$B$6,"",Assumptions!$B$5+INT((ROW()-2)/Assumptions!$B$7))</x:f>
        <x:v>46195</x:v>
      </x:c>
      <x:c r="B865" t="str">
        <x:f>IF($A865="","",INDEX(Assumptions!$D$5:$D$12,MOD(ROW()-2,Assumptions!$B$7)+1))</x:f>
        <x:v>Hadley's Hope</x:v>
      </x:c>
      <x:c r="C865" s="11" t="n">
        <x:f>IF($A865="","",INDEX(Assumptions!$F$5:$F$12,MATCH($B865,Assumptions!$D$5:$D$12,0)))</x:f>
        <x:v>845</x:v>
      </x:c>
      <x:c r="D865" s="11" t="n">
        <x:f>IF($A865="","",INDEX(Assumptions!$G$5:$G$12,MATCH($B865,Assumptions!$D$5:$D$12,0)))</x:f>
        <x:v>80</x:v>
      </x:c>
      <x:c r="E865" s="11" t="n">
        <x:f>IF($A865="","",INDEX(Assumptions!$M$5:$M$11,WEEKDAY($A865,2)))</x:f>
        <x:v>1.03</x:v>
      </x:c>
      <x:c r="F865" s="11" t="n">
        <x:f>IF($A865="","",Assumptions!$B$15)</x:f>
        <x:v>0.35</x:v>
      </x:c>
      <x:c r="G865" s="11" t="n">
        <x:f>IF($A865="","",MAX(INDEX(Assumptions!$H$5:$H$12,MATCH($B865,Assumptions!$D$5:$D$12,0)),MIN(INDEX(Assumptions!$I$5:$I$12,MATCH($B865,Assumptions!$D$5:$D$12,0)),($C865+$D865*SQRT(-2*LN(RAND()))*COS(2*PI()*RAND()))*$E865*$J865*$K865)))</x:f>
        <x:v>841.0548047364958</x:v>
      </x:c>
      <x:c r="H865" s="11" t="n">
        <x:f>IF($A865="","",$G865*$F865+$C865*(1-$F865))</x:f>
        <x:v>843.6191816577735</x:v>
      </x:c>
      <x:c r="I865" s="11" t="n">
        <x:f>IF($A865="","",AVERAGE($H865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846.3574328099047</x:v>
      </x:c>
      <x:c r="J865" s="12" t="n">
        <x:f>IF($A865="","",1+SUMIFS(Assumptions!$S$5:$S$10,Assumptions!$P$5:$P$10,$B865,Assumptions!$Q$5:$Q$10,"&lt;="&amp;$A865,Assumptions!$R$5:$R$10,"&gt;="&amp;$A865))</x:f>
        <x:v>1</x:v>
      </x:c>
      <x:c r="K865" s="12" t="n">
        <x:f>IF($A865="","",1+((($A865-Assumptions!$B$5)/30)*INDEX(Assumptions!$J$5:$J$12,MATCH($B865,Assumptions!$D$5:$D$12,0))))</x:f>
        <x:v>1.0057333333333334</x:v>
      </x:c>
      <x:c r="L865" t="str">
        <x:f>IF($A865="","",IFERROR(INDEX(Assumptions!$O$5:$O$10,MATCH(1,(Assumptions!$P$5:$P$10=$B865)*(Assumptions!$Q$5:$Q$10&lt;=$A865)*(Assumptions!$R$5:$R$10&gt;=$A865),0)),""))</x:f>
      </x:c>
      <x:c r="M865" t="n">
        <x:f>--($A865&lt;&gt;"")</x:f>
        <x:v>1</x:v>
      </x:c>
    </x:row>
    <x:row r="866">
      <x:c r="A866" s="10" t="n">
        <x:f>IF(Assumptions!$B$5+INT((ROW()-2)/Assumptions!$B$7)&gt;Assumptions!$B$6,"",Assumptions!$B$5+INT((ROW()-2)/Assumptions!$B$7))</x:f>
        <x:v>46195</x:v>
      </x:c>
      <x:c r="B866" t="str">
        <x:f>IF($A866="","",INDEX(Assumptions!$D$5:$D$12,MOD(ROW()-2,Assumptions!$B$7)+1))</x:f>
        <x:v>Yutani Ridge</x:v>
      </x:c>
      <x:c r="C866" s="11" t="n">
        <x:f>IF($A866="","",INDEX(Assumptions!$F$5:$F$12,MATCH($B866,Assumptions!$D$5:$D$12,0)))</x:f>
        <x:v>1050</x:v>
      </x:c>
      <x:c r="D866" s="11" t="n">
        <x:f>IF($A866="","",INDEX(Assumptions!$G$5:$G$12,MATCH($B866,Assumptions!$D$5:$D$12,0)))</x:f>
        <x:v>125</x:v>
      </x:c>
      <x:c r="E866" s="11" t="n">
        <x:f>IF($A866="","",INDEX(Assumptions!$M$5:$M$11,WEEKDAY($A866,2)))</x:f>
        <x:v>1.03</x:v>
      </x:c>
      <x:c r="F866" s="11" t="n">
        <x:f>IF($A866="","",Assumptions!$B$15)</x:f>
        <x:v>0.35</x:v>
      </x:c>
      <x:c r="G866" s="11" t="n">
        <x:f>IF($A866="","",MAX(INDEX(Assumptions!$H$5:$H$12,MATCH($B866,Assumptions!$D$5:$D$12,0)),MIN(INDEX(Assumptions!$I$5:$I$12,MATCH($B866,Assumptions!$D$5:$D$12,0)),($C866+$D866*SQRT(-2*LN(RAND()))*COS(2*PI()*RAND()))*$E866*$J866*$K866)))</x:f>
        <x:v>1190.4666995734017</x:v>
      </x:c>
      <x:c r="H866" s="11" t="n">
        <x:f>IF($A866="","",$G866*$F866+$C866*(1-$F866))</x:f>
        <x:v>1099.1633448506905</x:v>
      </x:c>
      <x:c r="I866" s="11" t="n">
        <x:f>IF($A866="","",AVERAGE($H866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1064.841931860677</x:v>
      </x:c>
      <x:c r="J866" s="12" t="n">
        <x:f>IF($A866="","",1+SUMIFS(Assumptions!$S$5:$S$10,Assumptions!$P$5:$P$10,$B866,Assumptions!$Q$5:$Q$10,"&lt;="&amp;$A866,Assumptions!$R$5:$R$10,"&gt;="&amp;$A866))</x:f>
        <x:v>1</x:v>
      </x:c>
      <x:c r="K866" s="12" t="n">
        <x:f>IF($A866="","",1+((($A866-Assumptions!$B$5)/30)*INDEX(Assumptions!$J$5:$J$12,MATCH($B866,Assumptions!$D$5:$D$12,0))))</x:f>
        <x:v>1.0143333333333333</x:v>
      </x:c>
      <x:c r="L866" t="str">
        <x:f>IF($A866="","",IFERROR(INDEX(Assumptions!$O$5:$O$10,MATCH(1,(Assumptions!$P$5:$P$10=$B866)*(Assumptions!$Q$5:$Q$10&lt;=$A866)*(Assumptions!$R$5:$R$10&gt;=$A866),0)),""))</x:f>
      </x:c>
      <x:c r="M866" t="n">
        <x:f>--($A866&lt;&gt;"")</x:f>
        <x:v>1</x:v>
      </x:c>
    </x:row>
    <x:row r="867">
      <x:c r="A867" s="10" t="n">
        <x:f>IF(Assumptions!$B$5+INT((ROW()-2)/Assumptions!$B$7)&gt;Assumptions!$B$6,"",Assumptions!$B$5+INT((ROW()-2)/Assumptions!$B$7))</x:f>
        <x:v>46196</x:v>
      </x:c>
      <x:c r="B867" t="str">
        <x:f>IF($A867="","",INDEX(Assumptions!$D$5:$D$12,MOD(ROW()-2,Assumptions!$B$7)+1))</x:f>
        <x:v>Acheron Prime</x:v>
      </x:c>
      <x:c r="C867" s="11" t="n">
        <x:f>IF($A867="","",INDEX(Assumptions!$F$5:$F$12,MATCH($B867,Assumptions!$D$5:$D$12,0)))</x:f>
        <x:v>1120</x:v>
      </x:c>
      <x:c r="D867" s="11" t="n">
        <x:f>IF($A867="","",INDEX(Assumptions!$G$5:$G$12,MATCH($B867,Assumptions!$D$5:$D$12,0)))</x:f>
        <x:v>115</x:v>
      </x:c>
      <x:c r="E867" s="11" t="n">
        <x:f>IF($A867="","",INDEX(Assumptions!$M$5:$M$11,WEEKDAY($A867,2)))</x:f>
        <x:v>1.02</x:v>
      </x:c>
      <x:c r="F867" s="11" t="n">
        <x:f>IF($A867="","",Assumptions!$B$15)</x:f>
        <x:v>0.35</x:v>
      </x:c>
      <x:c r="G867" s="11" t="n">
        <x:f>IF($A867="","",MAX(INDEX(Assumptions!$H$5:$H$12,MATCH($B867,Assumptions!$D$5:$D$12,0)),MIN(INDEX(Assumptions!$I$5:$I$12,MATCH($B867,Assumptions!$D$5:$D$12,0)),($C867+$D867*SQRT(-2*LN(RAND()))*COS(2*PI()*RAND()))*$E867*$J867*$K867)))</x:f>
        <x:v>1244.6301763193158</x:v>
      </x:c>
      <x:c r="H867" s="11" t="n">
        <x:f>IF($A867="","",$G867*$F867+$C867*(1-$F867))</x:f>
        <x:v>1163.6205617117605</x:v>
      </x:c>
      <x:c r="I867" s="11" t="n">
        <x:f>IF($A867="","",AVERAGE($H867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1112.1634058737823</x:v>
      </x:c>
      <x:c r="J867" s="12" t="n">
        <x:f>IF($A867="","",1+SUMIFS(Assumptions!$S$5:$S$10,Assumptions!$P$5:$P$10,$B867,Assumptions!$Q$5:$Q$10,"&lt;="&amp;$A867,Assumptions!$R$5:$R$10,"&gt;="&amp;$A867))</x:f>
        <x:v>1</x:v>
      </x:c>
      <x:c r="K867" s="12" t="n">
        <x:f>IF($A867="","",1+((($A867-Assumptions!$B$5)/30)*INDEX(Assumptions!$J$5:$J$12,MATCH($B867,Assumptions!$D$5:$D$12,0))))</x:f>
        <x:v>1.0115333333333334</x:v>
      </x:c>
      <x:c r="L867" t="str">
        <x:f>IF($A867="","",IFERROR(INDEX(Assumptions!$O$5:$O$10,MATCH(1,(Assumptions!$P$5:$P$10=$B867)*(Assumptions!$Q$5:$Q$10&lt;=$A867)*(Assumptions!$R$5:$R$10&gt;=$A867),0)),""))</x:f>
      </x:c>
      <x:c r="M867" t="n">
        <x:f>--($A867&lt;&gt;"")</x:f>
        <x:v>1</x:v>
      </x:c>
    </x:row>
    <x:row r="868">
      <x:c r="A868" s="10" t="n">
        <x:f>IF(Assumptions!$B$5+INT((ROW()-2)/Assumptions!$B$7)&gt;Assumptions!$B$6,"",Assumptions!$B$5+INT((ROW()-2)/Assumptions!$B$7))</x:f>
        <x:v>46196</x:v>
      </x:c>
      <x:c r="B868" t="str">
        <x:f>IF($A868="","",INDEX(Assumptions!$D$5:$D$12,MOD(ROW()-2,Assumptions!$B$7)+1))</x:f>
        <x:v>LV-426 North</x:v>
      </x:c>
      <x:c r="C868" s="11" t="n">
        <x:f>IF($A868="","",INDEX(Assumptions!$F$5:$F$12,MATCH($B868,Assumptions!$D$5:$D$12,0)))</x:f>
        <x:v>930</x:v>
      </x:c>
      <x:c r="D868" s="11" t="n">
        <x:f>IF($A868="","",INDEX(Assumptions!$G$5:$G$12,MATCH($B868,Assumptions!$D$5:$D$12,0)))</x:f>
        <x:v>95</x:v>
      </x:c>
      <x:c r="E868" s="11" t="n">
        <x:f>IF($A868="","",INDEX(Assumptions!$M$5:$M$11,WEEKDAY($A868,2)))</x:f>
        <x:v>1.02</x:v>
      </x:c>
      <x:c r="F868" s="11" t="n">
        <x:f>IF($A868="","",Assumptions!$B$15)</x:f>
        <x:v>0.35</x:v>
      </x:c>
      <x:c r="G868" s="11" t="n">
        <x:f>IF($A868="","",MAX(INDEX(Assumptions!$H$5:$H$12,MATCH($B868,Assumptions!$D$5:$D$12,0)),MIN(INDEX(Assumptions!$I$5:$I$12,MATCH($B868,Assumptions!$D$5:$D$12,0)),($C868+$D868*SQRT(-2*LN(RAND()))*COS(2*PI()*RAND()))*$E868*$J868*$K868)))</x:f>
        <x:v>1011.179009130881</x:v>
      </x:c>
      <x:c r="H868" s="11" t="n">
        <x:f>IF($A868="","",$G868*$F868+$C868*(1-$F868))</x:f>
        <x:v>958.4126531958084</x:v>
      </x:c>
      <x:c r="I868" s="11" t="n">
        <x:f>IF($A868="","",AVERAGE($H868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947.6602872531629</x:v>
      </x:c>
      <x:c r="J868" s="12" t="n">
        <x:f>IF($A868="","",1+SUMIFS(Assumptions!$S$5:$S$10,Assumptions!$P$5:$P$10,$B868,Assumptions!$Q$5:$Q$10,"&lt;="&amp;$A868,Assumptions!$R$5:$R$10,"&gt;="&amp;$A868))</x:f>
        <x:v>1</x:v>
      </x:c>
      <x:c r="K868" s="12" t="n">
        <x:f>IF($A868="","",1+((($A868-Assumptions!$B$5)/30)*INDEX(Assumptions!$J$5:$J$12,MATCH($B868,Assumptions!$D$5:$D$12,0))))</x:f>
        <x:v>0.9942333333333333</x:v>
      </x:c>
      <x:c r="L868" t="str">
        <x:f>IF($A868="","",IFERROR(INDEX(Assumptions!$O$5:$O$10,MATCH(1,(Assumptions!$P$5:$P$10=$B868)*(Assumptions!$Q$5:$Q$10&lt;=$A868)*(Assumptions!$R$5:$R$10&gt;=$A868),0)),""))</x:f>
      </x:c>
      <x:c r="M868" t="n">
        <x:f>--($A868&lt;&gt;"")</x:f>
        <x:v>1</x:v>
      </x:c>
    </x:row>
    <x:row r="869">
      <x:c r="A869" s="10" t="n">
        <x:f>IF(Assumptions!$B$5+INT((ROW()-2)/Assumptions!$B$7)&gt;Assumptions!$B$6,"",Assumptions!$B$5+INT((ROW()-2)/Assumptions!$B$7))</x:f>
        <x:v>46196</x:v>
      </x:c>
      <x:c r="B869" t="str">
        <x:f>IF($A869="","",INDEX(Assumptions!$D$5:$D$12,MOD(ROW()-2,Assumptions!$B$7)+1))</x:f>
        <x:v>Nostromo Deep</x:v>
      </x:c>
      <x:c r="C869" s="11" t="n">
        <x:f>IF($A869="","",INDEX(Assumptions!$F$5:$F$12,MATCH($B869,Assumptions!$D$5:$D$12,0)))</x:f>
        <x:v>1260</x:v>
      </x:c>
      <x:c r="D869" s="11" t="n">
        <x:f>IF($A869="","",INDEX(Assumptions!$G$5:$G$12,MATCH($B869,Assumptions!$D$5:$D$12,0)))</x:f>
        <x:v>145</x:v>
      </x:c>
      <x:c r="E869" s="11" t="n">
        <x:f>IF($A869="","",INDEX(Assumptions!$M$5:$M$11,WEEKDAY($A869,2)))</x:f>
        <x:v>1.02</x:v>
      </x:c>
      <x:c r="F869" s="11" t="n">
        <x:f>IF($A869="","",Assumptions!$B$15)</x:f>
        <x:v>0.35</x:v>
      </x:c>
      <x:c r="G869" s="11" t="n">
        <x:f>IF($A869="","",MAX(INDEX(Assumptions!$H$5:$H$12,MATCH($B869,Assumptions!$D$5:$D$12,0)),MIN(INDEX(Assumptions!$I$5:$I$12,MATCH($B869,Assumptions!$D$5:$D$12,0)),($C869+$D869*SQRT(-2*LN(RAND()))*COS(2*PI()*RAND()))*$E869*$J869*$K869)))</x:f>
        <x:v>1536.8896081259854</x:v>
      </x:c>
      <x:c r="H869" s="11" t="n">
        <x:f>IF($A869="","",$G869*$F869+$C869*(1-$F869))</x:f>
        <x:v>1356.9113628440948</x:v>
      </x:c>
      <x:c r="I869" s="11" t="n">
        <x:f>IF($A869="","",AVERAGE($H869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1252.577839662486</x:v>
      </x:c>
      <x:c r="J869" s="12" t="n">
        <x:f>IF($A869="","",1+SUMIFS(Assumptions!$S$5:$S$10,Assumptions!$P$5:$P$10,$B869,Assumptions!$Q$5:$Q$10,"&lt;="&amp;$A869,Assumptions!$R$5:$R$10,"&gt;="&amp;$A869))</x:f>
        <x:v>1</x:v>
      </x:c>
      <x:c r="K869" s="12" t="n">
        <x:f>IF($A869="","",1+((($A869-Assumptions!$B$5)/30)*INDEX(Assumptions!$J$5:$J$12,MATCH($B869,Assumptions!$D$5:$D$12,0))))</x:f>
        <x:v>1.0173</x:v>
      </x:c>
      <x:c r="L869" t="str">
        <x:f>IF($A869="","",IFERROR(INDEX(Assumptions!$O$5:$O$10,MATCH(1,(Assumptions!$P$5:$P$10=$B869)*(Assumptions!$Q$5:$Q$10&lt;=$A869)*(Assumptions!$R$5:$R$10&gt;=$A869),0)),""))</x:f>
      </x:c>
      <x:c r="M869" t="n">
        <x:f>--($A869&lt;&gt;"")</x:f>
        <x:v>1</x:v>
      </x:c>
    </x:row>
    <x:row r="870">
      <x:c r="A870" s="10" t="n">
        <x:f>IF(Assumptions!$B$5+INT((ROW()-2)/Assumptions!$B$7)&gt;Assumptions!$B$6,"",Assumptions!$B$5+INT((ROW()-2)/Assumptions!$B$7))</x:f>
        <x:v>46196</x:v>
      </x:c>
      <x:c r="B870" t="str">
        <x:f>IF($A870="","",INDEX(Assumptions!$D$5:$D$12,MOD(ROW()-2,Assumptions!$B$7)+1))</x:f>
        <x:v>Hadley's Hope</x:v>
      </x:c>
      <x:c r="C870" s="11" t="n">
        <x:f>IF($A870="","",INDEX(Assumptions!$F$5:$F$12,MATCH($B870,Assumptions!$D$5:$D$12,0)))</x:f>
        <x:v>845</x:v>
      </x:c>
      <x:c r="D870" s="11" t="n">
        <x:f>IF($A870="","",INDEX(Assumptions!$G$5:$G$12,MATCH($B870,Assumptions!$D$5:$D$12,0)))</x:f>
        <x:v>80</x:v>
      </x:c>
      <x:c r="E870" s="11" t="n">
        <x:f>IF($A870="","",INDEX(Assumptions!$M$5:$M$11,WEEKDAY($A870,2)))</x:f>
        <x:v>1.02</x:v>
      </x:c>
      <x:c r="F870" s="11" t="n">
        <x:f>IF($A870="","",Assumptions!$B$15)</x:f>
        <x:v>0.35</x:v>
      </x:c>
      <x:c r="G870" s="11" t="n">
        <x:f>IF($A870="","",MAX(INDEX(Assumptions!$H$5:$H$12,MATCH($B870,Assumptions!$D$5:$D$12,0)),MIN(INDEX(Assumptions!$I$5:$I$12,MATCH($B870,Assumptions!$D$5:$D$12,0)),($C870+$D870*SQRT(-2*LN(RAND()))*COS(2*PI()*RAND()))*$E870*$J870*$K870)))</x:f>
        <x:v>815.9296889533307</x:v>
      </x:c>
      <x:c r="H870" s="11" t="n">
        <x:f>IF($A870="","",$G870*$F870+$C870*(1-$F870))</x:f>
        <x:v>834.8253911336658</x:v>
      </x:c>
      <x:c r="I870" s="11" t="n">
        <x:f>IF($A870="","",AVERAGE($H870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839.4447150404592</x:v>
      </x:c>
      <x:c r="J870" s="12" t="n">
        <x:f>IF($A870="","",1+SUMIFS(Assumptions!$S$5:$S$10,Assumptions!$P$5:$P$10,$B870,Assumptions!$Q$5:$Q$10,"&lt;="&amp;$A870,Assumptions!$R$5:$R$10,"&gt;="&amp;$A870))</x:f>
        <x:v>1</x:v>
      </x:c>
      <x:c r="K870" s="12" t="n">
        <x:f>IF($A870="","",1+((($A870-Assumptions!$B$5)/30)*INDEX(Assumptions!$J$5:$J$12,MATCH($B870,Assumptions!$D$5:$D$12,0))))</x:f>
        <x:v>1.0057666666666667</x:v>
      </x:c>
      <x:c r="L870" t="str">
        <x:f>IF($A870="","",IFERROR(INDEX(Assumptions!$O$5:$O$10,MATCH(1,(Assumptions!$P$5:$P$10=$B870)*(Assumptions!$Q$5:$Q$10&lt;=$A870)*(Assumptions!$R$5:$R$10&gt;=$A870),0)),""))</x:f>
      </x:c>
      <x:c r="M870" t="n">
        <x:f>--($A870&lt;&gt;"")</x:f>
        <x:v>1</x:v>
      </x:c>
    </x:row>
    <x:row r="871">
      <x:c r="A871" s="10" t="n">
        <x:f>IF(Assumptions!$B$5+INT((ROW()-2)/Assumptions!$B$7)&gt;Assumptions!$B$6,"",Assumptions!$B$5+INT((ROW()-2)/Assumptions!$B$7))</x:f>
        <x:v>46196</x:v>
      </x:c>
      <x:c r="B871" t="str">
        <x:f>IF($A871="","",INDEX(Assumptions!$D$5:$D$12,MOD(ROW()-2,Assumptions!$B$7)+1))</x:f>
        <x:v>Yutani Ridge</x:v>
      </x:c>
      <x:c r="C871" s="11" t="n">
        <x:f>IF($A871="","",INDEX(Assumptions!$F$5:$F$12,MATCH($B871,Assumptions!$D$5:$D$12,0)))</x:f>
        <x:v>1050</x:v>
      </x:c>
      <x:c r="D871" s="11" t="n">
        <x:f>IF($A871="","",INDEX(Assumptions!$G$5:$G$12,MATCH($B871,Assumptions!$D$5:$D$12,0)))</x:f>
        <x:v>125</x:v>
      </x:c>
      <x:c r="E871" s="11" t="n">
        <x:f>IF($A871="","",INDEX(Assumptions!$M$5:$M$11,WEEKDAY($A871,2)))</x:f>
        <x:v>1.02</x:v>
      </x:c>
      <x:c r="F871" s="11" t="n">
        <x:f>IF($A871="","",Assumptions!$B$15)</x:f>
        <x:v>0.35</x:v>
      </x:c>
      <x:c r="G871" s="11" t="n">
        <x:f>IF($A871="","",MAX(INDEX(Assumptions!$H$5:$H$12,MATCH($B871,Assumptions!$D$5:$D$12,0)),MIN(INDEX(Assumptions!$I$5:$I$12,MATCH($B871,Assumptions!$D$5:$D$12,0)),($C871+$D871*SQRT(-2*LN(RAND()))*COS(2*PI()*RAND()))*$E871*$J871*$K871)))</x:f>
        <x:v>973.330802871382</x:v>
      </x:c>
      <x:c r="H871" s="11" t="n">
        <x:f>IF($A871="","",$G871*$F871+$C871*(1-$F871))</x:f>
        <x:v>1023.1657810049837</x:v>
      </x:c>
      <x:c r="I871" s="11" t="n">
        <x:f>IF($A871="","",AVERAGE($H871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1050.0196105080386</x:v>
      </x:c>
      <x:c r="J871" s="12" t="n">
        <x:f>IF($A871="","",1+SUMIFS(Assumptions!$S$5:$S$10,Assumptions!$P$5:$P$10,$B871,Assumptions!$Q$5:$Q$10,"&lt;="&amp;$A871,Assumptions!$R$5:$R$10,"&gt;="&amp;$A871))</x:f>
        <x:v>1</x:v>
      </x:c>
      <x:c r="K871" s="12" t="n">
        <x:f>IF($A871="","",1+((($A871-Assumptions!$B$5)/30)*INDEX(Assumptions!$J$5:$J$12,MATCH($B871,Assumptions!$D$5:$D$12,0))))</x:f>
        <x:v>1.0144166666666667</x:v>
      </x:c>
      <x:c r="L871" t="str">
        <x:f>IF($A871="","",IFERROR(INDEX(Assumptions!$O$5:$O$10,MATCH(1,(Assumptions!$P$5:$P$10=$B871)*(Assumptions!$Q$5:$Q$10&lt;=$A871)*(Assumptions!$R$5:$R$10&gt;=$A871),0)),""))</x:f>
      </x:c>
      <x:c r="M871" t="n">
        <x:f>--($A871&lt;&gt;"")</x:f>
        <x:v>1</x:v>
      </x:c>
    </x:row>
    <x:row r="872">
      <x:c r="A872" s="10" t="n">
        <x:f>IF(Assumptions!$B$5+INT((ROW()-2)/Assumptions!$B$7)&gt;Assumptions!$B$6,"",Assumptions!$B$5+INT((ROW()-2)/Assumptions!$B$7))</x:f>
        <x:v>46197</x:v>
      </x:c>
      <x:c r="B872" t="str">
        <x:f>IF($A872="","",INDEX(Assumptions!$D$5:$D$12,MOD(ROW()-2,Assumptions!$B$7)+1))</x:f>
        <x:v>Acheron Prime</x:v>
      </x:c>
      <x:c r="C872" s="11" t="n">
        <x:f>IF($A872="","",INDEX(Assumptions!$F$5:$F$12,MATCH($B872,Assumptions!$D$5:$D$12,0)))</x:f>
        <x:v>1120</x:v>
      </x:c>
      <x:c r="D872" s="11" t="n">
        <x:f>IF($A872="","",INDEX(Assumptions!$G$5:$G$12,MATCH($B872,Assumptions!$D$5:$D$12,0)))</x:f>
        <x:v>115</x:v>
      </x:c>
      <x:c r="E872" s="11" t="n">
        <x:f>IF($A872="","",INDEX(Assumptions!$M$5:$M$11,WEEKDAY($A872,2)))</x:f>
        <x:v>1.01</x:v>
      </x:c>
      <x:c r="F872" s="11" t="n">
        <x:f>IF($A872="","",Assumptions!$B$15)</x:f>
        <x:v>0.35</x:v>
      </x:c>
      <x:c r="G872" s="11" t="n">
        <x:f>IF($A872="","",MAX(INDEX(Assumptions!$H$5:$H$12,MATCH($B872,Assumptions!$D$5:$D$12,0)),MIN(INDEX(Assumptions!$I$5:$I$12,MATCH($B872,Assumptions!$D$5:$D$12,0)),($C872+$D872*SQRT(-2*LN(RAND()))*COS(2*PI()*RAND()))*$E872*$J872*$K872)))</x:f>
        <x:v>1116.0981853832761</x:v>
      </x:c>
      <x:c r="H872" s="11" t="n">
        <x:f>IF($A872="","",$G872*$F872+$C872*(1-$F872))</x:f>
        <x:v>1118.6343648841466</x:v>
      </x:c>
      <x:c r="I872" s="11" t="n">
        <x:f>IF($A872="","",AVERAGE($H872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1109.6120983929125</x:v>
      </x:c>
      <x:c r="J872" s="12" t="n">
        <x:f>IF($A872="","",1+SUMIFS(Assumptions!$S$5:$S$10,Assumptions!$P$5:$P$10,$B872,Assumptions!$Q$5:$Q$10,"&lt;="&amp;$A872,Assumptions!$R$5:$R$10,"&gt;="&amp;$A872))</x:f>
        <x:v>1</x:v>
      </x:c>
      <x:c r="K872" s="12" t="n">
        <x:f>IF($A872="","",1+((($A872-Assumptions!$B$5)/30)*INDEX(Assumptions!$J$5:$J$12,MATCH($B872,Assumptions!$D$5:$D$12,0))))</x:f>
        <x:v>1.0116</x:v>
      </x:c>
      <x:c r="L872" t="str">
        <x:f>IF($A872="","",IFERROR(INDEX(Assumptions!$O$5:$O$10,MATCH(1,(Assumptions!$P$5:$P$10=$B872)*(Assumptions!$Q$5:$Q$10&lt;=$A872)*(Assumptions!$R$5:$R$10&gt;=$A872),0)),""))</x:f>
      </x:c>
      <x:c r="M872" t="n">
        <x:f>--($A872&lt;&gt;"")</x:f>
        <x:v>1</x:v>
      </x:c>
    </x:row>
    <x:row r="873">
      <x:c r="A873" s="10" t="n">
        <x:f>IF(Assumptions!$B$5+INT((ROW()-2)/Assumptions!$B$7)&gt;Assumptions!$B$6,"",Assumptions!$B$5+INT((ROW()-2)/Assumptions!$B$7))</x:f>
        <x:v>46197</x:v>
      </x:c>
      <x:c r="B873" t="str">
        <x:f>IF($A873="","",INDEX(Assumptions!$D$5:$D$12,MOD(ROW()-2,Assumptions!$B$7)+1))</x:f>
        <x:v>LV-426 North</x:v>
      </x:c>
      <x:c r="C873" s="11" t="n">
        <x:f>IF($A873="","",INDEX(Assumptions!$F$5:$F$12,MATCH($B873,Assumptions!$D$5:$D$12,0)))</x:f>
        <x:v>930</x:v>
      </x:c>
      <x:c r="D873" s="11" t="n">
        <x:f>IF($A873="","",INDEX(Assumptions!$G$5:$G$12,MATCH($B873,Assumptions!$D$5:$D$12,0)))</x:f>
        <x:v>95</x:v>
      </x:c>
      <x:c r="E873" s="11" t="n">
        <x:f>IF($A873="","",INDEX(Assumptions!$M$5:$M$11,WEEKDAY($A873,2)))</x:f>
        <x:v>1.01</x:v>
      </x:c>
      <x:c r="F873" s="11" t="n">
        <x:f>IF($A873="","",Assumptions!$B$15)</x:f>
        <x:v>0.35</x:v>
      </x:c>
      <x:c r="G873" s="11" t="n">
        <x:f>IF($A873="","",MAX(INDEX(Assumptions!$H$5:$H$12,MATCH($B873,Assumptions!$D$5:$D$12,0)),MIN(INDEX(Assumptions!$I$5:$I$12,MATCH($B873,Assumptions!$D$5:$D$12,0)),($C873+$D873*SQRT(-2*LN(RAND()))*COS(2*PI()*RAND()))*$E873*$J873*$K873)))</x:f>
        <x:v>1025.5766849942524</x:v>
      </x:c>
      <x:c r="H873" s="11" t="n">
        <x:f>IF($A873="","",$G873*$F873+$C873*(1-$F873))</x:f>
        <x:v>963.4518397479883</x:v>
      </x:c>
      <x:c r="I873" s="11" t="n">
        <x:f>IF($A873="","",AVERAGE($H873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949.5722945064496</x:v>
      </x:c>
      <x:c r="J873" s="12" t="n">
        <x:f>IF($A873="","",1+SUMIFS(Assumptions!$S$5:$S$10,Assumptions!$P$5:$P$10,$B873,Assumptions!$Q$5:$Q$10,"&lt;="&amp;$A873,Assumptions!$R$5:$R$10,"&gt;="&amp;$A873))</x:f>
        <x:v>1</x:v>
      </x:c>
      <x:c r="K873" s="12" t="n">
        <x:f>IF($A873="","",1+((($A873-Assumptions!$B$5)/30)*INDEX(Assumptions!$J$5:$J$12,MATCH($B873,Assumptions!$D$5:$D$12,0))))</x:f>
        <x:v>0.9942</x:v>
      </x:c>
      <x:c r="L873" t="str">
        <x:f>IF($A873="","",IFERROR(INDEX(Assumptions!$O$5:$O$10,MATCH(1,(Assumptions!$P$5:$P$10=$B873)*(Assumptions!$Q$5:$Q$10&lt;=$A873)*(Assumptions!$R$5:$R$10&gt;=$A873),0)),""))</x:f>
      </x:c>
      <x:c r="M873" t="n">
        <x:f>--($A873&lt;&gt;"")</x:f>
        <x:v>1</x:v>
      </x:c>
    </x:row>
    <x:row r="874">
      <x:c r="A874" s="10" t="n">
        <x:f>IF(Assumptions!$B$5+INT((ROW()-2)/Assumptions!$B$7)&gt;Assumptions!$B$6,"",Assumptions!$B$5+INT((ROW()-2)/Assumptions!$B$7))</x:f>
        <x:v>46197</x:v>
      </x:c>
      <x:c r="B874" t="str">
        <x:f>IF($A874="","",INDEX(Assumptions!$D$5:$D$12,MOD(ROW()-2,Assumptions!$B$7)+1))</x:f>
        <x:v>Nostromo Deep</x:v>
      </x:c>
      <x:c r="C874" s="11" t="n">
        <x:f>IF($A874="","",INDEX(Assumptions!$F$5:$F$12,MATCH($B874,Assumptions!$D$5:$D$12,0)))</x:f>
        <x:v>1260</x:v>
      </x:c>
      <x:c r="D874" s="11" t="n">
        <x:f>IF($A874="","",INDEX(Assumptions!$G$5:$G$12,MATCH($B874,Assumptions!$D$5:$D$12,0)))</x:f>
        <x:v>145</x:v>
      </x:c>
      <x:c r="E874" s="11" t="n">
        <x:f>IF($A874="","",INDEX(Assumptions!$M$5:$M$11,WEEKDAY($A874,2)))</x:f>
        <x:v>1.01</x:v>
      </x:c>
      <x:c r="F874" s="11" t="n">
        <x:f>IF($A874="","",Assumptions!$B$15)</x:f>
        <x:v>0.35</x:v>
      </x:c>
      <x:c r="G874" s="11" t="n">
        <x:f>IF($A874="","",MAX(INDEX(Assumptions!$H$5:$H$12,MATCH($B874,Assumptions!$D$5:$D$12,0)),MIN(INDEX(Assumptions!$I$5:$I$12,MATCH($B874,Assumptions!$D$5:$D$12,0)),($C874+$D874*SQRT(-2*LN(RAND()))*COS(2*PI()*RAND()))*$E874*$J874*$K874)))</x:f>
        <x:v>1234.4626817528738</x:v>
      </x:c>
      <x:c r="H874" s="11" t="n">
        <x:f>IF($A874="","",$G874*$F874+$C874*(1-$F874))</x:f>
        <x:v>1251.0619386135058</x:v>
      </x:c>
      <x:c r="I874" s="11" t="n">
        <x:f>IF($A874="","",AVERAGE($H874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1260.561535794772</x:v>
      </x:c>
      <x:c r="J874" s="12" t="n">
        <x:f>IF($A874="","",1+SUMIFS(Assumptions!$S$5:$S$10,Assumptions!$P$5:$P$10,$B874,Assumptions!$Q$5:$Q$10,"&lt;="&amp;$A874,Assumptions!$R$5:$R$10,"&gt;="&amp;$A874))</x:f>
        <x:v>1</x:v>
      </x:c>
      <x:c r="K874" s="12" t="n">
        <x:f>IF($A874="","",1+((($A874-Assumptions!$B$5)/30)*INDEX(Assumptions!$J$5:$J$12,MATCH($B874,Assumptions!$D$5:$D$12,0))))</x:f>
        <x:v>1.0174</x:v>
      </x:c>
      <x:c r="L874" t="str">
        <x:f>IF($A874="","",IFERROR(INDEX(Assumptions!$O$5:$O$10,MATCH(1,(Assumptions!$P$5:$P$10=$B874)*(Assumptions!$Q$5:$Q$10&lt;=$A874)*(Assumptions!$R$5:$R$10&gt;=$A874),0)),""))</x:f>
      </x:c>
      <x:c r="M874" t="n">
        <x:f>--($A874&lt;&gt;"")</x:f>
        <x:v>1</x:v>
      </x:c>
    </x:row>
    <x:row r="875">
      <x:c r="A875" s="10" t="n">
        <x:f>IF(Assumptions!$B$5+INT((ROW()-2)/Assumptions!$B$7)&gt;Assumptions!$B$6,"",Assumptions!$B$5+INT((ROW()-2)/Assumptions!$B$7))</x:f>
        <x:v>46197</x:v>
      </x:c>
      <x:c r="B875" t="str">
        <x:f>IF($A875="","",INDEX(Assumptions!$D$5:$D$12,MOD(ROW()-2,Assumptions!$B$7)+1))</x:f>
        <x:v>Hadley's Hope</x:v>
      </x:c>
      <x:c r="C875" s="11" t="n">
        <x:f>IF($A875="","",INDEX(Assumptions!$F$5:$F$12,MATCH($B875,Assumptions!$D$5:$D$12,0)))</x:f>
        <x:v>845</x:v>
      </x:c>
      <x:c r="D875" s="11" t="n">
        <x:f>IF($A875="","",INDEX(Assumptions!$G$5:$G$12,MATCH($B875,Assumptions!$D$5:$D$12,0)))</x:f>
        <x:v>80</x:v>
      </x:c>
      <x:c r="E875" s="11" t="n">
        <x:f>IF($A875="","",INDEX(Assumptions!$M$5:$M$11,WEEKDAY($A875,2)))</x:f>
        <x:v>1.01</x:v>
      </x:c>
      <x:c r="F875" s="11" t="n">
        <x:f>IF($A875="","",Assumptions!$B$15)</x:f>
        <x:v>0.35</x:v>
      </x:c>
      <x:c r="G875" s="11" t="n">
        <x:f>IF($A875="","",MAX(INDEX(Assumptions!$H$5:$H$12,MATCH($B875,Assumptions!$D$5:$D$12,0)),MIN(INDEX(Assumptions!$I$5:$I$12,MATCH($B875,Assumptions!$D$5:$D$12,0)),($C875+$D875*SQRT(-2*LN(RAND()))*COS(2*PI()*RAND()))*$E875*$J875*$K875)))</x:f>
        <x:v>936.215633408509</x:v>
      </x:c>
      <x:c r="H875" s="11" t="n">
        <x:f>IF($A875="","",$G875*$F875+$C875*(1-$F875))</x:f>
        <x:v>876.9254716929781</x:v>
      </x:c>
      <x:c r="I875" s="11" t="n">
        <x:f>IF($A875="","",AVERAGE($H875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847.9918718595742</x:v>
      </x:c>
      <x:c r="J875" s="12" t="n">
        <x:f>IF($A875="","",1+SUMIFS(Assumptions!$S$5:$S$10,Assumptions!$P$5:$P$10,$B875,Assumptions!$Q$5:$Q$10,"&lt;="&amp;$A875,Assumptions!$R$5:$R$10,"&gt;="&amp;$A875))</x:f>
        <x:v>1</x:v>
      </x:c>
      <x:c r="K875" s="12" t="n">
        <x:f>IF($A875="","",1+((($A875-Assumptions!$B$5)/30)*INDEX(Assumptions!$J$5:$J$12,MATCH($B875,Assumptions!$D$5:$D$12,0))))</x:f>
        <x:v>1.0058</x:v>
      </x:c>
      <x:c r="L875" t="str">
        <x:f>IF($A875="","",IFERROR(INDEX(Assumptions!$O$5:$O$10,MATCH(1,(Assumptions!$P$5:$P$10=$B875)*(Assumptions!$Q$5:$Q$10&lt;=$A875)*(Assumptions!$R$5:$R$10&gt;=$A875),0)),""))</x:f>
      </x:c>
      <x:c r="M875" t="n">
        <x:f>--($A875&lt;&gt;"")</x:f>
        <x:v>1</x:v>
      </x:c>
    </x:row>
    <x:row r="876">
      <x:c r="A876" s="10" t="n">
        <x:f>IF(Assumptions!$B$5+INT((ROW()-2)/Assumptions!$B$7)&gt;Assumptions!$B$6,"",Assumptions!$B$5+INT((ROW()-2)/Assumptions!$B$7))</x:f>
        <x:v>46197</x:v>
      </x:c>
      <x:c r="B876" t="str">
        <x:f>IF($A876="","",INDEX(Assumptions!$D$5:$D$12,MOD(ROW()-2,Assumptions!$B$7)+1))</x:f>
        <x:v>Yutani Ridge</x:v>
      </x:c>
      <x:c r="C876" s="11" t="n">
        <x:f>IF($A876="","",INDEX(Assumptions!$F$5:$F$12,MATCH($B876,Assumptions!$D$5:$D$12,0)))</x:f>
        <x:v>1050</x:v>
      </x:c>
      <x:c r="D876" s="11" t="n">
        <x:f>IF($A876="","",INDEX(Assumptions!$G$5:$G$12,MATCH($B876,Assumptions!$D$5:$D$12,0)))</x:f>
        <x:v>125</x:v>
      </x:c>
      <x:c r="E876" s="11" t="n">
        <x:f>IF($A876="","",INDEX(Assumptions!$M$5:$M$11,WEEKDAY($A876,2)))</x:f>
        <x:v>1.01</x:v>
      </x:c>
      <x:c r="F876" s="11" t="n">
        <x:f>IF($A876="","",Assumptions!$B$15)</x:f>
        <x:v>0.35</x:v>
      </x:c>
      <x:c r="G876" s="11" t="n">
        <x:f>IF($A876="","",MAX(INDEX(Assumptions!$H$5:$H$12,MATCH($B876,Assumptions!$D$5:$D$12,0)),MIN(INDEX(Assumptions!$I$5:$I$12,MATCH($B876,Assumptions!$D$5:$D$12,0)),($C876+$D876*SQRT(-2*LN(RAND()))*COS(2*PI()*RAND()))*$E876*$J876*$K876)))</x:f>
        <x:v>1089.0284404499605</x:v>
      </x:c>
      <x:c r="H876" s="11" t="n">
        <x:f>IF($A876="","",$G876*$F876+$C876*(1-$F876))</x:f>
        <x:v>1063.659954157486</x:v>
      </x:c>
      <x:c r="I876" s="11" t="n">
        <x:f>IF($A876="","",AVERAGE($H876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1052.1423746076546</x:v>
      </x:c>
      <x:c r="J876" s="12" t="n">
        <x:f>IF($A876="","",1+SUMIFS(Assumptions!$S$5:$S$10,Assumptions!$P$5:$P$10,$B876,Assumptions!$Q$5:$Q$10,"&lt;="&amp;$A876,Assumptions!$R$5:$R$10,"&gt;="&amp;$A876))</x:f>
        <x:v>1</x:v>
      </x:c>
      <x:c r="K876" s="12" t="n">
        <x:f>IF($A876="","",1+((($A876-Assumptions!$B$5)/30)*INDEX(Assumptions!$J$5:$J$12,MATCH($B876,Assumptions!$D$5:$D$12,0))))</x:f>
        <x:v>1.0145</x:v>
      </x:c>
      <x:c r="L876" t="str">
        <x:f>IF($A876="","",IFERROR(INDEX(Assumptions!$O$5:$O$10,MATCH(1,(Assumptions!$P$5:$P$10=$B876)*(Assumptions!$Q$5:$Q$10&lt;=$A876)*(Assumptions!$R$5:$R$10&gt;=$A876),0)),""))</x:f>
      </x:c>
      <x:c r="M876" t="n">
        <x:f>--($A876&lt;&gt;"")</x:f>
        <x:v>1</x:v>
      </x:c>
    </x:row>
    <x:row r="877">
      <x:c r="A877" s="10" t="n">
        <x:f>IF(Assumptions!$B$5+INT((ROW()-2)/Assumptions!$B$7)&gt;Assumptions!$B$6,"",Assumptions!$B$5+INT((ROW()-2)/Assumptions!$B$7))</x:f>
        <x:v>46198</x:v>
      </x:c>
      <x:c r="B877" t="str">
        <x:f>IF($A877="","",INDEX(Assumptions!$D$5:$D$12,MOD(ROW()-2,Assumptions!$B$7)+1))</x:f>
        <x:v>Acheron Prime</x:v>
      </x:c>
      <x:c r="C877" s="11" t="n">
        <x:f>IF($A877="","",INDEX(Assumptions!$F$5:$F$12,MATCH($B877,Assumptions!$D$5:$D$12,0)))</x:f>
        <x:v>1120</x:v>
      </x:c>
      <x:c r="D877" s="11" t="n">
        <x:f>IF($A877="","",INDEX(Assumptions!$G$5:$G$12,MATCH($B877,Assumptions!$D$5:$D$12,0)))</x:f>
        <x:v>115</x:v>
      </x:c>
      <x:c r="E877" s="11" t="n">
        <x:f>IF($A877="","",INDEX(Assumptions!$M$5:$M$11,WEEKDAY($A877,2)))</x:f>
        <x:v>1</x:v>
      </x:c>
      <x:c r="F877" s="11" t="n">
        <x:f>IF($A877="","",Assumptions!$B$15)</x:f>
        <x:v>0.35</x:v>
      </x:c>
      <x:c r="G877" s="11" t="n">
        <x:f>IF($A877="","",MAX(INDEX(Assumptions!$H$5:$H$12,MATCH($B877,Assumptions!$D$5:$D$12,0)),MIN(INDEX(Assumptions!$I$5:$I$12,MATCH($B877,Assumptions!$D$5:$D$12,0)),($C877+$D877*SQRT(-2*LN(RAND()))*COS(2*PI()*RAND()))*$E877*$J877*$K877)))</x:f>
        <x:v>1198.3423048106845</x:v>
      </x:c>
      <x:c r="H877" s="11" t="n">
        <x:f>IF($A877="","",$G877*$F877+$C877*(1-$F877))</x:f>
        <x:v>1147.4198066837396</x:v>
      </x:c>
      <x:c r="I877" s="11" t="n">
        <x:f>IF($A877="","",AVERAGE($H877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1117.5224321002422</x:v>
      </x:c>
      <x:c r="J877" s="12" t="n">
        <x:f>IF($A877="","",1+SUMIFS(Assumptions!$S$5:$S$10,Assumptions!$P$5:$P$10,$B877,Assumptions!$Q$5:$Q$10,"&lt;="&amp;$A877,Assumptions!$R$5:$R$10,"&gt;="&amp;$A877))</x:f>
        <x:v>1</x:v>
      </x:c>
      <x:c r="K877" s="12" t="n">
        <x:f>IF($A877="","",1+((($A877-Assumptions!$B$5)/30)*INDEX(Assumptions!$J$5:$J$12,MATCH($B877,Assumptions!$D$5:$D$12,0))))</x:f>
        <x:v>1.0116666666666667</x:v>
      </x:c>
      <x:c r="L877" t="str">
        <x:f>IF($A877="","",IFERROR(INDEX(Assumptions!$O$5:$O$10,MATCH(1,(Assumptions!$P$5:$P$10=$B877)*(Assumptions!$Q$5:$Q$10&lt;=$A877)*(Assumptions!$R$5:$R$10&gt;=$A877),0)),""))</x:f>
      </x:c>
      <x:c r="M877" t="n">
        <x:f>--($A877&lt;&gt;"")</x:f>
        <x:v>1</x:v>
      </x:c>
    </x:row>
    <x:row r="878">
      <x:c r="A878" s="10" t="n">
        <x:f>IF(Assumptions!$B$5+INT((ROW()-2)/Assumptions!$B$7)&gt;Assumptions!$B$6,"",Assumptions!$B$5+INT((ROW()-2)/Assumptions!$B$7))</x:f>
        <x:v>46198</x:v>
      </x:c>
      <x:c r="B878" t="str">
        <x:f>IF($A878="","",INDEX(Assumptions!$D$5:$D$12,MOD(ROW()-2,Assumptions!$B$7)+1))</x:f>
        <x:v>LV-426 North</x:v>
      </x:c>
      <x:c r="C878" s="11" t="n">
        <x:f>IF($A878="","",INDEX(Assumptions!$F$5:$F$12,MATCH($B878,Assumptions!$D$5:$D$12,0)))</x:f>
        <x:v>930</x:v>
      </x:c>
      <x:c r="D878" s="11" t="n">
        <x:f>IF($A878="","",INDEX(Assumptions!$G$5:$G$12,MATCH($B878,Assumptions!$D$5:$D$12,0)))</x:f>
        <x:v>95</x:v>
      </x:c>
      <x:c r="E878" s="11" t="n">
        <x:f>IF($A878="","",INDEX(Assumptions!$M$5:$M$11,WEEKDAY($A878,2)))</x:f>
        <x:v>1</x:v>
      </x:c>
      <x:c r="F878" s="11" t="n">
        <x:f>IF($A878="","",Assumptions!$B$15)</x:f>
        <x:v>0.35</x:v>
      </x:c>
      <x:c r="G878" s="11" t="n">
        <x:f>IF($A878="","",MAX(INDEX(Assumptions!$H$5:$H$12,MATCH($B878,Assumptions!$D$5:$D$12,0)),MIN(INDEX(Assumptions!$I$5:$I$12,MATCH($B878,Assumptions!$D$5:$D$12,0)),($C878+$D878*SQRT(-2*LN(RAND()))*COS(2*PI()*RAND()))*$E878*$J878*$K878)))</x:f>
        <x:v>994.6016003965999</x:v>
      </x:c>
      <x:c r="H878" s="11" t="n">
        <x:f>IF($A878="","",$G878*$F878+$C878*(1-$F878))</x:f>
        <x:v>952.6105601388099</x:v>
      </x:c>
      <x:c r="I878" s="11" t="n">
        <x:f>IF($A878="","",AVERAGE($H878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955.8326850408528</x:v>
      </x:c>
      <x:c r="J878" s="12" t="n">
        <x:f>IF($A878="","",1+SUMIFS(Assumptions!$S$5:$S$10,Assumptions!$P$5:$P$10,$B878,Assumptions!$Q$5:$Q$10,"&lt;="&amp;$A878,Assumptions!$R$5:$R$10,"&gt;="&amp;$A878))</x:f>
        <x:v>1</x:v>
      </x:c>
      <x:c r="K878" s="12" t="n">
        <x:f>IF($A878="","",1+((($A878-Assumptions!$B$5)/30)*INDEX(Assumptions!$J$5:$J$12,MATCH($B878,Assumptions!$D$5:$D$12,0))))</x:f>
        <x:v>0.9941666666666666</x:v>
      </x:c>
      <x:c r="L878" t="str">
        <x:f>IF($A878="","",IFERROR(INDEX(Assumptions!$O$5:$O$10,MATCH(1,(Assumptions!$P$5:$P$10=$B878)*(Assumptions!$Q$5:$Q$10&lt;=$A878)*(Assumptions!$R$5:$R$10&gt;=$A878),0)),""))</x:f>
      </x:c>
      <x:c r="M878" t="n">
        <x:f>--($A878&lt;&gt;"")</x:f>
        <x:v>1</x:v>
      </x:c>
    </x:row>
    <x:row r="879">
      <x:c r="A879" s="10" t="n">
        <x:f>IF(Assumptions!$B$5+INT((ROW()-2)/Assumptions!$B$7)&gt;Assumptions!$B$6,"",Assumptions!$B$5+INT((ROW()-2)/Assumptions!$B$7))</x:f>
        <x:v>46198</x:v>
      </x:c>
      <x:c r="B879" t="str">
        <x:f>IF($A879="","",INDEX(Assumptions!$D$5:$D$12,MOD(ROW()-2,Assumptions!$B$7)+1))</x:f>
        <x:v>Nostromo Deep</x:v>
      </x:c>
      <x:c r="C879" s="11" t="n">
        <x:f>IF($A879="","",INDEX(Assumptions!$F$5:$F$12,MATCH($B879,Assumptions!$D$5:$D$12,0)))</x:f>
        <x:v>1260</x:v>
      </x:c>
      <x:c r="D879" s="11" t="n">
        <x:f>IF($A879="","",INDEX(Assumptions!$G$5:$G$12,MATCH($B879,Assumptions!$D$5:$D$12,0)))</x:f>
        <x:v>145</x:v>
      </x:c>
      <x:c r="E879" s="11" t="n">
        <x:f>IF($A879="","",INDEX(Assumptions!$M$5:$M$11,WEEKDAY($A879,2)))</x:f>
        <x:v>1</x:v>
      </x:c>
      <x:c r="F879" s="11" t="n">
        <x:f>IF($A879="","",Assumptions!$B$15)</x:f>
        <x:v>0.35</x:v>
      </x:c>
      <x:c r="G879" s="11" t="n">
        <x:f>IF($A879="","",MAX(INDEX(Assumptions!$H$5:$H$12,MATCH($B879,Assumptions!$D$5:$D$12,0)),MIN(INDEX(Assumptions!$I$5:$I$12,MATCH($B879,Assumptions!$D$5:$D$12,0)),($C879+$D879*SQRT(-2*LN(RAND()))*COS(2*PI()*RAND()))*$E879*$J879*$K879)))</x:f>
        <x:v>1285.0933501790919</x:v>
      </x:c>
      <x:c r="H879" s="11" t="n">
        <x:f>IF($A879="","",$G879*$F879+$C879*(1-$F879))</x:f>
        <x:v>1268.7826725626821</x:v>
      </x:c>
      <x:c r="I879" s="11" t="n">
        <x:f>IF($A879="","",AVERAGE($H879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1264.4540122448745</x:v>
      </x:c>
      <x:c r="J879" s="12" t="n">
        <x:f>IF($A879="","",1+SUMIFS(Assumptions!$S$5:$S$10,Assumptions!$P$5:$P$10,$B879,Assumptions!$Q$5:$Q$10,"&lt;="&amp;$A879,Assumptions!$R$5:$R$10,"&gt;="&amp;$A879))</x:f>
        <x:v>1</x:v>
      </x:c>
      <x:c r="K879" s="12" t="n">
        <x:f>IF($A879="","",1+((($A879-Assumptions!$B$5)/30)*INDEX(Assumptions!$J$5:$J$12,MATCH($B879,Assumptions!$D$5:$D$12,0))))</x:f>
        <x:v>1.0175</x:v>
      </x:c>
      <x:c r="L879" t="str">
        <x:f>IF($A879="","",IFERROR(INDEX(Assumptions!$O$5:$O$10,MATCH(1,(Assumptions!$P$5:$P$10=$B879)*(Assumptions!$Q$5:$Q$10&lt;=$A879)*(Assumptions!$R$5:$R$10&gt;=$A879),0)),""))</x:f>
      </x:c>
      <x:c r="M879" t="n">
        <x:f>--($A879&lt;&gt;"")</x:f>
        <x:v>1</x:v>
      </x:c>
    </x:row>
    <x:row r="880">
      <x:c r="A880" s="10" t="n">
        <x:f>IF(Assumptions!$B$5+INT((ROW()-2)/Assumptions!$B$7)&gt;Assumptions!$B$6,"",Assumptions!$B$5+INT((ROW()-2)/Assumptions!$B$7))</x:f>
        <x:v>46198</x:v>
      </x:c>
      <x:c r="B880" t="str">
        <x:f>IF($A880="","",INDEX(Assumptions!$D$5:$D$12,MOD(ROW()-2,Assumptions!$B$7)+1))</x:f>
        <x:v>Hadley's Hope</x:v>
      </x:c>
      <x:c r="C880" s="11" t="n">
        <x:f>IF($A880="","",INDEX(Assumptions!$F$5:$F$12,MATCH($B880,Assumptions!$D$5:$D$12,0)))</x:f>
        <x:v>845</x:v>
      </x:c>
      <x:c r="D880" s="11" t="n">
        <x:f>IF($A880="","",INDEX(Assumptions!$G$5:$G$12,MATCH($B880,Assumptions!$D$5:$D$12,0)))</x:f>
        <x:v>80</x:v>
      </x:c>
      <x:c r="E880" s="11" t="n">
        <x:f>IF($A880="","",INDEX(Assumptions!$M$5:$M$11,WEEKDAY($A880,2)))</x:f>
        <x:v>1</x:v>
      </x:c>
      <x:c r="F880" s="11" t="n">
        <x:f>IF($A880="","",Assumptions!$B$15)</x:f>
        <x:v>0.35</x:v>
      </x:c>
      <x:c r="G880" s="11" t="n">
        <x:f>IF($A880="","",MAX(INDEX(Assumptions!$H$5:$H$12,MATCH($B880,Assumptions!$D$5:$D$12,0)),MIN(INDEX(Assumptions!$I$5:$I$12,MATCH($B880,Assumptions!$D$5:$D$12,0)),($C880+$D880*SQRT(-2*LN(RAND()))*COS(2*PI()*RAND()))*$E880*$J880*$K880)))</x:f>
        <x:v>908.8208662710647</x:v>
      </x:c>
      <x:c r="H880" s="11" t="n">
        <x:f>IF($A880="","",$G880*$F880+$C880*(1-$F880))</x:f>
        <x:v>867.3373031948727</x:v>
      </x:c>
      <x:c r="I880" s="11" t="n">
        <x:f>IF($A880="","",AVERAGE($H880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849.2408765606126</x:v>
      </x:c>
      <x:c r="J880" s="12" t="n">
        <x:f>IF($A880="","",1+SUMIFS(Assumptions!$S$5:$S$10,Assumptions!$P$5:$P$10,$B880,Assumptions!$Q$5:$Q$10,"&lt;="&amp;$A880,Assumptions!$R$5:$R$10,"&gt;="&amp;$A880))</x:f>
        <x:v>1</x:v>
      </x:c>
      <x:c r="K880" s="12" t="n">
        <x:f>IF($A880="","",1+((($A880-Assumptions!$B$5)/30)*INDEX(Assumptions!$J$5:$J$12,MATCH($B880,Assumptions!$D$5:$D$12,0))))</x:f>
        <x:v>1.0058333333333334</x:v>
      </x:c>
      <x:c r="L880" t="str">
        <x:f>IF($A880="","",IFERROR(INDEX(Assumptions!$O$5:$O$10,MATCH(1,(Assumptions!$P$5:$P$10=$B880)*(Assumptions!$Q$5:$Q$10&lt;=$A880)*(Assumptions!$R$5:$R$10&gt;=$A880),0)),""))</x:f>
      </x:c>
      <x:c r="M880" t="n">
        <x:f>--($A880&lt;&gt;"")</x:f>
        <x:v>1</x:v>
      </x:c>
    </x:row>
    <x:row r="881">
      <x:c r="A881" s="10" t="n">
        <x:f>IF(Assumptions!$B$5+INT((ROW()-2)/Assumptions!$B$7)&gt;Assumptions!$B$6,"",Assumptions!$B$5+INT((ROW()-2)/Assumptions!$B$7))</x:f>
        <x:v>46198</x:v>
      </x:c>
      <x:c r="B881" t="str">
        <x:f>IF($A881="","",INDEX(Assumptions!$D$5:$D$12,MOD(ROW()-2,Assumptions!$B$7)+1))</x:f>
        <x:v>Yutani Ridge</x:v>
      </x:c>
      <x:c r="C881" s="11" t="n">
        <x:f>IF($A881="","",INDEX(Assumptions!$F$5:$F$12,MATCH($B881,Assumptions!$D$5:$D$12,0)))</x:f>
        <x:v>1050</x:v>
      </x:c>
      <x:c r="D881" s="11" t="n">
        <x:f>IF($A881="","",INDEX(Assumptions!$G$5:$G$12,MATCH($B881,Assumptions!$D$5:$D$12,0)))</x:f>
        <x:v>125</x:v>
      </x:c>
      <x:c r="E881" s="11" t="n">
        <x:f>IF($A881="","",INDEX(Assumptions!$M$5:$M$11,WEEKDAY($A881,2)))</x:f>
        <x:v>1</x:v>
      </x:c>
      <x:c r="F881" s="11" t="n">
        <x:f>IF($A881="","",Assumptions!$B$15)</x:f>
        <x:v>0.35</x:v>
      </x:c>
      <x:c r="G881" s="11" t="n">
        <x:f>IF($A881="","",MAX(INDEX(Assumptions!$H$5:$H$12,MATCH($B881,Assumptions!$D$5:$D$12,0)),MIN(INDEX(Assumptions!$I$5:$I$12,MATCH($B881,Assumptions!$D$5:$D$12,0)),($C881+$D881*SQRT(-2*LN(RAND()))*COS(2*PI()*RAND()))*$E881*$J881*$K881)))</x:f>
        <x:v>1026.8921189541861</x:v>
      </x:c>
      <x:c r="H881" s="11" t="n">
        <x:f>IF($A881="","",$G881*$F881+$C881*(1-$F881))</x:f>
        <x:v>1041.912241633965</x:v>
      </x:c>
      <x:c r="I881" s="11" t="n">
        <x:f>IF($A881="","",AVERAGE($H881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1043.253672864038</x:v>
      </x:c>
      <x:c r="J881" s="12" t="n">
        <x:f>IF($A881="","",1+SUMIFS(Assumptions!$S$5:$S$10,Assumptions!$P$5:$P$10,$B881,Assumptions!$Q$5:$Q$10,"&lt;="&amp;$A881,Assumptions!$R$5:$R$10,"&gt;="&amp;$A881))</x:f>
        <x:v>1</x:v>
      </x:c>
      <x:c r="K881" s="12" t="n">
        <x:f>IF($A881="","",1+((($A881-Assumptions!$B$5)/30)*INDEX(Assumptions!$J$5:$J$12,MATCH($B881,Assumptions!$D$5:$D$12,0))))</x:f>
        <x:v>1.0145833333333334</x:v>
      </x:c>
      <x:c r="L881" t="str">
        <x:f>IF($A881="","",IFERROR(INDEX(Assumptions!$O$5:$O$10,MATCH(1,(Assumptions!$P$5:$P$10=$B881)*(Assumptions!$Q$5:$Q$10&lt;=$A881)*(Assumptions!$R$5:$R$10&gt;=$A881),0)),""))</x:f>
      </x:c>
      <x:c r="M881" t="n">
        <x:f>--($A881&lt;&gt;"")</x:f>
        <x:v>1</x:v>
      </x:c>
    </x:row>
    <x:row r="882">
      <x:c r="A882" s="10" t="n">
        <x:f>IF(Assumptions!$B$5+INT((ROW()-2)/Assumptions!$B$7)&gt;Assumptions!$B$6,"",Assumptions!$B$5+INT((ROW()-2)/Assumptions!$B$7))</x:f>
        <x:v>46199</x:v>
      </x:c>
      <x:c r="B882" t="str">
        <x:f>IF($A882="","",INDEX(Assumptions!$D$5:$D$12,MOD(ROW()-2,Assumptions!$B$7)+1))</x:f>
        <x:v>Acheron Prime</x:v>
      </x:c>
      <x:c r="C882" s="11" t="n">
        <x:f>IF($A882="","",INDEX(Assumptions!$F$5:$F$12,MATCH($B882,Assumptions!$D$5:$D$12,0)))</x:f>
        <x:v>1120</x:v>
      </x:c>
      <x:c r="D882" s="11" t="n">
        <x:f>IF($A882="","",INDEX(Assumptions!$G$5:$G$12,MATCH($B882,Assumptions!$D$5:$D$12,0)))</x:f>
        <x:v>115</x:v>
      </x:c>
      <x:c r="E882" s="11" t="n">
        <x:f>IF($A882="","",INDEX(Assumptions!$M$5:$M$11,WEEKDAY($A882,2)))</x:f>
        <x:v>0.98</x:v>
      </x:c>
      <x:c r="F882" s="11" t="n">
        <x:f>IF($A882="","",Assumptions!$B$15)</x:f>
        <x:v>0.35</x:v>
      </x:c>
      <x:c r="G882" s="11" t="n">
        <x:f>IF($A882="","",MAX(INDEX(Assumptions!$H$5:$H$12,MATCH($B882,Assumptions!$D$5:$D$12,0)),MIN(INDEX(Assumptions!$I$5:$I$12,MATCH($B882,Assumptions!$D$5:$D$12,0)),($C882+$D882*SQRT(-2*LN(RAND()))*COS(2*PI()*RAND()))*$E882*$J882*$K882)))</x:f>
        <x:v>1060.106544614951</x:v>
      </x:c>
      <x:c r="H882" s="11" t="n">
        <x:f>IF($A882="","",$G882*$F882+$C882*(1-$F882))</x:f>
        <x:v>1099.037290615233</x:v>
      </x:c>
      <x:c r="I882" s="11" t="n">
        <x:f>IF($A882="","",AVERAGE($H882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1107.2712049452987</x:v>
      </x:c>
      <x:c r="J882" s="12" t="n">
        <x:f>IF($A882="","",1+SUMIFS(Assumptions!$S$5:$S$10,Assumptions!$P$5:$P$10,$B882,Assumptions!$Q$5:$Q$10,"&lt;="&amp;$A882,Assumptions!$R$5:$R$10,"&gt;="&amp;$A882))</x:f>
        <x:v>1</x:v>
      </x:c>
      <x:c r="K882" s="12" t="n">
        <x:f>IF($A882="","",1+((($A882-Assumptions!$B$5)/30)*INDEX(Assumptions!$J$5:$J$12,MATCH($B882,Assumptions!$D$5:$D$12,0))))</x:f>
        <x:v>1.0117333333333334</x:v>
      </x:c>
      <x:c r="L882" t="str">
        <x:f>IF($A882="","",IFERROR(INDEX(Assumptions!$O$5:$O$10,MATCH(1,(Assumptions!$P$5:$P$10=$B882)*(Assumptions!$Q$5:$Q$10&lt;=$A882)*(Assumptions!$R$5:$R$10&gt;=$A882),0)),""))</x:f>
      </x:c>
      <x:c r="M882" t="n">
        <x:f>--($A882&lt;&gt;"")</x:f>
        <x:v>1</x:v>
      </x:c>
    </x:row>
    <x:row r="883">
      <x:c r="A883" s="10" t="n">
        <x:f>IF(Assumptions!$B$5+INT((ROW()-2)/Assumptions!$B$7)&gt;Assumptions!$B$6,"",Assumptions!$B$5+INT((ROW()-2)/Assumptions!$B$7))</x:f>
        <x:v>46199</x:v>
      </x:c>
      <x:c r="B883" t="str">
        <x:f>IF($A883="","",INDEX(Assumptions!$D$5:$D$12,MOD(ROW()-2,Assumptions!$B$7)+1))</x:f>
        <x:v>LV-426 North</x:v>
      </x:c>
      <x:c r="C883" s="11" t="n">
        <x:f>IF($A883="","",INDEX(Assumptions!$F$5:$F$12,MATCH($B883,Assumptions!$D$5:$D$12,0)))</x:f>
        <x:v>930</x:v>
      </x:c>
      <x:c r="D883" s="11" t="n">
        <x:f>IF($A883="","",INDEX(Assumptions!$G$5:$G$12,MATCH($B883,Assumptions!$D$5:$D$12,0)))</x:f>
        <x:v>95</x:v>
      </x:c>
      <x:c r="E883" s="11" t="n">
        <x:f>IF($A883="","",INDEX(Assumptions!$M$5:$M$11,WEEKDAY($A883,2)))</x:f>
        <x:v>0.98</x:v>
      </x:c>
      <x:c r="F883" s="11" t="n">
        <x:f>IF($A883="","",Assumptions!$B$15)</x:f>
        <x:v>0.35</x:v>
      </x:c>
      <x:c r="G883" s="11" t="n">
        <x:f>IF($A883="","",MAX(INDEX(Assumptions!$H$5:$H$12,MATCH($B883,Assumptions!$D$5:$D$12,0)),MIN(INDEX(Assumptions!$I$5:$I$12,MATCH($B883,Assumptions!$D$5:$D$12,0)),($C883+$D883*SQRT(-2*LN(RAND()))*COS(2*PI()*RAND()))*$E883*$J883*$K883)))</x:f>
        <x:v>973.1906333561878</x:v>
      </x:c>
      <x:c r="H883" s="11" t="n">
        <x:f>IF($A883="","",$G883*$F883+$C883*(1-$F883))</x:f>
        <x:v>945.1167216746658</x:v>
      </x:c>
      <x:c r="I883" s="11" t="n">
        <x:f>IF($A883="","",AVERAGE($H883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950.4730340628804</x:v>
      </x:c>
      <x:c r="J883" s="12" t="n">
        <x:f>IF($A883="","",1+SUMIFS(Assumptions!$S$5:$S$10,Assumptions!$P$5:$P$10,$B883,Assumptions!$Q$5:$Q$10,"&lt;="&amp;$A883,Assumptions!$R$5:$R$10,"&gt;="&amp;$A883))</x:f>
        <x:v>1</x:v>
      </x:c>
      <x:c r="K883" s="12" t="n">
        <x:f>IF($A883="","",1+((($A883-Assumptions!$B$5)/30)*INDEX(Assumptions!$J$5:$J$12,MATCH($B883,Assumptions!$D$5:$D$12,0))))</x:f>
        <x:v>0.9941333333333333</x:v>
      </x:c>
      <x:c r="L883" t="str">
        <x:f>IF($A883="","",IFERROR(INDEX(Assumptions!$O$5:$O$10,MATCH(1,(Assumptions!$P$5:$P$10=$B883)*(Assumptions!$Q$5:$Q$10&lt;=$A883)*(Assumptions!$R$5:$R$10&gt;=$A883),0)),""))</x:f>
      </x:c>
      <x:c r="M883" t="n">
        <x:f>--($A883&lt;&gt;"")</x:f>
        <x:v>1</x:v>
      </x:c>
    </x:row>
    <x:row r="884">
      <x:c r="A884" s="10" t="n">
        <x:f>IF(Assumptions!$B$5+INT((ROW()-2)/Assumptions!$B$7)&gt;Assumptions!$B$6,"",Assumptions!$B$5+INT((ROW()-2)/Assumptions!$B$7))</x:f>
        <x:v>46199</x:v>
      </x:c>
      <x:c r="B884" t="str">
        <x:f>IF($A884="","",INDEX(Assumptions!$D$5:$D$12,MOD(ROW()-2,Assumptions!$B$7)+1))</x:f>
        <x:v>Nostromo Deep</x:v>
      </x:c>
      <x:c r="C884" s="11" t="n">
        <x:f>IF($A884="","",INDEX(Assumptions!$F$5:$F$12,MATCH($B884,Assumptions!$D$5:$D$12,0)))</x:f>
        <x:v>1260</x:v>
      </x:c>
      <x:c r="D884" s="11" t="n">
        <x:f>IF($A884="","",INDEX(Assumptions!$G$5:$G$12,MATCH($B884,Assumptions!$D$5:$D$12,0)))</x:f>
        <x:v>145</x:v>
      </x:c>
      <x:c r="E884" s="11" t="n">
        <x:f>IF($A884="","",INDEX(Assumptions!$M$5:$M$11,WEEKDAY($A884,2)))</x:f>
        <x:v>0.98</x:v>
      </x:c>
      <x:c r="F884" s="11" t="n">
        <x:f>IF($A884="","",Assumptions!$B$15)</x:f>
        <x:v>0.35</x:v>
      </x:c>
      <x:c r="G884" s="11" t="n">
        <x:f>IF($A884="","",MAX(INDEX(Assumptions!$H$5:$H$12,MATCH($B884,Assumptions!$D$5:$D$12,0)),MIN(INDEX(Assumptions!$I$5:$I$12,MATCH($B884,Assumptions!$D$5:$D$12,0)),($C884+$D884*SQRT(-2*LN(RAND()))*COS(2*PI()*RAND()))*$E884*$J884*$K884)))</x:f>
        <x:v>1328.165453489951</x:v>
      </x:c>
      <x:c r="H884" s="11" t="n">
        <x:f>IF($A884="","",$G884*$F884+$C884*(1-$F884))</x:f>
        <x:v>1283.8579087214828</x:v>
      </x:c>
      <x:c r="I884" s="11" t="n">
        <x:f>IF($A884="","",AVERAGE($H884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1265.631842260598</x:v>
      </x:c>
      <x:c r="J884" s="12" t="n">
        <x:f>IF($A884="","",1+SUMIFS(Assumptions!$S$5:$S$10,Assumptions!$P$5:$P$10,$B884,Assumptions!$Q$5:$Q$10,"&lt;="&amp;$A884,Assumptions!$R$5:$R$10,"&gt;="&amp;$A884))</x:f>
        <x:v>1</x:v>
      </x:c>
      <x:c r="K884" s="12" t="n">
        <x:f>IF($A884="","",1+((($A884-Assumptions!$B$5)/30)*INDEX(Assumptions!$J$5:$J$12,MATCH($B884,Assumptions!$D$5:$D$12,0))))</x:f>
        <x:v>1.0176</x:v>
      </x:c>
      <x:c r="L884" t="str">
        <x:f>IF($A884="","",IFERROR(INDEX(Assumptions!$O$5:$O$10,MATCH(1,(Assumptions!$P$5:$P$10=$B884)*(Assumptions!$Q$5:$Q$10&lt;=$A884)*(Assumptions!$R$5:$R$10&gt;=$A884),0)),""))</x:f>
      </x:c>
      <x:c r="M884" t="n">
        <x:f>--($A884&lt;&gt;"")</x:f>
        <x:v>1</x:v>
      </x:c>
    </x:row>
    <x:row r="885">
      <x:c r="A885" s="10" t="n">
        <x:f>IF(Assumptions!$B$5+INT((ROW()-2)/Assumptions!$B$7)&gt;Assumptions!$B$6,"",Assumptions!$B$5+INT((ROW()-2)/Assumptions!$B$7))</x:f>
        <x:v>46199</x:v>
      </x:c>
      <x:c r="B885" t="str">
        <x:f>IF($A885="","",INDEX(Assumptions!$D$5:$D$12,MOD(ROW()-2,Assumptions!$B$7)+1))</x:f>
        <x:v>Hadley's Hope</x:v>
      </x:c>
      <x:c r="C885" s="11" t="n">
        <x:f>IF($A885="","",INDEX(Assumptions!$F$5:$F$12,MATCH($B885,Assumptions!$D$5:$D$12,0)))</x:f>
        <x:v>845</x:v>
      </x:c>
      <x:c r="D885" s="11" t="n">
        <x:f>IF($A885="","",INDEX(Assumptions!$G$5:$G$12,MATCH($B885,Assumptions!$D$5:$D$12,0)))</x:f>
        <x:v>80</x:v>
      </x:c>
      <x:c r="E885" s="11" t="n">
        <x:f>IF($A885="","",INDEX(Assumptions!$M$5:$M$11,WEEKDAY($A885,2)))</x:f>
        <x:v>0.98</x:v>
      </x:c>
      <x:c r="F885" s="11" t="n">
        <x:f>IF($A885="","",Assumptions!$B$15)</x:f>
        <x:v>0.35</x:v>
      </x:c>
      <x:c r="G885" s="11" t="n">
        <x:f>IF($A885="","",MAX(INDEX(Assumptions!$H$5:$H$12,MATCH($B885,Assumptions!$D$5:$D$12,0)),MIN(INDEX(Assumptions!$I$5:$I$12,MATCH($B885,Assumptions!$D$5:$D$12,0)),($C885+$D885*SQRT(-2*LN(RAND()))*COS(2*PI()*RAND()))*$E885*$J885*$K885)))</x:f>
        <x:v>991.5983740187759</x:v>
      </x:c>
      <x:c r="H885" s="11" t="n">
        <x:f>IF($A885="","",$G885*$F885+$C885*(1-$F885))</x:f>
        <x:v>896.3094309065716</x:v>
      </x:c>
      <x:c r="I885" s="11" t="n">
        <x:f>IF($A885="","",AVERAGE($H885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857.7112461033038</x:v>
      </x:c>
      <x:c r="J885" s="12" t="n">
        <x:f>IF($A885="","",1+SUMIFS(Assumptions!$S$5:$S$10,Assumptions!$P$5:$P$10,$B885,Assumptions!$Q$5:$Q$10,"&lt;="&amp;$A885,Assumptions!$R$5:$R$10,"&gt;="&amp;$A885))</x:f>
        <x:v>1</x:v>
      </x:c>
      <x:c r="K885" s="12" t="n">
        <x:f>IF($A885="","",1+((($A885-Assumptions!$B$5)/30)*INDEX(Assumptions!$J$5:$J$12,MATCH($B885,Assumptions!$D$5:$D$12,0))))</x:f>
        <x:v>1.0058666666666667</x:v>
      </x:c>
      <x:c r="L885" t="str">
        <x:f>IF($A885="","",IFERROR(INDEX(Assumptions!$O$5:$O$10,MATCH(1,(Assumptions!$P$5:$P$10=$B885)*(Assumptions!$Q$5:$Q$10&lt;=$A885)*(Assumptions!$R$5:$R$10&gt;=$A885),0)),""))</x:f>
      </x:c>
      <x:c r="M885" t="n">
        <x:f>--($A885&lt;&gt;"")</x:f>
        <x:v>1</x:v>
      </x:c>
    </x:row>
    <x:row r="886">
      <x:c r="A886" s="10" t="n">
        <x:f>IF(Assumptions!$B$5+INT((ROW()-2)/Assumptions!$B$7)&gt;Assumptions!$B$6,"",Assumptions!$B$5+INT((ROW()-2)/Assumptions!$B$7))</x:f>
        <x:v>46199</x:v>
      </x:c>
      <x:c r="B886" t="str">
        <x:f>IF($A886="","",INDEX(Assumptions!$D$5:$D$12,MOD(ROW()-2,Assumptions!$B$7)+1))</x:f>
        <x:v>Yutani Ridge</x:v>
      </x:c>
      <x:c r="C886" s="11" t="n">
        <x:f>IF($A886="","",INDEX(Assumptions!$F$5:$F$12,MATCH($B886,Assumptions!$D$5:$D$12,0)))</x:f>
        <x:v>1050</x:v>
      </x:c>
      <x:c r="D886" s="11" t="n">
        <x:f>IF($A886="","",INDEX(Assumptions!$G$5:$G$12,MATCH($B886,Assumptions!$D$5:$D$12,0)))</x:f>
        <x:v>125</x:v>
      </x:c>
      <x:c r="E886" s="11" t="n">
        <x:f>IF($A886="","",INDEX(Assumptions!$M$5:$M$11,WEEKDAY($A886,2)))</x:f>
        <x:v>0.98</x:v>
      </x:c>
      <x:c r="F886" s="11" t="n">
        <x:f>IF($A886="","",Assumptions!$B$15)</x:f>
        <x:v>0.35</x:v>
      </x:c>
      <x:c r="G886" s="11" t="n">
        <x:f>IF($A886="","",MAX(INDEX(Assumptions!$H$5:$H$12,MATCH($B886,Assumptions!$D$5:$D$12,0)),MIN(INDEX(Assumptions!$I$5:$I$12,MATCH($B886,Assumptions!$D$5:$D$12,0)),($C886+$D886*SQRT(-2*LN(RAND()))*COS(2*PI()*RAND()))*$E886*$J886*$K886)))</x:f>
        <x:v>1018.4191028652358</x:v>
      </x:c>
      <x:c r="H886" s="11" t="n">
        <x:f>IF($A886="","",$G886*$F886+$C886*(1-$F886))</x:f>
        <x:v>1038.9466860028324</x:v>
      </x:c>
      <x:c r="I886" s="11" t="n">
        <x:f>IF($A886="","",AVERAGE($H886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1052.6944550919268</x:v>
      </x:c>
      <x:c r="J886" s="12" t="n">
        <x:f>IF($A886="","",1+SUMIFS(Assumptions!$S$5:$S$10,Assumptions!$P$5:$P$10,$B886,Assumptions!$Q$5:$Q$10,"&lt;="&amp;$A886,Assumptions!$R$5:$R$10,"&gt;="&amp;$A886))</x:f>
        <x:v>1</x:v>
      </x:c>
      <x:c r="K886" s="12" t="n">
        <x:f>IF($A886="","",1+((($A886-Assumptions!$B$5)/30)*INDEX(Assumptions!$J$5:$J$12,MATCH($B886,Assumptions!$D$5:$D$12,0))))</x:f>
        <x:v>1.0146666666666666</x:v>
      </x:c>
      <x:c r="L886" t="str">
        <x:f>IF($A886="","",IFERROR(INDEX(Assumptions!$O$5:$O$10,MATCH(1,(Assumptions!$P$5:$P$10=$B886)*(Assumptions!$Q$5:$Q$10&lt;=$A886)*(Assumptions!$R$5:$R$10&gt;=$A886),0)),""))</x:f>
      </x:c>
      <x:c r="M886" t="n">
        <x:f>--($A886&lt;&gt;"")</x:f>
        <x:v>1</x:v>
      </x:c>
    </x:row>
    <x:row r="887">
      <x:c r="A887" s="10" t="n">
        <x:f>IF(Assumptions!$B$5+INT((ROW()-2)/Assumptions!$B$7)&gt;Assumptions!$B$6,"",Assumptions!$B$5+INT((ROW()-2)/Assumptions!$B$7))</x:f>
        <x:v>46200</x:v>
      </x:c>
      <x:c r="B887" t="str">
        <x:f>IF($A887="","",INDEX(Assumptions!$D$5:$D$12,MOD(ROW()-2,Assumptions!$B$7)+1))</x:f>
        <x:v>Acheron Prime</x:v>
      </x:c>
      <x:c r="C887" s="11" t="n">
        <x:f>IF($A887="","",INDEX(Assumptions!$F$5:$F$12,MATCH($B887,Assumptions!$D$5:$D$12,0)))</x:f>
        <x:v>1120</x:v>
      </x:c>
      <x:c r="D887" s="11" t="n">
        <x:f>IF($A887="","",INDEX(Assumptions!$G$5:$G$12,MATCH($B887,Assumptions!$D$5:$D$12,0)))</x:f>
        <x:v>115</x:v>
      </x:c>
      <x:c r="E887" s="11" t="n">
        <x:f>IF($A887="","",INDEX(Assumptions!$M$5:$M$11,WEEKDAY($A887,2)))</x:f>
        <x:v>0.91</x:v>
      </x:c>
      <x:c r="F887" s="11" t="n">
        <x:f>IF($A887="","",Assumptions!$B$15)</x:f>
        <x:v>0.35</x:v>
      </x:c>
      <x:c r="G887" s="11" t="n">
        <x:f>IF($A887="","",MAX(INDEX(Assumptions!$H$5:$H$12,MATCH($B887,Assumptions!$D$5:$D$12,0)),MIN(INDEX(Assumptions!$I$5:$I$12,MATCH($B887,Assumptions!$D$5:$D$12,0)),($C887+$D887*SQRT(-2*LN(RAND()))*COS(2*PI()*RAND()))*$E887*$J887*$K887)))</x:f>
        <x:v>1120.7357723740274</x:v>
      </x:c>
      <x:c r="H887" s="11" t="n">
        <x:f>IF($A887="","",$G887*$F887+$C887*(1-$F887))</x:f>
        <x:v>1120.2575203309095</x:v>
      </x:c>
      <x:c r="I887" s="11" t="n">
        <x:f>IF($A887="","",AVERAGE($H887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1103.8363332960173</x:v>
      </x:c>
      <x:c r="J887" s="12" t="n">
        <x:f>IF($A887="","",1+SUMIFS(Assumptions!$S$5:$S$10,Assumptions!$P$5:$P$10,$B887,Assumptions!$Q$5:$Q$10,"&lt;="&amp;$A887,Assumptions!$R$5:$R$10,"&gt;="&amp;$A887))</x:f>
        <x:v>1</x:v>
      </x:c>
      <x:c r="K887" s="12" t="n">
        <x:f>IF($A887="","",1+((($A887-Assumptions!$B$5)/30)*INDEX(Assumptions!$J$5:$J$12,MATCH($B887,Assumptions!$D$5:$D$12,0))))</x:f>
        <x:v>1.0118</x:v>
      </x:c>
      <x:c r="L887" t="str">
        <x:f>IF($A887="","",IFERROR(INDEX(Assumptions!$O$5:$O$10,MATCH(1,(Assumptions!$P$5:$P$10=$B887)*(Assumptions!$Q$5:$Q$10&lt;=$A887)*(Assumptions!$R$5:$R$10&gt;=$A887),0)),""))</x:f>
      </x:c>
      <x:c r="M887" t="n">
        <x:f>--($A887&lt;&gt;"")</x:f>
        <x:v>1</x:v>
      </x:c>
    </x:row>
    <x:row r="888">
      <x:c r="A888" s="10" t="n">
        <x:f>IF(Assumptions!$B$5+INT((ROW()-2)/Assumptions!$B$7)&gt;Assumptions!$B$6,"",Assumptions!$B$5+INT((ROW()-2)/Assumptions!$B$7))</x:f>
        <x:v>46200</x:v>
      </x:c>
      <x:c r="B888" t="str">
        <x:f>IF($A888="","",INDEX(Assumptions!$D$5:$D$12,MOD(ROW()-2,Assumptions!$B$7)+1))</x:f>
        <x:v>LV-426 North</x:v>
      </x:c>
      <x:c r="C888" s="11" t="n">
        <x:f>IF($A888="","",INDEX(Assumptions!$F$5:$F$12,MATCH($B888,Assumptions!$D$5:$D$12,0)))</x:f>
        <x:v>930</x:v>
      </x:c>
      <x:c r="D888" s="11" t="n">
        <x:f>IF($A888="","",INDEX(Assumptions!$G$5:$G$12,MATCH($B888,Assumptions!$D$5:$D$12,0)))</x:f>
        <x:v>95</x:v>
      </x:c>
      <x:c r="E888" s="11" t="n">
        <x:f>IF($A888="","",INDEX(Assumptions!$M$5:$M$11,WEEKDAY($A888,2)))</x:f>
        <x:v>0.91</x:v>
      </x:c>
      <x:c r="F888" s="11" t="n">
        <x:f>IF($A888="","",Assumptions!$B$15)</x:f>
        <x:v>0.35</x:v>
      </x:c>
      <x:c r="G888" s="11" t="n">
        <x:f>IF($A888="","",MAX(INDEX(Assumptions!$H$5:$H$12,MATCH($B888,Assumptions!$D$5:$D$12,0)),MIN(INDEX(Assumptions!$I$5:$I$12,MATCH($B888,Assumptions!$D$5:$D$12,0)),($C888+$D888*SQRT(-2*LN(RAND()))*COS(2*PI()*RAND()))*$E888*$J888*$K888)))</x:f>
        <x:v>815.7297947626514</x:v>
      </x:c>
      <x:c r="H888" s="11" t="n">
        <x:f>IF($A888="","",$G888*$F888+$C888*(1-$F888))</x:f>
        <x:v>890.0054281669279</x:v>
      </x:c>
      <x:c r="I888" s="11" t="n">
        <x:f>IF($A888="","",AVERAGE($H888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938.8025134198971</x:v>
      </x:c>
      <x:c r="J888" s="12" t="n">
        <x:f>IF($A888="","",1+SUMIFS(Assumptions!$S$5:$S$10,Assumptions!$P$5:$P$10,$B888,Assumptions!$Q$5:$Q$10,"&lt;="&amp;$A888,Assumptions!$R$5:$R$10,"&gt;="&amp;$A888))</x:f>
        <x:v>1</x:v>
      </x:c>
      <x:c r="K888" s="12" t="n">
        <x:f>IF($A888="","",1+((($A888-Assumptions!$B$5)/30)*INDEX(Assumptions!$J$5:$J$12,MATCH($B888,Assumptions!$D$5:$D$12,0))))</x:f>
        <x:v>0.9941</x:v>
      </x:c>
      <x:c r="L888" t="str">
        <x:f>IF($A888="","",IFERROR(INDEX(Assumptions!$O$5:$O$10,MATCH(1,(Assumptions!$P$5:$P$10=$B888)*(Assumptions!$Q$5:$Q$10&lt;=$A888)*(Assumptions!$R$5:$R$10&gt;=$A888),0)),""))</x:f>
      </x:c>
      <x:c r="M888" t="n">
        <x:f>--($A888&lt;&gt;"")</x:f>
        <x:v>1</x:v>
      </x:c>
    </x:row>
    <x:row r="889">
      <x:c r="A889" s="10" t="n">
        <x:f>IF(Assumptions!$B$5+INT((ROW()-2)/Assumptions!$B$7)&gt;Assumptions!$B$6,"",Assumptions!$B$5+INT((ROW()-2)/Assumptions!$B$7))</x:f>
        <x:v>46200</x:v>
      </x:c>
      <x:c r="B889" t="str">
        <x:f>IF($A889="","",INDEX(Assumptions!$D$5:$D$12,MOD(ROW()-2,Assumptions!$B$7)+1))</x:f>
        <x:v>Nostromo Deep</x:v>
      </x:c>
      <x:c r="C889" s="11" t="n">
        <x:f>IF($A889="","",INDEX(Assumptions!$F$5:$F$12,MATCH($B889,Assumptions!$D$5:$D$12,0)))</x:f>
        <x:v>1260</x:v>
      </x:c>
      <x:c r="D889" s="11" t="n">
        <x:f>IF($A889="","",INDEX(Assumptions!$G$5:$G$12,MATCH($B889,Assumptions!$D$5:$D$12,0)))</x:f>
        <x:v>145</x:v>
      </x:c>
      <x:c r="E889" s="11" t="n">
        <x:f>IF($A889="","",INDEX(Assumptions!$M$5:$M$11,WEEKDAY($A889,2)))</x:f>
        <x:v>0.91</x:v>
      </x:c>
      <x:c r="F889" s="11" t="n">
        <x:f>IF($A889="","",Assumptions!$B$15)</x:f>
        <x:v>0.35</x:v>
      </x:c>
      <x:c r="G889" s="11" t="n">
        <x:f>IF($A889="","",MAX(INDEX(Assumptions!$H$5:$H$12,MATCH($B889,Assumptions!$D$5:$D$12,0)),MIN(INDEX(Assumptions!$I$5:$I$12,MATCH($B889,Assumptions!$D$5:$D$12,0)),($C889+$D889*SQRT(-2*LN(RAND()))*COS(2*PI()*RAND()))*$E889*$J889*$K889)))</x:f>
        <x:v>1377.9132838960768</x:v>
      </x:c>
      <x:c r="H889" s="11" t="n">
        <x:f>IF($A889="","",$G889*$F889+$C889*(1-$F889))</x:f>
        <x:v>1301.2696493636267</x:v>
      </x:c>
      <x:c r="I889" s="11" t="n">
        <x:f>IF($A889="","",AVERAGE($H889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1274.4869971752505</x:v>
      </x:c>
      <x:c r="J889" s="12" t="n">
        <x:f>IF($A889="","",1+SUMIFS(Assumptions!$S$5:$S$10,Assumptions!$P$5:$P$10,$B889,Assumptions!$Q$5:$Q$10,"&lt;="&amp;$A889,Assumptions!$R$5:$R$10,"&gt;="&amp;$A889))</x:f>
        <x:v>1</x:v>
      </x:c>
      <x:c r="K889" s="12" t="n">
        <x:f>IF($A889="","",1+((($A889-Assumptions!$B$5)/30)*INDEX(Assumptions!$J$5:$J$12,MATCH($B889,Assumptions!$D$5:$D$12,0))))</x:f>
        <x:v>1.0177</x:v>
      </x:c>
      <x:c r="L889" t="str">
        <x:f>IF($A889="","",IFERROR(INDEX(Assumptions!$O$5:$O$10,MATCH(1,(Assumptions!$P$5:$P$10=$B889)*(Assumptions!$Q$5:$Q$10&lt;=$A889)*(Assumptions!$R$5:$R$10&gt;=$A889),0)),""))</x:f>
      </x:c>
      <x:c r="M889" t="n">
        <x:f>--($A889&lt;&gt;"")</x:f>
        <x:v>1</x:v>
      </x:c>
    </x:row>
    <x:row r="890">
      <x:c r="A890" s="10" t="n">
        <x:f>IF(Assumptions!$B$5+INT((ROW()-2)/Assumptions!$B$7)&gt;Assumptions!$B$6,"",Assumptions!$B$5+INT((ROW()-2)/Assumptions!$B$7))</x:f>
        <x:v>46200</x:v>
      </x:c>
      <x:c r="B890" t="str">
        <x:f>IF($A890="","",INDEX(Assumptions!$D$5:$D$12,MOD(ROW()-2,Assumptions!$B$7)+1))</x:f>
        <x:v>Hadley's Hope</x:v>
      </x:c>
      <x:c r="C890" s="11" t="n">
        <x:f>IF($A890="","",INDEX(Assumptions!$F$5:$F$12,MATCH($B890,Assumptions!$D$5:$D$12,0)))</x:f>
        <x:v>845</x:v>
      </x:c>
      <x:c r="D890" s="11" t="n">
        <x:f>IF($A890="","",INDEX(Assumptions!$G$5:$G$12,MATCH($B890,Assumptions!$D$5:$D$12,0)))</x:f>
        <x:v>80</x:v>
      </x:c>
      <x:c r="E890" s="11" t="n">
        <x:f>IF($A890="","",INDEX(Assumptions!$M$5:$M$11,WEEKDAY($A890,2)))</x:f>
        <x:v>0.91</x:v>
      </x:c>
      <x:c r="F890" s="11" t="n">
        <x:f>IF($A890="","",Assumptions!$B$15)</x:f>
        <x:v>0.35</x:v>
      </x:c>
      <x:c r="G890" s="11" t="n">
        <x:f>IF($A890="","",MAX(INDEX(Assumptions!$H$5:$H$12,MATCH($B890,Assumptions!$D$5:$D$12,0)),MIN(INDEX(Assumptions!$I$5:$I$12,MATCH($B890,Assumptions!$D$5:$D$12,0)),($C890+$D890*SQRT(-2*LN(RAND()))*COS(2*PI()*RAND()))*$E890*$J890*$K890)))</x:f>
        <x:v>729.2963574858853</x:v>
      </x:c>
      <x:c r="H890" s="11" t="n">
        <x:f>IF($A890="","",$G890*$F890+$C890*(1-$F890))</x:f>
        <x:v>804.5037251200598</x:v>
      </x:c>
      <x:c r="I890" s="11" t="n">
        <x:f>IF($A890="","",AVERAGE($H890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852.200850493213</x:v>
      </x:c>
      <x:c r="J890" s="12" t="n">
        <x:f>IF($A890="","",1+SUMIFS(Assumptions!$S$5:$S$10,Assumptions!$P$5:$P$10,$B890,Assumptions!$Q$5:$Q$10,"&lt;="&amp;$A890,Assumptions!$R$5:$R$10,"&gt;="&amp;$A890))</x:f>
        <x:v>1</x:v>
      </x:c>
      <x:c r="K890" s="12" t="n">
        <x:f>IF($A890="","",1+((($A890-Assumptions!$B$5)/30)*INDEX(Assumptions!$J$5:$J$12,MATCH($B890,Assumptions!$D$5:$D$12,0))))</x:f>
        <x:v>1.0059</x:v>
      </x:c>
      <x:c r="L890" t="str">
        <x:f>IF($A890="","",IFERROR(INDEX(Assumptions!$O$5:$O$10,MATCH(1,(Assumptions!$P$5:$P$10=$B890)*(Assumptions!$Q$5:$Q$10&lt;=$A890)*(Assumptions!$R$5:$R$10&gt;=$A890),0)),""))</x:f>
      </x:c>
      <x:c r="M890" t="n">
        <x:f>--($A890&lt;&gt;"")</x:f>
        <x:v>1</x:v>
      </x:c>
    </x:row>
    <x:row r="891">
      <x:c r="A891" s="10" t="n">
        <x:f>IF(Assumptions!$B$5+INT((ROW()-2)/Assumptions!$B$7)&gt;Assumptions!$B$6,"",Assumptions!$B$5+INT((ROW()-2)/Assumptions!$B$7))</x:f>
        <x:v>46200</x:v>
      </x:c>
      <x:c r="B891" t="str">
        <x:f>IF($A891="","",INDEX(Assumptions!$D$5:$D$12,MOD(ROW()-2,Assumptions!$B$7)+1))</x:f>
        <x:v>Yutani Ridge</x:v>
      </x:c>
      <x:c r="C891" s="11" t="n">
        <x:f>IF($A891="","",INDEX(Assumptions!$F$5:$F$12,MATCH($B891,Assumptions!$D$5:$D$12,0)))</x:f>
        <x:v>1050</x:v>
      </x:c>
      <x:c r="D891" s="11" t="n">
        <x:f>IF($A891="","",INDEX(Assumptions!$G$5:$G$12,MATCH($B891,Assumptions!$D$5:$D$12,0)))</x:f>
        <x:v>125</x:v>
      </x:c>
      <x:c r="E891" s="11" t="n">
        <x:f>IF($A891="","",INDEX(Assumptions!$M$5:$M$11,WEEKDAY($A891,2)))</x:f>
        <x:v>0.91</x:v>
      </x:c>
      <x:c r="F891" s="11" t="n">
        <x:f>IF($A891="","",Assumptions!$B$15)</x:f>
        <x:v>0.35</x:v>
      </x:c>
      <x:c r="G891" s="11" t="n">
        <x:f>IF($A891="","",MAX(INDEX(Assumptions!$H$5:$H$12,MATCH($B891,Assumptions!$D$5:$D$12,0)),MIN(INDEX(Assumptions!$I$5:$I$12,MATCH($B891,Assumptions!$D$5:$D$12,0)),($C891+$D891*SQRT(-2*LN(RAND()))*COS(2*PI()*RAND()))*$E891*$J891*$K891)))</x:f>
        <x:v>905.6329506703422</x:v>
      </x:c>
      <x:c r="H891" s="11" t="n">
        <x:f>IF($A891="","",$G891*$F891+$C891*(1-$F891))</x:f>
        <x:v>999.4715327346198</x:v>
      </x:c>
      <x:c r="I891" s="11" t="n">
        <x:f>IF($A891="","",AVERAGE($H891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1044.0469366919435</x:v>
      </x:c>
      <x:c r="J891" s="12" t="n">
        <x:f>IF($A891="","",1+SUMIFS(Assumptions!$S$5:$S$10,Assumptions!$P$5:$P$10,$B891,Assumptions!$Q$5:$Q$10,"&lt;="&amp;$A891,Assumptions!$R$5:$R$10,"&gt;="&amp;$A891))</x:f>
        <x:v>1</x:v>
      </x:c>
      <x:c r="K891" s="12" t="n">
        <x:f>IF($A891="","",1+((($A891-Assumptions!$B$5)/30)*INDEX(Assumptions!$J$5:$J$12,MATCH($B891,Assumptions!$D$5:$D$12,0))))</x:f>
        <x:v>1.01475</x:v>
      </x:c>
      <x:c r="L891" t="str">
        <x:f>IF($A891="","",IFERROR(INDEX(Assumptions!$O$5:$O$10,MATCH(1,(Assumptions!$P$5:$P$10=$B891)*(Assumptions!$Q$5:$Q$10&lt;=$A891)*(Assumptions!$R$5:$R$10&gt;=$A891),0)),""))</x:f>
      </x:c>
      <x:c r="M891" t="n">
        <x:f>--($A891&lt;&gt;"")</x:f>
        <x:v>1</x:v>
      </x:c>
    </x:row>
    <x:row r="892">
      <x:c r="A892" s="10" t="n">
        <x:f>IF(Assumptions!$B$5+INT((ROW()-2)/Assumptions!$B$7)&gt;Assumptions!$B$6,"",Assumptions!$B$5+INT((ROW()-2)/Assumptions!$B$7))</x:f>
        <x:v>46201</x:v>
      </x:c>
      <x:c r="B892" t="str">
        <x:f>IF($A892="","",INDEX(Assumptions!$D$5:$D$12,MOD(ROW()-2,Assumptions!$B$7)+1))</x:f>
        <x:v>Acheron Prime</x:v>
      </x:c>
      <x:c r="C892" s="11" t="n">
        <x:f>IF($A892="","",INDEX(Assumptions!$F$5:$F$12,MATCH($B892,Assumptions!$D$5:$D$12,0)))</x:f>
        <x:v>1120</x:v>
      </x:c>
      <x:c r="D892" s="11" t="n">
        <x:f>IF($A892="","",INDEX(Assumptions!$G$5:$G$12,MATCH($B892,Assumptions!$D$5:$D$12,0)))</x:f>
        <x:v>115</x:v>
      </x:c>
      <x:c r="E892" s="11" t="n">
        <x:f>IF($A892="","",INDEX(Assumptions!$M$5:$M$11,WEEKDAY($A892,2)))</x:f>
        <x:v>0.87</x:v>
      </x:c>
      <x:c r="F892" s="11" t="n">
        <x:f>IF($A892="","",Assumptions!$B$15)</x:f>
        <x:v>0.35</x:v>
      </x:c>
      <x:c r="G892" s="11" t="n">
        <x:f>IF($A892="","",MAX(INDEX(Assumptions!$H$5:$H$12,MATCH($B892,Assumptions!$D$5:$D$12,0)),MIN(INDEX(Assumptions!$I$5:$I$12,MATCH($B892,Assumptions!$D$5:$D$12,0)),($C892+$D892*SQRT(-2*LN(RAND()))*COS(2*PI()*RAND()))*$E892*$J892*$K892)))</x:f>
        <x:v>1066.569600159702</x:v>
      </x:c>
      <x:c r="H892" s="11" t="n">
        <x:f>IF($A892="","",$G892*$F892+$C892*(1-$F892))</x:f>
        <x:v>1101.2993600558957</x:v>
      </x:c>
      <x:c r="I892" s="11" t="n">
        <x:f>IF($A892="","",AVERAGE($H892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1112.2631163411334</x:v>
      </x:c>
      <x:c r="J892" s="12" t="n">
        <x:f>IF($A892="","",1+SUMIFS(Assumptions!$S$5:$S$10,Assumptions!$P$5:$P$10,$B892,Assumptions!$Q$5:$Q$10,"&lt;="&amp;$A892,Assumptions!$R$5:$R$10,"&gt;="&amp;$A892))</x:f>
        <x:v>1</x:v>
      </x:c>
      <x:c r="K892" s="12" t="n">
        <x:f>IF($A892="","",1+((($A892-Assumptions!$B$5)/30)*INDEX(Assumptions!$J$5:$J$12,MATCH($B892,Assumptions!$D$5:$D$12,0))))</x:f>
        <x:v>1.0118666666666667</x:v>
      </x:c>
      <x:c r="L892" t="str">
        <x:f>IF($A892="","",IFERROR(INDEX(Assumptions!$O$5:$O$10,MATCH(1,(Assumptions!$P$5:$P$10=$B892)*(Assumptions!$Q$5:$Q$10&lt;=$A892)*(Assumptions!$R$5:$R$10&gt;=$A892),0)),""))</x:f>
      </x:c>
      <x:c r="M892" t="n">
        <x:f>--($A892&lt;&gt;"")</x:f>
        <x:v>1</x:v>
      </x:c>
    </x:row>
    <x:row r="893">
      <x:c r="A893" s="10" t="n">
        <x:f>IF(Assumptions!$B$5+INT((ROW()-2)/Assumptions!$B$7)&gt;Assumptions!$B$6,"",Assumptions!$B$5+INT((ROW()-2)/Assumptions!$B$7))</x:f>
        <x:v>46201</x:v>
      </x:c>
      <x:c r="B893" t="str">
        <x:f>IF($A893="","",INDEX(Assumptions!$D$5:$D$12,MOD(ROW()-2,Assumptions!$B$7)+1))</x:f>
        <x:v>LV-426 North</x:v>
      </x:c>
      <x:c r="C893" s="11" t="n">
        <x:f>IF($A893="","",INDEX(Assumptions!$F$5:$F$12,MATCH($B893,Assumptions!$D$5:$D$12,0)))</x:f>
        <x:v>930</x:v>
      </x:c>
      <x:c r="D893" s="11" t="n">
        <x:f>IF($A893="","",INDEX(Assumptions!$G$5:$G$12,MATCH($B893,Assumptions!$D$5:$D$12,0)))</x:f>
        <x:v>95</x:v>
      </x:c>
      <x:c r="E893" s="11" t="n">
        <x:f>IF($A893="","",INDEX(Assumptions!$M$5:$M$11,WEEKDAY($A893,2)))</x:f>
        <x:v>0.87</x:v>
      </x:c>
      <x:c r="F893" s="11" t="n">
        <x:f>IF($A893="","",Assumptions!$B$15)</x:f>
        <x:v>0.35</x:v>
      </x:c>
      <x:c r="G893" s="11" t="n">
        <x:f>IF($A893="","",MAX(INDEX(Assumptions!$H$5:$H$12,MATCH($B893,Assumptions!$D$5:$D$12,0)),MIN(INDEX(Assumptions!$I$5:$I$12,MATCH($B893,Assumptions!$D$5:$D$12,0)),($C893+$D893*SQRT(-2*LN(RAND()))*COS(2*PI()*RAND()))*$E893*$J893*$K893)))</x:f>
        <x:v>979.1165517200657</x:v>
      </x:c>
      <x:c r="H893" s="11" t="n">
        <x:f>IF($A893="","",$G893*$F893+$C893*(1-$F893))</x:f>
        <x:v>947.190793102023</x:v>
      </x:c>
      <x:c r="I893" s="11" t="n">
        <x:f>IF($A893="","",AVERAGE($H893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947.1430322313578</x:v>
      </x:c>
      <x:c r="J893" s="12" t="n">
        <x:f>IF($A893="","",1+SUMIFS(Assumptions!$S$5:$S$10,Assumptions!$P$5:$P$10,$B893,Assumptions!$Q$5:$Q$10,"&lt;="&amp;$A893,Assumptions!$R$5:$R$10,"&gt;="&amp;$A893))</x:f>
        <x:v>1</x:v>
      </x:c>
      <x:c r="K893" s="12" t="n">
        <x:f>IF($A893="","",1+((($A893-Assumptions!$B$5)/30)*INDEX(Assumptions!$J$5:$J$12,MATCH($B893,Assumptions!$D$5:$D$12,0))))</x:f>
        <x:v>0.9940666666666667</x:v>
      </x:c>
      <x:c r="L893" t="str">
        <x:f>IF($A893="","",IFERROR(INDEX(Assumptions!$O$5:$O$10,MATCH(1,(Assumptions!$P$5:$P$10=$B893)*(Assumptions!$Q$5:$Q$10&lt;=$A893)*(Assumptions!$R$5:$R$10&gt;=$A893),0)),""))</x:f>
      </x:c>
      <x:c r="M893" t="n">
        <x:f>--($A893&lt;&gt;"")</x:f>
        <x:v>1</x:v>
      </x:c>
    </x:row>
    <x:row r="894">
      <x:c r="A894" s="10" t="n">
        <x:f>IF(Assumptions!$B$5+INT((ROW()-2)/Assumptions!$B$7)&gt;Assumptions!$B$6,"",Assumptions!$B$5+INT((ROW()-2)/Assumptions!$B$7))</x:f>
        <x:v>46201</x:v>
      </x:c>
      <x:c r="B894" t="str">
        <x:f>IF($A894="","",INDEX(Assumptions!$D$5:$D$12,MOD(ROW()-2,Assumptions!$B$7)+1))</x:f>
        <x:v>Nostromo Deep</x:v>
      </x:c>
      <x:c r="C894" s="11" t="n">
        <x:f>IF($A894="","",INDEX(Assumptions!$F$5:$F$12,MATCH($B894,Assumptions!$D$5:$D$12,0)))</x:f>
        <x:v>1260</x:v>
      </x:c>
      <x:c r="D894" s="11" t="n">
        <x:f>IF($A894="","",INDEX(Assumptions!$G$5:$G$12,MATCH($B894,Assumptions!$D$5:$D$12,0)))</x:f>
        <x:v>145</x:v>
      </x:c>
      <x:c r="E894" s="11" t="n">
        <x:f>IF($A894="","",INDEX(Assumptions!$M$5:$M$11,WEEKDAY($A894,2)))</x:f>
        <x:v>0.87</x:v>
      </x:c>
      <x:c r="F894" s="11" t="n">
        <x:f>IF($A894="","",Assumptions!$B$15)</x:f>
        <x:v>0.35</x:v>
      </x:c>
      <x:c r="G894" s="11" t="n">
        <x:f>IF($A894="","",MAX(INDEX(Assumptions!$H$5:$H$12,MATCH($B894,Assumptions!$D$5:$D$12,0)),MIN(INDEX(Assumptions!$I$5:$I$12,MATCH($B894,Assumptions!$D$5:$D$12,0)),($C894+$D894*SQRT(-2*LN(RAND()))*COS(2*PI()*RAND()))*$E894*$J894*$K894)))</x:f>
        <x:v>1139.0765201368058</x:v>
      </x:c>
      <x:c r="H894" s="11" t="n">
        <x:f>IF($A894="","",$G894*$F894+$C894*(1-$F894))</x:f>
        <x:v>1217.676782047882</x:v>
      </x:c>
      <x:c r="I894" s="11" t="n">
        <x:f>IF($A894="","",AVERAGE($H894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1276.0652078968528</x:v>
      </x:c>
      <x:c r="J894" s="12" t="n">
        <x:f>IF($A894="","",1+SUMIFS(Assumptions!$S$5:$S$10,Assumptions!$P$5:$P$10,$B894,Assumptions!$Q$5:$Q$10,"&lt;="&amp;$A894,Assumptions!$R$5:$R$10,"&gt;="&amp;$A894))</x:f>
        <x:v>1</x:v>
      </x:c>
      <x:c r="K894" s="12" t="n">
        <x:f>IF($A894="","",1+((($A894-Assumptions!$B$5)/30)*INDEX(Assumptions!$J$5:$J$12,MATCH($B894,Assumptions!$D$5:$D$12,0))))</x:f>
        <x:v>1.0178</x:v>
      </x:c>
      <x:c r="L894" t="str">
        <x:f>IF($A894="","",IFERROR(INDEX(Assumptions!$O$5:$O$10,MATCH(1,(Assumptions!$P$5:$P$10=$B894)*(Assumptions!$Q$5:$Q$10&lt;=$A894)*(Assumptions!$R$5:$R$10&gt;=$A894),0)),""))</x:f>
      </x:c>
      <x:c r="M894" t="n">
        <x:f>--($A894&lt;&gt;"")</x:f>
        <x:v>1</x:v>
      </x:c>
    </x:row>
    <x:row r="895">
      <x:c r="A895" s="10" t="n">
        <x:f>IF(Assumptions!$B$5+INT((ROW()-2)/Assumptions!$B$7)&gt;Assumptions!$B$6,"",Assumptions!$B$5+INT((ROW()-2)/Assumptions!$B$7))</x:f>
        <x:v>46201</x:v>
      </x:c>
      <x:c r="B895" t="str">
        <x:f>IF($A895="","",INDEX(Assumptions!$D$5:$D$12,MOD(ROW()-2,Assumptions!$B$7)+1))</x:f>
        <x:v>Hadley's Hope</x:v>
      </x:c>
      <x:c r="C895" s="11" t="n">
        <x:f>IF($A895="","",INDEX(Assumptions!$F$5:$F$12,MATCH($B895,Assumptions!$D$5:$D$12,0)))</x:f>
        <x:v>845</x:v>
      </x:c>
      <x:c r="D895" s="11" t="n">
        <x:f>IF($A895="","",INDEX(Assumptions!$G$5:$G$12,MATCH($B895,Assumptions!$D$5:$D$12,0)))</x:f>
        <x:v>80</x:v>
      </x:c>
      <x:c r="E895" s="11" t="n">
        <x:f>IF($A895="","",INDEX(Assumptions!$M$5:$M$11,WEEKDAY($A895,2)))</x:f>
        <x:v>0.87</x:v>
      </x:c>
      <x:c r="F895" s="11" t="n">
        <x:f>IF($A895="","",Assumptions!$B$15)</x:f>
        <x:v>0.35</x:v>
      </x:c>
      <x:c r="G895" s="11" t="n">
        <x:f>IF($A895="","",MAX(INDEX(Assumptions!$H$5:$H$12,MATCH($B895,Assumptions!$D$5:$D$12,0)),MIN(INDEX(Assumptions!$I$5:$I$12,MATCH($B895,Assumptions!$D$5:$D$12,0)),($C895+$D895*SQRT(-2*LN(RAND()))*COS(2*PI()*RAND()))*$E895*$J895*$K895)))</x:f>
        <x:v>729.1173012910601</x:v>
      </x:c>
      <x:c r="H895" s="11" t="n">
        <x:f>IF($A895="","",$G895*$F895+$C895*(1-$F895))</x:f>
        <x:v>804.4410554518711</x:v>
      </x:c>
      <x:c r="I895" s="11" t="n">
        <x:f>IF($A895="","",AVERAGE($H895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846.8516513082562</x:v>
      </x:c>
      <x:c r="J895" s="12" t="n">
        <x:f>IF($A895="","",1+SUMIFS(Assumptions!$S$5:$S$10,Assumptions!$P$5:$P$10,$B895,Assumptions!$Q$5:$Q$10,"&lt;="&amp;$A895,Assumptions!$R$5:$R$10,"&gt;="&amp;$A895))</x:f>
        <x:v>1</x:v>
      </x:c>
      <x:c r="K895" s="12" t="n">
        <x:f>IF($A895="","",1+((($A895-Assumptions!$B$5)/30)*INDEX(Assumptions!$J$5:$J$12,MATCH($B895,Assumptions!$D$5:$D$12,0))))</x:f>
        <x:v>1.0059333333333333</x:v>
      </x:c>
      <x:c r="L895" t="str">
        <x:f>IF($A895="","",IFERROR(INDEX(Assumptions!$O$5:$O$10,MATCH(1,(Assumptions!$P$5:$P$10=$B895)*(Assumptions!$Q$5:$Q$10&lt;=$A895)*(Assumptions!$R$5:$R$10&gt;=$A895),0)),""))</x:f>
      </x:c>
      <x:c r="M895" t="n">
        <x:f>--($A895&lt;&gt;"")</x:f>
        <x:v>1</x:v>
      </x:c>
    </x:row>
    <x:row r="896">
      <x:c r="A896" s="10" t="n">
        <x:f>IF(Assumptions!$B$5+INT((ROW()-2)/Assumptions!$B$7)&gt;Assumptions!$B$6,"",Assumptions!$B$5+INT((ROW()-2)/Assumptions!$B$7))</x:f>
        <x:v>46201</x:v>
      </x:c>
      <x:c r="B896" t="str">
        <x:f>IF($A896="","",INDEX(Assumptions!$D$5:$D$12,MOD(ROW()-2,Assumptions!$B$7)+1))</x:f>
        <x:v>Yutani Ridge</x:v>
      </x:c>
      <x:c r="C896" s="11" t="n">
        <x:f>IF($A896="","",INDEX(Assumptions!$F$5:$F$12,MATCH($B896,Assumptions!$D$5:$D$12,0)))</x:f>
        <x:v>1050</x:v>
      </x:c>
      <x:c r="D896" s="11" t="n">
        <x:f>IF($A896="","",INDEX(Assumptions!$G$5:$G$12,MATCH($B896,Assumptions!$D$5:$D$12,0)))</x:f>
        <x:v>125</x:v>
      </x:c>
      <x:c r="E896" s="11" t="n">
        <x:f>IF($A896="","",INDEX(Assumptions!$M$5:$M$11,WEEKDAY($A896,2)))</x:f>
        <x:v>0.87</x:v>
      </x:c>
      <x:c r="F896" s="11" t="n">
        <x:f>IF($A896="","",Assumptions!$B$15)</x:f>
        <x:v>0.35</x:v>
      </x:c>
      <x:c r="G896" s="11" t="n">
        <x:f>IF($A896="","",MAX(INDEX(Assumptions!$H$5:$H$12,MATCH($B896,Assumptions!$D$5:$D$12,0)),MIN(INDEX(Assumptions!$I$5:$I$12,MATCH($B896,Assumptions!$D$5:$D$12,0)),($C896+$D896*SQRT(-2*LN(RAND()))*COS(2*PI()*RAND()))*$E896*$J896*$K896)))</x:f>
        <x:v>848.6649546035333</x:v>
      </x:c>
      <x:c r="H896" s="11" t="n">
        <x:f>IF($A896="","",$G896*$F896+$C896*(1-$F896))</x:f>
        <x:v>979.5327341112366</x:v>
      </x:c>
      <x:c r="I896" s="11" t="n">
        <x:f>IF($A896="","",AVERAGE($H896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1035.1217534994018</x:v>
      </x:c>
      <x:c r="J896" s="12" t="n">
        <x:f>IF($A896="","",1+SUMIFS(Assumptions!$S$5:$S$10,Assumptions!$P$5:$P$10,$B896,Assumptions!$Q$5:$Q$10,"&lt;="&amp;$A896,Assumptions!$R$5:$R$10,"&gt;="&amp;$A896))</x:f>
        <x:v>1</x:v>
      </x:c>
      <x:c r="K896" s="12" t="n">
        <x:f>IF($A896="","",1+((($A896-Assumptions!$B$5)/30)*INDEX(Assumptions!$J$5:$J$12,MATCH($B896,Assumptions!$D$5:$D$12,0))))</x:f>
        <x:v>1.0148333333333333</x:v>
      </x:c>
      <x:c r="L896" t="str">
        <x:f>IF($A896="","",IFERROR(INDEX(Assumptions!$O$5:$O$10,MATCH(1,(Assumptions!$P$5:$P$10=$B896)*(Assumptions!$Q$5:$Q$10&lt;=$A896)*(Assumptions!$R$5:$R$10&gt;=$A896),0)),""))</x:f>
      </x:c>
      <x:c r="M896" t="n">
        <x:f>--($A896&lt;&gt;"")</x:f>
        <x:v>1</x:v>
      </x:c>
    </x:row>
    <x:row r="897">
      <x:c r="A897" s="10" t="n">
        <x:f>IF(Assumptions!$B$5+INT((ROW()-2)/Assumptions!$B$7)&gt;Assumptions!$B$6,"",Assumptions!$B$5+INT((ROW()-2)/Assumptions!$B$7))</x:f>
        <x:v>46202</x:v>
      </x:c>
      <x:c r="B897" t="str">
        <x:f>IF($A897="","",INDEX(Assumptions!$D$5:$D$12,MOD(ROW()-2,Assumptions!$B$7)+1))</x:f>
        <x:v>Acheron Prime</x:v>
      </x:c>
      <x:c r="C897" s="11" t="n">
        <x:f>IF($A897="","",INDEX(Assumptions!$F$5:$F$12,MATCH($B897,Assumptions!$D$5:$D$12,0)))</x:f>
        <x:v>1120</x:v>
      </x:c>
      <x:c r="D897" s="11" t="n">
        <x:f>IF($A897="","",INDEX(Assumptions!$G$5:$G$12,MATCH($B897,Assumptions!$D$5:$D$12,0)))</x:f>
        <x:v>115</x:v>
      </x:c>
      <x:c r="E897" s="11" t="n">
        <x:f>IF($A897="","",INDEX(Assumptions!$M$5:$M$11,WEEKDAY($A897,2)))</x:f>
        <x:v>1.03</x:v>
      </x:c>
      <x:c r="F897" s="11" t="n">
        <x:f>IF($A897="","",Assumptions!$B$15)</x:f>
        <x:v>0.35</x:v>
      </x:c>
      <x:c r="G897" s="11" t="n">
        <x:f>IF($A897="","",MAX(INDEX(Assumptions!$H$5:$H$12,MATCH($B897,Assumptions!$D$5:$D$12,0)),MIN(INDEX(Assumptions!$I$5:$I$12,MATCH($B897,Assumptions!$D$5:$D$12,0)),($C897+$D897*SQRT(-2*LN(RAND()))*COS(2*PI()*RAND()))*$E897*$J897*$K897)))</x:f>
        <x:v>1297.4816155921576</x:v>
      </x:c>
      <x:c r="H897" s="11" t="n">
        <x:f>IF($A897="","",$G897*$F897+$C897*(1-$F897))</x:f>
        <x:v>1182.118565457255</x:v>
      </x:c>
      <x:c r="I897" s="11" t="n">
        <x:f>IF($A897="","",AVERAGE($H897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1133.1982099627055</x:v>
      </x:c>
      <x:c r="J897" s="12" t="n">
        <x:f>IF($A897="","",1+SUMIFS(Assumptions!$S$5:$S$10,Assumptions!$P$5:$P$10,$B897,Assumptions!$Q$5:$Q$10,"&lt;="&amp;$A897,Assumptions!$R$5:$R$10,"&gt;="&amp;$A897))</x:f>
        <x:v>1</x:v>
      </x:c>
      <x:c r="K897" s="12" t="n">
        <x:f>IF($A897="","",1+((($A897-Assumptions!$B$5)/30)*INDEX(Assumptions!$J$5:$J$12,MATCH($B897,Assumptions!$D$5:$D$12,0))))</x:f>
        <x:v>1.0119333333333334</x:v>
      </x:c>
      <x:c r="L897" t="str">
        <x:f>IF($A897="","",IFERROR(INDEX(Assumptions!$O$5:$O$10,MATCH(1,(Assumptions!$P$5:$P$10=$B897)*(Assumptions!$Q$5:$Q$10&lt;=$A897)*(Assumptions!$R$5:$R$10&gt;=$A897),0)),""))</x:f>
      </x:c>
      <x:c r="M897" t="n">
        <x:f>--($A897&lt;&gt;"")</x:f>
        <x:v>1</x:v>
      </x:c>
    </x:row>
    <x:row r="898">
      <x:c r="A898" s="10" t="n">
        <x:f>IF(Assumptions!$B$5+INT((ROW()-2)/Assumptions!$B$7)&gt;Assumptions!$B$6,"",Assumptions!$B$5+INT((ROW()-2)/Assumptions!$B$7))</x:f>
        <x:v>46202</x:v>
      </x:c>
      <x:c r="B898" t="str">
        <x:f>IF($A898="","",INDEX(Assumptions!$D$5:$D$12,MOD(ROW()-2,Assumptions!$B$7)+1))</x:f>
        <x:v>LV-426 North</x:v>
      </x:c>
      <x:c r="C898" s="11" t="n">
        <x:f>IF($A898="","",INDEX(Assumptions!$F$5:$F$12,MATCH($B898,Assumptions!$D$5:$D$12,0)))</x:f>
        <x:v>930</x:v>
      </x:c>
      <x:c r="D898" s="11" t="n">
        <x:f>IF($A898="","",INDEX(Assumptions!$G$5:$G$12,MATCH($B898,Assumptions!$D$5:$D$12,0)))</x:f>
        <x:v>95</x:v>
      </x:c>
      <x:c r="E898" s="11" t="n">
        <x:f>IF($A898="","",INDEX(Assumptions!$M$5:$M$11,WEEKDAY($A898,2)))</x:f>
        <x:v>1.03</x:v>
      </x:c>
      <x:c r="F898" s="11" t="n">
        <x:f>IF($A898="","",Assumptions!$B$15)</x:f>
        <x:v>0.35</x:v>
      </x:c>
      <x:c r="G898" s="11" t="n">
        <x:f>IF($A898="","",MAX(INDEX(Assumptions!$H$5:$H$12,MATCH($B898,Assumptions!$D$5:$D$12,0)),MIN(INDEX(Assumptions!$I$5:$I$12,MATCH($B898,Assumptions!$D$5:$D$12,0)),($C898+$D898*SQRT(-2*LN(RAND()))*COS(2*PI()*RAND()))*$E898*$J898*$K898)))</x:f>
        <x:v>961.4382683570525</x:v>
      </x:c>
      <x:c r="H898" s="11" t="n">
        <x:f>IF($A898="","",$G898*$F898+$C898*(1-$F898))</x:f>
        <x:v>941.0033939249683</x:v>
      </x:c>
      <x:c r="I898" s="11" t="n">
        <x:f>IF($A898="","",AVERAGE($H898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942.5416271358845</x:v>
      </x:c>
      <x:c r="J898" s="12" t="n">
        <x:f>IF($A898="","",1+SUMIFS(Assumptions!$S$5:$S$10,Assumptions!$P$5:$P$10,$B898,Assumptions!$Q$5:$Q$10,"&lt;="&amp;$A898,Assumptions!$R$5:$R$10,"&gt;="&amp;$A898))</x:f>
        <x:v>1</x:v>
      </x:c>
      <x:c r="K898" s="12" t="n">
        <x:f>IF($A898="","",1+((($A898-Assumptions!$B$5)/30)*INDEX(Assumptions!$J$5:$J$12,MATCH($B898,Assumptions!$D$5:$D$12,0))))</x:f>
        <x:v>0.9940333333333333</x:v>
      </x:c>
      <x:c r="L898" t="str">
        <x:f>IF($A898="","",IFERROR(INDEX(Assumptions!$O$5:$O$10,MATCH(1,(Assumptions!$P$5:$P$10=$B898)*(Assumptions!$Q$5:$Q$10&lt;=$A898)*(Assumptions!$R$5:$R$10&gt;=$A898),0)),""))</x:f>
      </x:c>
      <x:c r="M898" t="n">
        <x:f>--($A898&lt;&gt;"")</x:f>
        <x:v>1</x:v>
      </x:c>
    </x:row>
    <x:row r="899">
      <x:c r="A899" s="10" t="n">
        <x:f>IF(Assumptions!$B$5+INT((ROW()-2)/Assumptions!$B$7)&gt;Assumptions!$B$6,"",Assumptions!$B$5+INT((ROW()-2)/Assumptions!$B$7))</x:f>
        <x:v>46202</x:v>
      </x:c>
      <x:c r="B899" t="str">
        <x:f>IF($A899="","",INDEX(Assumptions!$D$5:$D$12,MOD(ROW()-2,Assumptions!$B$7)+1))</x:f>
        <x:v>Nostromo Deep</x:v>
      </x:c>
      <x:c r="C899" s="11" t="n">
        <x:f>IF($A899="","",INDEX(Assumptions!$F$5:$F$12,MATCH($B899,Assumptions!$D$5:$D$12,0)))</x:f>
        <x:v>1260</x:v>
      </x:c>
      <x:c r="D899" s="11" t="n">
        <x:f>IF($A899="","",INDEX(Assumptions!$G$5:$G$12,MATCH($B899,Assumptions!$D$5:$D$12,0)))</x:f>
        <x:v>145</x:v>
      </x:c>
      <x:c r="E899" s="11" t="n">
        <x:f>IF($A899="","",INDEX(Assumptions!$M$5:$M$11,WEEKDAY($A899,2)))</x:f>
        <x:v>1.03</x:v>
      </x:c>
      <x:c r="F899" s="11" t="n">
        <x:f>IF($A899="","",Assumptions!$B$15)</x:f>
        <x:v>0.35</x:v>
      </x:c>
      <x:c r="G899" s="11" t="n">
        <x:f>IF($A899="","",MAX(INDEX(Assumptions!$H$5:$H$12,MATCH($B899,Assumptions!$D$5:$D$12,0)),MIN(INDEX(Assumptions!$I$5:$I$12,MATCH($B899,Assumptions!$D$5:$D$12,0)),($C899+$D899*SQRT(-2*LN(RAND()))*COS(2*PI()*RAND()))*$E899*$J899*$K899)))</x:f>
        <x:v>1534.2140974956071</x:v>
      </x:c>
      <x:c r="H899" s="11" t="n">
        <x:f>IF($A899="","",$G899*$F899+$C899*(1-$F899))</x:f>
        <x:v>1355.9749341234624</x:v>
      </x:c>
      <x:c r="I899" s="11" t="n">
        <x:f>IF($A899="","",AVERAGE($H899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1290.7907497538197</x:v>
      </x:c>
      <x:c r="J899" s="12" t="n">
        <x:f>IF($A899="","",1+SUMIFS(Assumptions!$S$5:$S$10,Assumptions!$P$5:$P$10,$B899,Assumptions!$Q$5:$Q$10,"&lt;="&amp;$A899,Assumptions!$R$5:$R$10,"&gt;="&amp;$A899))</x:f>
        <x:v>1</x:v>
      </x:c>
      <x:c r="K899" s="12" t="n">
        <x:f>IF($A899="","",1+((($A899-Assumptions!$B$5)/30)*INDEX(Assumptions!$J$5:$J$12,MATCH($B899,Assumptions!$D$5:$D$12,0))))</x:f>
        <x:v>1.0179</x:v>
      </x:c>
      <x:c r="L899" t="str">
        <x:f>IF($A899="","",IFERROR(INDEX(Assumptions!$O$5:$O$10,MATCH(1,(Assumptions!$P$5:$P$10=$B899)*(Assumptions!$Q$5:$Q$10&lt;=$A899)*(Assumptions!$R$5:$R$10&gt;=$A899),0)),""))</x:f>
      </x:c>
      <x:c r="M899" t="n">
        <x:f>--($A899&lt;&gt;"")</x:f>
        <x:v>1</x:v>
      </x:c>
    </x:row>
    <x:row r="900">
      <x:c r="A900" s="10" t="n">
        <x:f>IF(Assumptions!$B$5+INT((ROW()-2)/Assumptions!$B$7)&gt;Assumptions!$B$6,"",Assumptions!$B$5+INT((ROW()-2)/Assumptions!$B$7))</x:f>
        <x:v>46202</x:v>
      </x:c>
      <x:c r="B900" t="str">
        <x:f>IF($A900="","",INDEX(Assumptions!$D$5:$D$12,MOD(ROW()-2,Assumptions!$B$7)+1))</x:f>
        <x:v>Hadley's Hope</x:v>
      </x:c>
      <x:c r="C900" s="11" t="n">
        <x:f>IF($A900="","",INDEX(Assumptions!$F$5:$F$12,MATCH($B900,Assumptions!$D$5:$D$12,0)))</x:f>
        <x:v>845</x:v>
      </x:c>
      <x:c r="D900" s="11" t="n">
        <x:f>IF($A900="","",INDEX(Assumptions!$G$5:$G$12,MATCH($B900,Assumptions!$D$5:$D$12,0)))</x:f>
        <x:v>80</x:v>
      </x:c>
      <x:c r="E900" s="11" t="n">
        <x:f>IF($A900="","",INDEX(Assumptions!$M$5:$M$11,WEEKDAY($A900,2)))</x:f>
        <x:v>1.03</x:v>
      </x:c>
      <x:c r="F900" s="11" t="n">
        <x:f>IF($A900="","",Assumptions!$B$15)</x:f>
        <x:v>0.35</x:v>
      </x:c>
      <x:c r="G900" s="11" t="n">
        <x:f>IF($A900="","",MAX(INDEX(Assumptions!$H$5:$H$12,MATCH($B900,Assumptions!$D$5:$D$12,0)),MIN(INDEX(Assumptions!$I$5:$I$12,MATCH($B900,Assumptions!$D$5:$D$12,0)),($C900+$D900*SQRT(-2*LN(RAND()))*COS(2*PI()*RAND()))*$E900*$J900*$K900)))</x:f>
        <x:v>908.7542054829389</x:v>
      </x:c>
      <x:c r="H900" s="11" t="n">
        <x:f>IF($A900="","",$G900*$F900+$C900*(1-$F900))</x:f>
        <x:v>867.3139719190285</x:v>
      </x:c>
      <x:c r="I900" s="11" t="n">
        <x:f>IF($A900="","",AVERAGE($H900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850.2366213455783</x:v>
      </x:c>
      <x:c r="J900" s="12" t="n">
        <x:f>IF($A900="","",1+SUMIFS(Assumptions!$S$5:$S$10,Assumptions!$P$5:$P$10,$B900,Assumptions!$Q$5:$Q$10,"&lt;="&amp;$A900,Assumptions!$R$5:$R$10,"&gt;="&amp;$A900))</x:f>
        <x:v>1</x:v>
      </x:c>
      <x:c r="K900" s="12" t="n">
        <x:f>IF($A900="","",1+((($A900-Assumptions!$B$5)/30)*INDEX(Assumptions!$J$5:$J$12,MATCH($B900,Assumptions!$D$5:$D$12,0))))</x:f>
        <x:v>1.0059666666666667</x:v>
      </x:c>
      <x:c r="L900" t="str">
        <x:f>IF($A900="","",IFERROR(INDEX(Assumptions!$O$5:$O$10,MATCH(1,(Assumptions!$P$5:$P$10=$B900)*(Assumptions!$Q$5:$Q$10&lt;=$A900)*(Assumptions!$R$5:$R$10&gt;=$A900),0)),""))</x:f>
      </x:c>
      <x:c r="M900" t="n">
        <x:f>--($A900&lt;&gt;"")</x:f>
        <x:v>1</x:v>
      </x:c>
    </x:row>
    <x:row r="901">
      <x:c r="A901" s="10" t="n">
        <x:f>IF(Assumptions!$B$5+INT((ROW()-2)/Assumptions!$B$7)&gt;Assumptions!$B$6,"",Assumptions!$B$5+INT((ROW()-2)/Assumptions!$B$7))</x:f>
        <x:v>46202</x:v>
      </x:c>
      <x:c r="B901" t="str">
        <x:f>IF($A901="","",INDEX(Assumptions!$D$5:$D$12,MOD(ROW()-2,Assumptions!$B$7)+1))</x:f>
        <x:v>Yutani Ridge</x:v>
      </x:c>
      <x:c r="C901" s="11" t="n">
        <x:f>IF($A901="","",INDEX(Assumptions!$F$5:$F$12,MATCH($B901,Assumptions!$D$5:$D$12,0)))</x:f>
        <x:v>1050</x:v>
      </x:c>
      <x:c r="D901" s="11" t="n">
        <x:f>IF($A901="","",INDEX(Assumptions!$G$5:$G$12,MATCH($B901,Assumptions!$D$5:$D$12,0)))</x:f>
        <x:v>125</x:v>
      </x:c>
      <x:c r="E901" s="11" t="n">
        <x:f>IF($A901="","",INDEX(Assumptions!$M$5:$M$11,WEEKDAY($A901,2)))</x:f>
        <x:v>1.03</x:v>
      </x:c>
      <x:c r="F901" s="11" t="n">
        <x:f>IF($A901="","",Assumptions!$B$15)</x:f>
        <x:v>0.35</x:v>
      </x:c>
      <x:c r="G901" s="11" t="n">
        <x:f>IF($A901="","",MAX(INDEX(Assumptions!$H$5:$H$12,MATCH($B901,Assumptions!$D$5:$D$12,0)),MIN(INDEX(Assumptions!$I$5:$I$12,MATCH($B901,Assumptions!$D$5:$D$12,0)),($C901+$D901*SQRT(-2*LN(RAND()))*COS(2*PI()*RAND()))*$E901*$J901*$K901)))</x:f>
        <x:v>1081.8602378863038</x:v>
      </x:c>
      <x:c r="H901" s="11" t="n">
        <x:f>IF($A901="","",$G901*$F901+$C901*(1-$F901))</x:f>
        <x:v>1061.1510832602062</x:v>
      </x:c>
      <x:c r="I901" s="11" t="n">
        <x:f>IF($A901="","",AVERAGE($H901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1029.691430415047</x:v>
      </x:c>
      <x:c r="J901" s="12" t="n">
        <x:f>IF($A901="","",1+SUMIFS(Assumptions!$S$5:$S$10,Assumptions!$P$5:$P$10,$B901,Assumptions!$Q$5:$Q$10,"&lt;="&amp;$A901,Assumptions!$R$5:$R$10,"&gt;="&amp;$A901))</x:f>
        <x:v>1</x:v>
      </x:c>
      <x:c r="K901" s="12" t="n">
        <x:f>IF($A901="","",1+((($A901-Assumptions!$B$5)/30)*INDEX(Assumptions!$J$5:$J$12,MATCH($B901,Assumptions!$D$5:$D$12,0))))</x:f>
        <x:v>1.0149166666666667</x:v>
      </x:c>
      <x:c r="L901" t="str">
        <x:f>IF($A901="","",IFERROR(INDEX(Assumptions!$O$5:$O$10,MATCH(1,(Assumptions!$P$5:$P$10=$B901)*(Assumptions!$Q$5:$Q$10&lt;=$A901)*(Assumptions!$R$5:$R$10&gt;=$A901),0)),""))</x:f>
      </x:c>
      <x:c r="M901" t="n">
        <x:f>--($A901&lt;&gt;"")</x:f>
        <x:v>1</x:v>
      </x:c>
    </x:row>
    <x:row r="902">
      <x:c r="A902" s="10" t="n">
        <x:f>IF(Assumptions!$B$5+INT((ROW()-2)/Assumptions!$B$7)&gt;Assumptions!$B$6,"",Assumptions!$B$5+INT((ROW()-2)/Assumptions!$B$7))</x:f>
        <x:v>46203</x:v>
      </x:c>
      <x:c r="B902" t="str">
        <x:f>IF($A902="","",INDEX(Assumptions!$D$5:$D$12,MOD(ROW()-2,Assumptions!$B$7)+1))</x:f>
        <x:v>Acheron Prime</x:v>
      </x:c>
      <x:c r="C902" s="11" t="n">
        <x:f>IF($A902="","",INDEX(Assumptions!$F$5:$F$12,MATCH($B902,Assumptions!$D$5:$D$12,0)))</x:f>
        <x:v>1120</x:v>
      </x:c>
      <x:c r="D902" s="11" t="n">
        <x:f>IF($A902="","",INDEX(Assumptions!$G$5:$G$12,MATCH($B902,Assumptions!$D$5:$D$12,0)))</x:f>
        <x:v>115</x:v>
      </x:c>
      <x:c r="E902" s="11" t="n">
        <x:f>IF($A902="","",INDEX(Assumptions!$M$5:$M$11,WEEKDAY($A902,2)))</x:f>
        <x:v>1.02</x:v>
      </x:c>
      <x:c r="F902" s="11" t="n">
        <x:f>IF($A902="","",Assumptions!$B$15)</x:f>
        <x:v>0.35</x:v>
      </x:c>
      <x:c r="G902" s="11" t="n">
        <x:f>IF($A902="","",MAX(INDEX(Assumptions!$H$5:$H$12,MATCH($B902,Assumptions!$D$5:$D$12,0)),MIN(INDEX(Assumptions!$I$5:$I$12,MATCH($B902,Assumptions!$D$5:$D$12,0)),($C902+$D902*SQRT(-2*LN(RAND()))*COS(2*PI()*RAND()))*$E902*$J902*$K902)))</x:f>
        <x:v>1200.3361231199206</x:v>
      </x:c>
      <x:c r="H902" s="11" t="n">
        <x:f>IF($A902="","",$G902*$F902+$C902*(1-$F902))</x:f>
        <x:v>1148.1176430919722</x:v>
      </x:c>
      <x:c r="I902" s="11" t="n">
        <x:f>IF($A902="","",AVERAGE($H902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1130.983507302736</x:v>
      </x:c>
      <x:c r="J902" s="12" t="n">
        <x:f>IF($A902="","",1+SUMIFS(Assumptions!$S$5:$S$10,Assumptions!$P$5:$P$10,$B902,Assumptions!$Q$5:$Q$10,"&lt;="&amp;$A902,Assumptions!$R$5:$R$10,"&gt;="&amp;$A902))</x:f>
        <x:v>1</x:v>
      </x:c>
      <x:c r="K902" s="12" t="n">
        <x:f>IF($A902="","",1+((($A902-Assumptions!$B$5)/30)*INDEX(Assumptions!$J$5:$J$12,MATCH($B902,Assumptions!$D$5:$D$12,0))))</x:f>
        <x:v>1.012</x:v>
      </x:c>
      <x:c r="L902" t="str">
        <x:f>IF($A902="","",IFERROR(INDEX(Assumptions!$O$5:$O$10,MATCH(1,(Assumptions!$P$5:$P$10=$B902)*(Assumptions!$Q$5:$Q$10&lt;=$A902)*(Assumptions!$R$5:$R$10&gt;=$A902),0)),""))</x:f>
      </x:c>
      <x:c r="M902" t="n">
        <x:f>--($A902&lt;&gt;"")</x:f>
        <x:v>1</x:v>
      </x:c>
    </x:row>
    <x:row r="903">
      <x:c r="A903" s="10" t="n">
        <x:f>IF(Assumptions!$B$5+INT((ROW()-2)/Assumptions!$B$7)&gt;Assumptions!$B$6,"",Assumptions!$B$5+INT((ROW()-2)/Assumptions!$B$7))</x:f>
        <x:v>46203</x:v>
      </x:c>
      <x:c r="B903" t="str">
        <x:f>IF($A903="","",INDEX(Assumptions!$D$5:$D$12,MOD(ROW()-2,Assumptions!$B$7)+1))</x:f>
        <x:v>LV-426 North</x:v>
      </x:c>
      <x:c r="C903" s="11" t="n">
        <x:f>IF($A903="","",INDEX(Assumptions!$F$5:$F$12,MATCH($B903,Assumptions!$D$5:$D$12,0)))</x:f>
        <x:v>930</x:v>
      </x:c>
      <x:c r="D903" s="11" t="n">
        <x:f>IF($A903="","",INDEX(Assumptions!$G$5:$G$12,MATCH($B903,Assumptions!$D$5:$D$12,0)))</x:f>
        <x:v>95</x:v>
      </x:c>
      <x:c r="E903" s="11" t="n">
        <x:f>IF($A903="","",INDEX(Assumptions!$M$5:$M$11,WEEKDAY($A903,2)))</x:f>
        <x:v>1.02</x:v>
      </x:c>
      <x:c r="F903" s="11" t="n">
        <x:f>IF($A903="","",Assumptions!$B$15)</x:f>
        <x:v>0.35</x:v>
      </x:c>
      <x:c r="G903" s="11" t="n">
        <x:f>IF($A903="","",MAX(INDEX(Assumptions!$H$5:$H$12,MATCH($B903,Assumptions!$D$5:$D$12,0)),MIN(INDEX(Assumptions!$I$5:$I$12,MATCH($B903,Assumptions!$D$5:$D$12,0)),($C903+$D903*SQRT(-2*LN(RAND()))*COS(2*PI()*RAND()))*$E903*$J903*$K903)))</x:f>
        <x:v>906.1057130046429</x:v>
      </x:c>
      <x:c r="H903" s="11" t="n">
        <x:f>IF($A903="","",$G903*$F903+$C903*(1-$F903))</x:f>
        <x:v>921.636999551625</x:v>
      </x:c>
      <x:c r="I903" s="11" t="n">
        <x:f>IF($A903="","",AVERAGE($H903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937.2879623295727</x:v>
      </x:c>
      <x:c r="J903" s="12" t="n">
        <x:f>IF($A903="","",1+SUMIFS(Assumptions!$S$5:$S$10,Assumptions!$P$5:$P$10,$B903,Assumptions!$Q$5:$Q$10,"&lt;="&amp;$A903,Assumptions!$R$5:$R$10,"&gt;="&amp;$A903))</x:f>
        <x:v>1</x:v>
      </x:c>
      <x:c r="K903" s="12" t="n">
        <x:f>IF($A903="","",1+((($A903-Assumptions!$B$5)/30)*INDEX(Assumptions!$J$5:$J$12,MATCH($B903,Assumptions!$D$5:$D$12,0))))</x:f>
        <x:v>0.994</x:v>
      </x:c>
      <x:c r="L903" t="str">
        <x:f>IF($A903="","",IFERROR(INDEX(Assumptions!$O$5:$O$10,MATCH(1,(Assumptions!$P$5:$P$10=$B903)*(Assumptions!$Q$5:$Q$10&lt;=$A903)*(Assumptions!$R$5:$R$10&gt;=$A903),0)),""))</x:f>
      </x:c>
      <x:c r="M903" t="n">
        <x:f>--($A903&lt;&gt;"")</x:f>
        <x:v>1</x:v>
      </x:c>
    </x:row>
    <x:row r="904">
      <x:c r="A904" s="10" t="n">
        <x:f>IF(Assumptions!$B$5+INT((ROW()-2)/Assumptions!$B$7)&gt;Assumptions!$B$6,"",Assumptions!$B$5+INT((ROW()-2)/Assumptions!$B$7))</x:f>
        <x:v>46203</x:v>
      </x:c>
      <x:c r="B904" t="str">
        <x:f>IF($A904="","",INDEX(Assumptions!$D$5:$D$12,MOD(ROW()-2,Assumptions!$B$7)+1))</x:f>
        <x:v>Nostromo Deep</x:v>
      </x:c>
      <x:c r="C904" s="11" t="n">
        <x:f>IF($A904="","",INDEX(Assumptions!$F$5:$F$12,MATCH($B904,Assumptions!$D$5:$D$12,0)))</x:f>
        <x:v>1260</x:v>
      </x:c>
      <x:c r="D904" s="11" t="n">
        <x:f>IF($A904="","",INDEX(Assumptions!$G$5:$G$12,MATCH($B904,Assumptions!$D$5:$D$12,0)))</x:f>
        <x:v>145</x:v>
      </x:c>
      <x:c r="E904" s="11" t="n">
        <x:f>IF($A904="","",INDEX(Assumptions!$M$5:$M$11,WEEKDAY($A904,2)))</x:f>
        <x:v>1.02</x:v>
      </x:c>
      <x:c r="F904" s="11" t="n">
        <x:f>IF($A904="","",Assumptions!$B$15)</x:f>
        <x:v>0.35</x:v>
      </x:c>
      <x:c r="G904" s="11" t="n">
        <x:f>IF($A904="","",MAX(INDEX(Assumptions!$H$5:$H$12,MATCH($B904,Assumptions!$D$5:$D$12,0)),MIN(INDEX(Assumptions!$I$5:$I$12,MATCH($B904,Assumptions!$D$5:$D$12,0)),($C904+$D904*SQRT(-2*LN(RAND()))*COS(2*PI()*RAND()))*$E904*$J904*$K904)))</x:f>
        <x:v>1603.5937794110646</x:v>
      </x:c>
      <x:c r="H904" s="11" t="n">
        <x:f>IF($A904="","",$G904*$F904+$C904*(1-$F904))</x:f>
        <x:v>1380.2578227938725</x:v>
      </x:c>
      <x:c r="I904" s="11" t="n">
        <x:f>IF($A904="","",AVERAGE($H904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1294.1259583180733</x:v>
      </x:c>
      <x:c r="J904" s="12" t="n">
        <x:f>IF($A904="","",1+SUMIFS(Assumptions!$S$5:$S$10,Assumptions!$P$5:$P$10,$B904,Assumptions!$Q$5:$Q$10,"&lt;="&amp;$A904,Assumptions!$R$5:$R$10,"&gt;="&amp;$A904))</x:f>
        <x:v>1</x:v>
      </x:c>
      <x:c r="K904" s="12" t="n">
        <x:f>IF($A904="","",1+((($A904-Assumptions!$B$5)/30)*INDEX(Assumptions!$J$5:$J$12,MATCH($B904,Assumptions!$D$5:$D$12,0))))</x:f>
        <x:v>1.018</x:v>
      </x:c>
      <x:c r="L904" t="str">
        <x:f>IF($A904="","",IFERROR(INDEX(Assumptions!$O$5:$O$10,MATCH(1,(Assumptions!$P$5:$P$10=$B904)*(Assumptions!$Q$5:$Q$10&lt;=$A904)*(Assumptions!$R$5:$R$10&gt;=$A904),0)),""))</x:f>
      </x:c>
      <x:c r="M904" t="n">
        <x:f>--($A904&lt;&gt;"")</x:f>
        <x:v>1</x:v>
      </x:c>
    </x:row>
    <x:row r="905">
      <x:c r="A905" s="10" t="n">
        <x:f>IF(Assumptions!$B$5+INT((ROW()-2)/Assumptions!$B$7)&gt;Assumptions!$B$6,"",Assumptions!$B$5+INT((ROW()-2)/Assumptions!$B$7))</x:f>
        <x:v>46203</x:v>
      </x:c>
      <x:c r="B905" t="str">
        <x:f>IF($A905="","",INDEX(Assumptions!$D$5:$D$12,MOD(ROW()-2,Assumptions!$B$7)+1))</x:f>
        <x:v>Hadley's Hope</x:v>
      </x:c>
      <x:c r="C905" s="11" t="n">
        <x:f>IF($A905="","",INDEX(Assumptions!$F$5:$F$12,MATCH($B905,Assumptions!$D$5:$D$12,0)))</x:f>
        <x:v>845</x:v>
      </x:c>
      <x:c r="D905" s="11" t="n">
        <x:f>IF($A905="","",INDEX(Assumptions!$G$5:$G$12,MATCH($B905,Assumptions!$D$5:$D$12,0)))</x:f>
        <x:v>80</x:v>
      </x:c>
      <x:c r="E905" s="11" t="n">
        <x:f>IF($A905="","",INDEX(Assumptions!$M$5:$M$11,WEEKDAY($A905,2)))</x:f>
        <x:v>1.02</x:v>
      </x:c>
      <x:c r="F905" s="11" t="n">
        <x:f>IF($A905="","",Assumptions!$B$15)</x:f>
        <x:v>0.35</x:v>
      </x:c>
      <x:c r="G905" s="11" t="n">
        <x:f>IF($A905="","",MAX(INDEX(Assumptions!$H$5:$H$12,MATCH($B905,Assumptions!$D$5:$D$12,0)),MIN(INDEX(Assumptions!$I$5:$I$12,MATCH($B905,Assumptions!$D$5:$D$12,0)),($C905+$D905*SQRT(-2*LN(RAND()))*COS(2*PI()*RAND()))*$E905*$J905*$K905)))</x:f>
        <x:v>846.3164473684415</x:v>
      </x:c>
      <x:c r="H905" s="11" t="n">
        <x:f>IF($A905="","",$G905*$F905+$C905*(1-$F905))</x:f>
        <x:v>845.4607565789545</x:v>
      </x:c>
      <x:c r="I905" s="11" t="n">
        <x:f>IF($A905="","",AVERAGE($H905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851.7559592663338</x:v>
      </x:c>
      <x:c r="J905" s="12" t="n">
        <x:f>IF($A905="","",1+SUMIFS(Assumptions!$S$5:$S$10,Assumptions!$P$5:$P$10,$B905,Assumptions!$Q$5:$Q$10,"&lt;="&amp;$A905,Assumptions!$R$5:$R$10,"&gt;="&amp;$A905))</x:f>
        <x:v>1</x:v>
      </x:c>
      <x:c r="K905" s="12" t="n">
        <x:f>IF($A905="","",1+((($A905-Assumptions!$B$5)/30)*INDEX(Assumptions!$J$5:$J$12,MATCH($B905,Assumptions!$D$5:$D$12,0))))</x:f>
        <x:v>1.006</x:v>
      </x:c>
      <x:c r="L905" t="str">
        <x:f>IF($A905="","",IFERROR(INDEX(Assumptions!$O$5:$O$10,MATCH(1,(Assumptions!$P$5:$P$10=$B905)*(Assumptions!$Q$5:$Q$10&lt;=$A905)*(Assumptions!$R$5:$R$10&gt;=$A905),0)),""))</x:f>
      </x:c>
      <x:c r="M905" t="n">
        <x:f>--($A905&lt;&gt;"")</x:f>
        <x:v>1</x:v>
      </x:c>
    </x:row>
    <x:row r="906">
      <x:c r="A906" s="10" t="n">
        <x:f>IF(Assumptions!$B$5+INT((ROW()-2)/Assumptions!$B$7)&gt;Assumptions!$B$6,"",Assumptions!$B$5+INT((ROW()-2)/Assumptions!$B$7))</x:f>
        <x:v>46203</x:v>
      </x:c>
      <x:c r="B906" t="str">
        <x:f>IF($A906="","",INDEX(Assumptions!$D$5:$D$12,MOD(ROW()-2,Assumptions!$B$7)+1))</x:f>
        <x:v>Yutani Ridge</x:v>
      </x:c>
      <x:c r="C906" s="11" t="n">
        <x:f>IF($A906="","",INDEX(Assumptions!$F$5:$F$12,MATCH($B906,Assumptions!$D$5:$D$12,0)))</x:f>
        <x:v>1050</x:v>
      </x:c>
      <x:c r="D906" s="11" t="n">
        <x:f>IF($A906="","",INDEX(Assumptions!$G$5:$G$12,MATCH($B906,Assumptions!$D$5:$D$12,0)))</x:f>
        <x:v>125</x:v>
      </x:c>
      <x:c r="E906" s="11" t="n">
        <x:f>IF($A906="","",INDEX(Assumptions!$M$5:$M$11,WEEKDAY($A906,2)))</x:f>
        <x:v>1.02</x:v>
      </x:c>
      <x:c r="F906" s="11" t="n">
        <x:f>IF($A906="","",Assumptions!$B$15)</x:f>
        <x:v>0.35</x:v>
      </x:c>
      <x:c r="G906" s="11" t="n">
        <x:f>IF($A906="","",MAX(INDEX(Assumptions!$H$5:$H$12,MATCH($B906,Assumptions!$D$5:$D$12,0)),MIN(INDEX(Assumptions!$I$5:$I$12,MATCH($B906,Assumptions!$D$5:$D$12,0)),($C906+$D906*SQRT(-2*LN(RAND()))*COS(2*PI()*RAND()))*$E906*$J906*$K906)))</x:f>
        <x:v>843.4466899317945</x:v>
      </x:c>
      <x:c r="H906" s="11" t="n">
        <x:f>IF($A906="","",$G906*$F906+$C906*(1-$F906))</x:f>
        <x:v>977.706341476128</x:v>
      </x:c>
      <x:c r="I906" s="11" t="n">
        <x:f>IF($A906="","",AVERAGE($H906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1023.1972247680677</x:v>
      </x:c>
      <x:c r="J906" s="12" t="n">
        <x:f>IF($A906="","",1+SUMIFS(Assumptions!$S$5:$S$10,Assumptions!$P$5:$P$10,$B906,Assumptions!$Q$5:$Q$10,"&lt;="&amp;$A906,Assumptions!$R$5:$R$10,"&gt;="&amp;$A906))</x:f>
        <x:v>1</x:v>
      </x:c>
      <x:c r="K906" s="12" t="n">
        <x:f>IF($A906="","",1+((($A906-Assumptions!$B$5)/30)*INDEX(Assumptions!$J$5:$J$12,MATCH($B906,Assumptions!$D$5:$D$12,0))))</x:f>
        <x:v>1.015</x:v>
      </x:c>
      <x:c r="L906" t="str">
        <x:f>IF($A906="","",IFERROR(INDEX(Assumptions!$O$5:$O$10,MATCH(1,(Assumptions!$P$5:$P$10=$B906)*(Assumptions!$Q$5:$Q$10&lt;=$A906)*(Assumptions!$R$5:$R$10&gt;=$A906),0)),""))</x:f>
      </x:c>
      <x:c r="M906" t="n">
        <x:f>--($A906&lt;&gt;"")</x:f>
        <x:v>1</x:v>
      </x:c>
    </x:row>
    <x:row r="907">
      <x:c r="A907" s="10" t="n">
        <x:f>IF(Assumptions!$B$5+INT((ROW()-2)/Assumptions!$B$7)&gt;Assumptions!$B$6,"",Assumptions!$B$5+INT((ROW()-2)/Assumptions!$B$7))</x:f>
        <x:v>46204</x:v>
      </x:c>
      <x:c r="B907" t="str">
        <x:f>IF($A907="","",INDEX(Assumptions!$D$5:$D$12,MOD(ROW()-2,Assumptions!$B$7)+1))</x:f>
        <x:v>Acheron Prime</x:v>
      </x:c>
      <x:c r="C907" s="11" t="n">
        <x:f>IF($A907="","",INDEX(Assumptions!$F$5:$F$12,MATCH($B907,Assumptions!$D$5:$D$12,0)))</x:f>
        <x:v>1120</x:v>
      </x:c>
      <x:c r="D907" s="11" t="n">
        <x:f>IF($A907="","",INDEX(Assumptions!$G$5:$G$12,MATCH($B907,Assumptions!$D$5:$D$12,0)))</x:f>
        <x:v>115</x:v>
      </x:c>
      <x:c r="E907" s="11" t="n">
        <x:f>IF($A907="","",INDEX(Assumptions!$M$5:$M$11,WEEKDAY($A907,2)))</x:f>
        <x:v>1.01</x:v>
      </x:c>
      <x:c r="F907" s="11" t="n">
        <x:f>IF($A907="","",Assumptions!$B$15)</x:f>
        <x:v>0.35</x:v>
      </x:c>
      <x:c r="G907" s="11" t="n">
        <x:f>IF($A907="","",MAX(INDEX(Assumptions!$H$5:$H$12,MATCH($B907,Assumptions!$D$5:$D$12,0)),MIN(INDEX(Assumptions!$I$5:$I$12,MATCH($B907,Assumptions!$D$5:$D$12,0)),($C907+$D907*SQRT(-2*LN(RAND()))*COS(2*PI()*RAND()))*$E907*$J907*$K907)))</x:f>
        <x:v>1121.0564805910608</x:v>
      </x:c>
      <x:c r="H907" s="11" t="n">
        <x:f>IF($A907="","",$G907*$F907+$C907*(1-$F907))</x:f>
        <x:v>1120.3697682068712</x:v>
      </x:c>
      <x:c r="I907" s="11" t="n">
        <x:f>IF($A907="","",AVERAGE($H907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1131.2314220631254</x:v>
      </x:c>
      <x:c r="J907" s="12" t="n">
        <x:f>IF($A907="","",1+SUMIFS(Assumptions!$S$5:$S$10,Assumptions!$P$5:$P$10,$B907,Assumptions!$Q$5:$Q$10,"&lt;="&amp;$A907,Assumptions!$R$5:$R$10,"&gt;="&amp;$A907))</x:f>
        <x:v>1</x:v>
      </x:c>
      <x:c r="K907" s="12" t="n">
        <x:f>IF($A907="","",1+((($A907-Assumptions!$B$5)/30)*INDEX(Assumptions!$J$5:$J$12,MATCH($B907,Assumptions!$D$5:$D$12,0))))</x:f>
        <x:v>1.0120666666666667</x:v>
      </x:c>
      <x:c r="L907" t="str">
        <x:f>IF($A907="","",IFERROR(INDEX(Assumptions!$O$5:$O$10,MATCH(1,(Assumptions!$P$5:$P$10=$B907)*(Assumptions!$Q$5:$Q$10&lt;=$A907)*(Assumptions!$R$5:$R$10&gt;=$A907),0)),""))</x:f>
      </x:c>
      <x:c r="M907" t="n">
        <x:f>--($A907&lt;&gt;"")</x:f>
        <x:v>1</x:v>
      </x:c>
    </x:row>
    <x:row r="908">
      <x:c r="A908" s="10" t="n">
        <x:f>IF(Assumptions!$B$5+INT((ROW()-2)/Assumptions!$B$7)&gt;Assumptions!$B$6,"",Assumptions!$B$5+INT((ROW()-2)/Assumptions!$B$7))</x:f>
        <x:v>46204</x:v>
      </x:c>
      <x:c r="B908" t="str">
        <x:f>IF($A908="","",INDEX(Assumptions!$D$5:$D$12,MOD(ROW()-2,Assumptions!$B$7)+1))</x:f>
        <x:v>LV-426 North</x:v>
      </x:c>
      <x:c r="C908" s="11" t="n">
        <x:f>IF($A908="","",INDEX(Assumptions!$F$5:$F$12,MATCH($B908,Assumptions!$D$5:$D$12,0)))</x:f>
        <x:v>930</x:v>
      </x:c>
      <x:c r="D908" s="11" t="n">
        <x:f>IF($A908="","",INDEX(Assumptions!$G$5:$G$12,MATCH($B908,Assumptions!$D$5:$D$12,0)))</x:f>
        <x:v>95</x:v>
      </x:c>
      <x:c r="E908" s="11" t="n">
        <x:f>IF($A908="","",INDEX(Assumptions!$M$5:$M$11,WEEKDAY($A908,2)))</x:f>
        <x:v>1.01</x:v>
      </x:c>
      <x:c r="F908" s="11" t="n">
        <x:f>IF($A908="","",Assumptions!$B$15)</x:f>
        <x:v>0.35</x:v>
      </x:c>
      <x:c r="G908" s="11" t="n">
        <x:f>IF($A908="","",MAX(INDEX(Assumptions!$H$5:$H$12,MATCH($B908,Assumptions!$D$5:$D$12,0)),MIN(INDEX(Assumptions!$I$5:$I$12,MATCH($B908,Assumptions!$D$5:$D$12,0)),($C908+$D908*SQRT(-2*LN(RAND()))*COS(2*PI()*RAND()))*$E908*$J908*$K908)))</x:f>
        <x:v>922.3773706251276</x:v>
      </x:c>
      <x:c r="H908" s="11" t="n">
        <x:f>IF($A908="","",$G908*$F908+$C908*(1-$F908))</x:f>
        <x:v>927.3320797187946</x:v>
      </x:c>
      <x:c r="I908" s="11" t="n">
        <x:f>IF($A908="","",AVERAGE($H908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932.1279966111163</x:v>
      </x:c>
      <x:c r="J908" s="12" t="n">
        <x:f>IF($A908="","",1+SUMIFS(Assumptions!$S$5:$S$10,Assumptions!$P$5:$P$10,$B908,Assumptions!$Q$5:$Q$10,"&lt;="&amp;$A908,Assumptions!$R$5:$R$10,"&gt;="&amp;$A908))</x:f>
        <x:v>1</x:v>
      </x:c>
      <x:c r="K908" s="12" t="n">
        <x:f>IF($A908="","",1+((($A908-Assumptions!$B$5)/30)*INDEX(Assumptions!$J$5:$J$12,MATCH($B908,Assumptions!$D$5:$D$12,0))))</x:f>
        <x:v>0.9939666666666667</x:v>
      </x:c>
      <x:c r="L908" t="str">
        <x:f>IF($A908="","",IFERROR(INDEX(Assumptions!$O$5:$O$10,MATCH(1,(Assumptions!$P$5:$P$10=$B908)*(Assumptions!$Q$5:$Q$10&lt;=$A908)*(Assumptions!$R$5:$R$10&gt;=$A908),0)),""))</x:f>
      </x:c>
      <x:c r="M908" t="n">
        <x:f>--($A908&lt;&gt;"")</x:f>
        <x:v>1</x:v>
      </x:c>
    </x:row>
    <x:row r="909">
      <x:c r="A909" s="10" t="n">
        <x:f>IF(Assumptions!$B$5+INT((ROW()-2)/Assumptions!$B$7)&gt;Assumptions!$B$6,"",Assumptions!$B$5+INT((ROW()-2)/Assumptions!$B$7))</x:f>
        <x:v>46204</x:v>
      </x:c>
      <x:c r="B909" t="str">
        <x:f>IF($A909="","",INDEX(Assumptions!$D$5:$D$12,MOD(ROW()-2,Assumptions!$B$7)+1))</x:f>
        <x:v>Nostromo Deep</x:v>
      </x:c>
      <x:c r="C909" s="11" t="n">
        <x:f>IF($A909="","",INDEX(Assumptions!$F$5:$F$12,MATCH($B909,Assumptions!$D$5:$D$12,0)))</x:f>
        <x:v>1260</x:v>
      </x:c>
      <x:c r="D909" s="11" t="n">
        <x:f>IF($A909="","",INDEX(Assumptions!$G$5:$G$12,MATCH($B909,Assumptions!$D$5:$D$12,0)))</x:f>
        <x:v>145</x:v>
      </x:c>
      <x:c r="E909" s="11" t="n">
        <x:f>IF($A909="","",INDEX(Assumptions!$M$5:$M$11,WEEKDAY($A909,2)))</x:f>
        <x:v>1.01</x:v>
      </x:c>
      <x:c r="F909" s="11" t="n">
        <x:f>IF($A909="","",Assumptions!$B$15)</x:f>
        <x:v>0.35</x:v>
      </x:c>
      <x:c r="G909" s="11" t="n">
        <x:f>IF($A909="","",MAX(INDEX(Assumptions!$H$5:$H$12,MATCH($B909,Assumptions!$D$5:$D$12,0)),MIN(INDEX(Assumptions!$I$5:$I$12,MATCH($B909,Assumptions!$D$5:$D$12,0)),($C909+$D909*SQRT(-2*LN(RAND()))*COS(2*PI()*RAND()))*$E909*$J909*$K909)))</x:f>
        <x:v>1523.329173310784</x:v>
      </x:c>
      <x:c r="H909" s="11" t="n">
        <x:f>IF($A909="","",$G909*$F909+$C909*(1-$F909))</x:f>
        <x:v>1352.1652106587744</x:v>
      </x:c>
      <x:c r="I909" s="11" t="n">
        <x:f>IF($A909="","",AVERAGE($H909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1308.569282895969</x:v>
      </x:c>
      <x:c r="J909" s="12" t="n">
        <x:f>IF($A909="","",1+SUMIFS(Assumptions!$S$5:$S$10,Assumptions!$P$5:$P$10,$B909,Assumptions!$Q$5:$Q$10,"&lt;="&amp;$A909,Assumptions!$R$5:$R$10,"&gt;="&amp;$A909))</x:f>
        <x:v>1</x:v>
      </x:c>
      <x:c r="K909" s="12" t="n">
        <x:f>IF($A909="","",1+((($A909-Assumptions!$B$5)/30)*INDEX(Assumptions!$J$5:$J$12,MATCH($B909,Assumptions!$D$5:$D$12,0))))</x:f>
        <x:v>1.0181</x:v>
      </x:c>
      <x:c r="L909" t="str">
        <x:f>IF($A909="","",IFERROR(INDEX(Assumptions!$O$5:$O$10,MATCH(1,(Assumptions!$P$5:$P$10=$B909)*(Assumptions!$Q$5:$Q$10&lt;=$A909)*(Assumptions!$R$5:$R$10&gt;=$A909),0)),""))</x:f>
      </x:c>
      <x:c r="M909" t="n">
        <x:f>--($A909&lt;&gt;"")</x:f>
        <x:v>1</x:v>
      </x:c>
    </x:row>
    <x:row r="910">
      <x:c r="A910" s="10" t="n">
        <x:f>IF(Assumptions!$B$5+INT((ROW()-2)/Assumptions!$B$7)&gt;Assumptions!$B$6,"",Assumptions!$B$5+INT((ROW()-2)/Assumptions!$B$7))</x:f>
        <x:v>46204</x:v>
      </x:c>
      <x:c r="B910" t="str">
        <x:f>IF($A910="","",INDEX(Assumptions!$D$5:$D$12,MOD(ROW()-2,Assumptions!$B$7)+1))</x:f>
        <x:v>Hadley's Hope</x:v>
      </x:c>
      <x:c r="C910" s="11" t="n">
        <x:f>IF($A910="","",INDEX(Assumptions!$F$5:$F$12,MATCH($B910,Assumptions!$D$5:$D$12,0)))</x:f>
        <x:v>845</x:v>
      </x:c>
      <x:c r="D910" s="11" t="n">
        <x:f>IF($A910="","",INDEX(Assumptions!$G$5:$G$12,MATCH($B910,Assumptions!$D$5:$D$12,0)))</x:f>
        <x:v>80</x:v>
      </x:c>
      <x:c r="E910" s="11" t="n">
        <x:f>IF($A910="","",INDEX(Assumptions!$M$5:$M$11,WEEKDAY($A910,2)))</x:f>
        <x:v>1.01</x:v>
      </x:c>
      <x:c r="F910" s="11" t="n">
        <x:f>IF($A910="","",Assumptions!$B$15)</x:f>
        <x:v>0.35</x:v>
      </x:c>
      <x:c r="G910" s="11" t="n">
        <x:f>IF($A910="","",MAX(INDEX(Assumptions!$H$5:$H$12,MATCH($B910,Assumptions!$D$5:$D$12,0)),MIN(INDEX(Assumptions!$I$5:$I$12,MATCH($B910,Assumptions!$D$5:$D$12,0)),($C910+$D910*SQRT(-2*LN(RAND()))*COS(2*PI()*RAND()))*$E910*$J910*$K910)))</x:f>
        <x:v>735.6036056437715</x:v>
      </x:c>
      <x:c r="H910" s="11" t="n">
        <x:f>IF($A910="","",$G910*$F910+$C910*(1-$F910))</x:f>
        <x:v>806.71126197532</x:v>
      </x:c>
      <x:c r="I910" s="11" t="n">
        <x:f>IF($A910="","",AVERAGE($H910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841.725357878097</x:v>
      </x:c>
      <x:c r="J910" s="12" t="n">
        <x:f>IF($A910="","",1+SUMIFS(Assumptions!$S$5:$S$10,Assumptions!$P$5:$P$10,$B910,Assumptions!$Q$5:$Q$10,"&lt;="&amp;$A910,Assumptions!$R$5:$R$10,"&gt;="&amp;$A910))</x:f>
        <x:v>0.88</x:v>
      </x:c>
      <x:c r="K910" s="12" t="n">
        <x:f>IF($A910="","",1+((($A910-Assumptions!$B$5)/30)*INDEX(Assumptions!$J$5:$J$12,MATCH($B910,Assumptions!$D$5:$D$12,0))))</x:f>
        <x:v>1.0060333333333333</x:v>
      </x:c>
      <x:c r="L910" t="str">
        <x:f>IF($A910="","",IFERROR(INDEX(Assumptions!$O$5:$O$10,MATCH(1,(Assumptions!$P$5:$P$10=$B910)*(Assumptions!$Q$5:$Q$10&lt;=$A910)*(Assumptions!$R$5:$R$10&gt;=$A910),0)),""))</x:f>
        <x:v>Crew rotation</x:v>
      </x:c>
      <x:c r="M910" t="n">
        <x:f>--($A910&lt;&gt;"")</x:f>
        <x:v>1</x:v>
      </x:c>
    </x:row>
    <x:row r="911">
      <x:c r="A911" s="10" t="n">
        <x:f>IF(Assumptions!$B$5+INT((ROW()-2)/Assumptions!$B$7)&gt;Assumptions!$B$6,"",Assumptions!$B$5+INT((ROW()-2)/Assumptions!$B$7))</x:f>
        <x:v>46204</x:v>
      </x:c>
      <x:c r="B911" t="str">
        <x:f>IF($A911="","",INDEX(Assumptions!$D$5:$D$12,MOD(ROW()-2,Assumptions!$B$7)+1))</x:f>
        <x:v>Yutani Ridge</x:v>
      </x:c>
      <x:c r="C911" s="11" t="n">
        <x:f>IF($A911="","",INDEX(Assumptions!$F$5:$F$12,MATCH($B911,Assumptions!$D$5:$D$12,0)))</x:f>
        <x:v>1050</x:v>
      </x:c>
      <x:c r="D911" s="11" t="n">
        <x:f>IF($A911="","",INDEX(Assumptions!$G$5:$G$12,MATCH($B911,Assumptions!$D$5:$D$12,0)))</x:f>
        <x:v>125</x:v>
      </x:c>
      <x:c r="E911" s="11" t="n">
        <x:f>IF($A911="","",INDEX(Assumptions!$M$5:$M$11,WEEKDAY($A911,2)))</x:f>
        <x:v>1.01</x:v>
      </x:c>
      <x:c r="F911" s="11" t="n">
        <x:f>IF($A911="","",Assumptions!$B$15)</x:f>
        <x:v>0.35</x:v>
      </x:c>
      <x:c r="G911" s="11" t="n">
        <x:f>IF($A911="","",MAX(INDEX(Assumptions!$H$5:$H$12,MATCH($B911,Assumptions!$D$5:$D$12,0)),MIN(INDEX(Assumptions!$I$5:$I$12,MATCH($B911,Assumptions!$D$5:$D$12,0)),($C911+$D911*SQRT(-2*LN(RAND()))*COS(2*PI()*RAND()))*$E911*$J911*$K911)))</x:f>
        <x:v>912.3467479732225</x:v>
      </x:c>
      <x:c r="H911" s="11" t="n">
        <x:f>IF($A911="","",$G911*$F911+$C911*(1-$F911))</x:f>
        <x:v>1001.8213617906279</x:v>
      </x:c>
      <x:c r="I911" s="11" t="n">
        <x:f>IF($A911="","",AVERAGE($H911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1014.3631401442309</x:v>
      </x:c>
      <x:c r="J911" s="12" t="n">
        <x:f>IF($A911="","",1+SUMIFS(Assumptions!$S$5:$S$10,Assumptions!$P$5:$P$10,$B911,Assumptions!$Q$5:$Q$10,"&lt;="&amp;$A911,Assumptions!$R$5:$R$10,"&gt;="&amp;$A911))</x:f>
        <x:v>1</x:v>
      </x:c>
      <x:c r="K911" s="12" t="n">
        <x:f>IF($A911="","",1+((($A911-Assumptions!$B$5)/30)*INDEX(Assumptions!$J$5:$J$12,MATCH($B911,Assumptions!$D$5:$D$12,0))))</x:f>
        <x:v>1.0150833333333333</x:v>
      </x:c>
      <x:c r="L911" t="str">
        <x:f>IF($A911="","",IFERROR(INDEX(Assumptions!$O$5:$O$10,MATCH(1,(Assumptions!$P$5:$P$10=$B911)*(Assumptions!$Q$5:$Q$10&lt;=$A911)*(Assumptions!$R$5:$R$10&gt;=$A911),0)),""))</x:f>
      </x:c>
      <x:c r="M911" t="n">
        <x:f>--($A911&lt;&gt;"")</x:f>
        <x:v>1</x:v>
      </x:c>
    </x:row>
    <x:row r="912">
      <x:c r="A912" s="10" t="n">
        <x:f>IF(Assumptions!$B$5+INT((ROW()-2)/Assumptions!$B$7)&gt;Assumptions!$B$6,"",Assumptions!$B$5+INT((ROW()-2)/Assumptions!$B$7))</x:f>
        <x:v>46205</x:v>
      </x:c>
      <x:c r="B912" t="str">
        <x:f>IF($A912="","",INDEX(Assumptions!$D$5:$D$12,MOD(ROW()-2,Assumptions!$B$7)+1))</x:f>
        <x:v>Acheron Prime</x:v>
      </x:c>
      <x:c r="C912" s="11" t="n">
        <x:f>IF($A912="","",INDEX(Assumptions!$F$5:$F$12,MATCH($B912,Assumptions!$D$5:$D$12,0)))</x:f>
        <x:v>1120</x:v>
      </x:c>
      <x:c r="D912" s="11" t="n">
        <x:f>IF($A912="","",INDEX(Assumptions!$G$5:$G$12,MATCH($B912,Assumptions!$D$5:$D$12,0)))</x:f>
        <x:v>115</x:v>
      </x:c>
      <x:c r="E912" s="11" t="n">
        <x:f>IF($A912="","",INDEX(Assumptions!$M$5:$M$11,WEEKDAY($A912,2)))</x:f>
        <x:v>1</x:v>
      </x:c>
      <x:c r="F912" s="11" t="n">
        <x:f>IF($A912="","",Assumptions!$B$15)</x:f>
        <x:v>0.35</x:v>
      </x:c>
      <x:c r="G912" s="11" t="n">
        <x:f>IF($A912="","",MAX(INDEX(Assumptions!$H$5:$H$12,MATCH($B912,Assumptions!$D$5:$D$12,0)),MIN(INDEX(Assumptions!$I$5:$I$12,MATCH($B912,Assumptions!$D$5:$D$12,0)),($C912+$D912*SQRT(-2*LN(RAND()))*COS(2*PI()*RAND()))*$E912*$J912*$K912)))</x:f>
        <x:v>1194.5795606331076</x:v>
      </x:c>
      <x:c r="H912" s="11" t="n">
        <x:f>IF($A912="","",$G912*$F912+$C912*(1-$F912))</x:f>
        <x:v>1146.1028462215877</x:v>
      </x:c>
      <x:c r="I912" s="11" t="n">
        <x:f>IF($A912="","",AVERAGE($H912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1131.0432848542462</x:v>
      </x:c>
      <x:c r="J912" s="12" t="n">
        <x:f>IF($A912="","",1+SUMIFS(Assumptions!$S$5:$S$10,Assumptions!$P$5:$P$10,$B912,Assumptions!$Q$5:$Q$10,"&lt;="&amp;$A912,Assumptions!$R$5:$R$10,"&gt;="&amp;$A912))</x:f>
        <x:v>1</x:v>
      </x:c>
      <x:c r="K912" s="12" t="n">
        <x:f>IF($A912="","",1+((($A912-Assumptions!$B$5)/30)*INDEX(Assumptions!$J$5:$J$12,MATCH($B912,Assumptions!$D$5:$D$12,0))))</x:f>
        <x:v>1.0121333333333333</x:v>
      </x:c>
      <x:c r="L912" t="str">
        <x:f>IF($A912="","",IFERROR(INDEX(Assumptions!$O$5:$O$10,MATCH(1,(Assumptions!$P$5:$P$10=$B912)*(Assumptions!$Q$5:$Q$10&lt;=$A912)*(Assumptions!$R$5:$R$10&gt;=$A912),0)),""))</x:f>
      </x:c>
      <x:c r="M912" t="n">
        <x:f>--($A912&lt;&gt;"")</x:f>
        <x:v>1</x:v>
      </x:c>
    </x:row>
    <x:row r="913">
      <x:c r="A913" s="10" t="n">
        <x:f>IF(Assumptions!$B$5+INT((ROW()-2)/Assumptions!$B$7)&gt;Assumptions!$B$6,"",Assumptions!$B$5+INT((ROW()-2)/Assumptions!$B$7))</x:f>
        <x:v>46205</x:v>
      </x:c>
      <x:c r="B913" t="str">
        <x:f>IF($A913="","",INDEX(Assumptions!$D$5:$D$12,MOD(ROW()-2,Assumptions!$B$7)+1))</x:f>
        <x:v>LV-426 North</x:v>
      </x:c>
      <x:c r="C913" s="11" t="n">
        <x:f>IF($A913="","",INDEX(Assumptions!$F$5:$F$12,MATCH($B913,Assumptions!$D$5:$D$12,0)))</x:f>
        <x:v>930</x:v>
      </x:c>
      <x:c r="D913" s="11" t="n">
        <x:f>IF($A913="","",INDEX(Assumptions!$G$5:$G$12,MATCH($B913,Assumptions!$D$5:$D$12,0)))</x:f>
        <x:v>95</x:v>
      </x:c>
      <x:c r="E913" s="11" t="n">
        <x:f>IF($A913="","",INDEX(Assumptions!$M$5:$M$11,WEEKDAY($A913,2)))</x:f>
        <x:v>1</x:v>
      </x:c>
      <x:c r="F913" s="11" t="n">
        <x:f>IF($A913="","",Assumptions!$B$15)</x:f>
        <x:v>0.35</x:v>
      </x:c>
      <x:c r="G913" s="11" t="n">
        <x:f>IF($A913="","",MAX(INDEX(Assumptions!$H$5:$H$12,MATCH($B913,Assumptions!$D$5:$D$12,0)),MIN(INDEX(Assumptions!$I$5:$I$12,MATCH($B913,Assumptions!$D$5:$D$12,0)),($C913+$D913*SQRT(-2*LN(RAND()))*COS(2*PI()*RAND()))*$E913*$J913*$K913)))</x:f>
        <x:v>1057.03020094665</x:v>
      </x:c>
      <x:c r="H913" s="11" t="n">
        <x:f>IF($A913="","",$G913*$F913+$C913*(1-$F913))</x:f>
        <x:v>974.4605703313275</x:v>
      </x:c>
      <x:c r="I913" s="11" t="n">
        <x:f>IF($A913="","",AVERAGE($H913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935.249426638619</x:v>
      </x:c>
      <x:c r="J913" s="12" t="n">
        <x:f>IF($A913="","",1+SUMIFS(Assumptions!$S$5:$S$10,Assumptions!$P$5:$P$10,$B913,Assumptions!$Q$5:$Q$10,"&lt;="&amp;$A913,Assumptions!$R$5:$R$10,"&gt;="&amp;$A913))</x:f>
        <x:v>1</x:v>
      </x:c>
      <x:c r="K913" s="12" t="n">
        <x:f>IF($A913="","",1+((($A913-Assumptions!$B$5)/30)*INDEX(Assumptions!$J$5:$J$12,MATCH($B913,Assumptions!$D$5:$D$12,0))))</x:f>
        <x:v>0.9939333333333333</x:v>
      </x:c>
      <x:c r="L913" t="str">
        <x:f>IF($A913="","",IFERROR(INDEX(Assumptions!$O$5:$O$10,MATCH(1,(Assumptions!$P$5:$P$10=$B913)*(Assumptions!$Q$5:$Q$10&lt;=$A913)*(Assumptions!$R$5:$R$10&gt;=$A913),0)),""))</x:f>
      </x:c>
      <x:c r="M913" t="n">
        <x:f>--($A913&lt;&gt;"")</x:f>
        <x:v>1</x:v>
      </x:c>
    </x:row>
    <x:row r="914">
      <x:c r="A914" s="10" t="n">
        <x:f>IF(Assumptions!$B$5+INT((ROW()-2)/Assumptions!$B$7)&gt;Assumptions!$B$6,"",Assumptions!$B$5+INT((ROW()-2)/Assumptions!$B$7))</x:f>
        <x:v>46205</x:v>
      </x:c>
      <x:c r="B914" t="str">
        <x:f>IF($A914="","",INDEX(Assumptions!$D$5:$D$12,MOD(ROW()-2,Assumptions!$B$7)+1))</x:f>
        <x:v>Nostromo Deep</x:v>
      </x:c>
      <x:c r="C914" s="11" t="n">
        <x:f>IF($A914="","",INDEX(Assumptions!$F$5:$F$12,MATCH($B914,Assumptions!$D$5:$D$12,0)))</x:f>
        <x:v>1260</x:v>
      </x:c>
      <x:c r="D914" s="11" t="n">
        <x:f>IF($A914="","",INDEX(Assumptions!$G$5:$G$12,MATCH($B914,Assumptions!$D$5:$D$12,0)))</x:f>
        <x:v>145</x:v>
      </x:c>
      <x:c r="E914" s="11" t="n">
        <x:f>IF($A914="","",INDEX(Assumptions!$M$5:$M$11,WEEKDAY($A914,2)))</x:f>
        <x:v>1</x:v>
      </x:c>
      <x:c r="F914" s="11" t="n">
        <x:f>IF($A914="","",Assumptions!$B$15)</x:f>
        <x:v>0.35</x:v>
      </x:c>
      <x:c r="G914" s="11" t="n">
        <x:f>IF($A914="","",MAX(INDEX(Assumptions!$H$5:$H$12,MATCH($B914,Assumptions!$D$5:$D$12,0)),MIN(INDEX(Assumptions!$I$5:$I$12,MATCH($B914,Assumptions!$D$5:$D$12,0)),($C914+$D914*SQRT(-2*LN(RAND()))*COS(2*PI()*RAND()))*$E914*$J914*$K914)))</x:f>
        <x:v>1209.047197196557</x:v>
      </x:c>
      <x:c r="H914" s="11" t="n">
        <x:f>IF($A914="","",$G914*$F914+$C914*(1-$F914))</x:f>
        <x:v>1242.1665190187948</x:v>
      </x:c>
      <x:c r="I914" s="11" t="n">
        <x:f>IF($A914="","",AVERAGE($H914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1304.7669752468423</x:v>
      </x:c>
      <x:c r="J914" s="12" t="n">
        <x:f>IF($A914="","",1+SUMIFS(Assumptions!$S$5:$S$10,Assumptions!$P$5:$P$10,$B914,Assumptions!$Q$5:$Q$10,"&lt;="&amp;$A914,Assumptions!$R$5:$R$10,"&gt;="&amp;$A914))</x:f>
        <x:v>1</x:v>
      </x:c>
      <x:c r="K914" s="12" t="n">
        <x:f>IF($A914="","",1+((($A914-Assumptions!$B$5)/30)*INDEX(Assumptions!$J$5:$J$12,MATCH($B914,Assumptions!$D$5:$D$12,0))))</x:f>
        <x:v>1.0182</x:v>
      </x:c>
      <x:c r="L914" t="str">
        <x:f>IF($A914="","",IFERROR(INDEX(Assumptions!$O$5:$O$10,MATCH(1,(Assumptions!$P$5:$P$10=$B914)*(Assumptions!$Q$5:$Q$10&lt;=$A914)*(Assumptions!$R$5:$R$10&gt;=$A914),0)),""))</x:f>
      </x:c>
      <x:c r="M914" t="n">
        <x:f>--($A914&lt;&gt;"")</x:f>
        <x:v>1</x:v>
      </x:c>
    </x:row>
    <x:row r="915">
      <x:c r="A915" s="10" t="n">
        <x:f>IF(Assumptions!$B$5+INT((ROW()-2)/Assumptions!$B$7)&gt;Assumptions!$B$6,"",Assumptions!$B$5+INT((ROW()-2)/Assumptions!$B$7))</x:f>
        <x:v>46205</x:v>
      </x:c>
      <x:c r="B915" t="str">
        <x:f>IF($A915="","",INDEX(Assumptions!$D$5:$D$12,MOD(ROW()-2,Assumptions!$B$7)+1))</x:f>
        <x:v>Hadley's Hope</x:v>
      </x:c>
      <x:c r="C915" s="11" t="n">
        <x:f>IF($A915="","",INDEX(Assumptions!$F$5:$F$12,MATCH($B915,Assumptions!$D$5:$D$12,0)))</x:f>
        <x:v>845</x:v>
      </x:c>
      <x:c r="D915" s="11" t="n">
        <x:f>IF($A915="","",INDEX(Assumptions!$G$5:$G$12,MATCH($B915,Assumptions!$D$5:$D$12,0)))</x:f>
        <x:v>80</x:v>
      </x:c>
      <x:c r="E915" s="11" t="n">
        <x:f>IF($A915="","",INDEX(Assumptions!$M$5:$M$11,WEEKDAY($A915,2)))</x:f>
        <x:v>1</x:v>
      </x:c>
      <x:c r="F915" s="11" t="n">
        <x:f>IF($A915="","",Assumptions!$B$15)</x:f>
        <x:v>0.35</x:v>
      </x:c>
      <x:c r="G915" s="11" t="n">
        <x:f>IF($A915="","",MAX(INDEX(Assumptions!$H$5:$H$12,MATCH($B915,Assumptions!$D$5:$D$12,0)),MIN(INDEX(Assumptions!$I$5:$I$12,MATCH($B915,Assumptions!$D$5:$D$12,0)),($C915+$D915*SQRT(-2*LN(RAND()))*COS(2*PI()*RAND()))*$E915*$J915*$K915)))</x:f>
        <x:v>779.2709619314925</x:v>
      </x:c>
      <x:c r="H915" s="11" t="n">
        <x:f>IF($A915="","",$G915*$F915+$C915*(1-$F915))</x:f>
        <x:v>821.9948366760224</x:v>
      </x:c>
      <x:c r="I915" s="11" t="n">
        <x:f>IF($A915="","",AVERAGE($H915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835.2478626611183</x:v>
      </x:c>
      <x:c r="J915" s="12" t="n">
        <x:f>IF($A915="","",1+SUMIFS(Assumptions!$S$5:$S$10,Assumptions!$P$5:$P$10,$B915,Assumptions!$Q$5:$Q$10,"&lt;="&amp;$A915,Assumptions!$R$5:$R$10,"&gt;="&amp;$A915))</x:f>
        <x:v>0.88</x:v>
      </x:c>
      <x:c r="K915" s="12" t="n">
        <x:f>IF($A915="","",1+((($A915-Assumptions!$B$5)/30)*INDEX(Assumptions!$J$5:$J$12,MATCH($B915,Assumptions!$D$5:$D$12,0))))</x:f>
        <x:v>1.0060666666666667</x:v>
      </x:c>
      <x:c r="L915" t="str">
        <x:f>IF($A915="","",IFERROR(INDEX(Assumptions!$O$5:$O$10,MATCH(1,(Assumptions!$P$5:$P$10=$B915)*(Assumptions!$Q$5:$Q$10&lt;=$A915)*(Assumptions!$R$5:$R$10&gt;=$A915),0)),""))</x:f>
        <x:v>Crew rotation</x:v>
      </x:c>
      <x:c r="M915" t="n">
        <x:f>--($A915&lt;&gt;"")</x:f>
        <x:v>1</x:v>
      </x:c>
    </x:row>
    <x:row r="916">
      <x:c r="A916" s="10" t="n">
        <x:f>IF(Assumptions!$B$5+INT((ROW()-2)/Assumptions!$B$7)&gt;Assumptions!$B$6,"",Assumptions!$B$5+INT((ROW()-2)/Assumptions!$B$7))</x:f>
        <x:v>46205</x:v>
      </x:c>
      <x:c r="B916" t="str">
        <x:f>IF($A916="","",INDEX(Assumptions!$D$5:$D$12,MOD(ROW()-2,Assumptions!$B$7)+1))</x:f>
        <x:v>Yutani Ridge</x:v>
      </x:c>
      <x:c r="C916" s="11" t="n">
        <x:f>IF($A916="","",INDEX(Assumptions!$F$5:$F$12,MATCH($B916,Assumptions!$D$5:$D$12,0)))</x:f>
        <x:v>1050</x:v>
      </x:c>
      <x:c r="D916" s="11" t="n">
        <x:f>IF($A916="","",INDEX(Assumptions!$G$5:$G$12,MATCH($B916,Assumptions!$D$5:$D$12,0)))</x:f>
        <x:v>125</x:v>
      </x:c>
      <x:c r="E916" s="11" t="n">
        <x:f>IF($A916="","",INDEX(Assumptions!$M$5:$M$11,WEEKDAY($A916,2)))</x:f>
        <x:v>1</x:v>
      </x:c>
      <x:c r="F916" s="11" t="n">
        <x:f>IF($A916="","",Assumptions!$B$15)</x:f>
        <x:v>0.35</x:v>
      </x:c>
      <x:c r="G916" s="11" t="n">
        <x:f>IF($A916="","",MAX(INDEX(Assumptions!$H$5:$H$12,MATCH($B916,Assumptions!$D$5:$D$12,0)),MIN(INDEX(Assumptions!$I$5:$I$12,MATCH($B916,Assumptions!$D$5:$D$12,0)),($C916+$D916*SQRT(-2*LN(RAND()))*COS(2*PI()*RAND()))*$E916*$J916*$K916)))</x:f>
        <x:v>1084.677350106878</x:v>
      </x:c>
      <x:c r="H916" s="11" t="n">
        <x:f>IF($A916="","",$G916*$F916+$C916*(1-$F916))</x:f>
        <x:v>1062.1370725374072</x:v>
      </x:c>
      <x:c r="I916" s="11" t="n">
        <x:f>IF($A916="","",AVERAGE($H916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1017.2524017018656</x:v>
      </x:c>
      <x:c r="J916" s="12" t="n">
        <x:f>IF($A916="","",1+SUMIFS(Assumptions!$S$5:$S$10,Assumptions!$P$5:$P$10,$B916,Assumptions!$Q$5:$Q$10,"&lt;="&amp;$A916,Assumptions!$R$5:$R$10,"&gt;="&amp;$A916))</x:f>
        <x:v>1</x:v>
      </x:c>
      <x:c r="K916" s="12" t="n">
        <x:f>IF($A916="","",1+((($A916-Assumptions!$B$5)/30)*INDEX(Assumptions!$J$5:$J$12,MATCH($B916,Assumptions!$D$5:$D$12,0))))</x:f>
        <x:v>1.0151666666666668</x:v>
      </x:c>
      <x:c r="L916" t="str">
        <x:f>IF($A916="","",IFERROR(INDEX(Assumptions!$O$5:$O$10,MATCH(1,(Assumptions!$P$5:$P$10=$B916)*(Assumptions!$Q$5:$Q$10&lt;=$A916)*(Assumptions!$R$5:$R$10&gt;=$A916),0)),""))</x:f>
      </x:c>
      <x:c r="M916" t="n">
        <x:f>--($A916&lt;&gt;"")</x:f>
        <x:v>1</x:v>
      </x:c>
    </x:row>
    <x:row r="917">
      <x:c r="A917" s="10" t="n">
        <x:f>IF(Assumptions!$B$5+INT((ROW()-2)/Assumptions!$B$7)&gt;Assumptions!$B$6,"",Assumptions!$B$5+INT((ROW()-2)/Assumptions!$B$7))</x:f>
        <x:v>46206</x:v>
      </x:c>
      <x:c r="B917" t="str">
        <x:f>IF($A917="","",INDEX(Assumptions!$D$5:$D$12,MOD(ROW()-2,Assumptions!$B$7)+1))</x:f>
        <x:v>Acheron Prime</x:v>
      </x:c>
      <x:c r="C917" s="11" t="n">
        <x:f>IF($A917="","",INDEX(Assumptions!$F$5:$F$12,MATCH($B917,Assumptions!$D$5:$D$12,0)))</x:f>
        <x:v>1120</x:v>
      </x:c>
      <x:c r="D917" s="11" t="n">
        <x:f>IF($A917="","",INDEX(Assumptions!$G$5:$G$12,MATCH($B917,Assumptions!$D$5:$D$12,0)))</x:f>
        <x:v>115</x:v>
      </x:c>
      <x:c r="E917" s="11" t="n">
        <x:f>IF($A917="","",INDEX(Assumptions!$M$5:$M$11,WEEKDAY($A917,2)))</x:f>
        <x:v>0.98</x:v>
      </x:c>
      <x:c r="F917" s="11" t="n">
        <x:f>IF($A917="","",Assumptions!$B$15)</x:f>
        <x:v>0.35</x:v>
      </x:c>
      <x:c r="G917" s="11" t="n">
        <x:f>IF($A917="","",MAX(INDEX(Assumptions!$H$5:$H$12,MATCH($B917,Assumptions!$D$5:$D$12,0)),MIN(INDEX(Assumptions!$I$5:$I$12,MATCH($B917,Assumptions!$D$5:$D$12,0)),($C917+$D917*SQRT(-2*LN(RAND()))*COS(2*PI()*RAND()))*$E917*$J917*$K917)))</x:f>
        <x:v>986.3612718730608</x:v>
      </x:c>
      <x:c r="H917" s="11" t="n">
        <x:f>IF($A917="","",$G917*$F917+$C917*(1-$F917))</x:f>
        <x:v>1073.2264451555711</x:v>
      </x:c>
      <x:c r="I917" s="11" t="n">
        <x:f>IF($A917="","",AVERAGE($H917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1127.3560212171517</x:v>
      </x:c>
      <x:c r="J917" s="12" t="n">
        <x:f>IF($A917="","",1+SUMIFS(Assumptions!$S$5:$S$10,Assumptions!$P$5:$P$10,$B917,Assumptions!$Q$5:$Q$10,"&lt;="&amp;$A917,Assumptions!$R$5:$R$10,"&gt;="&amp;$A917))</x:f>
        <x:v>1</x:v>
      </x:c>
      <x:c r="K917" s="12" t="n">
        <x:f>IF($A917="","",1+((($A917-Assumptions!$B$5)/30)*INDEX(Assumptions!$J$5:$J$12,MATCH($B917,Assumptions!$D$5:$D$12,0))))</x:f>
        <x:v>1.0122</x:v>
      </x:c>
      <x:c r="L917" t="str">
        <x:f>IF($A917="","",IFERROR(INDEX(Assumptions!$O$5:$O$10,MATCH(1,(Assumptions!$P$5:$P$10=$B917)*(Assumptions!$Q$5:$Q$10&lt;=$A917)*(Assumptions!$R$5:$R$10&gt;=$A917),0)),""))</x:f>
      </x:c>
      <x:c r="M917" t="n">
        <x:f>--($A917&lt;&gt;"")</x:f>
        <x:v>1</x:v>
      </x:c>
    </x:row>
    <x:row r="918">
      <x:c r="A918" s="10" t="n">
        <x:f>IF(Assumptions!$B$5+INT((ROW()-2)/Assumptions!$B$7)&gt;Assumptions!$B$6,"",Assumptions!$B$5+INT((ROW()-2)/Assumptions!$B$7))</x:f>
        <x:v>46206</x:v>
      </x:c>
      <x:c r="B918" t="str">
        <x:f>IF($A918="","",INDEX(Assumptions!$D$5:$D$12,MOD(ROW()-2,Assumptions!$B$7)+1))</x:f>
        <x:v>LV-426 North</x:v>
      </x:c>
      <x:c r="C918" s="11" t="n">
        <x:f>IF($A918="","",INDEX(Assumptions!$F$5:$F$12,MATCH($B918,Assumptions!$D$5:$D$12,0)))</x:f>
        <x:v>930</x:v>
      </x:c>
      <x:c r="D918" s="11" t="n">
        <x:f>IF($A918="","",INDEX(Assumptions!$G$5:$G$12,MATCH($B918,Assumptions!$D$5:$D$12,0)))</x:f>
        <x:v>95</x:v>
      </x:c>
      <x:c r="E918" s="11" t="n">
        <x:f>IF($A918="","",INDEX(Assumptions!$M$5:$M$11,WEEKDAY($A918,2)))</x:f>
        <x:v>0.98</x:v>
      </x:c>
      <x:c r="F918" s="11" t="n">
        <x:f>IF($A918="","",Assumptions!$B$15)</x:f>
        <x:v>0.35</x:v>
      </x:c>
      <x:c r="G918" s="11" t="n">
        <x:f>IF($A918="","",MAX(INDEX(Assumptions!$H$5:$H$12,MATCH($B918,Assumptions!$D$5:$D$12,0)),MIN(INDEX(Assumptions!$I$5:$I$12,MATCH($B918,Assumptions!$D$5:$D$12,0)),($C918+$D918*SQRT(-2*LN(RAND()))*COS(2*PI()*RAND()))*$E918*$J918*$K918)))</x:f>
        <x:v>872.7556841930117</x:v>
      </x:c>
      <x:c r="H918" s="11" t="n">
        <x:f>IF($A918="","",$G918*$F918+$C918*(1-$F918))</x:f>
        <x:v>909.9644894675541</x:v>
      </x:c>
      <x:c r="I918" s="11" t="n">
        <x:f>IF($A918="","",AVERAGE($H918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930.2276791804601</x:v>
      </x:c>
      <x:c r="J918" s="12" t="n">
        <x:f>IF($A918="","",1+SUMIFS(Assumptions!$S$5:$S$10,Assumptions!$P$5:$P$10,$B918,Assumptions!$Q$5:$Q$10,"&lt;="&amp;$A918,Assumptions!$R$5:$R$10,"&gt;="&amp;$A918))</x:f>
        <x:v>1</x:v>
      </x:c>
      <x:c r="K918" s="12" t="n">
        <x:f>IF($A918="","",1+((($A918-Assumptions!$B$5)/30)*INDEX(Assumptions!$J$5:$J$12,MATCH($B918,Assumptions!$D$5:$D$12,0))))</x:f>
        <x:v>0.9939</x:v>
      </x:c>
      <x:c r="L918" t="str">
        <x:f>IF($A918="","",IFERROR(INDEX(Assumptions!$O$5:$O$10,MATCH(1,(Assumptions!$P$5:$P$10=$B918)*(Assumptions!$Q$5:$Q$10&lt;=$A918)*(Assumptions!$R$5:$R$10&gt;=$A918),0)),""))</x:f>
      </x:c>
      <x:c r="M918" t="n">
        <x:f>--($A918&lt;&gt;"")</x:f>
        <x:v>1</x:v>
      </x:c>
    </x:row>
    <x:row r="919">
      <x:c r="A919" s="10" t="n">
        <x:f>IF(Assumptions!$B$5+INT((ROW()-2)/Assumptions!$B$7)&gt;Assumptions!$B$6,"",Assumptions!$B$5+INT((ROW()-2)/Assumptions!$B$7))</x:f>
        <x:v>46206</x:v>
      </x:c>
      <x:c r="B919" t="str">
        <x:f>IF($A919="","",INDEX(Assumptions!$D$5:$D$12,MOD(ROW()-2,Assumptions!$B$7)+1))</x:f>
        <x:v>Nostromo Deep</x:v>
      </x:c>
      <x:c r="C919" s="11" t="n">
        <x:f>IF($A919="","",INDEX(Assumptions!$F$5:$F$12,MATCH($B919,Assumptions!$D$5:$D$12,0)))</x:f>
        <x:v>1260</x:v>
      </x:c>
      <x:c r="D919" s="11" t="n">
        <x:f>IF($A919="","",INDEX(Assumptions!$G$5:$G$12,MATCH($B919,Assumptions!$D$5:$D$12,0)))</x:f>
        <x:v>145</x:v>
      </x:c>
      <x:c r="E919" s="11" t="n">
        <x:f>IF($A919="","",INDEX(Assumptions!$M$5:$M$11,WEEKDAY($A919,2)))</x:f>
        <x:v>0.98</x:v>
      </x:c>
      <x:c r="F919" s="11" t="n">
        <x:f>IF($A919="","",Assumptions!$B$15)</x:f>
        <x:v>0.35</x:v>
      </x:c>
      <x:c r="G919" s="11" t="n">
        <x:f>IF($A919="","",MAX(INDEX(Assumptions!$H$5:$H$12,MATCH($B919,Assumptions!$D$5:$D$12,0)),MIN(INDEX(Assumptions!$I$5:$I$12,MATCH($B919,Assumptions!$D$5:$D$12,0)),($C919+$D919*SQRT(-2*LN(RAND()))*COS(2*PI()*RAND()))*$E919*$J919*$K919)))</x:f>
        <x:v>1418.9916256015874</x:v>
      </x:c>
      <x:c r="H919" s="11" t="n">
        <x:f>IF($A919="","",$G919*$F919+$C919*(1-$F919))</x:f>
        <x:v>1315.6470689605555</x:v>
      </x:c>
      <x:c r="I919" s="11" t="n">
        <x:f>IF($A919="","",AVERAGE($H919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1309.308283852424</x:v>
      </x:c>
      <x:c r="J919" s="12" t="n">
        <x:f>IF($A919="","",1+SUMIFS(Assumptions!$S$5:$S$10,Assumptions!$P$5:$P$10,$B919,Assumptions!$Q$5:$Q$10,"&lt;="&amp;$A919,Assumptions!$R$5:$R$10,"&gt;="&amp;$A919))</x:f>
        <x:v>1</x:v>
      </x:c>
      <x:c r="K919" s="12" t="n">
        <x:f>IF($A919="","",1+((($A919-Assumptions!$B$5)/30)*INDEX(Assumptions!$J$5:$J$12,MATCH($B919,Assumptions!$D$5:$D$12,0))))</x:f>
        <x:v>1.0183</x:v>
      </x:c>
      <x:c r="L919" t="str">
        <x:f>IF($A919="","",IFERROR(INDEX(Assumptions!$O$5:$O$10,MATCH(1,(Assumptions!$P$5:$P$10=$B919)*(Assumptions!$Q$5:$Q$10&lt;=$A919)*(Assumptions!$R$5:$R$10&gt;=$A919),0)),""))</x:f>
      </x:c>
      <x:c r="M919" t="n">
        <x:f>--($A919&lt;&gt;"")</x:f>
        <x:v>1</x:v>
      </x:c>
    </x:row>
    <x:row r="920">
      <x:c r="A920" s="10" t="n">
        <x:f>IF(Assumptions!$B$5+INT((ROW()-2)/Assumptions!$B$7)&gt;Assumptions!$B$6,"",Assumptions!$B$5+INT((ROW()-2)/Assumptions!$B$7))</x:f>
        <x:v>46206</x:v>
      </x:c>
      <x:c r="B920" t="str">
        <x:f>IF($A920="","",INDEX(Assumptions!$D$5:$D$12,MOD(ROW()-2,Assumptions!$B$7)+1))</x:f>
        <x:v>Hadley's Hope</x:v>
      </x:c>
      <x:c r="C920" s="11" t="n">
        <x:f>IF($A920="","",INDEX(Assumptions!$F$5:$F$12,MATCH($B920,Assumptions!$D$5:$D$12,0)))</x:f>
        <x:v>845</x:v>
      </x:c>
      <x:c r="D920" s="11" t="n">
        <x:f>IF($A920="","",INDEX(Assumptions!$G$5:$G$12,MATCH($B920,Assumptions!$D$5:$D$12,0)))</x:f>
        <x:v>80</x:v>
      </x:c>
      <x:c r="E920" s="11" t="n">
        <x:f>IF($A920="","",INDEX(Assumptions!$M$5:$M$11,WEEKDAY($A920,2)))</x:f>
        <x:v>0.98</x:v>
      </x:c>
      <x:c r="F920" s="11" t="n">
        <x:f>IF($A920="","",Assumptions!$B$15)</x:f>
        <x:v>0.35</x:v>
      </x:c>
      <x:c r="G920" s="11" t="n">
        <x:f>IF($A920="","",MAX(INDEX(Assumptions!$H$5:$H$12,MATCH($B920,Assumptions!$D$5:$D$12,0)),MIN(INDEX(Assumptions!$I$5:$I$12,MATCH($B920,Assumptions!$D$5:$D$12,0)),($C920+$D920*SQRT(-2*LN(RAND()))*COS(2*PI()*RAND()))*$E920*$J920*$K920)))</x:f>
        <x:v>616.7013227063952</x:v>
      </x:c>
      <x:c r="H920" s="11" t="n">
        <x:f>IF($A920="","",$G920*$F920+$C920*(1-$F920))</x:f>
        <x:v>765.0954629472383</x:v>
      </x:c>
      <x:c r="I920" s="11" t="n">
        <x:f>IF($A920="","",AVERAGE($H920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816.5030100954992</x:v>
      </x:c>
      <x:c r="J920" s="12" t="n">
        <x:f>IF($A920="","",1+SUMIFS(Assumptions!$S$5:$S$10,Assumptions!$P$5:$P$10,$B920,Assumptions!$Q$5:$Q$10,"&lt;="&amp;$A920,Assumptions!$R$5:$R$10,"&gt;="&amp;$A920))</x:f>
        <x:v>0.88</x:v>
      </x:c>
      <x:c r="K920" s="12" t="n">
        <x:f>IF($A920="","",1+((($A920-Assumptions!$B$5)/30)*INDEX(Assumptions!$J$5:$J$12,MATCH($B920,Assumptions!$D$5:$D$12,0))))</x:f>
        <x:v>1.0061</x:v>
      </x:c>
      <x:c r="L920" t="str">
        <x:f>IF($A920="","",IFERROR(INDEX(Assumptions!$O$5:$O$10,MATCH(1,(Assumptions!$P$5:$P$10=$B920)*(Assumptions!$Q$5:$Q$10&lt;=$A920)*(Assumptions!$R$5:$R$10&gt;=$A920),0)),""))</x:f>
        <x:v>Crew rotation</x:v>
      </x:c>
      <x:c r="M920" t="n">
        <x:f>--($A920&lt;&gt;"")</x:f>
        <x:v>1</x:v>
      </x:c>
    </x:row>
    <x:row r="921">
      <x:c r="A921" s="10" t="n">
        <x:f>IF(Assumptions!$B$5+INT((ROW()-2)/Assumptions!$B$7)&gt;Assumptions!$B$6,"",Assumptions!$B$5+INT((ROW()-2)/Assumptions!$B$7))</x:f>
        <x:v>46206</x:v>
      </x:c>
      <x:c r="B921" t="str">
        <x:f>IF($A921="","",INDEX(Assumptions!$D$5:$D$12,MOD(ROW()-2,Assumptions!$B$7)+1))</x:f>
        <x:v>Yutani Ridge</x:v>
      </x:c>
      <x:c r="C921" s="11" t="n">
        <x:f>IF($A921="","",INDEX(Assumptions!$F$5:$F$12,MATCH($B921,Assumptions!$D$5:$D$12,0)))</x:f>
        <x:v>1050</x:v>
      </x:c>
      <x:c r="D921" s="11" t="n">
        <x:f>IF($A921="","",INDEX(Assumptions!$G$5:$G$12,MATCH($B921,Assumptions!$D$5:$D$12,0)))</x:f>
        <x:v>125</x:v>
      </x:c>
      <x:c r="E921" s="11" t="n">
        <x:f>IF($A921="","",INDEX(Assumptions!$M$5:$M$11,WEEKDAY($A921,2)))</x:f>
        <x:v>0.98</x:v>
      </x:c>
      <x:c r="F921" s="11" t="n">
        <x:f>IF($A921="","",Assumptions!$B$15)</x:f>
        <x:v>0.35</x:v>
      </x:c>
      <x:c r="G921" s="11" t="n">
        <x:f>IF($A921="","",MAX(INDEX(Assumptions!$H$5:$H$12,MATCH($B921,Assumptions!$D$5:$D$12,0)),MIN(INDEX(Assumptions!$I$5:$I$12,MATCH($B921,Assumptions!$D$5:$D$12,0)),($C921+$D921*SQRT(-2*LN(RAND()))*COS(2*PI()*RAND()))*$E921*$J921*$K921)))</x:f>
        <x:v>882.4938765999149</x:v>
      </x:c>
      <x:c r="H921" s="11" t="n">
        <x:f>IF($A921="","",$G921*$F921+$C921*(1-$F921))</x:f>
        <x:v>991.3728568099702</x:v>
      </x:c>
      <x:c r="I921" s="11" t="n">
        <x:f>IF($A921="","",AVERAGE($H921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1010.4561403885995</x:v>
      </x:c>
      <x:c r="J921" s="12" t="n">
        <x:f>IF($A921="","",1+SUMIFS(Assumptions!$S$5:$S$10,Assumptions!$P$5:$P$10,$B921,Assumptions!$Q$5:$Q$10,"&lt;="&amp;$A921,Assumptions!$R$5:$R$10,"&gt;="&amp;$A921))</x:f>
        <x:v>1</x:v>
      </x:c>
      <x:c r="K921" s="12" t="n">
        <x:f>IF($A921="","",1+((($A921-Assumptions!$B$5)/30)*INDEX(Assumptions!$J$5:$J$12,MATCH($B921,Assumptions!$D$5:$D$12,0))))</x:f>
        <x:v>1.01525</x:v>
      </x:c>
      <x:c r="L921" t="str">
        <x:f>IF($A921="","",IFERROR(INDEX(Assumptions!$O$5:$O$10,MATCH(1,(Assumptions!$P$5:$P$10=$B921)*(Assumptions!$Q$5:$Q$10&lt;=$A921)*(Assumptions!$R$5:$R$10&gt;=$A921),0)),""))</x:f>
      </x:c>
      <x:c r="M921" t="n">
        <x:f>--($A921&lt;&gt;"")</x:f>
        <x:v>1</x:v>
      </x:c>
    </x:row>
    <x:row r="922">
      <x:c r="A922" s="10" t="n">
        <x:f>IF(Assumptions!$B$5+INT((ROW()-2)/Assumptions!$B$7)&gt;Assumptions!$B$6,"",Assumptions!$B$5+INT((ROW()-2)/Assumptions!$B$7))</x:f>
        <x:v>46207</x:v>
      </x:c>
      <x:c r="B922" t="str">
        <x:f>IF($A922="","",INDEX(Assumptions!$D$5:$D$12,MOD(ROW()-2,Assumptions!$B$7)+1))</x:f>
        <x:v>Acheron Prime</x:v>
      </x:c>
      <x:c r="C922" s="11" t="n">
        <x:f>IF($A922="","",INDEX(Assumptions!$F$5:$F$12,MATCH($B922,Assumptions!$D$5:$D$12,0)))</x:f>
        <x:v>1120</x:v>
      </x:c>
      <x:c r="D922" s="11" t="n">
        <x:f>IF($A922="","",INDEX(Assumptions!$G$5:$G$12,MATCH($B922,Assumptions!$D$5:$D$12,0)))</x:f>
        <x:v>115</x:v>
      </x:c>
      <x:c r="E922" s="11" t="n">
        <x:f>IF($A922="","",INDEX(Assumptions!$M$5:$M$11,WEEKDAY($A922,2)))</x:f>
        <x:v>0.91</x:v>
      </x:c>
      <x:c r="F922" s="11" t="n">
        <x:f>IF($A922="","",Assumptions!$B$15)</x:f>
        <x:v>0.35</x:v>
      </x:c>
      <x:c r="G922" s="11" t="n">
        <x:f>IF($A922="","",MAX(INDEX(Assumptions!$H$5:$H$12,MATCH($B922,Assumptions!$D$5:$D$12,0)),MIN(INDEX(Assumptions!$I$5:$I$12,MATCH($B922,Assumptions!$D$5:$D$12,0)),($C922+$D922*SQRT(-2*LN(RAND()))*COS(2*PI()*RAND()))*$E922*$J922*$K922)))</x:f>
        <x:v>1125.3753045675708</x:v>
      </x:c>
      <x:c r="H922" s="11" t="n">
        <x:f>IF($A922="","",$G922*$F922+$C922*(1-$F922))</x:f>
        <x:v>1121.8813565986497</x:v>
      </x:c>
      <x:c r="I922" s="11" t="n">
        <x:f>IF($A922="","",AVERAGE($H922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1127.587997826829</x:v>
      </x:c>
      <x:c r="J922" s="12" t="n">
        <x:f>IF($A922="","",1+SUMIFS(Assumptions!$S$5:$S$10,Assumptions!$P$5:$P$10,$B922,Assumptions!$Q$5:$Q$10,"&lt;="&amp;$A922,Assumptions!$R$5:$R$10,"&gt;="&amp;$A922))</x:f>
        <x:v>1</x:v>
      </x:c>
      <x:c r="K922" s="12" t="n">
        <x:f>IF($A922="","",1+((($A922-Assumptions!$B$5)/30)*INDEX(Assumptions!$J$5:$J$12,MATCH($B922,Assumptions!$D$5:$D$12,0))))</x:f>
        <x:v>1.0122666666666666</x:v>
      </x:c>
      <x:c r="L922" t="str">
        <x:f>IF($A922="","",IFERROR(INDEX(Assumptions!$O$5:$O$10,MATCH(1,(Assumptions!$P$5:$P$10=$B922)*(Assumptions!$Q$5:$Q$10&lt;=$A922)*(Assumptions!$R$5:$R$10&gt;=$A922),0)),""))</x:f>
      </x:c>
      <x:c r="M922" t="n">
        <x:f>--($A922&lt;&gt;"")</x:f>
        <x:v>1</x:v>
      </x:c>
    </x:row>
    <x:row r="923">
      <x:c r="A923" s="10" t="n">
        <x:f>IF(Assumptions!$B$5+INT((ROW()-2)/Assumptions!$B$7)&gt;Assumptions!$B$6,"",Assumptions!$B$5+INT((ROW()-2)/Assumptions!$B$7))</x:f>
        <x:v>46207</x:v>
      </x:c>
      <x:c r="B923" t="str">
        <x:f>IF($A923="","",INDEX(Assumptions!$D$5:$D$12,MOD(ROW()-2,Assumptions!$B$7)+1))</x:f>
        <x:v>LV-426 North</x:v>
      </x:c>
      <x:c r="C923" s="11" t="n">
        <x:f>IF($A923="","",INDEX(Assumptions!$F$5:$F$12,MATCH($B923,Assumptions!$D$5:$D$12,0)))</x:f>
        <x:v>930</x:v>
      </x:c>
      <x:c r="D923" s="11" t="n">
        <x:f>IF($A923="","",INDEX(Assumptions!$G$5:$G$12,MATCH($B923,Assumptions!$D$5:$D$12,0)))</x:f>
        <x:v>95</x:v>
      </x:c>
      <x:c r="E923" s="11" t="n">
        <x:f>IF($A923="","",INDEX(Assumptions!$M$5:$M$11,WEEKDAY($A923,2)))</x:f>
        <x:v>0.91</x:v>
      </x:c>
      <x:c r="F923" s="11" t="n">
        <x:f>IF($A923="","",Assumptions!$B$15)</x:f>
        <x:v>0.35</x:v>
      </x:c>
      <x:c r="G923" s="11" t="n">
        <x:f>IF($A923="","",MAX(INDEX(Assumptions!$H$5:$H$12,MATCH($B923,Assumptions!$D$5:$D$12,0)),MIN(INDEX(Assumptions!$I$5:$I$12,MATCH($B923,Assumptions!$D$5:$D$12,0)),($C923+$D923*SQRT(-2*LN(RAND()))*COS(2*PI()*RAND()))*$E923*$J923*$K923)))</x:f>
        <x:v>838.5125664535177</x:v>
      </x:c>
      <x:c r="H923" s="11" t="n">
        <x:f>IF($A923="","",$G923*$F923+$C923*(1-$F923))</x:f>
        <x:v>897.9793982587312</x:v>
      </x:c>
      <x:c r="I923" s="11" t="n">
        <x:f>IF($A923="","",AVERAGE($H923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931.3668177650034</x:v>
      </x:c>
      <x:c r="J923" s="12" t="n">
        <x:f>IF($A923="","",1+SUMIFS(Assumptions!$S$5:$S$10,Assumptions!$P$5:$P$10,$B923,Assumptions!$Q$5:$Q$10,"&lt;="&amp;$A923,Assumptions!$R$5:$R$10,"&gt;="&amp;$A923))</x:f>
        <x:v>1</x:v>
      </x:c>
      <x:c r="K923" s="12" t="n">
        <x:f>IF($A923="","",1+((($A923-Assumptions!$B$5)/30)*INDEX(Assumptions!$J$5:$J$12,MATCH($B923,Assumptions!$D$5:$D$12,0))))</x:f>
        <x:v>0.9938666666666667</x:v>
      </x:c>
      <x:c r="L923" t="str">
        <x:f>IF($A923="","",IFERROR(INDEX(Assumptions!$O$5:$O$10,MATCH(1,(Assumptions!$P$5:$P$10=$B923)*(Assumptions!$Q$5:$Q$10&lt;=$A923)*(Assumptions!$R$5:$R$10&gt;=$A923),0)),""))</x:f>
      </x:c>
      <x:c r="M923" t="n">
        <x:f>--($A923&lt;&gt;"")</x:f>
        <x:v>1</x:v>
      </x:c>
    </x:row>
    <x:row r="924">
      <x:c r="A924" s="10" t="n">
        <x:f>IF(Assumptions!$B$5+INT((ROW()-2)/Assumptions!$B$7)&gt;Assumptions!$B$6,"",Assumptions!$B$5+INT((ROW()-2)/Assumptions!$B$7))</x:f>
        <x:v>46207</x:v>
      </x:c>
      <x:c r="B924" t="str">
        <x:f>IF($A924="","",INDEX(Assumptions!$D$5:$D$12,MOD(ROW()-2,Assumptions!$B$7)+1))</x:f>
        <x:v>Nostromo Deep</x:v>
      </x:c>
      <x:c r="C924" s="11" t="n">
        <x:f>IF($A924="","",INDEX(Assumptions!$F$5:$F$12,MATCH($B924,Assumptions!$D$5:$D$12,0)))</x:f>
        <x:v>1260</x:v>
      </x:c>
      <x:c r="D924" s="11" t="n">
        <x:f>IF($A924="","",INDEX(Assumptions!$G$5:$G$12,MATCH($B924,Assumptions!$D$5:$D$12,0)))</x:f>
        <x:v>145</x:v>
      </x:c>
      <x:c r="E924" s="11" t="n">
        <x:f>IF($A924="","",INDEX(Assumptions!$M$5:$M$11,WEEKDAY($A924,2)))</x:f>
        <x:v>0.91</x:v>
      </x:c>
      <x:c r="F924" s="11" t="n">
        <x:f>IF($A924="","",Assumptions!$B$15)</x:f>
        <x:v>0.35</x:v>
      </x:c>
      <x:c r="G924" s="11" t="n">
        <x:f>IF($A924="","",MAX(INDEX(Assumptions!$H$5:$H$12,MATCH($B924,Assumptions!$D$5:$D$12,0)),MIN(INDEX(Assumptions!$I$5:$I$12,MATCH($B924,Assumptions!$D$5:$D$12,0)),($C924+$D924*SQRT(-2*LN(RAND()))*COS(2*PI()*RAND()))*$E924*$J924*$K924)))</x:f>
        <x:v>1170.8887127824244</x:v>
      </x:c>
      <x:c r="H924" s="11" t="n">
        <x:f>IF($A924="","",$G924*$F924+$C924*(1-$F924))</x:f>
        <x:v>1228.8110494738485</x:v>
      </x:c>
      <x:c r="I924" s="11" t="n">
        <x:f>IF($A924="","",AVERAGE($H924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1298.9570552967414</x:v>
      </x:c>
      <x:c r="J924" s="12" t="n">
        <x:f>IF($A924="","",1+SUMIFS(Assumptions!$S$5:$S$10,Assumptions!$P$5:$P$10,$B924,Assumptions!$Q$5:$Q$10,"&lt;="&amp;$A924,Assumptions!$R$5:$R$10,"&gt;="&amp;$A924))</x:f>
        <x:v>1</x:v>
      </x:c>
      <x:c r="K924" s="12" t="n">
        <x:f>IF($A924="","",1+((($A924-Assumptions!$B$5)/30)*INDEX(Assumptions!$J$5:$J$12,MATCH($B924,Assumptions!$D$5:$D$12,0))))</x:f>
        <x:v>1.0184</x:v>
      </x:c>
      <x:c r="L924" t="str">
        <x:f>IF($A924="","",IFERROR(INDEX(Assumptions!$O$5:$O$10,MATCH(1,(Assumptions!$P$5:$P$10=$B924)*(Assumptions!$Q$5:$Q$10&lt;=$A924)*(Assumptions!$R$5:$R$10&gt;=$A924),0)),""))</x:f>
      </x:c>
      <x:c r="M924" t="n">
        <x:f>--($A924&lt;&gt;"")</x:f>
        <x:v>1</x:v>
      </x:c>
    </x:row>
    <x:row r="925">
      <x:c r="A925" s="10" t="n">
        <x:f>IF(Assumptions!$B$5+INT((ROW()-2)/Assumptions!$B$7)&gt;Assumptions!$B$6,"",Assumptions!$B$5+INT((ROW()-2)/Assumptions!$B$7))</x:f>
        <x:v>46207</x:v>
      </x:c>
      <x:c r="B925" t="str">
        <x:f>IF($A925="","",INDEX(Assumptions!$D$5:$D$12,MOD(ROW()-2,Assumptions!$B$7)+1))</x:f>
        <x:v>Hadley's Hope</x:v>
      </x:c>
      <x:c r="C925" s="11" t="n">
        <x:f>IF($A925="","",INDEX(Assumptions!$F$5:$F$12,MATCH($B925,Assumptions!$D$5:$D$12,0)))</x:f>
        <x:v>845</x:v>
      </x:c>
      <x:c r="D925" s="11" t="n">
        <x:f>IF($A925="","",INDEX(Assumptions!$G$5:$G$12,MATCH($B925,Assumptions!$D$5:$D$12,0)))</x:f>
        <x:v>80</x:v>
      </x:c>
      <x:c r="E925" s="11" t="n">
        <x:f>IF($A925="","",INDEX(Assumptions!$M$5:$M$11,WEEKDAY($A925,2)))</x:f>
        <x:v>0.91</x:v>
      </x:c>
      <x:c r="F925" s="11" t="n">
        <x:f>IF($A925="","",Assumptions!$B$15)</x:f>
        <x:v>0.35</x:v>
      </x:c>
      <x:c r="G925" s="11" t="n">
        <x:f>IF($A925="","",MAX(INDEX(Assumptions!$H$5:$H$12,MATCH($B925,Assumptions!$D$5:$D$12,0)),MIN(INDEX(Assumptions!$I$5:$I$12,MATCH($B925,Assumptions!$D$5:$D$12,0)),($C925+$D925*SQRT(-2*LN(RAND()))*COS(2*PI()*RAND()))*$E925*$J925*$K925)))</x:f>
        <x:v>614.2330985079908</x:v>
      </x:c>
      <x:c r="H925" s="11" t="n">
        <x:f>IF($A925="","",$G925*$F925+$C925*(1-$F925))</x:f>
        <x:v>764.2315844777968</x:v>
      </x:c>
      <x:c r="I925" s="11" t="n">
        <x:f>IF($A925="","",AVERAGE($H925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810.7498471466045</x:v>
      </x:c>
      <x:c r="J925" s="12" t="n">
        <x:f>IF($A925="","",1+SUMIFS(Assumptions!$S$5:$S$10,Assumptions!$P$5:$P$10,$B925,Assumptions!$Q$5:$Q$10,"&lt;="&amp;$A925,Assumptions!$R$5:$R$10,"&gt;="&amp;$A925))</x:f>
        <x:v>0.88</x:v>
      </x:c>
      <x:c r="K925" s="12" t="n">
        <x:f>IF($A925="","",1+((($A925-Assumptions!$B$5)/30)*INDEX(Assumptions!$J$5:$J$12,MATCH($B925,Assumptions!$D$5:$D$12,0))))</x:f>
        <x:v>1.0061333333333333</x:v>
      </x:c>
      <x:c r="L925" t="str">
        <x:f>IF($A925="","",IFERROR(INDEX(Assumptions!$O$5:$O$10,MATCH(1,(Assumptions!$P$5:$P$10=$B925)*(Assumptions!$Q$5:$Q$10&lt;=$A925)*(Assumptions!$R$5:$R$10&gt;=$A925),0)),""))</x:f>
        <x:v>Crew rotation</x:v>
      </x:c>
      <x:c r="M925" t="n">
        <x:f>--($A925&lt;&gt;"")</x:f>
        <x:v>1</x:v>
      </x:c>
    </x:row>
    <x:row r="926">
      <x:c r="A926" s="10" t="n">
        <x:f>IF(Assumptions!$B$5+INT((ROW()-2)/Assumptions!$B$7)&gt;Assumptions!$B$6,"",Assumptions!$B$5+INT((ROW()-2)/Assumptions!$B$7))</x:f>
        <x:v>46207</x:v>
      </x:c>
      <x:c r="B926" t="str">
        <x:f>IF($A926="","",INDEX(Assumptions!$D$5:$D$12,MOD(ROW()-2,Assumptions!$B$7)+1))</x:f>
        <x:v>Yutani Ridge</x:v>
      </x:c>
      <x:c r="C926" s="11" t="n">
        <x:f>IF($A926="","",INDEX(Assumptions!$F$5:$F$12,MATCH($B926,Assumptions!$D$5:$D$12,0)))</x:f>
        <x:v>1050</x:v>
      </x:c>
      <x:c r="D926" s="11" t="n">
        <x:f>IF($A926="","",INDEX(Assumptions!$G$5:$G$12,MATCH($B926,Assumptions!$D$5:$D$12,0)))</x:f>
        <x:v>125</x:v>
      </x:c>
      <x:c r="E926" s="11" t="n">
        <x:f>IF($A926="","",INDEX(Assumptions!$M$5:$M$11,WEEKDAY($A926,2)))</x:f>
        <x:v>0.91</x:v>
      </x:c>
      <x:c r="F926" s="11" t="n">
        <x:f>IF($A926="","",Assumptions!$B$15)</x:f>
        <x:v>0.35</x:v>
      </x:c>
      <x:c r="G926" s="11" t="n">
        <x:f>IF($A926="","",MAX(INDEX(Assumptions!$H$5:$H$12,MATCH($B926,Assumptions!$D$5:$D$12,0)),MIN(INDEX(Assumptions!$I$5:$I$12,MATCH($B926,Assumptions!$D$5:$D$12,0)),($C926+$D926*SQRT(-2*LN(RAND()))*COS(2*PI()*RAND()))*$E926*$J926*$K926)))</x:f>
        <x:v>899.1985517130347</x:v>
      </x:c>
      <x:c r="H926" s="11" t="n">
        <x:f>IF($A926="","",$G926*$F926+$C926*(1-$F926))</x:f>
        <x:v>997.2194930995621</x:v>
      </x:c>
      <x:c r="I926" s="11" t="n">
        <x:f>IF($A926="","",AVERAGE($H926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1010.134420440734</x:v>
      </x:c>
      <x:c r="J926" s="12" t="n">
        <x:f>IF($A926="","",1+SUMIFS(Assumptions!$S$5:$S$10,Assumptions!$P$5:$P$10,$B926,Assumptions!$Q$5:$Q$10,"&lt;="&amp;$A926,Assumptions!$R$5:$R$10,"&gt;="&amp;$A926))</x:f>
        <x:v>1</x:v>
      </x:c>
      <x:c r="K926" s="12" t="n">
        <x:f>IF($A926="","",1+((($A926-Assumptions!$B$5)/30)*INDEX(Assumptions!$J$5:$J$12,MATCH($B926,Assumptions!$D$5:$D$12,0))))</x:f>
        <x:v>1.0153333333333334</x:v>
      </x:c>
      <x:c r="L926" t="str">
        <x:f>IF($A926="","",IFERROR(INDEX(Assumptions!$O$5:$O$10,MATCH(1,(Assumptions!$P$5:$P$10=$B926)*(Assumptions!$Q$5:$Q$10&lt;=$A926)*(Assumptions!$R$5:$R$10&gt;=$A926),0)),""))</x:f>
      </x:c>
      <x:c r="M926" t="n">
        <x:f>--($A926&lt;&gt;"")</x:f>
        <x:v>1</x:v>
      </x:c>
    </x:row>
    <x:row r="927">
      <x:c r="A927" s="10" t="n">
        <x:f>IF(Assumptions!$B$5+INT((ROW()-2)/Assumptions!$B$7)&gt;Assumptions!$B$6,"",Assumptions!$B$5+INT((ROW()-2)/Assumptions!$B$7))</x:f>
        <x:v>46208</x:v>
      </x:c>
      <x:c r="B927" t="str">
        <x:f>IF($A927="","",INDEX(Assumptions!$D$5:$D$12,MOD(ROW()-2,Assumptions!$B$7)+1))</x:f>
        <x:v>Acheron Prime</x:v>
      </x:c>
      <x:c r="C927" s="11" t="n">
        <x:f>IF($A927="","",INDEX(Assumptions!$F$5:$F$12,MATCH($B927,Assumptions!$D$5:$D$12,0)))</x:f>
        <x:v>1120</x:v>
      </x:c>
      <x:c r="D927" s="11" t="n">
        <x:f>IF($A927="","",INDEX(Assumptions!$G$5:$G$12,MATCH($B927,Assumptions!$D$5:$D$12,0)))</x:f>
        <x:v>115</x:v>
      </x:c>
      <x:c r="E927" s="11" t="n">
        <x:f>IF($A927="","",INDEX(Assumptions!$M$5:$M$11,WEEKDAY($A927,2)))</x:f>
        <x:v>0.87</x:v>
      </x:c>
      <x:c r="F927" s="11" t="n">
        <x:f>IF($A927="","",Assumptions!$B$15)</x:f>
        <x:v>0.35</x:v>
      </x:c>
      <x:c r="G927" s="11" t="n">
        <x:f>IF($A927="","",MAX(INDEX(Assumptions!$H$5:$H$12,MATCH($B927,Assumptions!$D$5:$D$12,0)),MIN(INDEX(Assumptions!$I$5:$I$12,MATCH($B927,Assumptions!$D$5:$D$12,0)),($C927+$D927*SQRT(-2*LN(RAND()))*COS(2*PI()*RAND()))*$E927*$J927*$K927)))</x:f>
        <x:v>1204.720346941857</x:v>
      </x:c>
      <x:c r="H927" s="11" t="n">
        <x:f>IF($A927="","",$G927*$F927+$C927*(1-$F927))</x:f>
        <x:v>1149.65212142965</x:v>
      </x:c>
      <x:c r="I927" s="11" t="n">
        <x:f>IF($A927="","",AVERAGE($H927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1134.4955351659369</x:v>
      </x:c>
      <x:c r="J927" s="12" t="n">
        <x:f>IF($A927="","",1+SUMIFS(Assumptions!$S$5:$S$10,Assumptions!$P$5:$P$10,$B927,Assumptions!$Q$5:$Q$10,"&lt;="&amp;$A927,Assumptions!$R$5:$R$10,"&gt;="&amp;$A927))</x:f>
        <x:v>1</x:v>
      </x:c>
      <x:c r="K927" s="12" t="n">
        <x:f>IF($A927="","",1+((($A927-Assumptions!$B$5)/30)*INDEX(Assumptions!$J$5:$J$12,MATCH($B927,Assumptions!$D$5:$D$12,0))))</x:f>
        <x:v>1.0123333333333333</x:v>
      </x:c>
      <x:c r="L927" t="str">
        <x:f>IF($A927="","",IFERROR(INDEX(Assumptions!$O$5:$O$10,MATCH(1,(Assumptions!$P$5:$P$10=$B927)*(Assumptions!$Q$5:$Q$10&lt;=$A927)*(Assumptions!$R$5:$R$10&gt;=$A927),0)),""))</x:f>
      </x:c>
      <x:c r="M927" t="n">
        <x:f>--($A927&lt;&gt;"")</x:f>
        <x:v>1</x:v>
      </x:c>
    </x:row>
    <x:row r="928">
      <x:c r="A928" s="10" t="n">
        <x:f>IF(Assumptions!$B$5+INT((ROW()-2)/Assumptions!$B$7)&gt;Assumptions!$B$6,"",Assumptions!$B$5+INT((ROW()-2)/Assumptions!$B$7))</x:f>
        <x:v>46208</x:v>
      </x:c>
      <x:c r="B928" t="str">
        <x:f>IF($A928="","",INDEX(Assumptions!$D$5:$D$12,MOD(ROW()-2,Assumptions!$B$7)+1))</x:f>
        <x:v>LV-426 North</x:v>
      </x:c>
      <x:c r="C928" s="11" t="n">
        <x:f>IF($A928="","",INDEX(Assumptions!$F$5:$F$12,MATCH($B928,Assumptions!$D$5:$D$12,0)))</x:f>
        <x:v>930</x:v>
      </x:c>
      <x:c r="D928" s="11" t="n">
        <x:f>IF($A928="","",INDEX(Assumptions!$G$5:$G$12,MATCH($B928,Assumptions!$D$5:$D$12,0)))</x:f>
        <x:v>95</x:v>
      </x:c>
      <x:c r="E928" s="11" t="n">
        <x:f>IF($A928="","",INDEX(Assumptions!$M$5:$M$11,WEEKDAY($A928,2)))</x:f>
        <x:v>0.87</x:v>
      </x:c>
      <x:c r="F928" s="11" t="n">
        <x:f>IF($A928="","",Assumptions!$B$15)</x:f>
        <x:v>0.35</x:v>
      </x:c>
      <x:c r="G928" s="11" t="n">
        <x:f>IF($A928="","",MAX(INDEX(Assumptions!$H$5:$H$12,MATCH($B928,Assumptions!$D$5:$D$12,0)),MIN(INDEX(Assumptions!$I$5:$I$12,MATCH($B928,Assumptions!$D$5:$D$12,0)),($C928+$D928*SQRT(-2*LN(RAND()))*COS(2*PI()*RAND()))*$E928*$J928*$K928)))</x:f>
        <x:v>821.2565260290878</x:v>
      </x:c>
      <x:c r="H928" s="11" t="n">
        <x:f>IF($A928="","",$G928*$F928+$C928*(1-$F928))</x:f>
        <x:v>891.9397841101807</x:v>
      </x:c>
      <x:c r="I928" s="11" t="n">
        <x:f>IF($A928="","",AVERAGE($H928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923.4738164804546</x:v>
      </x:c>
      <x:c r="J928" s="12" t="n">
        <x:f>IF($A928="","",1+SUMIFS(Assumptions!$S$5:$S$10,Assumptions!$P$5:$P$10,$B928,Assumptions!$Q$5:$Q$10,"&lt;="&amp;$A928,Assumptions!$R$5:$R$10,"&gt;="&amp;$A928))</x:f>
        <x:v>1</x:v>
      </x:c>
      <x:c r="K928" s="12" t="n">
        <x:f>IF($A928="","",1+((($A928-Assumptions!$B$5)/30)*INDEX(Assumptions!$J$5:$J$12,MATCH($B928,Assumptions!$D$5:$D$12,0))))</x:f>
        <x:v>0.9938333333333333</x:v>
      </x:c>
      <x:c r="L928" t="str">
        <x:f>IF($A928="","",IFERROR(INDEX(Assumptions!$O$5:$O$10,MATCH(1,(Assumptions!$P$5:$P$10=$B928)*(Assumptions!$Q$5:$Q$10&lt;=$A928)*(Assumptions!$R$5:$R$10&gt;=$A928),0)),""))</x:f>
      </x:c>
      <x:c r="M928" t="n">
        <x:f>--($A928&lt;&gt;"")</x:f>
        <x:v>1</x:v>
      </x:c>
    </x:row>
    <x:row r="929">
      <x:c r="A929" s="10" t="n">
        <x:f>IF(Assumptions!$B$5+INT((ROW()-2)/Assumptions!$B$7)&gt;Assumptions!$B$6,"",Assumptions!$B$5+INT((ROW()-2)/Assumptions!$B$7))</x:f>
        <x:v>46208</x:v>
      </x:c>
      <x:c r="B929" t="str">
        <x:f>IF($A929="","",INDEX(Assumptions!$D$5:$D$12,MOD(ROW()-2,Assumptions!$B$7)+1))</x:f>
        <x:v>Nostromo Deep</x:v>
      </x:c>
      <x:c r="C929" s="11" t="n">
        <x:f>IF($A929="","",INDEX(Assumptions!$F$5:$F$12,MATCH($B929,Assumptions!$D$5:$D$12,0)))</x:f>
        <x:v>1260</x:v>
      </x:c>
      <x:c r="D929" s="11" t="n">
        <x:f>IF($A929="","",INDEX(Assumptions!$G$5:$G$12,MATCH($B929,Assumptions!$D$5:$D$12,0)))</x:f>
        <x:v>145</x:v>
      </x:c>
      <x:c r="E929" s="11" t="n">
        <x:f>IF($A929="","",INDEX(Assumptions!$M$5:$M$11,WEEKDAY($A929,2)))</x:f>
        <x:v>0.87</x:v>
      </x:c>
      <x:c r="F929" s="11" t="n">
        <x:f>IF($A929="","",Assumptions!$B$15)</x:f>
        <x:v>0.35</x:v>
      </x:c>
      <x:c r="G929" s="11" t="n">
        <x:f>IF($A929="","",MAX(INDEX(Assumptions!$H$5:$H$12,MATCH($B929,Assumptions!$D$5:$D$12,0)),MIN(INDEX(Assumptions!$I$5:$I$12,MATCH($B929,Assumptions!$D$5:$D$12,0)),($C929+$D929*SQRT(-2*LN(RAND()))*COS(2*PI()*RAND()))*$E929*$J929*$K929)))</x:f>
        <x:v>1128.4360239257978</x:v>
      </x:c>
      <x:c r="H929" s="11" t="n">
        <x:f>IF($A929="","",$G929*$F929+$C929*(1-$F929))</x:f>
        <x:v>1213.9526083740293</x:v>
      </x:c>
      <x:c r="I929" s="11" t="n">
        <x:f>IF($A929="","",AVERAGE($H929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1298.425030486191</x:v>
      </x:c>
      <x:c r="J929" s="12" t="n">
        <x:f>IF($A929="","",1+SUMIFS(Assumptions!$S$5:$S$10,Assumptions!$P$5:$P$10,$B929,Assumptions!$Q$5:$Q$10,"&lt;="&amp;$A929,Assumptions!$R$5:$R$10,"&gt;="&amp;$A929))</x:f>
        <x:v>1</x:v>
      </x:c>
      <x:c r="K929" s="12" t="n">
        <x:f>IF($A929="","",1+((($A929-Assumptions!$B$5)/30)*INDEX(Assumptions!$J$5:$J$12,MATCH($B929,Assumptions!$D$5:$D$12,0))))</x:f>
        <x:v>1.0185</x:v>
      </x:c>
      <x:c r="L929" t="str">
        <x:f>IF($A929="","",IFERROR(INDEX(Assumptions!$O$5:$O$10,MATCH(1,(Assumptions!$P$5:$P$10=$B929)*(Assumptions!$Q$5:$Q$10&lt;=$A929)*(Assumptions!$R$5:$R$10&gt;=$A929),0)),""))</x:f>
      </x:c>
      <x:c r="M929" t="n">
        <x:f>--($A929&lt;&gt;"")</x:f>
        <x:v>1</x:v>
      </x:c>
    </x:row>
    <x:row r="930">
      <x:c r="A930" s="10" t="n">
        <x:f>IF(Assumptions!$B$5+INT((ROW()-2)/Assumptions!$B$7)&gt;Assumptions!$B$6,"",Assumptions!$B$5+INT((ROW()-2)/Assumptions!$B$7))</x:f>
        <x:v>46208</x:v>
      </x:c>
      <x:c r="B930" t="str">
        <x:f>IF($A930="","",INDEX(Assumptions!$D$5:$D$12,MOD(ROW()-2,Assumptions!$B$7)+1))</x:f>
        <x:v>Hadley's Hope</x:v>
      </x:c>
      <x:c r="C930" s="11" t="n">
        <x:f>IF($A930="","",INDEX(Assumptions!$F$5:$F$12,MATCH($B930,Assumptions!$D$5:$D$12,0)))</x:f>
        <x:v>845</x:v>
      </x:c>
      <x:c r="D930" s="11" t="n">
        <x:f>IF($A930="","",INDEX(Assumptions!$G$5:$G$12,MATCH($B930,Assumptions!$D$5:$D$12,0)))</x:f>
        <x:v>80</x:v>
      </x:c>
      <x:c r="E930" s="11" t="n">
        <x:f>IF($A930="","",INDEX(Assumptions!$M$5:$M$11,WEEKDAY($A930,2)))</x:f>
        <x:v>0.87</x:v>
      </x:c>
      <x:c r="F930" s="11" t="n">
        <x:f>IF($A930="","",Assumptions!$B$15)</x:f>
        <x:v>0.35</x:v>
      </x:c>
      <x:c r="G930" s="11" t="n">
        <x:f>IF($A930="","",MAX(INDEX(Assumptions!$H$5:$H$12,MATCH($B930,Assumptions!$D$5:$D$12,0)),MIN(INDEX(Assumptions!$I$5:$I$12,MATCH($B930,Assumptions!$D$5:$D$12,0)),($C930+$D930*SQRT(-2*LN(RAND()))*COS(2*PI()*RAND()))*$E930*$J930*$K930)))</x:f>
        <x:v>590</x:v>
      </x:c>
      <x:c r="H930" s="11" t="n">
        <x:f>IF($A930="","",$G930*$F930+$C930*(1-$F930))</x:f>
        <x:v>755.75</x:v>
      </x:c>
      <x:c r="I930" s="11" t="n">
        <x:f>IF($A930="","",AVERAGE($H930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803.7939820820515</x:v>
      </x:c>
      <x:c r="J930" s="12" t="n">
        <x:f>IF($A930="","",1+SUMIFS(Assumptions!$S$5:$S$10,Assumptions!$P$5:$P$10,$B930,Assumptions!$Q$5:$Q$10,"&lt;="&amp;$A930,Assumptions!$R$5:$R$10,"&gt;="&amp;$A930))</x:f>
        <x:v>0.88</x:v>
      </x:c>
      <x:c r="K930" s="12" t="n">
        <x:f>IF($A930="","",1+((($A930-Assumptions!$B$5)/30)*INDEX(Assumptions!$J$5:$J$12,MATCH($B930,Assumptions!$D$5:$D$12,0))))</x:f>
        <x:v>1.0061666666666667</x:v>
      </x:c>
      <x:c r="L930" t="str">
        <x:f>IF($A930="","",IFERROR(INDEX(Assumptions!$O$5:$O$10,MATCH(1,(Assumptions!$P$5:$P$10=$B930)*(Assumptions!$Q$5:$Q$10&lt;=$A930)*(Assumptions!$R$5:$R$10&gt;=$A930),0)),""))</x:f>
        <x:v>Crew rotation</x:v>
      </x:c>
      <x:c r="M930" t="n">
        <x:f>--($A930&lt;&gt;"")</x:f>
        <x:v>1</x:v>
      </x:c>
    </x:row>
    <x:row r="931">
      <x:c r="A931" s="10" t="n">
        <x:f>IF(Assumptions!$B$5+INT((ROW()-2)/Assumptions!$B$7)&gt;Assumptions!$B$6,"",Assumptions!$B$5+INT((ROW()-2)/Assumptions!$B$7))</x:f>
        <x:v>46208</x:v>
      </x:c>
      <x:c r="B931" t="str">
        <x:f>IF($A931="","",INDEX(Assumptions!$D$5:$D$12,MOD(ROW()-2,Assumptions!$B$7)+1))</x:f>
        <x:v>Yutani Ridge</x:v>
      </x:c>
      <x:c r="C931" s="11" t="n">
        <x:f>IF($A931="","",INDEX(Assumptions!$F$5:$F$12,MATCH($B931,Assumptions!$D$5:$D$12,0)))</x:f>
        <x:v>1050</x:v>
      </x:c>
      <x:c r="D931" s="11" t="n">
        <x:f>IF($A931="","",INDEX(Assumptions!$G$5:$G$12,MATCH($B931,Assumptions!$D$5:$D$12,0)))</x:f>
        <x:v>125</x:v>
      </x:c>
      <x:c r="E931" s="11" t="n">
        <x:f>IF($A931="","",INDEX(Assumptions!$M$5:$M$11,WEEKDAY($A931,2)))</x:f>
        <x:v>0.87</x:v>
      </x:c>
      <x:c r="F931" s="11" t="n">
        <x:f>IF($A931="","",Assumptions!$B$15)</x:f>
        <x:v>0.35</x:v>
      </x:c>
      <x:c r="G931" s="11" t="n">
        <x:f>IF($A931="","",MAX(INDEX(Assumptions!$H$5:$H$12,MATCH($B931,Assumptions!$D$5:$D$12,0)),MIN(INDEX(Assumptions!$I$5:$I$12,MATCH($B931,Assumptions!$D$5:$D$12,0)),($C931+$D931*SQRT(-2*LN(RAND()))*COS(2*PI()*RAND()))*$E931*$J931*$K931)))</x:f>
        <x:v>836.2019581331706</x:v>
      </x:c>
      <x:c r="H931" s="11" t="n">
        <x:f>IF($A931="","",$G931*$F931+$C931*(1-$F931))</x:f>
        <x:v>975.1706853466096</x:v>
      </x:c>
      <x:c r="I931" s="11" t="n">
        <x:f>IF($A931="","",AVERAGE($H931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1009.5112706172158</x:v>
      </x:c>
      <x:c r="J931" s="12" t="n">
        <x:f>IF($A931="","",1+SUMIFS(Assumptions!$S$5:$S$10,Assumptions!$P$5:$P$10,$B931,Assumptions!$Q$5:$Q$10,"&lt;="&amp;$A931,Assumptions!$R$5:$R$10,"&gt;="&amp;$A931))</x:f>
        <x:v>1</x:v>
      </x:c>
      <x:c r="K931" s="12" t="n">
        <x:f>IF($A931="","",1+((($A931-Assumptions!$B$5)/30)*INDEX(Assumptions!$J$5:$J$12,MATCH($B931,Assumptions!$D$5:$D$12,0))))</x:f>
        <x:v>1.0154166666666666</x:v>
      </x:c>
      <x:c r="L931" t="str">
        <x:f>IF($A931="","",IFERROR(INDEX(Assumptions!$O$5:$O$10,MATCH(1,(Assumptions!$P$5:$P$10=$B931)*(Assumptions!$Q$5:$Q$10&lt;=$A931)*(Assumptions!$R$5:$R$10&gt;=$A931),0)),""))</x:f>
      </x:c>
      <x:c r="M931" t="n">
        <x:f>--($A931&lt;&gt;"")</x:f>
        <x:v>1</x:v>
      </x:c>
    </x:row>
    <x:row r="932">
      <x:c r="A932" s="10" t="n">
        <x:f>IF(Assumptions!$B$5+INT((ROW()-2)/Assumptions!$B$7)&gt;Assumptions!$B$6,"",Assumptions!$B$5+INT((ROW()-2)/Assumptions!$B$7))</x:f>
        <x:v>46209</x:v>
      </x:c>
      <x:c r="B932" t="str">
        <x:f>IF($A932="","",INDEX(Assumptions!$D$5:$D$12,MOD(ROW()-2,Assumptions!$B$7)+1))</x:f>
        <x:v>Acheron Prime</x:v>
      </x:c>
      <x:c r="C932" s="11" t="n">
        <x:f>IF($A932="","",INDEX(Assumptions!$F$5:$F$12,MATCH($B932,Assumptions!$D$5:$D$12,0)))</x:f>
        <x:v>1120</x:v>
      </x:c>
      <x:c r="D932" s="11" t="n">
        <x:f>IF($A932="","",INDEX(Assumptions!$G$5:$G$12,MATCH($B932,Assumptions!$D$5:$D$12,0)))</x:f>
        <x:v>115</x:v>
      </x:c>
      <x:c r="E932" s="11" t="n">
        <x:f>IF($A932="","",INDEX(Assumptions!$M$5:$M$11,WEEKDAY($A932,2)))</x:f>
        <x:v>1.03</x:v>
      </x:c>
      <x:c r="F932" s="11" t="n">
        <x:f>IF($A932="","",Assumptions!$B$15)</x:f>
        <x:v>0.35</x:v>
      </x:c>
      <x:c r="G932" s="11" t="n">
        <x:f>IF($A932="","",MAX(INDEX(Assumptions!$H$5:$H$12,MATCH($B932,Assumptions!$D$5:$D$12,0)),MIN(INDEX(Assumptions!$I$5:$I$12,MATCH($B932,Assumptions!$D$5:$D$12,0)),($C932+$D932*SQRT(-2*LN(RAND()))*COS(2*PI()*RAND()))*$E932*$J932*$K932)))</x:f>
        <x:v>1330.192572930509</x:v>
      </x:c>
      <x:c r="H932" s="11" t="n">
        <x:f>IF($A932="","",$G932*$F932+$C932*(1-$F932))</x:f>
        <x:v>1193.567400525678</x:v>
      </x:c>
      <x:c r="I932" s="11" t="n">
        <x:f>IF($A932="","",AVERAGE($H932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1136.1310830328543</x:v>
      </x:c>
      <x:c r="J932" s="12" t="n">
        <x:f>IF($A932="","",1+SUMIFS(Assumptions!$S$5:$S$10,Assumptions!$P$5:$P$10,$B932,Assumptions!$Q$5:$Q$10,"&lt;="&amp;$A932,Assumptions!$R$5:$R$10,"&gt;="&amp;$A932))</x:f>
        <x:v>1</x:v>
      </x:c>
      <x:c r="K932" s="12" t="n">
        <x:f>IF($A932="","",1+((($A932-Assumptions!$B$5)/30)*INDEX(Assumptions!$J$5:$J$12,MATCH($B932,Assumptions!$D$5:$D$12,0))))</x:f>
        <x:v>1.0124</x:v>
      </x:c>
      <x:c r="L932" t="str">
        <x:f>IF($A932="","",IFERROR(INDEX(Assumptions!$O$5:$O$10,MATCH(1,(Assumptions!$P$5:$P$10=$B932)*(Assumptions!$Q$5:$Q$10&lt;=$A932)*(Assumptions!$R$5:$R$10&gt;=$A932),0)),""))</x:f>
      </x:c>
      <x:c r="M932" t="n">
        <x:f>--($A932&lt;&gt;"")</x:f>
        <x:v>1</x:v>
      </x:c>
    </x:row>
    <x:row r="933">
      <x:c r="A933" s="10" t="n">
        <x:f>IF(Assumptions!$B$5+INT((ROW()-2)/Assumptions!$B$7)&gt;Assumptions!$B$6,"",Assumptions!$B$5+INT((ROW()-2)/Assumptions!$B$7))</x:f>
        <x:v>46209</x:v>
      </x:c>
      <x:c r="B933" t="str">
        <x:f>IF($A933="","",INDEX(Assumptions!$D$5:$D$12,MOD(ROW()-2,Assumptions!$B$7)+1))</x:f>
        <x:v>LV-426 North</x:v>
      </x:c>
      <x:c r="C933" s="11" t="n">
        <x:f>IF($A933="","",INDEX(Assumptions!$F$5:$F$12,MATCH($B933,Assumptions!$D$5:$D$12,0)))</x:f>
        <x:v>930</x:v>
      </x:c>
      <x:c r="D933" s="11" t="n">
        <x:f>IF($A933="","",INDEX(Assumptions!$G$5:$G$12,MATCH($B933,Assumptions!$D$5:$D$12,0)))</x:f>
        <x:v>95</x:v>
      </x:c>
      <x:c r="E933" s="11" t="n">
        <x:f>IF($A933="","",INDEX(Assumptions!$M$5:$M$11,WEEKDAY($A933,2)))</x:f>
        <x:v>1.03</x:v>
      </x:c>
      <x:c r="F933" s="11" t="n">
        <x:f>IF($A933="","",Assumptions!$B$15)</x:f>
        <x:v>0.35</x:v>
      </x:c>
      <x:c r="G933" s="11" t="n">
        <x:f>IF($A933="","",MAX(INDEX(Assumptions!$H$5:$H$12,MATCH($B933,Assumptions!$D$5:$D$12,0)),MIN(INDEX(Assumptions!$I$5:$I$12,MATCH($B933,Assumptions!$D$5:$D$12,0)),($C933+$D933*SQRT(-2*LN(RAND()))*COS(2*PI()*RAND()))*$E933*$J933*$K933)))</x:f>
        <x:v>937.5806496402922</x:v>
      </x:c>
      <x:c r="H933" s="11" t="n">
        <x:f>IF($A933="","",$G933*$F933+$C933*(1-$F933))</x:f>
        <x:v>932.6532273741022</x:v>
      </x:c>
      <x:c r="I933" s="11" t="n">
        <x:f>IF($A933="","",AVERAGE($H933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922.2809355446163</x:v>
      </x:c>
      <x:c r="J933" s="12" t="n">
        <x:f>IF($A933="","",1+SUMIFS(Assumptions!$S$5:$S$10,Assumptions!$P$5:$P$10,$B933,Assumptions!$Q$5:$Q$10,"&lt;="&amp;$A933,Assumptions!$R$5:$R$10,"&gt;="&amp;$A933))</x:f>
        <x:v>1</x:v>
      </x:c>
      <x:c r="K933" s="12" t="n">
        <x:f>IF($A933="","",1+((($A933-Assumptions!$B$5)/30)*INDEX(Assumptions!$J$5:$J$12,MATCH($B933,Assumptions!$D$5:$D$12,0))))</x:f>
        <x:v>0.9938</x:v>
      </x:c>
      <x:c r="L933" t="str">
        <x:f>IF($A933="","",IFERROR(INDEX(Assumptions!$O$5:$O$10,MATCH(1,(Assumptions!$P$5:$P$10=$B933)*(Assumptions!$Q$5:$Q$10&lt;=$A933)*(Assumptions!$R$5:$R$10&gt;=$A933),0)),""))</x:f>
      </x:c>
      <x:c r="M933" t="n">
        <x:f>--($A933&lt;&gt;"")</x:f>
        <x:v>1</x:v>
      </x:c>
    </x:row>
    <x:row r="934">
      <x:c r="A934" s="10" t="n">
        <x:f>IF(Assumptions!$B$5+INT((ROW()-2)/Assumptions!$B$7)&gt;Assumptions!$B$6,"",Assumptions!$B$5+INT((ROW()-2)/Assumptions!$B$7))</x:f>
        <x:v>46209</x:v>
      </x:c>
      <x:c r="B934" t="str">
        <x:f>IF($A934="","",INDEX(Assumptions!$D$5:$D$12,MOD(ROW()-2,Assumptions!$B$7)+1))</x:f>
        <x:v>Nostromo Deep</x:v>
      </x:c>
      <x:c r="C934" s="11" t="n">
        <x:f>IF($A934="","",INDEX(Assumptions!$F$5:$F$12,MATCH($B934,Assumptions!$D$5:$D$12,0)))</x:f>
        <x:v>1260</x:v>
      </x:c>
      <x:c r="D934" s="11" t="n">
        <x:f>IF($A934="","",INDEX(Assumptions!$G$5:$G$12,MATCH($B934,Assumptions!$D$5:$D$12,0)))</x:f>
        <x:v>145</x:v>
      </x:c>
      <x:c r="E934" s="11" t="n">
        <x:f>IF($A934="","",INDEX(Assumptions!$M$5:$M$11,WEEKDAY($A934,2)))</x:f>
        <x:v>1.03</x:v>
      </x:c>
      <x:c r="F934" s="11" t="n">
        <x:f>IF($A934="","",Assumptions!$B$15)</x:f>
        <x:v>0.35</x:v>
      </x:c>
      <x:c r="G934" s="11" t="n">
        <x:f>IF($A934="","",MAX(INDEX(Assumptions!$H$5:$H$12,MATCH($B934,Assumptions!$D$5:$D$12,0)),MIN(INDEX(Assumptions!$I$5:$I$12,MATCH($B934,Assumptions!$D$5:$D$12,0)),($C934+$D934*SQRT(-2*LN(RAND()))*COS(2*PI()*RAND()))*$E934*$J934*$K934)))</x:f>
        <x:v>1514.5897973889848</x:v>
      </x:c>
      <x:c r="H934" s="11" t="n">
        <x:f>IF($A934="","",$G934*$F934+$C934*(1-$F934))</x:f>
        <x:v>1349.1064290861445</x:v>
      </x:c>
      <x:c r="I934" s="11" t="n">
        <x:f>IF($A934="","",AVERAGE($H934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1297.44381548086</x:v>
      </x:c>
      <x:c r="J934" s="12" t="n">
        <x:f>IF($A934="","",1+SUMIFS(Assumptions!$S$5:$S$10,Assumptions!$P$5:$P$10,$B934,Assumptions!$Q$5:$Q$10,"&lt;="&amp;$A934,Assumptions!$R$5:$R$10,"&gt;="&amp;$A934))</x:f>
        <x:v>1</x:v>
      </x:c>
      <x:c r="K934" s="12" t="n">
        <x:f>IF($A934="","",1+((($A934-Assumptions!$B$5)/30)*INDEX(Assumptions!$J$5:$J$12,MATCH($B934,Assumptions!$D$5:$D$12,0))))</x:f>
        <x:v>1.0186</x:v>
      </x:c>
      <x:c r="L934" t="str">
        <x:f>IF($A934="","",IFERROR(INDEX(Assumptions!$O$5:$O$10,MATCH(1,(Assumptions!$P$5:$P$10=$B934)*(Assumptions!$Q$5:$Q$10&lt;=$A934)*(Assumptions!$R$5:$R$10&gt;=$A934),0)),""))</x:f>
      </x:c>
      <x:c r="M934" t="n">
        <x:f>--($A934&lt;&gt;"")</x:f>
        <x:v>1</x:v>
      </x:c>
    </x:row>
    <x:row r="935">
      <x:c r="A935" s="10" t="n">
        <x:f>IF(Assumptions!$B$5+INT((ROW()-2)/Assumptions!$B$7)&gt;Assumptions!$B$6,"",Assumptions!$B$5+INT((ROW()-2)/Assumptions!$B$7))</x:f>
        <x:v>46209</x:v>
      </x:c>
      <x:c r="B935" t="str">
        <x:f>IF($A935="","",INDEX(Assumptions!$D$5:$D$12,MOD(ROW()-2,Assumptions!$B$7)+1))</x:f>
        <x:v>Hadley's Hope</x:v>
      </x:c>
      <x:c r="C935" s="11" t="n">
        <x:f>IF($A935="","",INDEX(Assumptions!$F$5:$F$12,MATCH($B935,Assumptions!$D$5:$D$12,0)))</x:f>
        <x:v>845</x:v>
      </x:c>
      <x:c r="D935" s="11" t="n">
        <x:f>IF($A935="","",INDEX(Assumptions!$G$5:$G$12,MATCH($B935,Assumptions!$D$5:$D$12,0)))</x:f>
        <x:v>80</x:v>
      </x:c>
      <x:c r="E935" s="11" t="n">
        <x:f>IF($A935="","",INDEX(Assumptions!$M$5:$M$11,WEEKDAY($A935,2)))</x:f>
        <x:v>1.03</x:v>
      </x:c>
      <x:c r="F935" s="11" t="n">
        <x:f>IF($A935="","",Assumptions!$B$15)</x:f>
        <x:v>0.35</x:v>
      </x:c>
      <x:c r="G935" s="11" t="n">
        <x:f>IF($A935="","",MAX(INDEX(Assumptions!$H$5:$H$12,MATCH($B935,Assumptions!$D$5:$D$12,0)),MIN(INDEX(Assumptions!$I$5:$I$12,MATCH($B935,Assumptions!$D$5:$D$12,0)),($C935+$D935*SQRT(-2*LN(RAND()))*COS(2*PI()*RAND()))*$E935*$J935*$K935)))</x:f>
        <x:v>599.1390098095403</x:v>
      </x:c>
      <x:c r="H935" s="11" t="n">
        <x:f>IF($A935="","",$G935*$F935+$C935*(1-$F935))</x:f>
        <x:v>758.9486534333391</x:v>
      </x:c>
      <x:c r="I935" s="11" t="n">
        <x:f>IF($A935="","",AVERAGE($H935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788.3132222983816</x:v>
      </x:c>
      <x:c r="J935" s="12" t="n">
        <x:f>IF($A935="","",1+SUMIFS(Assumptions!$S$5:$S$10,Assumptions!$P$5:$P$10,$B935,Assumptions!$Q$5:$Q$10,"&lt;="&amp;$A935,Assumptions!$R$5:$R$10,"&gt;="&amp;$A935))</x:f>
        <x:v>0.88</x:v>
      </x:c>
      <x:c r="K935" s="12" t="n">
        <x:f>IF($A935="","",1+((($A935-Assumptions!$B$5)/30)*INDEX(Assumptions!$J$5:$J$12,MATCH($B935,Assumptions!$D$5:$D$12,0))))</x:f>
        <x:v>1.0062</x:v>
      </x:c>
      <x:c r="L935" t="str">
        <x:f>IF($A935="","",IFERROR(INDEX(Assumptions!$O$5:$O$10,MATCH(1,(Assumptions!$P$5:$P$10=$B935)*(Assumptions!$Q$5:$Q$10&lt;=$A935)*(Assumptions!$R$5:$R$10&gt;=$A935),0)),""))</x:f>
        <x:v>Crew rotation</x:v>
      </x:c>
      <x:c r="M935" t="n">
        <x:f>--($A935&lt;&gt;"")</x:f>
        <x:v>1</x:v>
      </x:c>
    </x:row>
    <x:row r="936">
      <x:c r="A936" s="10" t="n">
        <x:f>IF(Assumptions!$B$5+INT((ROW()-2)/Assumptions!$B$7)&gt;Assumptions!$B$6,"",Assumptions!$B$5+INT((ROW()-2)/Assumptions!$B$7))</x:f>
        <x:v>46209</x:v>
      </x:c>
      <x:c r="B936" t="str">
        <x:f>IF($A936="","",INDEX(Assumptions!$D$5:$D$12,MOD(ROW()-2,Assumptions!$B$7)+1))</x:f>
        <x:v>Yutani Ridge</x:v>
      </x:c>
      <x:c r="C936" s="11" t="n">
        <x:f>IF($A936="","",INDEX(Assumptions!$F$5:$F$12,MATCH($B936,Assumptions!$D$5:$D$12,0)))</x:f>
        <x:v>1050</x:v>
      </x:c>
      <x:c r="D936" s="11" t="n">
        <x:f>IF($A936="","",INDEX(Assumptions!$G$5:$G$12,MATCH($B936,Assumptions!$D$5:$D$12,0)))</x:f>
        <x:v>125</x:v>
      </x:c>
      <x:c r="E936" s="11" t="n">
        <x:f>IF($A936="","",INDEX(Assumptions!$M$5:$M$11,WEEKDAY($A936,2)))</x:f>
        <x:v>1.03</x:v>
      </x:c>
      <x:c r="F936" s="11" t="n">
        <x:f>IF($A936="","",Assumptions!$B$15)</x:f>
        <x:v>0.35</x:v>
      </x:c>
      <x:c r="G936" s="11" t="n">
        <x:f>IF($A936="","",MAX(INDEX(Assumptions!$H$5:$H$12,MATCH($B936,Assumptions!$D$5:$D$12,0)),MIN(INDEX(Assumptions!$I$5:$I$12,MATCH($B936,Assumptions!$D$5:$D$12,0)),($C936+$D936*SQRT(-2*LN(RAND()))*COS(2*PI()*RAND()))*$E936*$J936*$K936)))</x:f>
        <x:v>1401.5963114119763</x:v>
      </x:c>
      <x:c r="H936" s="11" t="n">
        <x:f>IF($A936="","",$G936*$F936+$C936*(1-$F936))</x:f>
        <x:v>1173.0587089941916</x:v>
      </x:c>
      <x:c r="I936" s="11" t="n">
        <x:f>IF($A936="","",AVERAGE($H936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1025.4980742934995</x:v>
      </x:c>
      <x:c r="J936" s="12" t="n">
        <x:f>IF($A936="","",1+SUMIFS(Assumptions!$S$5:$S$10,Assumptions!$P$5:$P$10,$B936,Assumptions!$Q$5:$Q$10,"&lt;="&amp;$A936,Assumptions!$R$5:$R$10,"&gt;="&amp;$A936))</x:f>
        <x:v>1</x:v>
      </x:c>
      <x:c r="K936" s="12" t="n">
        <x:f>IF($A936="","",1+((($A936-Assumptions!$B$5)/30)*INDEX(Assumptions!$J$5:$J$12,MATCH($B936,Assumptions!$D$5:$D$12,0))))</x:f>
        <x:v>1.0155</x:v>
      </x:c>
      <x:c r="L936" t="str">
        <x:f>IF($A936="","",IFERROR(INDEX(Assumptions!$O$5:$O$10,MATCH(1,(Assumptions!$P$5:$P$10=$B936)*(Assumptions!$Q$5:$Q$10&lt;=$A936)*(Assumptions!$R$5:$R$10&gt;=$A936),0)),""))</x:f>
      </x:c>
      <x:c r="M936" t="n">
        <x:f>--($A936&lt;&gt;"")</x:f>
        <x:v>1</x:v>
      </x:c>
    </x:row>
    <x:row r="937">
      <x:c r="A937" s="10" t="n">
        <x:f>IF(Assumptions!$B$5+INT((ROW()-2)/Assumptions!$B$7)&gt;Assumptions!$B$6,"",Assumptions!$B$5+INT((ROW()-2)/Assumptions!$B$7))</x:f>
        <x:v>46210</x:v>
      </x:c>
      <x:c r="B937" t="str">
        <x:f>IF($A937="","",INDEX(Assumptions!$D$5:$D$12,MOD(ROW()-2,Assumptions!$B$7)+1))</x:f>
        <x:v>Acheron Prime</x:v>
      </x:c>
      <x:c r="C937" s="11" t="n">
        <x:f>IF($A937="","",INDEX(Assumptions!$F$5:$F$12,MATCH($B937,Assumptions!$D$5:$D$12,0)))</x:f>
        <x:v>1120</x:v>
      </x:c>
      <x:c r="D937" s="11" t="n">
        <x:f>IF($A937="","",INDEX(Assumptions!$G$5:$G$12,MATCH($B937,Assumptions!$D$5:$D$12,0)))</x:f>
        <x:v>115</x:v>
      </x:c>
      <x:c r="E937" s="11" t="n">
        <x:f>IF($A937="","",INDEX(Assumptions!$M$5:$M$11,WEEKDAY($A937,2)))</x:f>
        <x:v>1.02</x:v>
      </x:c>
      <x:c r="F937" s="11" t="n">
        <x:f>IF($A937="","",Assumptions!$B$15)</x:f>
        <x:v>0.35</x:v>
      </x:c>
      <x:c r="G937" s="11" t="n">
        <x:f>IF($A937="","",MAX(INDEX(Assumptions!$H$5:$H$12,MATCH($B937,Assumptions!$D$5:$D$12,0)),MIN(INDEX(Assumptions!$I$5:$I$12,MATCH($B937,Assumptions!$D$5:$D$12,0)),($C937+$D937*SQRT(-2*LN(RAND()))*COS(2*PI()*RAND()))*$E937*$J937*$K937)))</x:f>
        <x:v>1076.549545073712</x:v>
      </x:c>
      <x:c r="H937" s="11" t="n">
        <x:f>IF($A937="","",$G937*$F937+$C937*(1-$F937))</x:f>
        <x:v>1104.7923407757992</x:v>
      </x:c>
      <x:c r="I937" s="11" t="n">
        <x:f>IF($A937="","",AVERAGE($H937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1129.9417541305438</x:v>
      </x:c>
      <x:c r="J937" s="12" t="n">
        <x:f>IF($A937="","",1+SUMIFS(Assumptions!$S$5:$S$10,Assumptions!$P$5:$P$10,$B937,Assumptions!$Q$5:$Q$10,"&lt;="&amp;$A937,Assumptions!$R$5:$R$10,"&gt;="&amp;$A937))</x:f>
        <x:v>1</x:v>
      </x:c>
      <x:c r="K937" s="12" t="n">
        <x:f>IF($A937="","",1+((($A937-Assumptions!$B$5)/30)*INDEX(Assumptions!$J$5:$J$12,MATCH($B937,Assumptions!$D$5:$D$12,0))))</x:f>
        <x:v>1.0124666666666666</x:v>
      </x:c>
      <x:c r="L937" t="str">
        <x:f>IF($A937="","",IFERROR(INDEX(Assumptions!$O$5:$O$10,MATCH(1,(Assumptions!$P$5:$P$10=$B937)*(Assumptions!$Q$5:$Q$10&lt;=$A937)*(Assumptions!$R$5:$R$10&gt;=$A937),0)),""))</x:f>
      </x:c>
      <x:c r="M937" t="n">
        <x:f>--($A937&lt;&gt;"")</x:f>
        <x:v>1</x:v>
      </x:c>
    </x:row>
    <x:row r="938">
      <x:c r="A938" s="10" t="n">
        <x:f>IF(Assumptions!$B$5+INT((ROW()-2)/Assumptions!$B$7)&gt;Assumptions!$B$6,"",Assumptions!$B$5+INT((ROW()-2)/Assumptions!$B$7))</x:f>
        <x:v>46210</x:v>
      </x:c>
      <x:c r="B938" t="str">
        <x:f>IF($A938="","",INDEX(Assumptions!$D$5:$D$12,MOD(ROW()-2,Assumptions!$B$7)+1))</x:f>
        <x:v>LV-426 North</x:v>
      </x:c>
      <x:c r="C938" s="11" t="n">
        <x:f>IF($A938="","",INDEX(Assumptions!$F$5:$F$12,MATCH($B938,Assumptions!$D$5:$D$12,0)))</x:f>
        <x:v>930</x:v>
      </x:c>
      <x:c r="D938" s="11" t="n">
        <x:f>IF($A938="","",INDEX(Assumptions!$G$5:$G$12,MATCH($B938,Assumptions!$D$5:$D$12,0)))</x:f>
        <x:v>95</x:v>
      </x:c>
      <x:c r="E938" s="11" t="n">
        <x:f>IF($A938="","",INDEX(Assumptions!$M$5:$M$11,WEEKDAY($A938,2)))</x:f>
        <x:v>1.02</x:v>
      </x:c>
      <x:c r="F938" s="11" t="n">
        <x:f>IF($A938="","",Assumptions!$B$15)</x:f>
        <x:v>0.35</x:v>
      </x:c>
      <x:c r="G938" s="11" t="n">
        <x:f>IF($A938="","",MAX(INDEX(Assumptions!$H$5:$H$12,MATCH($B938,Assumptions!$D$5:$D$12,0)),MIN(INDEX(Assumptions!$I$5:$I$12,MATCH($B938,Assumptions!$D$5:$D$12,0)),($C938+$D938*SQRT(-2*LN(RAND()))*COS(2*PI()*RAND()))*$E938*$J938*$K938)))</x:f>
        <x:v>936.7451708125961</x:v>
      </x:c>
      <x:c r="H938" s="11" t="n">
        <x:f>IF($A938="","",$G938*$F938+$C938*(1-$F938))</x:f>
        <x:v>932.3608097844086</x:v>
      </x:c>
      <x:c r="I938" s="11" t="n">
        <x:f>IF($A938="","",AVERAGE($H938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923.812908435014</x:v>
      </x:c>
      <x:c r="J938" s="12" t="n">
        <x:f>IF($A938="","",1+SUMIFS(Assumptions!$S$5:$S$10,Assumptions!$P$5:$P$10,$B938,Assumptions!$Q$5:$Q$10,"&lt;="&amp;$A938,Assumptions!$R$5:$R$10,"&gt;="&amp;$A938))</x:f>
        <x:v>1</x:v>
      </x:c>
      <x:c r="K938" s="12" t="n">
        <x:f>IF($A938="","",1+((($A938-Assumptions!$B$5)/30)*INDEX(Assumptions!$J$5:$J$12,MATCH($B938,Assumptions!$D$5:$D$12,0))))</x:f>
        <x:v>0.9937666666666667</x:v>
      </x:c>
      <x:c r="L938" t="str">
        <x:f>IF($A938="","",IFERROR(INDEX(Assumptions!$O$5:$O$10,MATCH(1,(Assumptions!$P$5:$P$10=$B938)*(Assumptions!$Q$5:$Q$10&lt;=$A938)*(Assumptions!$R$5:$R$10&gt;=$A938),0)),""))</x:f>
      </x:c>
      <x:c r="M938" t="n">
        <x:f>--($A938&lt;&gt;"")</x:f>
        <x:v>1</x:v>
      </x:c>
    </x:row>
    <x:row r="939">
      <x:c r="A939" s="10" t="n">
        <x:f>IF(Assumptions!$B$5+INT((ROW()-2)/Assumptions!$B$7)&gt;Assumptions!$B$6,"",Assumptions!$B$5+INT((ROW()-2)/Assumptions!$B$7))</x:f>
        <x:v>46210</x:v>
      </x:c>
      <x:c r="B939" t="str">
        <x:f>IF($A939="","",INDEX(Assumptions!$D$5:$D$12,MOD(ROW()-2,Assumptions!$B$7)+1))</x:f>
        <x:v>Nostromo Deep</x:v>
      </x:c>
      <x:c r="C939" s="11" t="n">
        <x:f>IF($A939="","",INDEX(Assumptions!$F$5:$F$12,MATCH($B939,Assumptions!$D$5:$D$12,0)))</x:f>
        <x:v>1260</x:v>
      </x:c>
      <x:c r="D939" s="11" t="n">
        <x:f>IF($A939="","",INDEX(Assumptions!$G$5:$G$12,MATCH($B939,Assumptions!$D$5:$D$12,0)))</x:f>
        <x:v>145</x:v>
      </x:c>
      <x:c r="E939" s="11" t="n">
        <x:f>IF($A939="","",INDEX(Assumptions!$M$5:$M$11,WEEKDAY($A939,2)))</x:f>
        <x:v>1.02</x:v>
      </x:c>
      <x:c r="F939" s="11" t="n">
        <x:f>IF($A939="","",Assumptions!$B$15)</x:f>
        <x:v>0.35</x:v>
      </x:c>
      <x:c r="G939" s="11" t="n">
        <x:f>IF($A939="","",MAX(INDEX(Assumptions!$H$5:$H$12,MATCH($B939,Assumptions!$D$5:$D$12,0)),MIN(INDEX(Assumptions!$I$5:$I$12,MATCH($B939,Assumptions!$D$5:$D$12,0)),($C939+$D939*SQRT(-2*LN(RAND()))*COS(2*PI()*RAND()))*$E939*$J939*$K939)))</x:f>
        <x:v>1111.200424356535</x:v>
      </x:c>
      <x:c r="H939" s="11" t="n">
        <x:f>IF($A939="","",$G939*$F939+$C939*(1-$F939))</x:f>
        <x:v>1207.9201485247872</x:v>
      </x:c>
      <x:c r="I939" s="11" t="n">
        <x:f>IF($A939="","",AVERAGE($H939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1272.8241477281335</x:v>
      </x:c>
      <x:c r="J939" s="12" t="n">
        <x:f>IF($A939="","",1+SUMIFS(Assumptions!$S$5:$S$10,Assumptions!$P$5:$P$10,$B939,Assumptions!$Q$5:$Q$10,"&lt;="&amp;$A939,Assumptions!$R$5:$R$10,"&gt;="&amp;$A939))</x:f>
        <x:v>1</x:v>
      </x:c>
      <x:c r="K939" s="12" t="n">
        <x:f>IF($A939="","",1+((($A939-Assumptions!$B$5)/30)*INDEX(Assumptions!$J$5:$J$12,MATCH($B939,Assumptions!$D$5:$D$12,0))))</x:f>
        <x:v>1.0187</x:v>
      </x:c>
      <x:c r="L939" t="str">
        <x:f>IF($A939="","",IFERROR(INDEX(Assumptions!$O$5:$O$10,MATCH(1,(Assumptions!$P$5:$P$10=$B939)*(Assumptions!$Q$5:$Q$10&lt;=$A939)*(Assumptions!$R$5:$R$10&gt;=$A939),0)),""))</x:f>
      </x:c>
      <x:c r="M939" t="n">
        <x:f>--($A939&lt;&gt;"")</x:f>
        <x:v>1</x:v>
      </x:c>
    </x:row>
    <x:row r="940">
      <x:c r="A940" s="10" t="n">
        <x:f>IF(Assumptions!$B$5+INT((ROW()-2)/Assumptions!$B$7)&gt;Assumptions!$B$6,"",Assumptions!$B$5+INT((ROW()-2)/Assumptions!$B$7))</x:f>
        <x:v>46210</x:v>
      </x:c>
      <x:c r="B940" t="str">
        <x:f>IF($A940="","",INDEX(Assumptions!$D$5:$D$12,MOD(ROW()-2,Assumptions!$B$7)+1))</x:f>
        <x:v>Hadley's Hope</x:v>
      </x:c>
      <x:c r="C940" s="11" t="n">
        <x:f>IF($A940="","",INDEX(Assumptions!$F$5:$F$12,MATCH($B940,Assumptions!$D$5:$D$12,0)))</x:f>
        <x:v>845</x:v>
      </x:c>
      <x:c r="D940" s="11" t="n">
        <x:f>IF($A940="","",INDEX(Assumptions!$G$5:$G$12,MATCH($B940,Assumptions!$D$5:$D$12,0)))</x:f>
        <x:v>80</x:v>
      </x:c>
      <x:c r="E940" s="11" t="n">
        <x:f>IF($A940="","",INDEX(Assumptions!$M$5:$M$11,WEEKDAY($A940,2)))</x:f>
        <x:v>1.02</x:v>
      </x:c>
      <x:c r="F940" s="11" t="n">
        <x:f>IF($A940="","",Assumptions!$B$15)</x:f>
        <x:v>0.35</x:v>
      </x:c>
      <x:c r="G940" s="11" t="n">
        <x:f>IF($A940="","",MAX(INDEX(Assumptions!$H$5:$H$12,MATCH($B940,Assumptions!$D$5:$D$12,0)),MIN(INDEX(Assumptions!$I$5:$I$12,MATCH($B940,Assumptions!$D$5:$D$12,0)),($C940+$D940*SQRT(-2*LN(RAND()))*COS(2*PI()*RAND()))*$E940*$J940*$K940)))</x:f>
        <x:v>704.5151571789802</x:v>
      </x:c>
      <x:c r="H940" s="11" t="n">
        <x:f>IF($A940="","",$G940*$F940+$C940*(1-$F940))</x:f>
        <x:v>795.8303050126431</x:v>
      </x:c>
      <x:c r="I940" s="11" t="n">
        <x:f>IF($A940="","",AVERAGE($H940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781.2231577889086</x:v>
      </x:c>
      <x:c r="J940" s="12" t="n">
        <x:f>IF($A940="","",1+SUMIFS(Assumptions!$S$5:$S$10,Assumptions!$P$5:$P$10,$B940,Assumptions!$Q$5:$Q$10,"&lt;="&amp;$A940,Assumptions!$R$5:$R$10,"&gt;="&amp;$A940))</x:f>
        <x:v>0.88</x:v>
      </x:c>
      <x:c r="K940" s="12" t="n">
        <x:f>IF($A940="","",1+((($A940-Assumptions!$B$5)/30)*INDEX(Assumptions!$J$5:$J$12,MATCH($B940,Assumptions!$D$5:$D$12,0))))</x:f>
        <x:v>1.0062333333333333</x:v>
      </x:c>
      <x:c r="L940" t="str">
        <x:f>IF($A940="","",IFERROR(INDEX(Assumptions!$O$5:$O$10,MATCH(1,(Assumptions!$P$5:$P$10=$B940)*(Assumptions!$Q$5:$Q$10&lt;=$A940)*(Assumptions!$R$5:$R$10&gt;=$A940),0)),""))</x:f>
        <x:v>Crew rotation</x:v>
      </x:c>
      <x:c r="M940" t="n">
        <x:f>--($A940&lt;&gt;"")</x:f>
        <x:v>1</x:v>
      </x:c>
    </x:row>
    <x:row r="941">
      <x:c r="A941" s="10" t="n">
        <x:f>IF(Assumptions!$B$5+INT((ROW()-2)/Assumptions!$B$7)&gt;Assumptions!$B$6,"",Assumptions!$B$5+INT((ROW()-2)/Assumptions!$B$7))</x:f>
        <x:v>46210</x:v>
      </x:c>
      <x:c r="B941" t="str">
        <x:f>IF($A941="","",INDEX(Assumptions!$D$5:$D$12,MOD(ROW()-2,Assumptions!$B$7)+1))</x:f>
        <x:v>Yutani Ridge</x:v>
      </x:c>
      <x:c r="C941" s="11" t="n">
        <x:f>IF($A941="","",INDEX(Assumptions!$F$5:$F$12,MATCH($B941,Assumptions!$D$5:$D$12,0)))</x:f>
        <x:v>1050</x:v>
      </x:c>
      <x:c r="D941" s="11" t="n">
        <x:f>IF($A941="","",INDEX(Assumptions!$G$5:$G$12,MATCH($B941,Assumptions!$D$5:$D$12,0)))</x:f>
        <x:v>125</x:v>
      </x:c>
      <x:c r="E941" s="11" t="n">
        <x:f>IF($A941="","",INDEX(Assumptions!$M$5:$M$11,WEEKDAY($A941,2)))</x:f>
        <x:v>1.02</x:v>
      </x:c>
      <x:c r="F941" s="11" t="n">
        <x:f>IF($A941="","",Assumptions!$B$15)</x:f>
        <x:v>0.35</x:v>
      </x:c>
      <x:c r="G941" s="11" t="n">
        <x:f>IF($A941="","",MAX(INDEX(Assumptions!$H$5:$H$12,MATCH($B941,Assumptions!$D$5:$D$12,0)),MIN(INDEX(Assumptions!$I$5:$I$12,MATCH($B941,Assumptions!$D$5:$D$12,0)),($C941+$D941*SQRT(-2*LN(RAND()))*COS(2*PI()*RAND()))*$E941*$J941*$K941)))</x:f>
        <x:v>998.2532072699131</x:v>
      </x:c>
      <x:c r="H941" s="11" t="n">
        <x:f>IF($A941="","",$G941*$F941+$C941*(1-$F941))</x:f>
        <x:v>1031.8886225444696</x:v>
      </x:c>
      <x:c r="I941" s="11" t="n">
        <x:f>IF($A941="","",AVERAGE($H941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1033.2384001604055</x:v>
      </x:c>
      <x:c r="J941" s="12" t="n">
        <x:f>IF($A941="","",1+SUMIFS(Assumptions!$S$5:$S$10,Assumptions!$P$5:$P$10,$B941,Assumptions!$Q$5:$Q$10,"&lt;="&amp;$A941,Assumptions!$R$5:$R$10,"&gt;="&amp;$A941))</x:f>
        <x:v>1</x:v>
      </x:c>
      <x:c r="K941" s="12" t="n">
        <x:f>IF($A941="","",1+((($A941-Assumptions!$B$5)/30)*INDEX(Assumptions!$J$5:$J$12,MATCH($B941,Assumptions!$D$5:$D$12,0))))</x:f>
        <x:v>1.0155833333333333</x:v>
      </x:c>
      <x:c r="L941" t="str">
        <x:f>IF($A941="","",IFERROR(INDEX(Assumptions!$O$5:$O$10,MATCH(1,(Assumptions!$P$5:$P$10=$B941)*(Assumptions!$Q$5:$Q$10&lt;=$A941)*(Assumptions!$R$5:$R$10&gt;=$A941),0)),""))</x:f>
      </x:c>
      <x:c r="M941" t="n">
        <x:f>--($A941&lt;&gt;"")</x:f>
        <x:v>1</x:v>
      </x:c>
    </x:row>
    <x:row r="942">
      <x:c r="A942" s="10" t="n">
        <x:f>IF(Assumptions!$B$5+INT((ROW()-2)/Assumptions!$B$7)&gt;Assumptions!$B$6,"",Assumptions!$B$5+INT((ROW()-2)/Assumptions!$B$7))</x:f>
        <x:v>46211</x:v>
      </x:c>
      <x:c r="B942" t="str">
        <x:f>IF($A942="","",INDEX(Assumptions!$D$5:$D$12,MOD(ROW()-2,Assumptions!$B$7)+1))</x:f>
        <x:v>Acheron Prime</x:v>
      </x:c>
      <x:c r="C942" s="11" t="n">
        <x:f>IF($A942="","",INDEX(Assumptions!$F$5:$F$12,MATCH($B942,Assumptions!$D$5:$D$12,0)))</x:f>
        <x:v>1120</x:v>
      </x:c>
      <x:c r="D942" s="11" t="n">
        <x:f>IF($A942="","",INDEX(Assumptions!$G$5:$G$12,MATCH($B942,Assumptions!$D$5:$D$12,0)))</x:f>
        <x:v>115</x:v>
      </x:c>
      <x:c r="E942" s="11" t="n">
        <x:f>IF($A942="","",INDEX(Assumptions!$M$5:$M$11,WEEKDAY($A942,2)))</x:f>
        <x:v>1.01</x:v>
      </x:c>
      <x:c r="F942" s="11" t="n">
        <x:f>IF($A942="","",Assumptions!$B$15)</x:f>
        <x:v>0.35</x:v>
      </x:c>
      <x:c r="G942" s="11" t="n">
        <x:f>IF($A942="","",MAX(INDEX(Assumptions!$H$5:$H$12,MATCH($B942,Assumptions!$D$5:$D$12,0)),MIN(INDEX(Assumptions!$I$5:$I$12,MATCH($B942,Assumptions!$D$5:$D$12,0)),($C942+$D942*SQRT(-2*LN(RAND()))*COS(2*PI()*RAND()))*$E942*$J942*$K942)))</x:f>
        <x:v>1023.0995443930389</x:v>
      </x:c>
      <x:c r="H942" s="11" t="n">
        <x:f>IF($A942="","",$G942*$F942+$C942*(1-$F942))</x:f>
        <x:v>1086.0848405375637</x:v>
      </x:c>
      <x:c r="I942" s="11" t="n">
        <x:f>IF($A942="","",AVERAGE($H942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1125.0439073206428</x:v>
      </x:c>
      <x:c r="J942" s="12" t="n">
        <x:f>IF($A942="","",1+SUMIFS(Assumptions!$S$5:$S$10,Assumptions!$P$5:$P$10,$B942,Assumptions!$Q$5:$Q$10,"&lt;="&amp;$A942,Assumptions!$R$5:$R$10,"&gt;="&amp;$A942))</x:f>
        <x:v>1</x:v>
      </x:c>
      <x:c r="K942" s="12" t="n">
        <x:f>IF($A942="","",1+((($A942-Assumptions!$B$5)/30)*INDEX(Assumptions!$J$5:$J$12,MATCH($B942,Assumptions!$D$5:$D$12,0))))</x:f>
        <x:v>1.0125333333333333</x:v>
      </x:c>
      <x:c r="L942" t="str">
        <x:f>IF($A942="","",IFERROR(INDEX(Assumptions!$O$5:$O$10,MATCH(1,(Assumptions!$P$5:$P$10=$B942)*(Assumptions!$Q$5:$Q$10&lt;=$A942)*(Assumptions!$R$5:$R$10&gt;=$A942),0)),""))</x:f>
      </x:c>
      <x:c r="M942" t="n">
        <x:f>--($A942&lt;&gt;"")</x:f>
        <x:v>1</x:v>
      </x:c>
    </x:row>
    <x:row r="943">
      <x:c r="A943" s="10" t="n">
        <x:f>IF(Assumptions!$B$5+INT((ROW()-2)/Assumptions!$B$7)&gt;Assumptions!$B$6,"",Assumptions!$B$5+INT((ROW()-2)/Assumptions!$B$7))</x:f>
        <x:v>46211</x:v>
      </x:c>
      <x:c r="B943" t="str">
        <x:f>IF($A943="","",INDEX(Assumptions!$D$5:$D$12,MOD(ROW()-2,Assumptions!$B$7)+1))</x:f>
        <x:v>LV-426 North</x:v>
      </x:c>
      <x:c r="C943" s="11" t="n">
        <x:f>IF($A943="","",INDEX(Assumptions!$F$5:$F$12,MATCH($B943,Assumptions!$D$5:$D$12,0)))</x:f>
        <x:v>930</x:v>
      </x:c>
      <x:c r="D943" s="11" t="n">
        <x:f>IF($A943="","",INDEX(Assumptions!$G$5:$G$12,MATCH($B943,Assumptions!$D$5:$D$12,0)))</x:f>
        <x:v>95</x:v>
      </x:c>
      <x:c r="E943" s="11" t="n">
        <x:f>IF($A943="","",INDEX(Assumptions!$M$5:$M$11,WEEKDAY($A943,2)))</x:f>
        <x:v>1.01</x:v>
      </x:c>
      <x:c r="F943" s="11" t="n">
        <x:f>IF($A943="","",Assumptions!$B$15)</x:f>
        <x:v>0.35</x:v>
      </x:c>
      <x:c r="G943" s="11" t="n">
        <x:f>IF($A943="","",MAX(INDEX(Assumptions!$H$5:$H$12,MATCH($B943,Assumptions!$D$5:$D$12,0)),MIN(INDEX(Assumptions!$I$5:$I$12,MATCH($B943,Assumptions!$D$5:$D$12,0)),($C943+$D943*SQRT(-2*LN(RAND()))*COS(2*PI()*RAND()))*$E943*$J943*$K943)))</x:f>
        <x:v>832.2983832557941</x:v>
      </x:c>
      <x:c r="H943" s="11" t="n">
        <x:f>IF($A943="","",$G943*$F943+$C943*(1-$F943))</x:f>
        <x:v>895.804434139528</x:v>
      </x:c>
      <x:c r="I943" s="11" t="n">
        <x:f>IF($A943="","",AVERAGE($H943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919.3089590665475</x:v>
      </x:c>
      <x:c r="J943" s="12" t="n">
        <x:f>IF($A943="","",1+SUMIFS(Assumptions!$S$5:$S$10,Assumptions!$P$5:$P$10,$B943,Assumptions!$Q$5:$Q$10,"&lt;="&amp;$A943,Assumptions!$R$5:$R$10,"&gt;="&amp;$A943))</x:f>
        <x:v>1</x:v>
      </x:c>
      <x:c r="K943" s="12" t="n">
        <x:f>IF($A943="","",1+((($A943-Assumptions!$B$5)/30)*INDEX(Assumptions!$J$5:$J$12,MATCH($B943,Assumptions!$D$5:$D$12,0))))</x:f>
        <x:v>0.9937333333333334</x:v>
      </x:c>
      <x:c r="L943" t="str">
        <x:f>IF($A943="","",IFERROR(INDEX(Assumptions!$O$5:$O$10,MATCH(1,(Assumptions!$P$5:$P$10=$B943)*(Assumptions!$Q$5:$Q$10&lt;=$A943)*(Assumptions!$R$5:$R$10&gt;=$A943),0)),""))</x:f>
      </x:c>
      <x:c r="M943" t="n">
        <x:f>--($A943&lt;&gt;"")</x:f>
        <x:v>1</x:v>
      </x:c>
    </x:row>
    <x:row r="944">
      <x:c r="A944" s="10" t="n">
        <x:f>IF(Assumptions!$B$5+INT((ROW()-2)/Assumptions!$B$7)&gt;Assumptions!$B$6,"",Assumptions!$B$5+INT((ROW()-2)/Assumptions!$B$7))</x:f>
        <x:v>46211</x:v>
      </x:c>
      <x:c r="B944" t="str">
        <x:f>IF($A944="","",INDEX(Assumptions!$D$5:$D$12,MOD(ROW()-2,Assumptions!$B$7)+1))</x:f>
        <x:v>Nostromo Deep</x:v>
      </x:c>
      <x:c r="C944" s="11" t="n">
        <x:f>IF($A944="","",INDEX(Assumptions!$F$5:$F$12,MATCH($B944,Assumptions!$D$5:$D$12,0)))</x:f>
        <x:v>1260</x:v>
      </x:c>
      <x:c r="D944" s="11" t="n">
        <x:f>IF($A944="","",INDEX(Assumptions!$G$5:$G$12,MATCH($B944,Assumptions!$D$5:$D$12,0)))</x:f>
        <x:v>145</x:v>
      </x:c>
      <x:c r="E944" s="11" t="n">
        <x:f>IF($A944="","",INDEX(Assumptions!$M$5:$M$11,WEEKDAY($A944,2)))</x:f>
        <x:v>1.01</x:v>
      </x:c>
      <x:c r="F944" s="11" t="n">
        <x:f>IF($A944="","",Assumptions!$B$15)</x:f>
        <x:v>0.35</x:v>
      </x:c>
      <x:c r="G944" s="11" t="n">
        <x:f>IF($A944="","",MAX(INDEX(Assumptions!$H$5:$H$12,MATCH($B944,Assumptions!$D$5:$D$12,0)),MIN(INDEX(Assumptions!$I$5:$I$12,MATCH($B944,Assumptions!$D$5:$D$12,0)),($C944+$D944*SQRT(-2*LN(RAND()))*COS(2*PI()*RAND()))*$E944*$J944*$K944)))</x:f>
        <x:v>1268.171033738428</x:v>
      </x:c>
      <x:c r="H944" s="11" t="n">
        <x:f>IF($A944="","",$G944*$F944+$C944*(1-$F944))</x:f>
        <x:v>1262.8598618084498</x:v>
      </x:c>
      <x:c r="I944" s="11" t="n">
        <x:f>IF($A944="","",AVERAGE($H944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1260.0662407495158</x:v>
      </x:c>
      <x:c r="J944" s="12" t="n">
        <x:f>IF($A944="","",1+SUMIFS(Assumptions!$S$5:$S$10,Assumptions!$P$5:$P$10,$B944,Assumptions!$Q$5:$Q$10,"&lt;="&amp;$A944,Assumptions!$R$5:$R$10,"&gt;="&amp;$A944))</x:f>
        <x:v>1</x:v>
      </x:c>
      <x:c r="K944" s="12" t="n">
        <x:f>IF($A944="","",1+((($A944-Assumptions!$B$5)/30)*INDEX(Assumptions!$J$5:$J$12,MATCH($B944,Assumptions!$D$5:$D$12,0))))</x:f>
        <x:v>1.0188</x:v>
      </x:c>
      <x:c r="L944" t="str">
        <x:f>IF($A944="","",IFERROR(INDEX(Assumptions!$O$5:$O$10,MATCH(1,(Assumptions!$P$5:$P$10=$B944)*(Assumptions!$Q$5:$Q$10&lt;=$A944)*(Assumptions!$R$5:$R$10&gt;=$A944),0)),""))</x:f>
      </x:c>
      <x:c r="M944" t="n">
        <x:f>--($A944&lt;&gt;"")</x:f>
        <x:v>1</x:v>
      </x:c>
    </x:row>
    <x:row r="945">
      <x:c r="A945" s="10" t="n">
        <x:f>IF(Assumptions!$B$5+INT((ROW()-2)/Assumptions!$B$7)&gt;Assumptions!$B$6,"",Assumptions!$B$5+INT((ROW()-2)/Assumptions!$B$7))</x:f>
        <x:v>46211</x:v>
      </x:c>
      <x:c r="B945" t="str">
        <x:f>IF($A945="","",INDEX(Assumptions!$D$5:$D$12,MOD(ROW()-2,Assumptions!$B$7)+1))</x:f>
        <x:v>Hadley's Hope</x:v>
      </x:c>
      <x:c r="C945" s="11" t="n">
        <x:f>IF($A945="","",INDEX(Assumptions!$F$5:$F$12,MATCH($B945,Assumptions!$D$5:$D$12,0)))</x:f>
        <x:v>845</x:v>
      </x:c>
      <x:c r="D945" s="11" t="n">
        <x:f>IF($A945="","",INDEX(Assumptions!$G$5:$G$12,MATCH($B945,Assumptions!$D$5:$D$12,0)))</x:f>
        <x:v>80</x:v>
      </x:c>
      <x:c r="E945" s="11" t="n">
        <x:f>IF($A945="","",INDEX(Assumptions!$M$5:$M$11,WEEKDAY($A945,2)))</x:f>
        <x:v>1.01</x:v>
      </x:c>
      <x:c r="F945" s="11" t="n">
        <x:f>IF($A945="","",Assumptions!$B$15)</x:f>
        <x:v>0.35</x:v>
      </x:c>
      <x:c r="G945" s="11" t="n">
        <x:f>IF($A945="","",MAX(INDEX(Assumptions!$H$5:$H$12,MATCH($B945,Assumptions!$D$5:$D$12,0)),MIN(INDEX(Assumptions!$I$5:$I$12,MATCH($B945,Assumptions!$D$5:$D$12,0)),($C945+$D945*SQRT(-2*LN(RAND()))*COS(2*PI()*RAND()))*$E945*$J945*$K945)))</x:f>
        <x:v>787.3911673301634</x:v>
      </x:c>
      <x:c r="H945" s="11" t="n">
        <x:f>IF($A945="","",$G945*$F945+$C945*(1-$F945))</x:f>
        <x:v>824.8369085655572</x:v>
      </x:c>
      <x:c r="I945" s="11" t="n">
        <x:f>IF($A945="","",AVERAGE($H945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783.8125358732281</x:v>
      </x:c>
      <x:c r="J945" s="12" t="n">
        <x:f>IF($A945="","",1+SUMIFS(Assumptions!$S$5:$S$10,Assumptions!$P$5:$P$10,$B945,Assumptions!$Q$5:$Q$10,"&lt;="&amp;$A945,Assumptions!$R$5:$R$10,"&gt;="&amp;$A945))</x:f>
        <x:v>0.88</x:v>
      </x:c>
      <x:c r="K945" s="12" t="n">
        <x:f>IF($A945="","",1+((($A945-Assumptions!$B$5)/30)*INDEX(Assumptions!$J$5:$J$12,MATCH($B945,Assumptions!$D$5:$D$12,0))))</x:f>
        <x:v>1.0062666666666666</x:v>
      </x:c>
      <x:c r="L945" t="str">
        <x:f>IF($A945="","",IFERROR(INDEX(Assumptions!$O$5:$O$10,MATCH(1,(Assumptions!$P$5:$P$10=$B945)*(Assumptions!$Q$5:$Q$10&lt;=$A945)*(Assumptions!$R$5:$R$10&gt;=$A945),0)),""))</x:f>
        <x:v>Crew rotation</x:v>
      </x:c>
      <x:c r="M945" t="n">
        <x:f>--($A945&lt;&gt;"")</x:f>
        <x:v>1</x:v>
      </x:c>
    </x:row>
    <x:row r="946">
      <x:c r="A946" s="10" t="n">
        <x:f>IF(Assumptions!$B$5+INT((ROW()-2)/Assumptions!$B$7)&gt;Assumptions!$B$6,"",Assumptions!$B$5+INT((ROW()-2)/Assumptions!$B$7))</x:f>
        <x:v>46211</x:v>
      </x:c>
      <x:c r="B946" t="str">
        <x:f>IF($A946="","",INDEX(Assumptions!$D$5:$D$12,MOD(ROW()-2,Assumptions!$B$7)+1))</x:f>
        <x:v>Yutani Ridge</x:v>
      </x:c>
      <x:c r="C946" s="11" t="n">
        <x:f>IF($A946="","",INDEX(Assumptions!$F$5:$F$12,MATCH($B946,Assumptions!$D$5:$D$12,0)))</x:f>
        <x:v>1050</x:v>
      </x:c>
      <x:c r="D946" s="11" t="n">
        <x:f>IF($A946="","",INDEX(Assumptions!$G$5:$G$12,MATCH($B946,Assumptions!$D$5:$D$12,0)))</x:f>
        <x:v>125</x:v>
      </x:c>
      <x:c r="E946" s="11" t="n">
        <x:f>IF($A946="","",INDEX(Assumptions!$M$5:$M$11,WEEKDAY($A946,2)))</x:f>
        <x:v>1.01</x:v>
      </x:c>
      <x:c r="F946" s="11" t="n">
        <x:f>IF($A946="","",Assumptions!$B$15)</x:f>
        <x:v>0.35</x:v>
      </x:c>
      <x:c r="G946" s="11" t="n">
        <x:f>IF($A946="","",MAX(INDEX(Assumptions!$H$5:$H$12,MATCH($B946,Assumptions!$D$5:$D$12,0)),MIN(INDEX(Assumptions!$I$5:$I$12,MATCH($B946,Assumptions!$D$5:$D$12,0)),($C946+$D946*SQRT(-2*LN(RAND()))*COS(2*PI()*RAND()))*$E946*$J946*$K946)))</x:f>
        <x:v>969.7161140001975</x:v>
      </x:c>
      <x:c r="H946" s="11" t="n">
        <x:f>IF($A946="","",$G946*$F946+$C946*(1-$F946))</x:f>
        <x:v>1021.9006399000691</x:v>
      </x:c>
      <x:c r="I946" s="11" t="n">
        <x:f>IF($A946="","",AVERAGE($H946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1036.1068684617542</x:v>
      </x:c>
      <x:c r="J946" s="12" t="n">
        <x:f>IF($A946="","",1+SUMIFS(Assumptions!$S$5:$S$10,Assumptions!$P$5:$P$10,$B946,Assumptions!$Q$5:$Q$10,"&lt;="&amp;$A946,Assumptions!$R$5:$R$10,"&gt;="&amp;$A946))</x:f>
        <x:v>1</x:v>
      </x:c>
      <x:c r="K946" s="12" t="n">
        <x:f>IF($A946="","",1+((($A946-Assumptions!$B$5)/30)*INDEX(Assumptions!$J$5:$J$12,MATCH($B946,Assumptions!$D$5:$D$12,0))))</x:f>
        <x:v>1.0156666666666667</x:v>
      </x:c>
      <x:c r="L946" t="str">
        <x:f>IF($A946="","",IFERROR(INDEX(Assumptions!$O$5:$O$10,MATCH(1,(Assumptions!$P$5:$P$10=$B946)*(Assumptions!$Q$5:$Q$10&lt;=$A946)*(Assumptions!$R$5:$R$10&gt;=$A946),0)),""))</x:f>
      </x:c>
      <x:c r="M946" t="n">
        <x:f>--($A946&lt;&gt;"")</x:f>
        <x:v>1</x:v>
      </x:c>
    </x:row>
    <x:row r="947">
      <x:c r="A947" s="10" t="n">
        <x:f>IF(Assumptions!$B$5+INT((ROW()-2)/Assumptions!$B$7)&gt;Assumptions!$B$6,"",Assumptions!$B$5+INT((ROW()-2)/Assumptions!$B$7))</x:f>
        <x:v>46212</x:v>
      </x:c>
      <x:c r="B947" t="str">
        <x:f>IF($A947="","",INDEX(Assumptions!$D$5:$D$12,MOD(ROW()-2,Assumptions!$B$7)+1))</x:f>
        <x:v>Acheron Prime</x:v>
      </x:c>
      <x:c r="C947" s="11" t="n">
        <x:f>IF($A947="","",INDEX(Assumptions!$F$5:$F$12,MATCH($B947,Assumptions!$D$5:$D$12,0)))</x:f>
        <x:v>1120</x:v>
      </x:c>
      <x:c r="D947" s="11" t="n">
        <x:f>IF($A947="","",INDEX(Assumptions!$G$5:$G$12,MATCH($B947,Assumptions!$D$5:$D$12,0)))</x:f>
        <x:v>115</x:v>
      </x:c>
      <x:c r="E947" s="11" t="n">
        <x:f>IF($A947="","",INDEX(Assumptions!$M$5:$M$11,WEEKDAY($A947,2)))</x:f>
        <x:v>1</x:v>
      </x:c>
      <x:c r="F947" s="11" t="n">
        <x:f>IF($A947="","",Assumptions!$B$15)</x:f>
        <x:v>0.35</x:v>
      </x:c>
      <x:c r="G947" s="11" t="n">
        <x:f>IF($A947="","",MAX(INDEX(Assumptions!$H$5:$H$12,MATCH($B947,Assumptions!$D$5:$D$12,0)),MIN(INDEX(Assumptions!$I$5:$I$12,MATCH($B947,Assumptions!$D$5:$D$12,0)),($C947+$D947*SQRT(-2*LN(RAND()))*COS(2*PI()*RAND()))*$E947*$J947*$K947)))</x:f>
        <x:v>1109.6041899622342</x:v>
      </x:c>
      <x:c r="H947" s="11" t="n">
        <x:f>IF($A947="","",$G947*$F947+$C947*(1-$F947))</x:f>
        <x:v>1116.3614664867819</x:v>
      </x:c>
      <x:c r="I947" s="11" t="n">
        <x:f>IF($A947="","",AVERAGE($H947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1120.7951387870992</x:v>
      </x:c>
      <x:c r="J947" s="12" t="n">
        <x:f>IF($A947="","",1+SUMIFS(Assumptions!$S$5:$S$10,Assumptions!$P$5:$P$10,$B947,Assumptions!$Q$5:$Q$10,"&lt;="&amp;$A947,Assumptions!$R$5:$R$10,"&gt;="&amp;$A947))</x:f>
        <x:v>1</x:v>
      </x:c>
      <x:c r="K947" s="12" t="n">
        <x:f>IF($A947="","",1+((($A947-Assumptions!$B$5)/30)*INDEX(Assumptions!$J$5:$J$12,MATCH($B947,Assumptions!$D$5:$D$12,0))))</x:f>
        <x:v>1.0126</x:v>
      </x:c>
      <x:c r="L947" t="str">
        <x:f>IF($A947="","",IFERROR(INDEX(Assumptions!$O$5:$O$10,MATCH(1,(Assumptions!$P$5:$P$10=$B947)*(Assumptions!$Q$5:$Q$10&lt;=$A947)*(Assumptions!$R$5:$R$10&gt;=$A947),0)),""))</x:f>
      </x:c>
      <x:c r="M947" t="n">
        <x:f>--($A947&lt;&gt;"")</x:f>
        <x:v>1</x:v>
      </x:c>
    </x:row>
    <x:row r="948">
      <x:c r="A948" s="10" t="n">
        <x:f>IF(Assumptions!$B$5+INT((ROW()-2)/Assumptions!$B$7)&gt;Assumptions!$B$6,"",Assumptions!$B$5+INT((ROW()-2)/Assumptions!$B$7))</x:f>
        <x:v>46212</x:v>
      </x:c>
      <x:c r="B948" t="str">
        <x:f>IF($A948="","",INDEX(Assumptions!$D$5:$D$12,MOD(ROW()-2,Assumptions!$B$7)+1))</x:f>
        <x:v>LV-426 North</x:v>
      </x:c>
      <x:c r="C948" s="11" t="n">
        <x:f>IF($A948="","",INDEX(Assumptions!$F$5:$F$12,MATCH($B948,Assumptions!$D$5:$D$12,0)))</x:f>
        <x:v>930</x:v>
      </x:c>
      <x:c r="D948" s="11" t="n">
        <x:f>IF($A948="","",INDEX(Assumptions!$G$5:$G$12,MATCH($B948,Assumptions!$D$5:$D$12,0)))</x:f>
        <x:v>95</x:v>
      </x:c>
      <x:c r="E948" s="11" t="n">
        <x:f>IF($A948="","",INDEX(Assumptions!$M$5:$M$11,WEEKDAY($A948,2)))</x:f>
        <x:v>1</x:v>
      </x:c>
      <x:c r="F948" s="11" t="n">
        <x:f>IF($A948="","",Assumptions!$B$15)</x:f>
        <x:v>0.35</x:v>
      </x:c>
      <x:c r="G948" s="11" t="n">
        <x:f>IF($A948="","",MAX(INDEX(Assumptions!$H$5:$H$12,MATCH($B948,Assumptions!$D$5:$D$12,0)),MIN(INDEX(Assumptions!$I$5:$I$12,MATCH($B948,Assumptions!$D$5:$D$12,0)),($C948+$D948*SQRT(-2*LN(RAND()))*COS(2*PI()*RAND()))*$E948*$J948*$K948)))</x:f>
        <x:v>855.8849677998288</x:v>
      </x:c>
      <x:c r="H948" s="11" t="n">
        <x:f>IF($A948="","",$G948*$F948+$C948*(1-$F948))</x:f>
        <x:v>904.0597387299401</x:v>
      </x:c>
      <x:c r="I948" s="11" t="n">
        <x:f>IF($A948="","",AVERAGE($H948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909.2516974092065</x:v>
      </x:c>
      <x:c r="J948" s="12" t="n">
        <x:f>IF($A948="","",1+SUMIFS(Assumptions!$S$5:$S$10,Assumptions!$P$5:$P$10,$B948,Assumptions!$Q$5:$Q$10,"&lt;="&amp;$A948,Assumptions!$R$5:$R$10,"&gt;="&amp;$A948))</x:f>
        <x:v>1</x:v>
      </x:c>
      <x:c r="K948" s="12" t="n">
        <x:f>IF($A948="","",1+((($A948-Assumptions!$B$5)/30)*INDEX(Assumptions!$J$5:$J$12,MATCH($B948,Assumptions!$D$5:$D$12,0))))</x:f>
        <x:v>0.9937</x:v>
      </x:c>
      <x:c r="L948" t="str">
        <x:f>IF($A948="","",IFERROR(INDEX(Assumptions!$O$5:$O$10,MATCH(1,(Assumptions!$P$5:$P$10=$B948)*(Assumptions!$Q$5:$Q$10&lt;=$A948)*(Assumptions!$R$5:$R$10&gt;=$A948),0)),""))</x:f>
      </x:c>
      <x:c r="M948" t="n">
        <x:f>--($A948&lt;&gt;"")</x:f>
        <x:v>1</x:v>
      </x:c>
    </x:row>
    <x:row r="949">
      <x:c r="A949" s="10" t="n">
        <x:f>IF(Assumptions!$B$5+INT((ROW()-2)/Assumptions!$B$7)&gt;Assumptions!$B$6,"",Assumptions!$B$5+INT((ROW()-2)/Assumptions!$B$7))</x:f>
        <x:v>46212</x:v>
      </x:c>
      <x:c r="B949" t="str">
        <x:f>IF($A949="","",INDEX(Assumptions!$D$5:$D$12,MOD(ROW()-2,Assumptions!$B$7)+1))</x:f>
        <x:v>Nostromo Deep</x:v>
      </x:c>
      <x:c r="C949" s="11" t="n">
        <x:f>IF($A949="","",INDEX(Assumptions!$F$5:$F$12,MATCH($B949,Assumptions!$D$5:$D$12,0)))</x:f>
        <x:v>1260</x:v>
      </x:c>
      <x:c r="D949" s="11" t="n">
        <x:f>IF($A949="","",INDEX(Assumptions!$G$5:$G$12,MATCH($B949,Assumptions!$D$5:$D$12,0)))</x:f>
        <x:v>145</x:v>
      </x:c>
      <x:c r="E949" s="11" t="n">
        <x:f>IF($A949="","",INDEX(Assumptions!$M$5:$M$11,WEEKDAY($A949,2)))</x:f>
        <x:v>1</x:v>
      </x:c>
      <x:c r="F949" s="11" t="n">
        <x:f>IF($A949="","",Assumptions!$B$15)</x:f>
        <x:v>0.35</x:v>
      </x:c>
      <x:c r="G949" s="11" t="n">
        <x:f>IF($A949="","",MAX(INDEX(Assumptions!$H$5:$H$12,MATCH($B949,Assumptions!$D$5:$D$12,0)),MIN(INDEX(Assumptions!$I$5:$I$12,MATCH($B949,Assumptions!$D$5:$D$12,0)),($C949+$D949*SQRT(-2*LN(RAND()))*COS(2*PI()*RAND()))*$E949*$J949*$K949)))</x:f>
        <x:v>1073.8816485169164</x:v>
      </x:c>
      <x:c r="H949" s="11" t="n">
        <x:f>IF($A949="","",$G949*$F949+$C949*(1-$F949))</x:f>
        <x:v>1194.8585769809206</x:v>
      </x:c>
      <x:c r="I949" s="11" t="n">
        <x:f>IF($A949="","",AVERAGE($H949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1253.3079633155337</x:v>
      </x:c>
      <x:c r="J949" s="12" t="n">
        <x:f>IF($A949="","",1+SUMIFS(Assumptions!$S$5:$S$10,Assumptions!$P$5:$P$10,$B949,Assumptions!$Q$5:$Q$10,"&lt;="&amp;$A949,Assumptions!$R$5:$R$10,"&gt;="&amp;$A949))</x:f>
        <x:v>1</x:v>
      </x:c>
      <x:c r="K949" s="12" t="n">
        <x:f>IF($A949="","",1+((($A949-Assumptions!$B$5)/30)*INDEX(Assumptions!$J$5:$J$12,MATCH($B949,Assumptions!$D$5:$D$12,0))))</x:f>
        <x:v>1.0189</x:v>
      </x:c>
      <x:c r="L949" t="str">
        <x:f>IF($A949="","",IFERROR(INDEX(Assumptions!$O$5:$O$10,MATCH(1,(Assumptions!$P$5:$P$10=$B949)*(Assumptions!$Q$5:$Q$10&lt;=$A949)*(Assumptions!$R$5:$R$10&gt;=$A949),0)),""))</x:f>
      </x:c>
      <x:c r="M949" t="n">
        <x:f>--($A949&lt;&gt;"")</x:f>
        <x:v>1</x:v>
      </x:c>
    </x:row>
    <x:row r="950">
      <x:c r="A950" s="10" t="n">
        <x:f>IF(Assumptions!$B$5+INT((ROW()-2)/Assumptions!$B$7)&gt;Assumptions!$B$6,"",Assumptions!$B$5+INT((ROW()-2)/Assumptions!$B$7))</x:f>
        <x:v>46212</x:v>
      </x:c>
      <x:c r="B950" t="str">
        <x:f>IF($A950="","",INDEX(Assumptions!$D$5:$D$12,MOD(ROW()-2,Assumptions!$B$7)+1))</x:f>
        <x:v>Hadley's Hope</x:v>
      </x:c>
      <x:c r="C950" s="11" t="n">
        <x:f>IF($A950="","",INDEX(Assumptions!$F$5:$F$12,MATCH($B950,Assumptions!$D$5:$D$12,0)))</x:f>
        <x:v>845</x:v>
      </x:c>
      <x:c r="D950" s="11" t="n">
        <x:f>IF($A950="","",INDEX(Assumptions!$G$5:$G$12,MATCH($B950,Assumptions!$D$5:$D$12,0)))</x:f>
        <x:v>80</x:v>
      </x:c>
      <x:c r="E950" s="11" t="n">
        <x:f>IF($A950="","",INDEX(Assumptions!$M$5:$M$11,WEEKDAY($A950,2)))</x:f>
        <x:v>1</x:v>
      </x:c>
      <x:c r="F950" s="11" t="n">
        <x:f>IF($A950="","",Assumptions!$B$15)</x:f>
        <x:v>0.35</x:v>
      </x:c>
      <x:c r="G950" s="11" t="n">
        <x:f>IF($A950="","",MAX(INDEX(Assumptions!$H$5:$H$12,MATCH($B950,Assumptions!$D$5:$D$12,0)),MIN(INDEX(Assumptions!$I$5:$I$12,MATCH($B950,Assumptions!$D$5:$D$12,0)),($C950+$D950*SQRT(-2*LN(RAND()))*COS(2*PI()*RAND()))*$E950*$J950*$K950)))</x:f>
        <x:v>697.5758754690859</x:v>
      </x:c>
      <x:c r="H950" s="11" t="n">
        <x:f>IF($A950="","",$G950*$F950+$C950*(1-$F950))</x:f>
        <x:v>793.40155641418</x:v>
      </x:c>
      <x:c r="I950" s="11" t="n">
        <x:f>IF($A950="","",AVERAGE($H950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779.7277815501077</x:v>
      </x:c>
      <x:c r="J950" s="12" t="n">
        <x:f>IF($A950="","",1+SUMIFS(Assumptions!$S$5:$S$10,Assumptions!$P$5:$P$10,$B950,Assumptions!$Q$5:$Q$10,"&lt;="&amp;$A950,Assumptions!$R$5:$R$10,"&gt;="&amp;$A950))</x:f>
        <x:v>0.88</x:v>
      </x:c>
      <x:c r="K950" s="12" t="n">
        <x:f>IF($A950="","",1+((($A950-Assumptions!$B$5)/30)*INDEX(Assumptions!$J$5:$J$12,MATCH($B950,Assumptions!$D$5:$D$12,0))))</x:f>
        <x:v>1.0063</x:v>
      </x:c>
      <x:c r="L950" t="str">
        <x:f>IF($A950="","",IFERROR(INDEX(Assumptions!$O$5:$O$10,MATCH(1,(Assumptions!$P$5:$P$10=$B950)*(Assumptions!$Q$5:$Q$10&lt;=$A950)*(Assumptions!$R$5:$R$10&gt;=$A950),0)),""))</x:f>
        <x:v>Crew rotation</x:v>
      </x:c>
      <x:c r="M950" t="n">
        <x:f>--($A950&lt;&gt;"")</x:f>
        <x:v>1</x:v>
      </x:c>
    </x:row>
    <x:row r="951">
      <x:c r="A951" s="10" t="n">
        <x:f>IF(Assumptions!$B$5+INT((ROW()-2)/Assumptions!$B$7)&gt;Assumptions!$B$6,"",Assumptions!$B$5+INT((ROW()-2)/Assumptions!$B$7))</x:f>
        <x:v>46212</x:v>
      </x:c>
      <x:c r="B951" t="str">
        <x:f>IF($A951="","",INDEX(Assumptions!$D$5:$D$12,MOD(ROW()-2,Assumptions!$B$7)+1))</x:f>
        <x:v>Yutani Ridge</x:v>
      </x:c>
      <x:c r="C951" s="11" t="n">
        <x:f>IF($A951="","",INDEX(Assumptions!$F$5:$F$12,MATCH($B951,Assumptions!$D$5:$D$12,0)))</x:f>
        <x:v>1050</x:v>
      </x:c>
      <x:c r="D951" s="11" t="n">
        <x:f>IF($A951="","",INDEX(Assumptions!$G$5:$G$12,MATCH($B951,Assumptions!$D$5:$D$12,0)))</x:f>
        <x:v>125</x:v>
      </x:c>
      <x:c r="E951" s="11" t="n">
        <x:f>IF($A951="","",INDEX(Assumptions!$M$5:$M$11,WEEKDAY($A951,2)))</x:f>
        <x:v>1</x:v>
      </x:c>
      <x:c r="F951" s="11" t="n">
        <x:f>IF($A951="","",Assumptions!$B$15)</x:f>
        <x:v>0.35</x:v>
      </x:c>
      <x:c r="G951" s="11" t="n">
        <x:f>IF($A951="","",MAX(INDEX(Assumptions!$H$5:$H$12,MATCH($B951,Assumptions!$D$5:$D$12,0)),MIN(INDEX(Assumptions!$I$5:$I$12,MATCH($B951,Assumptions!$D$5:$D$12,0)),($C951+$D951*SQRT(-2*LN(RAND()))*COS(2*PI()*RAND()))*$E951*$J951*$K951)))</x:f>
        <x:v>1353.5036139106194</x:v>
      </x:c>
      <x:c r="H951" s="11" t="n">
        <x:f>IF($A951="","",$G951*$F951+$C951*(1-$F951))</x:f>
        <x:v>1156.2262648687167</x:v>
      </x:c>
      <x:c r="I951" s="11" t="n">
        <x:f>IF($A951="","",AVERAGE($H951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1049.5481816519411</x:v>
      </x:c>
      <x:c r="J951" s="12" t="n">
        <x:f>IF($A951="","",1+SUMIFS(Assumptions!$S$5:$S$10,Assumptions!$P$5:$P$10,$B951,Assumptions!$Q$5:$Q$10,"&lt;="&amp;$A951,Assumptions!$R$5:$R$10,"&gt;="&amp;$A951))</x:f>
        <x:v>1</x:v>
      </x:c>
      <x:c r="K951" s="12" t="n">
        <x:f>IF($A951="","",1+((($A951-Assumptions!$B$5)/30)*INDEX(Assumptions!$J$5:$J$12,MATCH($B951,Assumptions!$D$5:$D$12,0))))</x:f>
        <x:v>1.01575</x:v>
      </x:c>
      <x:c r="L951" t="str">
        <x:f>IF($A951="","",IFERROR(INDEX(Assumptions!$O$5:$O$10,MATCH(1,(Assumptions!$P$5:$P$10=$B951)*(Assumptions!$Q$5:$Q$10&lt;=$A951)*(Assumptions!$R$5:$R$10&gt;=$A951),0)),""))</x:f>
      </x:c>
      <x:c r="M951" t="n">
        <x:f>--($A951&lt;&gt;"")</x:f>
        <x:v>1</x:v>
      </x:c>
    </x:row>
    <x:row r="952">
      <x:c r="A952" s="10" t="n">
        <x:f>IF(Assumptions!$B$5+INT((ROW()-2)/Assumptions!$B$7)&gt;Assumptions!$B$6,"",Assumptions!$B$5+INT((ROW()-2)/Assumptions!$B$7))</x:f>
        <x:v>46213</x:v>
      </x:c>
      <x:c r="B952" t="str">
        <x:f>IF($A952="","",INDEX(Assumptions!$D$5:$D$12,MOD(ROW()-2,Assumptions!$B$7)+1))</x:f>
        <x:v>Acheron Prime</x:v>
      </x:c>
      <x:c r="C952" s="11" t="n">
        <x:f>IF($A952="","",INDEX(Assumptions!$F$5:$F$12,MATCH($B952,Assumptions!$D$5:$D$12,0)))</x:f>
        <x:v>1120</x:v>
      </x:c>
      <x:c r="D952" s="11" t="n">
        <x:f>IF($A952="","",INDEX(Assumptions!$G$5:$G$12,MATCH($B952,Assumptions!$D$5:$D$12,0)))</x:f>
        <x:v>115</x:v>
      </x:c>
      <x:c r="E952" s="11" t="n">
        <x:f>IF($A952="","",INDEX(Assumptions!$M$5:$M$11,WEEKDAY($A952,2)))</x:f>
        <x:v>0.98</x:v>
      </x:c>
      <x:c r="F952" s="11" t="n">
        <x:f>IF($A952="","",Assumptions!$B$15)</x:f>
        <x:v>0.35</x:v>
      </x:c>
      <x:c r="G952" s="11" t="n">
        <x:f>IF($A952="","",MAX(INDEX(Assumptions!$H$5:$H$12,MATCH($B952,Assumptions!$D$5:$D$12,0)),MIN(INDEX(Assumptions!$I$5:$I$12,MATCH($B952,Assumptions!$D$5:$D$12,0)),($C952+$D952*SQRT(-2*LN(RAND()))*COS(2*PI()*RAND()))*$E952*$J952*$K952)))</x:f>
        <x:v>1193.2299997833668</x:v>
      </x:c>
      <x:c r="H952" s="11" t="n">
        <x:f>IF($A952="","",$G952*$F952+$C952*(1-$F952))</x:f>
        <x:v>1145.6304999241784</x:v>
      </x:c>
      <x:c r="I952" s="11" t="n">
        <x:f>IF($A952="","",AVERAGE($H952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1131.1385751826144</x:v>
      </x:c>
      <x:c r="J952" s="12" t="n">
        <x:f>IF($A952="","",1+SUMIFS(Assumptions!$S$5:$S$10,Assumptions!$P$5:$P$10,$B952,Assumptions!$Q$5:$Q$10,"&lt;="&amp;$A952,Assumptions!$R$5:$R$10,"&gt;="&amp;$A952))</x:f>
        <x:v>1</x:v>
      </x:c>
      <x:c r="K952" s="12" t="n">
        <x:f>IF($A952="","",1+((($A952-Assumptions!$B$5)/30)*INDEX(Assumptions!$J$5:$J$12,MATCH($B952,Assumptions!$D$5:$D$12,0))))</x:f>
        <x:v>1.0126666666666666</x:v>
      </x:c>
      <x:c r="L952" t="str">
        <x:f>IF($A952="","",IFERROR(INDEX(Assumptions!$O$5:$O$10,MATCH(1,(Assumptions!$P$5:$P$10=$B952)*(Assumptions!$Q$5:$Q$10&lt;=$A952)*(Assumptions!$R$5:$R$10&gt;=$A952),0)),""))</x:f>
      </x:c>
      <x:c r="M952" t="n">
        <x:f>--($A952&lt;&gt;"")</x:f>
        <x:v>1</x:v>
      </x:c>
    </x:row>
    <x:row r="953">
      <x:c r="A953" s="10" t="n">
        <x:f>IF(Assumptions!$B$5+INT((ROW()-2)/Assumptions!$B$7)&gt;Assumptions!$B$6,"",Assumptions!$B$5+INT((ROW()-2)/Assumptions!$B$7))</x:f>
        <x:v>46213</x:v>
      </x:c>
      <x:c r="B953" t="str">
        <x:f>IF($A953="","",INDEX(Assumptions!$D$5:$D$12,MOD(ROW()-2,Assumptions!$B$7)+1))</x:f>
        <x:v>LV-426 North</x:v>
      </x:c>
      <x:c r="C953" s="11" t="n">
        <x:f>IF($A953="","",INDEX(Assumptions!$F$5:$F$12,MATCH($B953,Assumptions!$D$5:$D$12,0)))</x:f>
        <x:v>930</x:v>
      </x:c>
      <x:c r="D953" s="11" t="n">
        <x:f>IF($A953="","",INDEX(Assumptions!$G$5:$G$12,MATCH($B953,Assumptions!$D$5:$D$12,0)))</x:f>
        <x:v>95</x:v>
      </x:c>
      <x:c r="E953" s="11" t="n">
        <x:f>IF($A953="","",INDEX(Assumptions!$M$5:$M$11,WEEKDAY($A953,2)))</x:f>
        <x:v>0.98</x:v>
      </x:c>
      <x:c r="F953" s="11" t="n">
        <x:f>IF($A953="","",Assumptions!$B$15)</x:f>
        <x:v>0.35</x:v>
      </x:c>
      <x:c r="G953" s="11" t="n">
        <x:f>IF($A953="","",MAX(INDEX(Assumptions!$H$5:$H$12,MATCH($B953,Assumptions!$D$5:$D$12,0)),MIN(INDEX(Assumptions!$I$5:$I$12,MATCH($B953,Assumptions!$D$5:$D$12,0)),($C953+$D953*SQRT(-2*LN(RAND()))*COS(2*PI()*RAND()))*$E953*$J953*$K953)))</x:f>
        <x:v>872.4220083248165</x:v>
      </x:c>
      <x:c r="H953" s="11" t="n">
        <x:f>IF($A953="","",$G953*$F953+$C953*(1-$F953))</x:f>
        <x:v>909.8477029136857</x:v>
      </x:c>
      <x:c r="I953" s="11" t="n">
        <x:f>IF($A953="","",AVERAGE($H953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909.2350136157968</x:v>
      </x:c>
      <x:c r="J953" s="12" t="n">
        <x:f>IF($A953="","",1+SUMIFS(Assumptions!$S$5:$S$10,Assumptions!$P$5:$P$10,$B953,Assumptions!$Q$5:$Q$10,"&lt;="&amp;$A953,Assumptions!$R$5:$R$10,"&gt;="&amp;$A953))</x:f>
        <x:v>1</x:v>
      </x:c>
      <x:c r="K953" s="12" t="n">
        <x:f>IF($A953="","",1+((($A953-Assumptions!$B$5)/30)*INDEX(Assumptions!$J$5:$J$12,MATCH($B953,Assumptions!$D$5:$D$12,0))))</x:f>
        <x:v>0.9936666666666667</x:v>
      </x:c>
      <x:c r="L953" t="str">
        <x:f>IF($A953="","",IFERROR(INDEX(Assumptions!$O$5:$O$10,MATCH(1,(Assumptions!$P$5:$P$10=$B953)*(Assumptions!$Q$5:$Q$10&lt;=$A953)*(Assumptions!$R$5:$R$10&gt;=$A953),0)),""))</x:f>
      </x:c>
      <x:c r="M953" t="n">
        <x:f>--($A953&lt;&gt;"")</x:f>
        <x:v>1</x:v>
      </x:c>
    </x:row>
    <x:row r="954">
      <x:c r="A954" s="10" t="n">
        <x:f>IF(Assumptions!$B$5+INT((ROW()-2)/Assumptions!$B$7)&gt;Assumptions!$B$6,"",Assumptions!$B$5+INT((ROW()-2)/Assumptions!$B$7))</x:f>
        <x:v>46213</x:v>
      </x:c>
      <x:c r="B954" t="str">
        <x:f>IF($A954="","",INDEX(Assumptions!$D$5:$D$12,MOD(ROW()-2,Assumptions!$B$7)+1))</x:f>
        <x:v>Nostromo Deep</x:v>
      </x:c>
      <x:c r="C954" s="11" t="n">
        <x:f>IF($A954="","",INDEX(Assumptions!$F$5:$F$12,MATCH($B954,Assumptions!$D$5:$D$12,0)))</x:f>
        <x:v>1260</x:v>
      </x:c>
      <x:c r="D954" s="11" t="n">
        <x:f>IF($A954="","",INDEX(Assumptions!$G$5:$G$12,MATCH($B954,Assumptions!$D$5:$D$12,0)))</x:f>
        <x:v>145</x:v>
      </x:c>
      <x:c r="E954" s="11" t="n">
        <x:f>IF($A954="","",INDEX(Assumptions!$M$5:$M$11,WEEKDAY($A954,2)))</x:f>
        <x:v>0.98</x:v>
      </x:c>
      <x:c r="F954" s="11" t="n">
        <x:f>IF($A954="","",Assumptions!$B$15)</x:f>
        <x:v>0.35</x:v>
      </x:c>
      <x:c r="G954" s="11" t="n">
        <x:f>IF($A954="","",MAX(INDEX(Assumptions!$H$5:$H$12,MATCH($B954,Assumptions!$D$5:$D$12,0)),MIN(INDEX(Assumptions!$I$5:$I$12,MATCH($B954,Assumptions!$D$5:$D$12,0)),($C954+$D954*SQRT(-2*LN(RAND()))*COS(2*PI()*RAND()))*$E954*$J954*$K954)))</x:f>
        <x:v>1213.4417988990429</x:v>
      </x:c>
      <x:c r="H954" s="11" t="n">
        <x:f>IF($A954="","",$G954*$F954+$C954*(1-$F954))</x:f>
        <x:v>1243.704629614665</x:v>
      </x:c>
      <x:c r="I954" s="11" t="n">
        <x:f>IF($A954="","",AVERAGE($H954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1243.0304719804064</x:v>
      </x:c>
      <x:c r="J954" s="12" t="n">
        <x:f>IF($A954="","",1+SUMIFS(Assumptions!$S$5:$S$10,Assumptions!$P$5:$P$10,$B954,Assumptions!$Q$5:$Q$10,"&lt;="&amp;$A954,Assumptions!$R$5:$R$10,"&gt;="&amp;$A954))</x:f>
        <x:v>1</x:v>
      </x:c>
      <x:c r="K954" s="12" t="n">
        <x:f>IF($A954="","",1+((($A954-Assumptions!$B$5)/30)*INDEX(Assumptions!$J$5:$J$12,MATCH($B954,Assumptions!$D$5:$D$12,0))))</x:f>
        <x:v>1.019</x:v>
      </x:c>
      <x:c r="L954" t="str">
        <x:f>IF($A954="","",IFERROR(INDEX(Assumptions!$O$5:$O$10,MATCH(1,(Assumptions!$P$5:$P$10=$B954)*(Assumptions!$Q$5:$Q$10&lt;=$A954)*(Assumptions!$R$5:$R$10&gt;=$A954),0)),""))</x:f>
      </x:c>
      <x:c r="M954" t="n">
        <x:f>--($A954&lt;&gt;"")</x:f>
        <x:v>1</x:v>
      </x:c>
    </x:row>
    <x:row r="955">
      <x:c r="A955" s="10" t="n">
        <x:f>IF(Assumptions!$B$5+INT((ROW()-2)/Assumptions!$B$7)&gt;Assumptions!$B$6,"",Assumptions!$B$5+INT((ROW()-2)/Assumptions!$B$7))</x:f>
        <x:v>46213</x:v>
      </x:c>
      <x:c r="B955" t="str">
        <x:f>IF($A955="","",INDEX(Assumptions!$D$5:$D$12,MOD(ROW()-2,Assumptions!$B$7)+1))</x:f>
        <x:v>Hadley's Hope</x:v>
      </x:c>
      <x:c r="C955" s="11" t="n">
        <x:f>IF($A955="","",INDEX(Assumptions!$F$5:$F$12,MATCH($B955,Assumptions!$D$5:$D$12,0)))</x:f>
        <x:v>845</x:v>
      </x:c>
      <x:c r="D955" s="11" t="n">
        <x:f>IF($A955="","",INDEX(Assumptions!$G$5:$G$12,MATCH($B955,Assumptions!$D$5:$D$12,0)))</x:f>
        <x:v>80</x:v>
      </x:c>
      <x:c r="E955" s="11" t="n">
        <x:f>IF($A955="","",INDEX(Assumptions!$M$5:$M$11,WEEKDAY($A955,2)))</x:f>
        <x:v>0.98</x:v>
      </x:c>
      <x:c r="F955" s="11" t="n">
        <x:f>IF($A955="","",Assumptions!$B$15)</x:f>
        <x:v>0.35</x:v>
      </x:c>
      <x:c r="G955" s="11" t="n">
        <x:f>IF($A955="","",MAX(INDEX(Assumptions!$H$5:$H$12,MATCH($B955,Assumptions!$D$5:$D$12,0)),MIN(INDEX(Assumptions!$I$5:$I$12,MATCH($B955,Assumptions!$D$5:$D$12,0)),($C955+$D955*SQRT(-2*LN(RAND()))*COS(2*PI()*RAND()))*$E955*$J955*$K955)))</x:f>
        <x:v>851.1799389847272</x:v>
      </x:c>
      <x:c r="H955" s="11" t="n">
        <x:f>IF($A955="","",$G955*$F955+$C955*(1-$F955))</x:f>
        <x:v>847.1629786446545</x:v>
      </x:c>
      <x:c r="I955" s="11" t="n">
        <x:f>IF($A955="","",AVERAGE($H955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791.4517123640244</x:v>
      </x:c>
      <x:c r="J955" s="12" t="n">
        <x:f>IF($A955="","",1+SUMIFS(Assumptions!$S$5:$S$10,Assumptions!$P$5:$P$10,$B955,Assumptions!$Q$5:$Q$10,"&lt;="&amp;$A955,Assumptions!$R$5:$R$10,"&gt;="&amp;$A955))</x:f>
        <x:v>1</x:v>
      </x:c>
      <x:c r="K955" s="12" t="n">
        <x:f>IF($A955="","",1+((($A955-Assumptions!$B$5)/30)*INDEX(Assumptions!$J$5:$J$12,MATCH($B955,Assumptions!$D$5:$D$12,0))))</x:f>
        <x:v>1.0063333333333333</x:v>
      </x:c>
      <x:c r="L955" t="str">
        <x:f>IF($A955="","",IFERROR(INDEX(Assumptions!$O$5:$O$10,MATCH(1,(Assumptions!$P$5:$P$10=$B955)*(Assumptions!$Q$5:$Q$10&lt;=$A955)*(Assumptions!$R$5:$R$10&gt;=$A955),0)),""))</x:f>
      </x:c>
      <x:c r="M955" t="n">
        <x:f>--($A955&lt;&gt;"")</x:f>
        <x:v>1</x:v>
      </x:c>
    </x:row>
    <x:row r="956">
      <x:c r="A956" s="10" t="n">
        <x:f>IF(Assumptions!$B$5+INT((ROW()-2)/Assumptions!$B$7)&gt;Assumptions!$B$6,"",Assumptions!$B$5+INT((ROW()-2)/Assumptions!$B$7))</x:f>
        <x:v>46213</x:v>
      </x:c>
      <x:c r="B956" t="str">
        <x:f>IF($A956="","",INDEX(Assumptions!$D$5:$D$12,MOD(ROW()-2,Assumptions!$B$7)+1))</x:f>
        <x:v>Yutani Ridge</x:v>
      </x:c>
      <x:c r="C956" s="11" t="n">
        <x:f>IF($A956="","",INDEX(Assumptions!$F$5:$F$12,MATCH($B956,Assumptions!$D$5:$D$12,0)))</x:f>
        <x:v>1050</x:v>
      </x:c>
      <x:c r="D956" s="11" t="n">
        <x:f>IF($A956="","",INDEX(Assumptions!$G$5:$G$12,MATCH($B956,Assumptions!$D$5:$D$12,0)))</x:f>
        <x:v>125</x:v>
      </x:c>
      <x:c r="E956" s="11" t="n">
        <x:f>IF($A956="","",INDEX(Assumptions!$M$5:$M$11,WEEKDAY($A956,2)))</x:f>
        <x:v>0.98</x:v>
      </x:c>
      <x:c r="F956" s="11" t="n">
        <x:f>IF($A956="","",Assumptions!$B$15)</x:f>
        <x:v>0.35</x:v>
      </x:c>
      <x:c r="G956" s="11" t="n">
        <x:f>IF($A956="","",MAX(INDEX(Assumptions!$H$5:$H$12,MATCH($B956,Assumptions!$D$5:$D$12,0)),MIN(INDEX(Assumptions!$I$5:$I$12,MATCH($B956,Assumptions!$D$5:$D$12,0)),($C956+$D956*SQRT(-2*LN(RAND()))*COS(2*PI()*RAND()))*$E956*$J956*$K956)))</x:f>
        <x:v>1119.3051233742017</x:v>
      </x:c>
      <x:c r="H956" s="11" t="n">
        <x:f>IF($A956="","",$G956*$F956+$C956*(1-$F956))</x:f>
        <x:v>1074.2567931809706</x:v>
      </x:c>
      <x:c r="I956" s="11" t="n">
        <x:f>IF($A956="","",AVERAGE($H956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1061.3887439906555</x:v>
      </x:c>
      <x:c r="J956" s="12" t="n">
        <x:f>IF($A956="","",1+SUMIFS(Assumptions!$S$5:$S$10,Assumptions!$P$5:$P$10,$B956,Assumptions!$Q$5:$Q$10,"&lt;="&amp;$A956,Assumptions!$R$5:$R$10,"&gt;="&amp;$A956))</x:f>
        <x:v>1</x:v>
      </x:c>
      <x:c r="K956" s="12" t="n">
        <x:f>IF($A956="","",1+((($A956-Assumptions!$B$5)/30)*INDEX(Assumptions!$J$5:$J$12,MATCH($B956,Assumptions!$D$5:$D$12,0))))</x:f>
        <x:v>1.0158333333333334</x:v>
      </x:c>
      <x:c r="L956" t="str">
        <x:f>IF($A956="","",IFERROR(INDEX(Assumptions!$O$5:$O$10,MATCH(1,(Assumptions!$P$5:$P$10=$B956)*(Assumptions!$Q$5:$Q$10&lt;=$A956)*(Assumptions!$R$5:$R$10&gt;=$A956),0)),""))</x:f>
      </x:c>
      <x:c r="M956" t="n">
        <x:f>--($A956&lt;&gt;"")</x:f>
        <x:v>1</x:v>
      </x:c>
    </x:row>
    <x:row r="957">
      <x:c r="A957" s="10" t="n">
        <x:f>IF(Assumptions!$B$5+INT((ROW()-2)/Assumptions!$B$7)&gt;Assumptions!$B$6,"",Assumptions!$B$5+INT((ROW()-2)/Assumptions!$B$7))</x:f>
        <x:v>46214</x:v>
      </x:c>
      <x:c r="B957" t="str">
        <x:f>IF($A957="","",INDEX(Assumptions!$D$5:$D$12,MOD(ROW()-2,Assumptions!$B$7)+1))</x:f>
        <x:v>Acheron Prime</x:v>
      </x:c>
      <x:c r="C957" s="11" t="n">
        <x:f>IF($A957="","",INDEX(Assumptions!$F$5:$F$12,MATCH($B957,Assumptions!$D$5:$D$12,0)))</x:f>
        <x:v>1120</x:v>
      </x:c>
      <x:c r="D957" s="11" t="n">
        <x:f>IF($A957="","",INDEX(Assumptions!$G$5:$G$12,MATCH($B957,Assumptions!$D$5:$D$12,0)))</x:f>
        <x:v>115</x:v>
      </x:c>
      <x:c r="E957" s="11" t="n">
        <x:f>IF($A957="","",INDEX(Assumptions!$M$5:$M$11,WEEKDAY($A957,2)))</x:f>
        <x:v>0.91</x:v>
      </x:c>
      <x:c r="F957" s="11" t="n">
        <x:f>IF($A957="","",Assumptions!$B$15)</x:f>
        <x:v>0.35</x:v>
      </x:c>
      <x:c r="G957" s="11" t="n">
        <x:f>IF($A957="","",MAX(INDEX(Assumptions!$H$5:$H$12,MATCH($B957,Assumptions!$D$5:$D$12,0)),MIN(INDEX(Assumptions!$I$5:$I$12,MATCH($B957,Assumptions!$D$5:$D$12,0)),($C957+$D957*SQRT(-2*LN(RAND()))*COS(2*PI()*RAND()))*$E957*$J957*$K957)))</x:f>
        <x:v>970.5710631497699</x:v>
      </x:c>
      <x:c r="H957" s="11" t="n">
        <x:f>IF($A957="","",$G957*$F957+$C957*(1-$F957))</x:f>
        <x:v>1067.6998721024195</x:v>
      </x:c>
      <x:c r="I957" s="11" t="n">
        <x:f>IF($A957="","",AVERAGE($H957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1123.3983631117242</x:v>
      </x:c>
      <x:c r="J957" s="12" t="n">
        <x:f>IF($A957="","",1+SUMIFS(Assumptions!$S$5:$S$10,Assumptions!$P$5:$P$10,$B957,Assumptions!$Q$5:$Q$10,"&lt;="&amp;$A957,Assumptions!$R$5:$R$10,"&gt;="&amp;$A957))</x:f>
        <x:v>1</x:v>
      </x:c>
      <x:c r="K957" s="12" t="n">
        <x:f>IF($A957="","",1+((($A957-Assumptions!$B$5)/30)*INDEX(Assumptions!$J$5:$J$12,MATCH($B957,Assumptions!$D$5:$D$12,0))))</x:f>
        <x:v>1.0127333333333333</x:v>
      </x:c>
      <x:c r="L957" t="str">
        <x:f>IF($A957="","",IFERROR(INDEX(Assumptions!$O$5:$O$10,MATCH(1,(Assumptions!$P$5:$P$10=$B957)*(Assumptions!$Q$5:$Q$10&lt;=$A957)*(Assumptions!$R$5:$R$10&gt;=$A957),0)),""))</x:f>
      </x:c>
      <x:c r="M957" t="n">
        <x:f>--($A957&lt;&gt;"")</x:f>
        <x:v>1</x:v>
      </x:c>
    </x:row>
    <x:row r="958">
      <x:c r="A958" s="10" t="n">
        <x:f>IF(Assumptions!$B$5+INT((ROW()-2)/Assumptions!$B$7)&gt;Assumptions!$B$6,"",Assumptions!$B$5+INT((ROW()-2)/Assumptions!$B$7))</x:f>
        <x:v>46214</x:v>
      </x:c>
      <x:c r="B958" t="str">
        <x:f>IF($A958="","",INDEX(Assumptions!$D$5:$D$12,MOD(ROW()-2,Assumptions!$B$7)+1))</x:f>
        <x:v>LV-426 North</x:v>
      </x:c>
      <x:c r="C958" s="11" t="n">
        <x:f>IF($A958="","",INDEX(Assumptions!$F$5:$F$12,MATCH($B958,Assumptions!$D$5:$D$12,0)))</x:f>
        <x:v>930</x:v>
      </x:c>
      <x:c r="D958" s="11" t="n">
        <x:f>IF($A958="","",INDEX(Assumptions!$G$5:$G$12,MATCH($B958,Assumptions!$D$5:$D$12,0)))</x:f>
        <x:v>95</x:v>
      </x:c>
      <x:c r="E958" s="11" t="n">
        <x:f>IF($A958="","",INDEX(Assumptions!$M$5:$M$11,WEEKDAY($A958,2)))</x:f>
        <x:v>0.91</x:v>
      </x:c>
      <x:c r="F958" s="11" t="n">
        <x:f>IF($A958="","",Assumptions!$B$15)</x:f>
        <x:v>0.35</x:v>
      </x:c>
      <x:c r="G958" s="11" t="n">
        <x:f>IF($A958="","",MAX(INDEX(Assumptions!$H$5:$H$12,MATCH($B958,Assumptions!$D$5:$D$12,0)),MIN(INDEX(Assumptions!$I$5:$I$12,MATCH($B958,Assumptions!$D$5:$D$12,0)),($C958+$D958*SQRT(-2*LN(RAND()))*COS(2*PI()*RAND()))*$E958*$J958*$K958)))</x:f>
        <x:v>893.1310106082713</x:v>
      </x:c>
      <x:c r="H958" s="11" t="n">
        <x:f>IF($A958="","",$G958*$F958+$C958*(1-$F958))</x:f>
        <x:v>917.095853712895</x:v>
      </x:c>
      <x:c r="I958" s="11" t="n">
        <x:f>IF($A958="","",AVERAGE($H958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911.9659358235343</x:v>
      </x:c>
      <x:c r="J958" s="12" t="n">
        <x:f>IF($A958="","",1+SUMIFS(Assumptions!$S$5:$S$10,Assumptions!$P$5:$P$10,$B958,Assumptions!$Q$5:$Q$10,"&lt;="&amp;$A958,Assumptions!$R$5:$R$10,"&gt;="&amp;$A958))</x:f>
        <x:v>1</x:v>
      </x:c>
      <x:c r="K958" s="12" t="n">
        <x:f>IF($A958="","",1+((($A958-Assumptions!$B$5)/30)*INDEX(Assumptions!$J$5:$J$12,MATCH($B958,Assumptions!$D$5:$D$12,0))))</x:f>
        <x:v>0.9936333333333334</x:v>
      </x:c>
      <x:c r="L958" t="str">
        <x:f>IF($A958="","",IFERROR(INDEX(Assumptions!$O$5:$O$10,MATCH(1,(Assumptions!$P$5:$P$10=$B958)*(Assumptions!$Q$5:$Q$10&lt;=$A958)*(Assumptions!$R$5:$R$10&gt;=$A958),0)),""))</x:f>
      </x:c>
      <x:c r="M958" t="n">
        <x:f>--($A958&lt;&gt;"")</x:f>
        <x:v>1</x:v>
      </x:c>
    </x:row>
    <x:row r="959">
      <x:c r="A959" s="10" t="n">
        <x:f>IF(Assumptions!$B$5+INT((ROW()-2)/Assumptions!$B$7)&gt;Assumptions!$B$6,"",Assumptions!$B$5+INT((ROW()-2)/Assumptions!$B$7))</x:f>
        <x:v>46214</x:v>
      </x:c>
      <x:c r="B959" t="str">
        <x:f>IF($A959="","",INDEX(Assumptions!$D$5:$D$12,MOD(ROW()-2,Assumptions!$B$7)+1))</x:f>
        <x:v>Nostromo Deep</x:v>
      </x:c>
      <x:c r="C959" s="11" t="n">
        <x:f>IF($A959="","",INDEX(Assumptions!$F$5:$F$12,MATCH($B959,Assumptions!$D$5:$D$12,0)))</x:f>
        <x:v>1260</x:v>
      </x:c>
      <x:c r="D959" s="11" t="n">
        <x:f>IF($A959="","",INDEX(Assumptions!$G$5:$G$12,MATCH($B959,Assumptions!$D$5:$D$12,0)))</x:f>
        <x:v>145</x:v>
      </x:c>
      <x:c r="E959" s="11" t="n">
        <x:f>IF($A959="","",INDEX(Assumptions!$M$5:$M$11,WEEKDAY($A959,2)))</x:f>
        <x:v>0.91</x:v>
      </x:c>
      <x:c r="F959" s="11" t="n">
        <x:f>IF($A959="","",Assumptions!$B$15)</x:f>
        <x:v>0.35</x:v>
      </x:c>
      <x:c r="G959" s="11" t="n">
        <x:f>IF($A959="","",MAX(INDEX(Assumptions!$H$5:$H$12,MATCH($B959,Assumptions!$D$5:$D$12,0)),MIN(INDEX(Assumptions!$I$5:$I$12,MATCH($B959,Assumptions!$D$5:$D$12,0)),($C959+$D959*SQRT(-2*LN(RAND()))*COS(2*PI()*RAND()))*$E959*$J959*$K959)))</x:f>
        <x:v>1316.2175846433956</x:v>
      </x:c>
      <x:c r="H959" s="11" t="n">
        <x:f>IF($A959="","",$G959*$F959+$C959*(1-$F959))</x:f>
        <x:v>1279.6761546251885</x:v>
      </x:c>
      <x:c r="I959" s="11" t="n">
        <x:f>IF($A959="","",AVERAGE($H959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1250.2969155734552</x:v>
      </x:c>
      <x:c r="J959" s="12" t="n">
        <x:f>IF($A959="","",1+SUMIFS(Assumptions!$S$5:$S$10,Assumptions!$P$5:$P$10,$B959,Assumptions!$Q$5:$Q$10,"&lt;="&amp;$A959,Assumptions!$R$5:$R$10,"&gt;="&amp;$A959))</x:f>
        <x:v>1</x:v>
      </x:c>
      <x:c r="K959" s="12" t="n">
        <x:f>IF($A959="","",1+((($A959-Assumptions!$B$5)/30)*INDEX(Assumptions!$J$5:$J$12,MATCH($B959,Assumptions!$D$5:$D$12,0))))</x:f>
        <x:v>1.0191</x:v>
      </x:c>
      <x:c r="L959" t="str">
        <x:f>IF($A959="","",IFERROR(INDEX(Assumptions!$O$5:$O$10,MATCH(1,(Assumptions!$P$5:$P$10=$B959)*(Assumptions!$Q$5:$Q$10&lt;=$A959)*(Assumptions!$R$5:$R$10&gt;=$A959),0)),""))</x:f>
      </x:c>
      <x:c r="M959" t="n">
        <x:f>--($A959&lt;&gt;"")</x:f>
        <x:v>1</x:v>
      </x:c>
    </x:row>
    <x:row r="960">
      <x:c r="A960" s="10" t="n">
        <x:f>IF(Assumptions!$B$5+INT((ROW()-2)/Assumptions!$B$7)&gt;Assumptions!$B$6,"",Assumptions!$B$5+INT((ROW()-2)/Assumptions!$B$7))</x:f>
        <x:v>46214</x:v>
      </x:c>
      <x:c r="B960" t="str">
        <x:f>IF($A960="","",INDEX(Assumptions!$D$5:$D$12,MOD(ROW()-2,Assumptions!$B$7)+1))</x:f>
        <x:v>Hadley's Hope</x:v>
      </x:c>
      <x:c r="C960" s="11" t="n">
        <x:f>IF($A960="","",INDEX(Assumptions!$F$5:$F$12,MATCH($B960,Assumptions!$D$5:$D$12,0)))</x:f>
        <x:v>845</x:v>
      </x:c>
      <x:c r="D960" s="11" t="n">
        <x:f>IF($A960="","",INDEX(Assumptions!$G$5:$G$12,MATCH($B960,Assumptions!$D$5:$D$12,0)))</x:f>
        <x:v>80</x:v>
      </x:c>
      <x:c r="E960" s="11" t="n">
        <x:f>IF($A960="","",INDEX(Assumptions!$M$5:$M$11,WEEKDAY($A960,2)))</x:f>
        <x:v>0.91</x:v>
      </x:c>
      <x:c r="F960" s="11" t="n">
        <x:f>IF($A960="","",Assumptions!$B$15)</x:f>
        <x:v>0.35</x:v>
      </x:c>
      <x:c r="G960" s="11" t="n">
        <x:f>IF($A960="","",MAX(INDEX(Assumptions!$H$5:$H$12,MATCH($B960,Assumptions!$D$5:$D$12,0)),MIN(INDEX(Assumptions!$I$5:$I$12,MATCH($B960,Assumptions!$D$5:$D$12,0)),($C960+$D960*SQRT(-2*LN(RAND()))*COS(2*PI()*RAND()))*$E960*$J960*$K960)))</x:f>
        <x:v>707.9648369212482</x:v>
      </x:c>
      <x:c r="H960" s="11" t="n">
        <x:f>IF($A960="","",$G960*$F960+$C960*(1-$F960))</x:f>
        <x:v>797.0376929224369</x:v>
      </x:c>
      <x:c r="I960" s="11" t="n">
        <x:f>IF($A960="","",AVERAGE($H960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796.1382992846873</x:v>
      </x:c>
      <x:c r="J960" s="12" t="n">
        <x:f>IF($A960="","",1+SUMIFS(Assumptions!$S$5:$S$10,Assumptions!$P$5:$P$10,$B960,Assumptions!$Q$5:$Q$10,"&lt;="&amp;$A960,Assumptions!$R$5:$R$10,"&gt;="&amp;$A960))</x:f>
        <x:v>1</x:v>
      </x:c>
      <x:c r="K960" s="12" t="n">
        <x:f>IF($A960="","",1+((($A960-Assumptions!$B$5)/30)*INDEX(Assumptions!$J$5:$J$12,MATCH($B960,Assumptions!$D$5:$D$12,0))))</x:f>
        <x:v>1.0063666666666666</x:v>
      </x:c>
      <x:c r="L960" t="str">
        <x:f>IF($A960="","",IFERROR(INDEX(Assumptions!$O$5:$O$10,MATCH(1,(Assumptions!$P$5:$P$10=$B960)*(Assumptions!$Q$5:$Q$10&lt;=$A960)*(Assumptions!$R$5:$R$10&gt;=$A960),0)),""))</x:f>
      </x:c>
      <x:c r="M960" t="n">
        <x:f>--($A960&lt;&gt;"")</x:f>
        <x:v>1</x:v>
      </x:c>
    </x:row>
    <x:row r="961">
      <x:c r="A961" s="10" t="n">
        <x:f>IF(Assumptions!$B$5+INT((ROW()-2)/Assumptions!$B$7)&gt;Assumptions!$B$6,"",Assumptions!$B$5+INT((ROW()-2)/Assumptions!$B$7))</x:f>
        <x:v>46214</x:v>
      </x:c>
      <x:c r="B961" t="str">
        <x:f>IF($A961="","",INDEX(Assumptions!$D$5:$D$12,MOD(ROW()-2,Assumptions!$B$7)+1))</x:f>
        <x:v>Yutani Ridge</x:v>
      </x:c>
      <x:c r="C961" s="11" t="n">
        <x:f>IF($A961="","",INDEX(Assumptions!$F$5:$F$12,MATCH($B961,Assumptions!$D$5:$D$12,0)))</x:f>
        <x:v>1050</x:v>
      </x:c>
      <x:c r="D961" s="11" t="n">
        <x:f>IF($A961="","",INDEX(Assumptions!$G$5:$G$12,MATCH($B961,Assumptions!$D$5:$D$12,0)))</x:f>
        <x:v>125</x:v>
      </x:c>
      <x:c r="E961" s="11" t="n">
        <x:f>IF($A961="","",INDEX(Assumptions!$M$5:$M$11,WEEKDAY($A961,2)))</x:f>
        <x:v>0.91</x:v>
      </x:c>
      <x:c r="F961" s="11" t="n">
        <x:f>IF($A961="","",Assumptions!$B$15)</x:f>
        <x:v>0.35</x:v>
      </x:c>
      <x:c r="G961" s="11" t="n">
        <x:f>IF($A961="","",MAX(INDEX(Assumptions!$H$5:$H$12,MATCH($B961,Assumptions!$D$5:$D$12,0)),MIN(INDEX(Assumptions!$I$5:$I$12,MATCH($B961,Assumptions!$D$5:$D$12,0)),($C961+$D961*SQRT(-2*LN(RAND()))*COS(2*PI()*RAND()))*$E961*$J961*$K961)))</x:f>
        <x:v>1019.3183232196923</x:v>
      </x:c>
      <x:c r="H961" s="11" t="n">
        <x:f>IF($A961="","",$G961*$F961+$C961*(1-$F961))</x:f>
        <x:v>1039.2614131268922</x:v>
      </x:c>
      <x:c r="I961" s="11" t="n">
        <x:f>IF($A961="","",AVERAGE($H961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1067.3947325659885</x:v>
      </x:c>
      <x:c r="J961" s="12" t="n">
        <x:f>IF($A961="","",1+SUMIFS(Assumptions!$S$5:$S$10,Assumptions!$P$5:$P$10,$B961,Assumptions!$Q$5:$Q$10,"&lt;="&amp;$A961,Assumptions!$R$5:$R$10,"&gt;="&amp;$A961))</x:f>
        <x:v>1</x:v>
      </x:c>
      <x:c r="K961" s="12" t="n">
        <x:f>IF($A961="","",1+((($A961-Assumptions!$B$5)/30)*INDEX(Assumptions!$J$5:$J$12,MATCH($B961,Assumptions!$D$5:$D$12,0))))</x:f>
        <x:v>1.0159166666666666</x:v>
      </x:c>
      <x:c r="L961" t="str">
        <x:f>IF($A961="","",IFERROR(INDEX(Assumptions!$O$5:$O$10,MATCH(1,(Assumptions!$P$5:$P$10=$B961)*(Assumptions!$Q$5:$Q$10&lt;=$A961)*(Assumptions!$R$5:$R$10&gt;=$A961),0)),""))</x:f>
      </x:c>
      <x:c r="M961" t="n">
        <x:f>--($A961&lt;&gt;"")</x:f>
        <x:v>1</x:v>
      </x:c>
    </x:row>
    <x:row r="962">
      <x:c r="A962" s="10" t="n">
        <x:f>IF(Assumptions!$B$5+INT((ROW()-2)/Assumptions!$B$7)&gt;Assumptions!$B$6,"",Assumptions!$B$5+INT((ROW()-2)/Assumptions!$B$7))</x:f>
        <x:v>46215</x:v>
      </x:c>
      <x:c r="B962" t="str">
        <x:f>IF($A962="","",INDEX(Assumptions!$D$5:$D$12,MOD(ROW()-2,Assumptions!$B$7)+1))</x:f>
        <x:v>Acheron Prime</x:v>
      </x:c>
      <x:c r="C962" s="11" t="n">
        <x:f>IF($A962="","",INDEX(Assumptions!$F$5:$F$12,MATCH($B962,Assumptions!$D$5:$D$12,0)))</x:f>
        <x:v>1120</x:v>
      </x:c>
      <x:c r="D962" s="11" t="n">
        <x:f>IF($A962="","",INDEX(Assumptions!$G$5:$G$12,MATCH($B962,Assumptions!$D$5:$D$12,0)))</x:f>
        <x:v>115</x:v>
      </x:c>
      <x:c r="E962" s="11" t="n">
        <x:f>IF($A962="","",INDEX(Assumptions!$M$5:$M$11,WEEKDAY($A962,2)))</x:f>
        <x:v>0.87</x:v>
      </x:c>
      <x:c r="F962" s="11" t="n">
        <x:f>IF($A962="","",Assumptions!$B$15)</x:f>
        <x:v>0.35</x:v>
      </x:c>
      <x:c r="G962" s="11" t="n">
        <x:f>IF($A962="","",MAX(INDEX(Assumptions!$H$5:$H$12,MATCH($B962,Assumptions!$D$5:$D$12,0)),MIN(INDEX(Assumptions!$I$5:$I$12,MATCH($B962,Assumptions!$D$5:$D$12,0)),($C962+$D962*SQRT(-2*LN(RAND()))*COS(2*PI()*RAND()))*$E962*$J962*$K962)))</x:f>
        <x:v>1170.6763389483817</x:v>
      </x:c>
      <x:c r="H962" s="11" t="n">
        <x:f>IF($A962="","",$G962*$F962+$C962*(1-$F962))</x:f>
        <x:v>1137.7367186319336</x:v>
      </x:c>
      <x:c r="I962" s="11" t="n">
        <x:f>IF($A962="","",AVERAGE($H962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1121.6961627120504</x:v>
      </x:c>
      <x:c r="J962" s="12" t="n">
        <x:f>IF($A962="","",1+SUMIFS(Assumptions!$S$5:$S$10,Assumptions!$P$5:$P$10,$B962,Assumptions!$Q$5:$Q$10,"&lt;="&amp;$A962,Assumptions!$R$5:$R$10,"&gt;="&amp;$A962))</x:f>
        <x:v>1</x:v>
      </x:c>
      <x:c r="K962" s="12" t="n">
        <x:f>IF($A962="","",1+((($A962-Assumptions!$B$5)/30)*INDEX(Assumptions!$J$5:$J$12,MATCH($B962,Assumptions!$D$5:$D$12,0))))</x:f>
        <x:v>1.0128</x:v>
      </x:c>
      <x:c r="L962" t="str">
        <x:f>IF($A962="","",IFERROR(INDEX(Assumptions!$O$5:$O$10,MATCH(1,(Assumptions!$P$5:$P$10=$B962)*(Assumptions!$Q$5:$Q$10&lt;=$A962)*(Assumptions!$R$5:$R$10&gt;=$A962),0)),""))</x:f>
      </x:c>
      <x:c r="M962" t="n">
        <x:f>--($A962&lt;&gt;"")</x:f>
        <x:v>1</x:v>
      </x:c>
    </x:row>
    <x:row r="963">
      <x:c r="A963" s="10" t="n">
        <x:f>IF(Assumptions!$B$5+INT((ROW()-2)/Assumptions!$B$7)&gt;Assumptions!$B$6,"",Assumptions!$B$5+INT((ROW()-2)/Assumptions!$B$7))</x:f>
        <x:v>46215</x:v>
      </x:c>
      <x:c r="B963" t="str">
        <x:f>IF($A963="","",INDEX(Assumptions!$D$5:$D$12,MOD(ROW()-2,Assumptions!$B$7)+1))</x:f>
        <x:v>LV-426 North</x:v>
      </x:c>
      <x:c r="C963" s="11" t="n">
        <x:f>IF($A963="","",INDEX(Assumptions!$F$5:$F$12,MATCH($B963,Assumptions!$D$5:$D$12,0)))</x:f>
        <x:v>930</x:v>
      </x:c>
      <x:c r="D963" s="11" t="n">
        <x:f>IF($A963="","",INDEX(Assumptions!$G$5:$G$12,MATCH($B963,Assumptions!$D$5:$D$12,0)))</x:f>
        <x:v>95</x:v>
      </x:c>
      <x:c r="E963" s="11" t="n">
        <x:f>IF($A963="","",INDEX(Assumptions!$M$5:$M$11,WEEKDAY($A963,2)))</x:f>
        <x:v>0.87</x:v>
      </x:c>
      <x:c r="F963" s="11" t="n">
        <x:f>IF($A963="","",Assumptions!$B$15)</x:f>
        <x:v>0.35</x:v>
      </x:c>
      <x:c r="G963" s="11" t="n">
        <x:f>IF($A963="","",MAX(INDEX(Assumptions!$H$5:$H$12,MATCH($B963,Assumptions!$D$5:$D$12,0)),MIN(INDEX(Assumptions!$I$5:$I$12,MATCH($B963,Assumptions!$D$5:$D$12,0)),($C963+$D963*SQRT(-2*LN(RAND()))*COS(2*PI()*RAND()))*$E963*$J963*$K963)))</x:f>
        <x:v>868.1849451461374</x:v>
      </x:c>
      <x:c r="H963" s="11" t="n">
        <x:f>IF($A963="","",$G963*$F963+$C963*(1-$F963))</x:f>
        <x:v>908.364730801148</x:v>
      </x:c>
      <x:c r="I963" s="11" t="n">
        <x:f>IF($A963="","",AVERAGE($H963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914.312356779387</x:v>
      </x:c>
      <x:c r="J963" s="12" t="n">
        <x:f>IF($A963="","",1+SUMIFS(Assumptions!$S$5:$S$10,Assumptions!$P$5:$P$10,$B963,Assumptions!$Q$5:$Q$10,"&lt;="&amp;$A963,Assumptions!$R$5:$R$10,"&gt;="&amp;$A963))</x:f>
        <x:v>1</x:v>
      </x:c>
      <x:c r="K963" s="12" t="n">
        <x:f>IF($A963="","",1+((($A963-Assumptions!$B$5)/30)*INDEX(Assumptions!$J$5:$J$12,MATCH($B963,Assumptions!$D$5:$D$12,0))))</x:f>
        <x:v>0.9936</x:v>
      </x:c>
      <x:c r="L963" t="str">
        <x:f>IF($A963="","",IFERROR(INDEX(Assumptions!$O$5:$O$10,MATCH(1,(Assumptions!$P$5:$P$10=$B963)*(Assumptions!$Q$5:$Q$10&lt;=$A963)*(Assumptions!$R$5:$R$10&gt;=$A963),0)),""))</x:f>
      </x:c>
      <x:c r="M963" t="n">
        <x:f>--($A963&lt;&gt;"")</x:f>
        <x:v>1</x:v>
      </x:c>
    </x:row>
    <x:row r="964">
      <x:c r="A964" s="10" t="n">
        <x:f>IF(Assumptions!$B$5+INT((ROW()-2)/Assumptions!$B$7)&gt;Assumptions!$B$6,"",Assumptions!$B$5+INT((ROW()-2)/Assumptions!$B$7))</x:f>
        <x:v>46215</x:v>
      </x:c>
      <x:c r="B964" t="str">
        <x:f>IF($A964="","",INDEX(Assumptions!$D$5:$D$12,MOD(ROW()-2,Assumptions!$B$7)+1))</x:f>
        <x:v>Nostromo Deep</x:v>
      </x:c>
      <x:c r="C964" s="11" t="n">
        <x:f>IF($A964="","",INDEX(Assumptions!$F$5:$F$12,MATCH($B964,Assumptions!$D$5:$D$12,0)))</x:f>
        <x:v>1260</x:v>
      </x:c>
      <x:c r="D964" s="11" t="n">
        <x:f>IF($A964="","",INDEX(Assumptions!$G$5:$G$12,MATCH($B964,Assumptions!$D$5:$D$12,0)))</x:f>
        <x:v>145</x:v>
      </x:c>
      <x:c r="E964" s="11" t="n">
        <x:f>IF($A964="","",INDEX(Assumptions!$M$5:$M$11,WEEKDAY($A964,2)))</x:f>
        <x:v>0.87</x:v>
      </x:c>
      <x:c r="F964" s="11" t="n">
        <x:f>IF($A964="","",Assumptions!$B$15)</x:f>
        <x:v>0.35</x:v>
      </x:c>
      <x:c r="G964" s="11" t="n">
        <x:f>IF($A964="","",MAX(INDEX(Assumptions!$H$5:$H$12,MATCH($B964,Assumptions!$D$5:$D$12,0)),MIN(INDEX(Assumptions!$I$5:$I$12,MATCH($B964,Assumptions!$D$5:$D$12,0)),($C964+$D964*SQRT(-2*LN(RAND()))*COS(2*PI()*RAND()))*$E964*$J964*$K964)))</x:f>
        <x:v>862.2730414599937</x:v>
      </x:c>
      <x:c r="H964" s="11" t="n">
        <x:f>IF($A964="","",$G964*$F964+$C964*(1-$F964))</x:f>
        <x:v>1120.7955645109978</x:v>
      </x:c>
      <x:c r="I964" s="11" t="n">
        <x:f>IF($A964="","",AVERAGE($H964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1236.988766450165</x:v>
      </x:c>
      <x:c r="J964" s="12" t="n">
        <x:f>IF($A964="","",1+SUMIFS(Assumptions!$S$5:$S$10,Assumptions!$P$5:$P$10,$B964,Assumptions!$Q$5:$Q$10,"&lt;="&amp;$A964,Assumptions!$R$5:$R$10,"&gt;="&amp;$A964))</x:f>
        <x:v>1</x:v>
      </x:c>
      <x:c r="K964" s="12" t="n">
        <x:f>IF($A964="","",1+((($A964-Assumptions!$B$5)/30)*INDEX(Assumptions!$J$5:$J$12,MATCH($B964,Assumptions!$D$5:$D$12,0))))</x:f>
        <x:v>1.0192</x:v>
      </x:c>
      <x:c r="L964" t="str">
        <x:f>IF($A964="","",IFERROR(INDEX(Assumptions!$O$5:$O$10,MATCH(1,(Assumptions!$P$5:$P$10=$B964)*(Assumptions!$Q$5:$Q$10&lt;=$A964)*(Assumptions!$R$5:$R$10&gt;=$A964),0)),""))</x:f>
      </x:c>
      <x:c r="M964" t="n">
        <x:f>--($A964&lt;&gt;"")</x:f>
        <x:v>1</x:v>
      </x:c>
    </x:row>
    <x:row r="965">
      <x:c r="A965" s="10" t="n">
        <x:f>IF(Assumptions!$B$5+INT((ROW()-2)/Assumptions!$B$7)&gt;Assumptions!$B$6,"",Assumptions!$B$5+INT((ROW()-2)/Assumptions!$B$7))</x:f>
        <x:v>46215</x:v>
      </x:c>
      <x:c r="B965" t="str">
        <x:f>IF($A965="","",INDEX(Assumptions!$D$5:$D$12,MOD(ROW()-2,Assumptions!$B$7)+1))</x:f>
        <x:v>Hadley's Hope</x:v>
      </x:c>
      <x:c r="C965" s="11" t="n">
        <x:f>IF($A965="","",INDEX(Assumptions!$F$5:$F$12,MATCH($B965,Assumptions!$D$5:$D$12,0)))</x:f>
        <x:v>845</x:v>
      </x:c>
      <x:c r="D965" s="11" t="n">
        <x:f>IF($A965="","",INDEX(Assumptions!$G$5:$G$12,MATCH($B965,Assumptions!$D$5:$D$12,0)))</x:f>
        <x:v>80</x:v>
      </x:c>
      <x:c r="E965" s="11" t="n">
        <x:f>IF($A965="","",INDEX(Assumptions!$M$5:$M$11,WEEKDAY($A965,2)))</x:f>
        <x:v>0.87</x:v>
      </x:c>
      <x:c r="F965" s="11" t="n">
        <x:f>IF($A965="","",Assumptions!$B$15)</x:f>
        <x:v>0.35</x:v>
      </x:c>
      <x:c r="G965" s="11" t="n">
        <x:f>IF($A965="","",MAX(INDEX(Assumptions!$H$5:$H$12,MATCH($B965,Assumptions!$D$5:$D$12,0)),MIN(INDEX(Assumptions!$I$5:$I$12,MATCH($B965,Assumptions!$D$5:$D$12,0)),($C965+$D965*SQRT(-2*LN(RAND()))*COS(2*PI()*RAND()))*$E965*$J965*$K965)))</x:f>
        <x:v>727.4133355182297</x:v>
      </x:c>
      <x:c r="H965" s="11" t="n">
        <x:f>IF($A965="","",$G965*$F965+$C965*(1-$F965))</x:f>
        <x:v>803.8446674313803</x:v>
      </x:c>
      <x:c r="I965" s="11" t="n">
        <x:f>IF($A965="","",AVERAGE($H965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803.0089660605987</x:v>
      </x:c>
      <x:c r="J965" s="12" t="n">
        <x:f>IF($A965="","",1+SUMIFS(Assumptions!$S$5:$S$10,Assumptions!$P$5:$P$10,$B965,Assumptions!$Q$5:$Q$10,"&lt;="&amp;$A965,Assumptions!$R$5:$R$10,"&gt;="&amp;$A965))</x:f>
        <x:v>1</x:v>
      </x:c>
      <x:c r="K965" s="12" t="n">
        <x:f>IF($A965="","",1+((($A965-Assumptions!$B$5)/30)*INDEX(Assumptions!$J$5:$J$12,MATCH($B965,Assumptions!$D$5:$D$12,0))))</x:f>
        <x:v>1.0064</x:v>
      </x:c>
      <x:c r="L965" t="str">
        <x:f>IF($A965="","",IFERROR(INDEX(Assumptions!$O$5:$O$10,MATCH(1,(Assumptions!$P$5:$P$10=$B965)*(Assumptions!$Q$5:$Q$10&lt;=$A965)*(Assumptions!$R$5:$R$10&gt;=$A965),0)),""))</x:f>
      </x:c>
      <x:c r="M965" t="n">
        <x:f>--($A965&lt;&gt;"")</x:f>
        <x:v>1</x:v>
      </x:c>
    </x:row>
    <x:row r="966">
      <x:c r="A966" s="10" t="n">
        <x:f>IF(Assumptions!$B$5+INT((ROW()-2)/Assumptions!$B$7)&gt;Assumptions!$B$6,"",Assumptions!$B$5+INT((ROW()-2)/Assumptions!$B$7))</x:f>
        <x:v>46215</x:v>
      </x:c>
      <x:c r="B966" t="str">
        <x:f>IF($A966="","",INDEX(Assumptions!$D$5:$D$12,MOD(ROW()-2,Assumptions!$B$7)+1))</x:f>
        <x:v>Yutani Ridge</x:v>
      </x:c>
      <x:c r="C966" s="11" t="n">
        <x:f>IF($A966="","",INDEX(Assumptions!$F$5:$F$12,MATCH($B966,Assumptions!$D$5:$D$12,0)))</x:f>
        <x:v>1050</x:v>
      </x:c>
      <x:c r="D966" s="11" t="n">
        <x:f>IF($A966="","",INDEX(Assumptions!$G$5:$G$12,MATCH($B966,Assumptions!$D$5:$D$12,0)))</x:f>
        <x:v>125</x:v>
      </x:c>
      <x:c r="E966" s="11" t="n">
        <x:f>IF($A966="","",INDEX(Assumptions!$M$5:$M$11,WEEKDAY($A966,2)))</x:f>
        <x:v>0.87</x:v>
      </x:c>
      <x:c r="F966" s="11" t="n">
        <x:f>IF($A966="","",Assumptions!$B$15)</x:f>
        <x:v>0.35</x:v>
      </x:c>
      <x:c r="G966" s="11" t="n">
        <x:f>IF($A966="","",MAX(INDEX(Assumptions!$H$5:$H$12,MATCH($B966,Assumptions!$D$5:$D$12,0)),MIN(INDEX(Assumptions!$I$5:$I$12,MATCH($B966,Assumptions!$D$5:$D$12,0)),($C966+$D966*SQRT(-2*LN(RAND()))*COS(2*PI()*RAND()))*$E966*$J966*$K966)))</x:f>
        <x:v>1017.0772077565916</x:v>
      </x:c>
      <x:c r="H966" s="11" t="n">
        <x:f>IF($A966="","",$G966*$F966+$C966*(1-$F966))</x:f>
        <x:v>1038.477022714807</x:v>
      </x:c>
      <x:c r="I966" s="11" t="n">
        <x:f>IF($A966="","",AVERAGE($H966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1076.4384950471597</x:v>
      </x:c>
      <x:c r="J966" s="12" t="n">
        <x:f>IF($A966="","",1+SUMIFS(Assumptions!$S$5:$S$10,Assumptions!$P$5:$P$10,$B966,Assumptions!$Q$5:$Q$10,"&lt;="&amp;$A966,Assumptions!$R$5:$R$10,"&gt;="&amp;$A966))</x:f>
        <x:v>1</x:v>
      </x:c>
      <x:c r="K966" s="12" t="n">
        <x:f>IF($A966="","",1+((($A966-Assumptions!$B$5)/30)*INDEX(Assumptions!$J$5:$J$12,MATCH($B966,Assumptions!$D$5:$D$12,0))))</x:f>
        <x:v>1.016</x:v>
      </x:c>
      <x:c r="L966" t="str">
        <x:f>IF($A966="","",IFERROR(INDEX(Assumptions!$O$5:$O$10,MATCH(1,(Assumptions!$P$5:$P$10=$B966)*(Assumptions!$Q$5:$Q$10&lt;=$A966)*(Assumptions!$R$5:$R$10&gt;=$A966),0)),""))</x:f>
      </x:c>
      <x:c r="M966" t="n">
        <x:f>--($A966&lt;&gt;"")</x:f>
        <x:v>1</x:v>
      </x:c>
    </x:row>
    <x:row r="967">
      <x:c r="A967" s="10" t="n">
        <x:f>IF(Assumptions!$B$5+INT((ROW()-2)/Assumptions!$B$7)&gt;Assumptions!$B$6,"",Assumptions!$B$5+INT((ROW()-2)/Assumptions!$B$7))</x:f>
        <x:v>46216</x:v>
      </x:c>
      <x:c r="B967" t="str">
        <x:f>IF($A967="","",INDEX(Assumptions!$D$5:$D$12,MOD(ROW()-2,Assumptions!$B$7)+1))</x:f>
        <x:v>Acheron Prime</x:v>
      </x:c>
      <x:c r="C967" s="11" t="n">
        <x:f>IF($A967="","",INDEX(Assumptions!$F$5:$F$12,MATCH($B967,Assumptions!$D$5:$D$12,0)))</x:f>
        <x:v>1120</x:v>
      </x:c>
      <x:c r="D967" s="11" t="n">
        <x:f>IF($A967="","",INDEX(Assumptions!$G$5:$G$12,MATCH($B967,Assumptions!$D$5:$D$12,0)))</x:f>
        <x:v>115</x:v>
      </x:c>
      <x:c r="E967" s="11" t="n">
        <x:f>IF($A967="","",INDEX(Assumptions!$M$5:$M$11,WEEKDAY($A967,2)))</x:f>
        <x:v>1.03</x:v>
      </x:c>
      <x:c r="F967" s="11" t="n">
        <x:f>IF($A967="","",Assumptions!$B$15)</x:f>
        <x:v>0.35</x:v>
      </x:c>
      <x:c r="G967" s="11" t="n">
        <x:f>IF($A967="","",MAX(INDEX(Assumptions!$H$5:$H$12,MATCH($B967,Assumptions!$D$5:$D$12,0)),MIN(INDEX(Assumptions!$I$5:$I$12,MATCH($B967,Assumptions!$D$5:$D$12,0)),($C967+$D967*SQRT(-2*LN(RAND()))*COS(2*PI()*RAND()))*$E967*$J967*$K967)))</x:f>
        <x:v>1127.4074062532352</x:v>
      </x:c>
      <x:c r="H967" s="11" t="n">
        <x:f>IF($A967="","",$G967*$F967+$C967*(1-$F967))</x:f>
        <x:v>1122.5925921886324</x:v>
      </x:c>
      <x:c r="I967" s="11" t="n">
        <x:f>IF($A967="","",AVERAGE($H967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1111.5569043781868</x:v>
      </x:c>
      <x:c r="J967" s="12" t="n">
        <x:f>IF($A967="","",1+SUMIFS(Assumptions!$S$5:$S$10,Assumptions!$P$5:$P$10,$B967,Assumptions!$Q$5:$Q$10,"&lt;="&amp;$A967,Assumptions!$R$5:$R$10,"&gt;="&amp;$A967))</x:f>
        <x:v>1</x:v>
      </x:c>
      <x:c r="K967" s="12" t="n">
        <x:f>IF($A967="","",1+((($A967-Assumptions!$B$5)/30)*INDEX(Assumptions!$J$5:$J$12,MATCH($B967,Assumptions!$D$5:$D$12,0))))</x:f>
        <x:v>1.0128666666666666</x:v>
      </x:c>
      <x:c r="L967" t="str">
        <x:f>IF($A967="","",IFERROR(INDEX(Assumptions!$O$5:$O$10,MATCH(1,(Assumptions!$P$5:$P$10=$B967)*(Assumptions!$Q$5:$Q$10&lt;=$A967)*(Assumptions!$R$5:$R$10&gt;=$A967),0)),""))</x:f>
      </x:c>
      <x:c r="M967" t="n">
        <x:f>--($A967&lt;&gt;"")</x:f>
        <x:v>1</x:v>
      </x:c>
    </x:row>
    <x:row r="968">
      <x:c r="A968" s="10" t="n">
        <x:f>IF(Assumptions!$B$5+INT((ROW()-2)/Assumptions!$B$7)&gt;Assumptions!$B$6,"",Assumptions!$B$5+INT((ROW()-2)/Assumptions!$B$7))</x:f>
        <x:v>46216</x:v>
      </x:c>
      <x:c r="B968" t="str">
        <x:f>IF($A968="","",INDEX(Assumptions!$D$5:$D$12,MOD(ROW()-2,Assumptions!$B$7)+1))</x:f>
        <x:v>LV-426 North</x:v>
      </x:c>
      <x:c r="C968" s="11" t="n">
        <x:f>IF($A968="","",INDEX(Assumptions!$F$5:$F$12,MATCH($B968,Assumptions!$D$5:$D$12,0)))</x:f>
        <x:v>930</x:v>
      </x:c>
      <x:c r="D968" s="11" t="n">
        <x:f>IF($A968="","",INDEX(Assumptions!$G$5:$G$12,MATCH($B968,Assumptions!$D$5:$D$12,0)))</x:f>
        <x:v>95</x:v>
      </x:c>
      <x:c r="E968" s="11" t="n">
        <x:f>IF($A968="","",INDEX(Assumptions!$M$5:$M$11,WEEKDAY($A968,2)))</x:f>
        <x:v>1.03</x:v>
      </x:c>
      <x:c r="F968" s="11" t="n">
        <x:f>IF($A968="","",Assumptions!$B$15)</x:f>
        <x:v>0.35</x:v>
      </x:c>
      <x:c r="G968" s="11" t="n">
        <x:f>IF($A968="","",MAX(INDEX(Assumptions!$H$5:$H$12,MATCH($B968,Assumptions!$D$5:$D$12,0)),MIN(INDEX(Assumptions!$I$5:$I$12,MATCH($B968,Assumptions!$D$5:$D$12,0)),($C968+$D968*SQRT(-2*LN(RAND()))*COS(2*PI()*RAND()))*$E968*$J968*$K968)))</x:f>
        <x:v>1028.734391052011</x:v>
      </x:c>
      <x:c r="H968" s="11" t="n">
        <x:f>IF($A968="","",$G968*$F968+$C968*(1-$F968))</x:f>
        <x:v>964.5570368682038</x:v>
      </x:c>
      <x:c r="I968" s="11" t="n">
        <x:f>IF($A968="","",AVERAGE($H968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918.8700438499728</x:v>
      </x:c>
      <x:c r="J968" s="12" t="n">
        <x:f>IF($A968="","",1+SUMIFS(Assumptions!$S$5:$S$10,Assumptions!$P$5:$P$10,$B968,Assumptions!$Q$5:$Q$10,"&lt;="&amp;$A968,Assumptions!$R$5:$R$10,"&gt;="&amp;$A968))</x:f>
        <x:v>1</x:v>
      </x:c>
      <x:c r="K968" s="12" t="n">
        <x:f>IF($A968="","",1+((($A968-Assumptions!$B$5)/30)*INDEX(Assumptions!$J$5:$J$12,MATCH($B968,Assumptions!$D$5:$D$12,0))))</x:f>
        <x:v>0.9935666666666667</x:v>
      </x:c>
      <x:c r="L968" t="str">
        <x:f>IF($A968="","",IFERROR(INDEX(Assumptions!$O$5:$O$10,MATCH(1,(Assumptions!$P$5:$P$10=$B968)*(Assumptions!$Q$5:$Q$10&lt;=$A968)*(Assumptions!$R$5:$R$10&gt;=$A968),0)),""))</x:f>
      </x:c>
      <x:c r="M968" t="n">
        <x:f>--($A968&lt;&gt;"")</x:f>
        <x:v>1</x:v>
      </x:c>
    </x:row>
    <x:row r="969">
      <x:c r="A969" s="10" t="n">
        <x:f>IF(Assumptions!$B$5+INT((ROW()-2)/Assumptions!$B$7)&gt;Assumptions!$B$6,"",Assumptions!$B$5+INT((ROW()-2)/Assumptions!$B$7))</x:f>
        <x:v>46216</x:v>
      </x:c>
      <x:c r="B969" t="str">
        <x:f>IF($A969="","",INDEX(Assumptions!$D$5:$D$12,MOD(ROW()-2,Assumptions!$B$7)+1))</x:f>
        <x:v>Nostromo Deep</x:v>
      </x:c>
      <x:c r="C969" s="11" t="n">
        <x:f>IF($A969="","",INDEX(Assumptions!$F$5:$F$12,MATCH($B969,Assumptions!$D$5:$D$12,0)))</x:f>
        <x:v>1260</x:v>
      </x:c>
      <x:c r="D969" s="11" t="n">
        <x:f>IF($A969="","",INDEX(Assumptions!$G$5:$G$12,MATCH($B969,Assumptions!$D$5:$D$12,0)))</x:f>
        <x:v>145</x:v>
      </x:c>
      <x:c r="E969" s="11" t="n">
        <x:f>IF($A969="","",INDEX(Assumptions!$M$5:$M$11,WEEKDAY($A969,2)))</x:f>
        <x:v>1.03</x:v>
      </x:c>
      <x:c r="F969" s="11" t="n">
        <x:f>IF($A969="","",Assumptions!$B$15)</x:f>
        <x:v>0.35</x:v>
      </x:c>
      <x:c r="G969" s="11" t="n">
        <x:f>IF($A969="","",MAX(INDEX(Assumptions!$H$5:$H$12,MATCH($B969,Assumptions!$D$5:$D$12,0)),MIN(INDEX(Assumptions!$I$5:$I$12,MATCH($B969,Assumptions!$D$5:$D$12,0)),($C969+$D969*SQRT(-2*LN(RAND()))*COS(2*PI()*RAND()))*$E969*$J969*$K969)))</x:f>
        <x:v>1386.9441766145007</x:v>
      </x:c>
      <x:c r="H969" s="11" t="n">
        <x:f>IF($A969="","",$G969*$F969+$C969*(1-$F969))</x:f>
        <x:v>1304.4304618150752</x:v>
      </x:c>
      <x:c r="I969" s="11" t="n">
        <x:f>IF($A969="","",AVERAGE($H969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1230.6064854114406</x:v>
      </x:c>
      <x:c r="J969" s="12" t="n">
        <x:f>IF($A969="","",1+SUMIFS(Assumptions!$S$5:$S$10,Assumptions!$P$5:$P$10,$B969,Assumptions!$Q$5:$Q$10,"&lt;="&amp;$A969,Assumptions!$R$5:$R$10,"&gt;="&amp;$A969))</x:f>
        <x:v>1</x:v>
      </x:c>
      <x:c r="K969" s="12" t="n">
        <x:f>IF($A969="","",1+((($A969-Assumptions!$B$5)/30)*INDEX(Assumptions!$J$5:$J$12,MATCH($B969,Assumptions!$D$5:$D$12,0))))</x:f>
        <x:v>1.0193</x:v>
      </x:c>
      <x:c r="L969" t="str">
        <x:f>IF($A969="","",IFERROR(INDEX(Assumptions!$O$5:$O$10,MATCH(1,(Assumptions!$P$5:$P$10=$B969)*(Assumptions!$Q$5:$Q$10&lt;=$A969)*(Assumptions!$R$5:$R$10&gt;=$A969),0)),""))</x:f>
      </x:c>
      <x:c r="M969" t="n">
        <x:f>--($A969&lt;&gt;"")</x:f>
        <x:v>1</x:v>
      </x:c>
    </x:row>
    <x:row r="970">
      <x:c r="A970" s="10" t="n">
        <x:f>IF(Assumptions!$B$5+INT((ROW()-2)/Assumptions!$B$7)&gt;Assumptions!$B$6,"",Assumptions!$B$5+INT((ROW()-2)/Assumptions!$B$7))</x:f>
        <x:v>46216</x:v>
      </x:c>
      <x:c r="B970" t="str">
        <x:f>IF($A970="","",INDEX(Assumptions!$D$5:$D$12,MOD(ROW()-2,Assumptions!$B$7)+1))</x:f>
        <x:v>Hadley's Hope</x:v>
      </x:c>
      <x:c r="C970" s="11" t="n">
        <x:f>IF($A970="","",INDEX(Assumptions!$F$5:$F$12,MATCH($B970,Assumptions!$D$5:$D$12,0)))</x:f>
        <x:v>845</x:v>
      </x:c>
      <x:c r="D970" s="11" t="n">
        <x:f>IF($A970="","",INDEX(Assumptions!$G$5:$G$12,MATCH($B970,Assumptions!$D$5:$D$12,0)))</x:f>
        <x:v>80</x:v>
      </x:c>
      <x:c r="E970" s="11" t="n">
        <x:f>IF($A970="","",INDEX(Assumptions!$M$5:$M$11,WEEKDAY($A970,2)))</x:f>
        <x:v>1.03</x:v>
      </x:c>
      <x:c r="F970" s="11" t="n">
        <x:f>IF($A970="","",Assumptions!$B$15)</x:f>
        <x:v>0.35</x:v>
      </x:c>
      <x:c r="G970" s="11" t="n">
        <x:f>IF($A970="","",MAX(INDEX(Assumptions!$H$5:$H$12,MATCH($B970,Assumptions!$D$5:$D$12,0)),MIN(INDEX(Assumptions!$I$5:$I$12,MATCH($B970,Assumptions!$D$5:$D$12,0)),($C970+$D970*SQRT(-2*LN(RAND()))*COS(2*PI()*RAND()))*$E970*$J970*$K970)))</x:f>
        <x:v>944.5096681103698</x:v>
      </x:c>
      <x:c r="H970" s="11" t="n">
        <x:f>IF($A970="","",$G970*$F970+$C970*(1-$F970))</x:f>
        <x:v>879.8283838386294</x:v>
      </x:c>
      <x:c r="I970" s="11" t="n">
        <x:f>IF($A970="","",AVERAGE($H970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820.2774989756401</x:v>
      </x:c>
      <x:c r="J970" s="12" t="n">
        <x:f>IF($A970="","",1+SUMIFS(Assumptions!$S$5:$S$10,Assumptions!$P$5:$P$10,$B970,Assumptions!$Q$5:$Q$10,"&lt;="&amp;$A970,Assumptions!$R$5:$R$10,"&gt;="&amp;$A970))</x:f>
        <x:v>1</x:v>
      </x:c>
      <x:c r="K970" s="12" t="n">
        <x:f>IF($A970="","",1+((($A970-Assumptions!$B$5)/30)*INDEX(Assumptions!$J$5:$J$12,MATCH($B970,Assumptions!$D$5:$D$12,0))))</x:f>
        <x:v>1.0064333333333333</x:v>
      </x:c>
      <x:c r="L970" t="str">
        <x:f>IF($A970="","",IFERROR(INDEX(Assumptions!$O$5:$O$10,MATCH(1,(Assumptions!$P$5:$P$10=$B970)*(Assumptions!$Q$5:$Q$10&lt;=$A970)*(Assumptions!$R$5:$R$10&gt;=$A970),0)),""))</x:f>
      </x:c>
      <x:c r="M970" t="n">
        <x:f>--($A970&lt;&gt;"")</x:f>
        <x:v>1</x:v>
      </x:c>
    </x:row>
    <x:row r="971">
      <x:c r="A971" s="10" t="n">
        <x:f>IF(Assumptions!$B$5+INT((ROW()-2)/Assumptions!$B$7)&gt;Assumptions!$B$6,"",Assumptions!$B$5+INT((ROW()-2)/Assumptions!$B$7))</x:f>
        <x:v>46216</x:v>
      </x:c>
      <x:c r="B971" t="str">
        <x:f>IF($A971="","",INDEX(Assumptions!$D$5:$D$12,MOD(ROW()-2,Assumptions!$B$7)+1))</x:f>
        <x:v>Yutani Ridge</x:v>
      </x:c>
      <x:c r="C971" s="11" t="n">
        <x:f>IF($A971="","",INDEX(Assumptions!$F$5:$F$12,MATCH($B971,Assumptions!$D$5:$D$12,0)))</x:f>
        <x:v>1050</x:v>
      </x:c>
      <x:c r="D971" s="11" t="n">
        <x:f>IF($A971="","",INDEX(Assumptions!$G$5:$G$12,MATCH($B971,Assumptions!$D$5:$D$12,0)))</x:f>
        <x:v>125</x:v>
      </x:c>
      <x:c r="E971" s="11" t="n">
        <x:f>IF($A971="","",INDEX(Assumptions!$M$5:$M$11,WEEKDAY($A971,2)))</x:f>
        <x:v>1.03</x:v>
      </x:c>
      <x:c r="F971" s="11" t="n">
        <x:f>IF($A971="","",Assumptions!$B$15)</x:f>
        <x:v>0.35</x:v>
      </x:c>
      <x:c r="G971" s="11" t="n">
        <x:f>IF($A971="","",MAX(INDEX(Assumptions!$H$5:$H$12,MATCH($B971,Assumptions!$D$5:$D$12,0)),MIN(INDEX(Assumptions!$I$5:$I$12,MATCH($B971,Assumptions!$D$5:$D$12,0)),($C971+$D971*SQRT(-2*LN(RAND()))*COS(2*PI()*RAND()))*$E971*$J971*$K971)))</x:f>
        <x:v>968.3690954533495</x:v>
      </x:c>
      <x:c r="H971" s="11" t="n">
        <x:f>IF($A971="","",$G971*$F971+$C971*(1-$F971))</x:f>
        <x:v>1021.4291834086723</x:v>
      </x:c>
      <x:c r="I971" s="11" t="n">
        <x:f>IF($A971="","",AVERAGE($H971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1054.777134249228</x:v>
      </x:c>
      <x:c r="J971" s="12" t="n">
        <x:f>IF($A971="","",1+SUMIFS(Assumptions!$S$5:$S$10,Assumptions!$P$5:$P$10,$B971,Assumptions!$Q$5:$Q$10,"&lt;="&amp;$A971,Assumptions!$R$5:$R$10,"&gt;="&amp;$A971))</x:f>
        <x:v>1</x:v>
      </x:c>
      <x:c r="K971" s="12" t="n">
        <x:f>IF($A971="","",1+((($A971-Assumptions!$B$5)/30)*INDEX(Assumptions!$J$5:$J$12,MATCH($B971,Assumptions!$D$5:$D$12,0))))</x:f>
        <x:v>1.0160833333333332</x:v>
      </x:c>
      <x:c r="L971" t="str">
        <x:f>IF($A971="","",IFERROR(INDEX(Assumptions!$O$5:$O$10,MATCH(1,(Assumptions!$P$5:$P$10=$B971)*(Assumptions!$Q$5:$Q$10&lt;=$A971)*(Assumptions!$R$5:$R$10&gt;=$A971),0)),""))</x:f>
      </x:c>
      <x:c r="M971" t="n">
        <x:f>--($A971&lt;&gt;"")</x:f>
        <x:v>1</x:v>
      </x:c>
    </x:row>
    <x:row r="972">
      <x:c r="A972" s="10" t="n">
        <x:f>IF(Assumptions!$B$5+INT((ROW()-2)/Assumptions!$B$7)&gt;Assumptions!$B$6,"",Assumptions!$B$5+INT((ROW()-2)/Assumptions!$B$7))</x:f>
        <x:v>46217</x:v>
      </x:c>
      <x:c r="B972" t="str">
        <x:f>IF($A972="","",INDEX(Assumptions!$D$5:$D$12,MOD(ROW()-2,Assumptions!$B$7)+1))</x:f>
        <x:v>Acheron Prime</x:v>
      </x:c>
      <x:c r="C972" s="11" t="n">
        <x:f>IF($A972="","",INDEX(Assumptions!$F$5:$F$12,MATCH($B972,Assumptions!$D$5:$D$12,0)))</x:f>
        <x:v>1120</x:v>
      </x:c>
      <x:c r="D972" s="11" t="n">
        <x:f>IF($A972="","",INDEX(Assumptions!$G$5:$G$12,MATCH($B972,Assumptions!$D$5:$D$12,0)))</x:f>
        <x:v>115</x:v>
      </x:c>
      <x:c r="E972" s="11" t="n">
        <x:f>IF($A972="","",INDEX(Assumptions!$M$5:$M$11,WEEKDAY($A972,2)))</x:f>
        <x:v>1.02</x:v>
      </x:c>
      <x:c r="F972" s="11" t="n">
        <x:f>IF($A972="","",Assumptions!$B$15)</x:f>
        <x:v>0.35</x:v>
      </x:c>
      <x:c r="G972" s="11" t="n">
        <x:f>IF($A972="","",MAX(INDEX(Assumptions!$H$5:$H$12,MATCH($B972,Assumptions!$D$5:$D$12,0)),MIN(INDEX(Assumptions!$I$5:$I$12,MATCH($B972,Assumptions!$D$5:$D$12,0)),($C972+$D972*SQRT(-2*LN(RAND()))*COS(2*PI()*RAND()))*$E972*$J972*$K972)))</x:f>
        <x:v>1209.9750827319592</x:v>
      </x:c>
      <x:c r="H972" s="11" t="n">
        <x:f>IF($A972="","",$G972*$F972+$C972*(1-$F972))</x:f>
        <x:v>1151.4912789561856</x:v>
      </x:c>
      <x:c r="I972" s="11" t="n">
        <x:f>IF($A972="","",AVERAGE($H972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1118.2281812610993</x:v>
      </x:c>
      <x:c r="J972" s="12" t="n">
        <x:f>IF($A972="","",1+SUMIFS(Assumptions!$S$5:$S$10,Assumptions!$P$5:$P$10,$B972,Assumptions!$Q$5:$Q$10,"&lt;="&amp;$A972,Assumptions!$R$5:$R$10,"&gt;="&amp;$A972))</x:f>
        <x:v>1</x:v>
      </x:c>
      <x:c r="K972" s="12" t="n">
        <x:f>IF($A972="","",1+((($A972-Assumptions!$B$5)/30)*INDEX(Assumptions!$J$5:$J$12,MATCH($B972,Assumptions!$D$5:$D$12,0))))</x:f>
        <x:v>1.0129333333333332</x:v>
      </x:c>
      <x:c r="L972" t="str">
        <x:f>IF($A972="","",IFERROR(INDEX(Assumptions!$O$5:$O$10,MATCH(1,(Assumptions!$P$5:$P$10=$B972)*(Assumptions!$Q$5:$Q$10&lt;=$A972)*(Assumptions!$R$5:$R$10&gt;=$A972),0)),""))</x:f>
      </x:c>
      <x:c r="M972" t="n">
        <x:f>--($A972&lt;&gt;"")</x:f>
        <x:v>1</x:v>
      </x:c>
    </x:row>
    <x:row r="973">
      <x:c r="A973" s="10" t="n">
        <x:f>IF(Assumptions!$B$5+INT((ROW()-2)/Assumptions!$B$7)&gt;Assumptions!$B$6,"",Assumptions!$B$5+INT((ROW()-2)/Assumptions!$B$7))</x:f>
        <x:v>46217</x:v>
      </x:c>
      <x:c r="B973" t="str">
        <x:f>IF($A973="","",INDEX(Assumptions!$D$5:$D$12,MOD(ROW()-2,Assumptions!$B$7)+1))</x:f>
        <x:v>LV-426 North</x:v>
      </x:c>
      <x:c r="C973" s="11" t="n">
        <x:f>IF($A973="","",INDEX(Assumptions!$F$5:$F$12,MATCH($B973,Assumptions!$D$5:$D$12,0)))</x:f>
        <x:v>930</x:v>
      </x:c>
      <x:c r="D973" s="11" t="n">
        <x:f>IF($A973="","",INDEX(Assumptions!$G$5:$G$12,MATCH($B973,Assumptions!$D$5:$D$12,0)))</x:f>
        <x:v>95</x:v>
      </x:c>
      <x:c r="E973" s="11" t="n">
        <x:f>IF($A973="","",INDEX(Assumptions!$M$5:$M$11,WEEKDAY($A973,2)))</x:f>
        <x:v>1.02</x:v>
      </x:c>
      <x:c r="F973" s="11" t="n">
        <x:f>IF($A973="","",Assumptions!$B$15)</x:f>
        <x:v>0.35</x:v>
      </x:c>
      <x:c r="G973" s="11" t="n">
        <x:f>IF($A973="","",MAX(INDEX(Assumptions!$H$5:$H$12,MATCH($B973,Assumptions!$D$5:$D$12,0)),MIN(INDEX(Assumptions!$I$5:$I$12,MATCH($B973,Assumptions!$D$5:$D$12,0)),($C973+$D973*SQRT(-2*LN(RAND()))*COS(2*PI()*RAND()))*$E973*$J973*$K973)))</x:f>
        <x:v>884.3931206238757</x:v>
      </x:c>
      <x:c r="H973" s="11" t="n">
        <x:f>IF($A973="","",$G973*$F973+$C973*(1-$F973))</x:f>
        <x:v>914.0375922183564</x:v>
      </x:c>
      <x:c r="I973" s="11" t="n">
        <x:f>IF($A973="","",AVERAGE($H973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916.2524413405368</x:v>
      </x:c>
      <x:c r="J973" s="12" t="n">
        <x:f>IF($A973="","",1+SUMIFS(Assumptions!$S$5:$S$10,Assumptions!$P$5:$P$10,$B973,Assumptions!$Q$5:$Q$10,"&lt;="&amp;$A973,Assumptions!$R$5:$R$10,"&gt;="&amp;$A973))</x:f>
        <x:v>1</x:v>
      </x:c>
      <x:c r="K973" s="12" t="n">
        <x:f>IF($A973="","",1+((($A973-Assumptions!$B$5)/30)*INDEX(Assumptions!$J$5:$J$12,MATCH($B973,Assumptions!$D$5:$D$12,0))))</x:f>
        <x:v>0.9935333333333334</x:v>
      </x:c>
      <x:c r="L973" t="str">
        <x:f>IF($A973="","",IFERROR(INDEX(Assumptions!$O$5:$O$10,MATCH(1,(Assumptions!$P$5:$P$10=$B973)*(Assumptions!$Q$5:$Q$10&lt;=$A973)*(Assumptions!$R$5:$R$10&gt;=$A973),0)),""))</x:f>
      </x:c>
      <x:c r="M973" t="n">
        <x:f>--($A973&lt;&gt;"")</x:f>
        <x:v>1</x:v>
      </x:c>
    </x:row>
    <x:row r="974">
      <x:c r="A974" s="10" t="n">
        <x:f>IF(Assumptions!$B$5+INT((ROW()-2)/Assumptions!$B$7)&gt;Assumptions!$B$6,"",Assumptions!$B$5+INT((ROW()-2)/Assumptions!$B$7))</x:f>
        <x:v>46217</x:v>
      </x:c>
      <x:c r="B974" t="str">
        <x:f>IF($A974="","",INDEX(Assumptions!$D$5:$D$12,MOD(ROW()-2,Assumptions!$B$7)+1))</x:f>
        <x:v>Nostromo Deep</x:v>
      </x:c>
      <x:c r="C974" s="11" t="n">
        <x:f>IF($A974="","",INDEX(Assumptions!$F$5:$F$12,MATCH($B974,Assumptions!$D$5:$D$12,0)))</x:f>
        <x:v>1260</x:v>
      </x:c>
      <x:c r="D974" s="11" t="n">
        <x:f>IF($A974="","",INDEX(Assumptions!$G$5:$G$12,MATCH($B974,Assumptions!$D$5:$D$12,0)))</x:f>
        <x:v>145</x:v>
      </x:c>
      <x:c r="E974" s="11" t="n">
        <x:f>IF($A974="","",INDEX(Assumptions!$M$5:$M$11,WEEKDAY($A974,2)))</x:f>
        <x:v>1.02</x:v>
      </x:c>
      <x:c r="F974" s="11" t="n">
        <x:f>IF($A974="","",Assumptions!$B$15)</x:f>
        <x:v>0.35</x:v>
      </x:c>
      <x:c r="G974" s="11" t="n">
        <x:f>IF($A974="","",MAX(INDEX(Assumptions!$H$5:$H$12,MATCH($B974,Assumptions!$D$5:$D$12,0)),MIN(INDEX(Assumptions!$I$5:$I$12,MATCH($B974,Assumptions!$D$5:$D$12,0)),($C974+$D974*SQRT(-2*LN(RAND()))*COS(2*PI()*RAND()))*$E974*$J974*$K974)))</x:f>
        <x:v>1273.1532058473451</x:v>
      </x:c>
      <x:c r="H974" s="11" t="n">
        <x:f>IF($A974="","",$G974*$F974+$C974*(1-$F974))</x:f>
        <x:v>1264.6036220465708</x:v>
      </x:c>
      <x:c r="I974" s="11" t="n">
        <x:f>IF($A974="","",AVERAGE($H974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1238.704124485981</x:v>
      </x:c>
      <x:c r="J974" s="12" t="n">
        <x:f>IF($A974="","",1+SUMIFS(Assumptions!$S$5:$S$10,Assumptions!$P$5:$P$10,$B974,Assumptions!$Q$5:$Q$10,"&lt;="&amp;$A974,Assumptions!$R$5:$R$10,"&gt;="&amp;$A974))</x:f>
        <x:v>1</x:v>
      </x:c>
      <x:c r="K974" s="12" t="n">
        <x:f>IF($A974="","",1+((($A974-Assumptions!$B$5)/30)*INDEX(Assumptions!$J$5:$J$12,MATCH($B974,Assumptions!$D$5:$D$12,0))))</x:f>
        <x:v>1.0194</x:v>
      </x:c>
      <x:c r="L974" t="str">
        <x:f>IF($A974="","",IFERROR(INDEX(Assumptions!$O$5:$O$10,MATCH(1,(Assumptions!$P$5:$P$10=$B974)*(Assumptions!$Q$5:$Q$10&lt;=$A974)*(Assumptions!$R$5:$R$10&gt;=$A974),0)),""))</x:f>
      </x:c>
      <x:c r="M974" t="n">
        <x:f>--($A974&lt;&gt;"")</x:f>
        <x:v>1</x:v>
      </x:c>
    </x:row>
    <x:row r="975">
      <x:c r="A975" s="10" t="n">
        <x:f>IF(Assumptions!$B$5+INT((ROW()-2)/Assumptions!$B$7)&gt;Assumptions!$B$6,"",Assumptions!$B$5+INT((ROW()-2)/Assumptions!$B$7))</x:f>
        <x:v>46217</x:v>
      </x:c>
      <x:c r="B975" t="str">
        <x:f>IF($A975="","",INDEX(Assumptions!$D$5:$D$12,MOD(ROW()-2,Assumptions!$B$7)+1))</x:f>
        <x:v>Hadley's Hope</x:v>
      </x:c>
      <x:c r="C975" s="11" t="n">
        <x:f>IF($A975="","",INDEX(Assumptions!$F$5:$F$12,MATCH($B975,Assumptions!$D$5:$D$12,0)))</x:f>
        <x:v>845</x:v>
      </x:c>
      <x:c r="D975" s="11" t="n">
        <x:f>IF($A975="","",INDEX(Assumptions!$G$5:$G$12,MATCH($B975,Assumptions!$D$5:$D$12,0)))</x:f>
        <x:v>80</x:v>
      </x:c>
      <x:c r="E975" s="11" t="n">
        <x:f>IF($A975="","",INDEX(Assumptions!$M$5:$M$11,WEEKDAY($A975,2)))</x:f>
        <x:v>1.02</x:v>
      </x:c>
      <x:c r="F975" s="11" t="n">
        <x:f>IF($A975="","",Assumptions!$B$15)</x:f>
        <x:v>0.35</x:v>
      </x:c>
      <x:c r="G975" s="11" t="n">
        <x:f>IF($A975="","",MAX(INDEX(Assumptions!$H$5:$H$12,MATCH($B975,Assumptions!$D$5:$D$12,0)),MIN(INDEX(Assumptions!$I$5:$I$12,MATCH($B975,Assumptions!$D$5:$D$12,0)),($C975+$D975*SQRT(-2*LN(RAND()))*COS(2*PI()*RAND()))*$E975*$J975*$K975)))</x:f>
        <x:v>941.7001230625693</x:v>
      </x:c>
      <x:c r="H975" s="11" t="n">
        <x:f>IF($A975="","",$G975*$F975+$C975*(1-$F975))</x:f>
        <x:v>878.8450430718992</x:v>
      </x:c>
      <x:c r="I975" s="11" t="n">
        <x:f>IF($A975="","",AVERAGE($H975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832.1367472698197</x:v>
      </x:c>
      <x:c r="J975" s="12" t="n">
        <x:f>IF($A975="","",1+SUMIFS(Assumptions!$S$5:$S$10,Assumptions!$P$5:$P$10,$B975,Assumptions!$Q$5:$Q$10,"&lt;="&amp;$A975,Assumptions!$R$5:$R$10,"&gt;="&amp;$A975))</x:f>
        <x:v>1</x:v>
      </x:c>
      <x:c r="K975" s="12" t="n">
        <x:f>IF($A975="","",1+((($A975-Assumptions!$B$5)/30)*INDEX(Assumptions!$J$5:$J$12,MATCH($B975,Assumptions!$D$5:$D$12,0))))</x:f>
        <x:v>1.0064666666666666</x:v>
      </x:c>
      <x:c r="L975" t="str">
        <x:f>IF($A975="","",IFERROR(INDEX(Assumptions!$O$5:$O$10,MATCH(1,(Assumptions!$P$5:$P$10=$B975)*(Assumptions!$Q$5:$Q$10&lt;=$A975)*(Assumptions!$R$5:$R$10&gt;=$A975),0)),""))</x:f>
      </x:c>
      <x:c r="M975" t="n">
        <x:f>--($A975&lt;&gt;"")</x:f>
        <x:v>1</x:v>
      </x:c>
    </x:row>
    <x:row r="976">
      <x:c r="A976" s="10" t="n">
        <x:f>IF(Assumptions!$B$5+INT((ROW()-2)/Assumptions!$B$7)&gt;Assumptions!$B$6,"",Assumptions!$B$5+INT((ROW()-2)/Assumptions!$B$7))</x:f>
        <x:v>46217</x:v>
      </x:c>
      <x:c r="B976" t="str">
        <x:f>IF($A976="","",INDEX(Assumptions!$D$5:$D$12,MOD(ROW()-2,Assumptions!$B$7)+1))</x:f>
        <x:v>Yutani Ridge</x:v>
      </x:c>
      <x:c r="C976" s="11" t="n">
        <x:f>IF($A976="","",INDEX(Assumptions!$F$5:$F$12,MATCH($B976,Assumptions!$D$5:$D$12,0)))</x:f>
        <x:v>1050</x:v>
      </x:c>
      <x:c r="D976" s="11" t="n">
        <x:f>IF($A976="","",INDEX(Assumptions!$G$5:$G$12,MATCH($B976,Assumptions!$D$5:$D$12,0)))</x:f>
        <x:v>125</x:v>
      </x:c>
      <x:c r="E976" s="11" t="n">
        <x:f>IF($A976="","",INDEX(Assumptions!$M$5:$M$11,WEEKDAY($A976,2)))</x:f>
        <x:v>1.02</x:v>
      </x:c>
      <x:c r="F976" s="11" t="n">
        <x:f>IF($A976="","",Assumptions!$B$15)</x:f>
        <x:v>0.35</x:v>
      </x:c>
      <x:c r="G976" s="11" t="n">
        <x:f>IF($A976="","",MAX(INDEX(Assumptions!$H$5:$H$12,MATCH($B976,Assumptions!$D$5:$D$12,0)),MIN(INDEX(Assumptions!$I$5:$I$12,MATCH($B976,Assumptions!$D$5:$D$12,0)),($C976+$D976*SQRT(-2*LN(RAND()))*COS(2*PI()*RAND()))*$E976*$J976*$K976)))</x:f>
        <x:v>1037.3393889791473</x:v>
      </x:c>
      <x:c r="H976" s="11" t="n">
        <x:f>IF($A976="","",$G976*$F976+$C976*(1-$F976))</x:f>
        <x:v>1045.5687861427016</x:v>
      </x:c>
      <x:c r="I976" s="11" t="n">
        <x:f>IF($A976="","",AVERAGE($H976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1056.7314433346899</x:v>
      </x:c>
      <x:c r="J976" s="12" t="n">
        <x:f>IF($A976="","",1+SUMIFS(Assumptions!$S$5:$S$10,Assumptions!$P$5:$P$10,$B976,Assumptions!$Q$5:$Q$10,"&lt;="&amp;$A976,Assumptions!$R$5:$R$10,"&gt;="&amp;$A976))</x:f>
        <x:v>1</x:v>
      </x:c>
      <x:c r="K976" s="12" t="n">
        <x:f>IF($A976="","",1+((($A976-Assumptions!$B$5)/30)*INDEX(Assumptions!$J$5:$J$12,MATCH($B976,Assumptions!$D$5:$D$12,0))))</x:f>
        <x:v>1.0161666666666667</x:v>
      </x:c>
      <x:c r="L976" t="str">
        <x:f>IF($A976="","",IFERROR(INDEX(Assumptions!$O$5:$O$10,MATCH(1,(Assumptions!$P$5:$P$10=$B976)*(Assumptions!$Q$5:$Q$10&lt;=$A976)*(Assumptions!$R$5:$R$10&gt;=$A976),0)),""))</x:f>
      </x:c>
      <x:c r="M976" t="n">
        <x:f>--($A976&lt;&gt;"")</x:f>
        <x:v>1</x:v>
      </x:c>
    </x:row>
    <x:row r="977">
      <x:c r="A977" s="10" t="n">
        <x:f>IF(Assumptions!$B$5+INT((ROW()-2)/Assumptions!$B$7)&gt;Assumptions!$B$6,"",Assumptions!$B$5+INT((ROW()-2)/Assumptions!$B$7))</x:f>
        <x:v>46218</x:v>
      </x:c>
      <x:c r="B977" t="str">
        <x:f>IF($A977="","",INDEX(Assumptions!$D$5:$D$12,MOD(ROW()-2,Assumptions!$B$7)+1))</x:f>
        <x:v>Acheron Prime</x:v>
      </x:c>
      <x:c r="C977" s="11" t="n">
        <x:f>IF($A977="","",INDEX(Assumptions!$F$5:$F$12,MATCH($B977,Assumptions!$D$5:$D$12,0)))</x:f>
        <x:v>1120</x:v>
      </x:c>
      <x:c r="D977" s="11" t="n">
        <x:f>IF($A977="","",INDEX(Assumptions!$G$5:$G$12,MATCH($B977,Assumptions!$D$5:$D$12,0)))</x:f>
        <x:v>115</x:v>
      </x:c>
      <x:c r="E977" s="11" t="n">
        <x:f>IF($A977="","",INDEX(Assumptions!$M$5:$M$11,WEEKDAY($A977,2)))</x:f>
        <x:v>1.01</x:v>
      </x:c>
      <x:c r="F977" s="11" t="n">
        <x:f>IF($A977="","",Assumptions!$B$15)</x:f>
        <x:v>0.35</x:v>
      </x:c>
      <x:c r="G977" s="11" t="n">
        <x:f>IF($A977="","",MAX(INDEX(Assumptions!$H$5:$H$12,MATCH($B977,Assumptions!$D$5:$D$12,0)),MIN(INDEX(Assumptions!$I$5:$I$12,MATCH($B977,Assumptions!$D$5:$D$12,0)),($C977+$D977*SQRT(-2*LN(RAND()))*COS(2*PI()*RAND()))*$E977*$J977*$K977)))</x:f>
        <x:v>990.1622424499604</x:v>
      </x:c>
      <x:c r="H977" s="11" t="n">
        <x:f>IF($A977="","",$G977*$F977+$C977*(1-$F977))</x:f>
        <x:v>1074.556784857486</x:v>
      </x:c>
      <x:c r="I977" s="11" t="n">
        <x:f>IF($A977="","",AVERAGE($H977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1116.5813161639453</x:v>
      </x:c>
      <x:c r="J977" s="12" t="n">
        <x:f>IF($A977="","",1+SUMIFS(Assumptions!$S$5:$S$10,Assumptions!$P$5:$P$10,$B977,Assumptions!$Q$5:$Q$10,"&lt;="&amp;$A977,Assumptions!$R$5:$R$10,"&gt;="&amp;$A977))</x:f>
        <x:v>1</x:v>
      </x:c>
      <x:c r="K977" s="12" t="n">
        <x:f>IF($A977="","",1+((($A977-Assumptions!$B$5)/30)*INDEX(Assumptions!$J$5:$J$12,MATCH($B977,Assumptions!$D$5:$D$12,0))))</x:f>
        <x:v>1.013</x:v>
      </x:c>
      <x:c r="L977" t="str">
        <x:f>IF($A977="","",IFERROR(INDEX(Assumptions!$O$5:$O$10,MATCH(1,(Assumptions!$P$5:$P$10=$B977)*(Assumptions!$Q$5:$Q$10&lt;=$A977)*(Assumptions!$R$5:$R$10&gt;=$A977),0)),""))</x:f>
      </x:c>
      <x:c r="M977" t="n">
        <x:f>--($A977&lt;&gt;"")</x:f>
        <x:v>1</x:v>
      </x:c>
    </x:row>
    <x:row r="978">
      <x:c r="A978" s="10" t="n">
        <x:f>IF(Assumptions!$B$5+INT((ROW()-2)/Assumptions!$B$7)&gt;Assumptions!$B$6,"",Assumptions!$B$5+INT((ROW()-2)/Assumptions!$B$7))</x:f>
        <x:v>46218</x:v>
      </x:c>
      <x:c r="B978" t="str">
        <x:f>IF($A978="","",INDEX(Assumptions!$D$5:$D$12,MOD(ROW()-2,Assumptions!$B$7)+1))</x:f>
        <x:v>LV-426 North</x:v>
      </x:c>
      <x:c r="C978" s="11" t="n">
        <x:f>IF($A978="","",INDEX(Assumptions!$F$5:$F$12,MATCH($B978,Assumptions!$D$5:$D$12,0)))</x:f>
        <x:v>930</x:v>
      </x:c>
      <x:c r="D978" s="11" t="n">
        <x:f>IF($A978="","",INDEX(Assumptions!$G$5:$G$12,MATCH($B978,Assumptions!$D$5:$D$12,0)))</x:f>
        <x:v>95</x:v>
      </x:c>
      <x:c r="E978" s="11" t="n">
        <x:f>IF($A978="","",INDEX(Assumptions!$M$5:$M$11,WEEKDAY($A978,2)))</x:f>
        <x:v>1.01</x:v>
      </x:c>
      <x:c r="F978" s="11" t="n">
        <x:f>IF($A978="","",Assumptions!$B$15)</x:f>
        <x:v>0.35</x:v>
      </x:c>
      <x:c r="G978" s="11" t="n">
        <x:f>IF($A978="","",MAX(INDEX(Assumptions!$H$5:$H$12,MATCH($B978,Assumptions!$D$5:$D$12,0)),MIN(INDEX(Assumptions!$I$5:$I$12,MATCH($B978,Assumptions!$D$5:$D$12,0)),($C978+$D978*SQRT(-2*LN(RAND()))*COS(2*PI()*RAND()))*$E978*$J978*$K978)))</x:f>
        <x:v>902.1341688374126</x:v>
      </x:c>
      <x:c r="H978" s="11" t="n">
        <x:f>IF($A978="","",$G978*$F978+$C978*(1-$F978))</x:f>
        <x:v>920.2469590930943</x:v>
      </x:c>
      <x:c r="I978" s="11" t="n">
        <x:f>IF($A978="","",AVERAGE($H978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919.7442306196175</x:v>
      </x:c>
      <x:c r="J978" s="12" t="n">
        <x:f>IF($A978="","",1+SUMIFS(Assumptions!$S$5:$S$10,Assumptions!$P$5:$P$10,$B978,Assumptions!$Q$5:$Q$10,"&lt;="&amp;$A978,Assumptions!$R$5:$R$10,"&gt;="&amp;$A978))</x:f>
        <x:v>1</x:v>
      </x:c>
      <x:c r="K978" s="12" t="n">
        <x:f>IF($A978="","",1+((($A978-Assumptions!$B$5)/30)*INDEX(Assumptions!$J$5:$J$12,MATCH($B978,Assumptions!$D$5:$D$12,0))))</x:f>
        <x:v>0.9935</x:v>
      </x:c>
      <x:c r="L978" t="str">
        <x:f>IF($A978="","",IFERROR(INDEX(Assumptions!$O$5:$O$10,MATCH(1,(Assumptions!$P$5:$P$10=$B978)*(Assumptions!$Q$5:$Q$10&lt;=$A978)*(Assumptions!$R$5:$R$10&gt;=$A978),0)),""))</x:f>
      </x:c>
      <x:c r="M978" t="n">
        <x:f>--($A978&lt;&gt;"")</x:f>
        <x:v>1</x:v>
      </x:c>
    </x:row>
    <x:row r="979">
      <x:c r="A979" s="10" t="n">
        <x:f>IF(Assumptions!$B$5+INT((ROW()-2)/Assumptions!$B$7)&gt;Assumptions!$B$6,"",Assumptions!$B$5+INT((ROW()-2)/Assumptions!$B$7))</x:f>
        <x:v>46218</x:v>
      </x:c>
      <x:c r="B979" t="str">
        <x:f>IF($A979="","",INDEX(Assumptions!$D$5:$D$12,MOD(ROW()-2,Assumptions!$B$7)+1))</x:f>
        <x:v>Nostromo Deep</x:v>
      </x:c>
      <x:c r="C979" s="11" t="n">
        <x:f>IF($A979="","",INDEX(Assumptions!$F$5:$F$12,MATCH($B979,Assumptions!$D$5:$D$12,0)))</x:f>
        <x:v>1260</x:v>
      </x:c>
      <x:c r="D979" s="11" t="n">
        <x:f>IF($A979="","",INDEX(Assumptions!$G$5:$G$12,MATCH($B979,Assumptions!$D$5:$D$12,0)))</x:f>
        <x:v>145</x:v>
      </x:c>
      <x:c r="E979" s="11" t="n">
        <x:f>IF($A979="","",INDEX(Assumptions!$M$5:$M$11,WEEKDAY($A979,2)))</x:f>
        <x:v>1.01</x:v>
      </x:c>
      <x:c r="F979" s="11" t="n">
        <x:f>IF($A979="","",Assumptions!$B$15)</x:f>
        <x:v>0.35</x:v>
      </x:c>
      <x:c r="G979" s="11" t="n">
        <x:f>IF($A979="","",MAX(INDEX(Assumptions!$H$5:$H$12,MATCH($B979,Assumptions!$D$5:$D$12,0)),MIN(INDEX(Assumptions!$I$5:$I$12,MATCH($B979,Assumptions!$D$5:$D$12,0)),($C979+$D979*SQRT(-2*LN(RAND()))*COS(2*PI()*RAND()))*$E979*$J979*$K979)))</x:f>
        <x:v>1377.268372377343</x:v>
      </x:c>
      <x:c r="H979" s="11" t="n">
        <x:f>IF($A979="","",$G979*$F979+$C979*(1-$F979))</x:f>
        <x:v>1301.04393033207</x:v>
      </x:c>
      <x:c r="I979" s="11" t="n">
        <x:f>IF($A979="","",AVERAGE($H979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1244.1589914179265</x:v>
      </x:c>
      <x:c r="J979" s="12" t="n">
        <x:f>IF($A979="","",1+SUMIFS(Assumptions!$S$5:$S$10,Assumptions!$P$5:$P$10,$B979,Assumptions!$Q$5:$Q$10,"&lt;="&amp;$A979,Assumptions!$R$5:$R$10,"&gt;="&amp;$A979))</x:f>
        <x:v>1</x:v>
      </x:c>
      <x:c r="K979" s="12" t="n">
        <x:f>IF($A979="","",1+((($A979-Assumptions!$B$5)/30)*INDEX(Assumptions!$J$5:$J$12,MATCH($B979,Assumptions!$D$5:$D$12,0))))</x:f>
        <x:v>1.0195</x:v>
      </x:c>
      <x:c r="L979" t="str">
        <x:f>IF($A979="","",IFERROR(INDEX(Assumptions!$O$5:$O$10,MATCH(1,(Assumptions!$P$5:$P$10=$B979)*(Assumptions!$Q$5:$Q$10&lt;=$A979)*(Assumptions!$R$5:$R$10&gt;=$A979),0)),""))</x:f>
      </x:c>
      <x:c r="M979" t="n">
        <x:f>--($A979&lt;&gt;"")</x:f>
        <x:v>1</x:v>
      </x:c>
    </x:row>
    <x:row r="980">
      <x:c r="A980" s="10" t="n">
        <x:f>IF(Assumptions!$B$5+INT((ROW()-2)/Assumptions!$B$7)&gt;Assumptions!$B$6,"",Assumptions!$B$5+INT((ROW()-2)/Assumptions!$B$7))</x:f>
        <x:v>46218</x:v>
      </x:c>
      <x:c r="B980" t="str">
        <x:f>IF($A980="","",INDEX(Assumptions!$D$5:$D$12,MOD(ROW()-2,Assumptions!$B$7)+1))</x:f>
        <x:v>Hadley's Hope</x:v>
      </x:c>
      <x:c r="C980" s="11" t="n">
        <x:f>IF($A980="","",INDEX(Assumptions!$F$5:$F$12,MATCH($B980,Assumptions!$D$5:$D$12,0)))</x:f>
        <x:v>845</x:v>
      </x:c>
      <x:c r="D980" s="11" t="n">
        <x:f>IF($A980="","",INDEX(Assumptions!$G$5:$G$12,MATCH($B980,Assumptions!$D$5:$D$12,0)))</x:f>
        <x:v>80</x:v>
      </x:c>
      <x:c r="E980" s="11" t="n">
        <x:f>IF($A980="","",INDEX(Assumptions!$M$5:$M$11,WEEKDAY($A980,2)))</x:f>
        <x:v>1.01</x:v>
      </x:c>
      <x:c r="F980" s="11" t="n">
        <x:f>IF($A980="","",Assumptions!$B$15)</x:f>
        <x:v>0.35</x:v>
      </x:c>
      <x:c r="G980" s="11" t="n">
        <x:f>IF($A980="","",MAX(INDEX(Assumptions!$H$5:$H$12,MATCH($B980,Assumptions!$D$5:$D$12,0)),MIN(INDEX(Assumptions!$I$5:$I$12,MATCH($B980,Assumptions!$D$5:$D$12,0)),($C980+$D980*SQRT(-2*LN(RAND()))*COS(2*PI()*RAND()))*$E980*$J980*$K980)))</x:f>
        <x:v>892.9684669466418</x:v>
      </x:c>
      <x:c r="H980" s="11" t="n">
        <x:f>IF($A980="","",$G980*$F980+$C980*(1-$F980))</x:f>
        <x:v>861.7889634313246</x:v>
      </x:c>
      <x:c r="I980" s="11" t="n">
        <x:f>IF($A980="","",AVERAGE($H980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837.4156122506437</x:v>
      </x:c>
      <x:c r="J980" s="12" t="n">
        <x:f>IF($A980="","",1+SUMIFS(Assumptions!$S$5:$S$10,Assumptions!$P$5:$P$10,$B980,Assumptions!$Q$5:$Q$10,"&lt;="&amp;$A980,Assumptions!$R$5:$R$10,"&gt;="&amp;$A980))</x:f>
        <x:v>1</x:v>
      </x:c>
      <x:c r="K980" s="12" t="n">
        <x:f>IF($A980="","",1+((($A980-Assumptions!$B$5)/30)*INDEX(Assumptions!$J$5:$J$12,MATCH($B980,Assumptions!$D$5:$D$12,0))))</x:f>
        <x:v>1.0065</x:v>
      </x:c>
      <x:c r="L980" t="str">
        <x:f>IF($A980="","",IFERROR(INDEX(Assumptions!$O$5:$O$10,MATCH(1,(Assumptions!$P$5:$P$10=$B980)*(Assumptions!$Q$5:$Q$10&lt;=$A980)*(Assumptions!$R$5:$R$10&gt;=$A980),0)),""))</x:f>
      </x:c>
      <x:c r="M980" t="n">
        <x:f>--($A980&lt;&gt;"")</x:f>
        <x:v>1</x:v>
      </x:c>
    </x:row>
    <x:row r="981">
      <x:c r="A981" s="10" t="n">
        <x:f>IF(Assumptions!$B$5+INT((ROW()-2)/Assumptions!$B$7)&gt;Assumptions!$B$6,"",Assumptions!$B$5+INT((ROW()-2)/Assumptions!$B$7))</x:f>
        <x:v>46218</x:v>
      </x:c>
      <x:c r="B981" t="str">
        <x:f>IF($A981="","",INDEX(Assumptions!$D$5:$D$12,MOD(ROW()-2,Assumptions!$B$7)+1))</x:f>
        <x:v>Yutani Ridge</x:v>
      </x:c>
      <x:c r="C981" s="11" t="n">
        <x:f>IF($A981="","",INDEX(Assumptions!$F$5:$F$12,MATCH($B981,Assumptions!$D$5:$D$12,0)))</x:f>
        <x:v>1050</x:v>
      </x:c>
      <x:c r="D981" s="11" t="n">
        <x:f>IF($A981="","",INDEX(Assumptions!$G$5:$G$12,MATCH($B981,Assumptions!$D$5:$D$12,0)))</x:f>
        <x:v>125</x:v>
      </x:c>
      <x:c r="E981" s="11" t="n">
        <x:f>IF($A981="","",INDEX(Assumptions!$M$5:$M$11,WEEKDAY($A981,2)))</x:f>
        <x:v>1.01</x:v>
      </x:c>
      <x:c r="F981" s="11" t="n">
        <x:f>IF($A981="","",Assumptions!$B$15)</x:f>
        <x:v>0.35</x:v>
      </x:c>
      <x:c r="G981" s="11" t="n">
        <x:f>IF($A981="","",MAX(INDEX(Assumptions!$H$5:$H$12,MATCH($B981,Assumptions!$D$5:$D$12,0)),MIN(INDEX(Assumptions!$I$5:$I$12,MATCH($B981,Assumptions!$D$5:$D$12,0)),($C981+$D981*SQRT(-2*LN(RAND()))*COS(2*PI()*RAND()))*$E981*$J981*$K981)))</x:f>
        <x:v>953.6769312353624</x:v>
      </x:c>
      <x:c r="H981" s="11" t="n">
        <x:f>IF($A981="","",$G981*$F981+$C981*(1-$F981))</x:f>
        <x:v>1016.2869259323768</x:v>
      </x:c>
      <x:c r="I981" s="11" t="n">
        <x:f>IF($A981="","",AVERAGE($H981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1055.9294841964481</x:v>
      </x:c>
      <x:c r="J981" s="12" t="n">
        <x:f>IF($A981="","",1+SUMIFS(Assumptions!$S$5:$S$10,Assumptions!$P$5:$P$10,$B981,Assumptions!$Q$5:$Q$10,"&lt;="&amp;$A981,Assumptions!$R$5:$R$10,"&gt;="&amp;$A981))</x:f>
        <x:v>1</x:v>
      </x:c>
      <x:c r="K981" s="12" t="n">
        <x:f>IF($A981="","",1+((($A981-Assumptions!$B$5)/30)*INDEX(Assumptions!$J$5:$J$12,MATCH($B981,Assumptions!$D$5:$D$12,0))))</x:f>
        <x:v>1.01625</x:v>
      </x:c>
      <x:c r="L981" t="str">
        <x:f>IF($A981="","",IFERROR(INDEX(Assumptions!$O$5:$O$10,MATCH(1,(Assumptions!$P$5:$P$10=$B981)*(Assumptions!$Q$5:$Q$10&lt;=$A981)*(Assumptions!$R$5:$R$10&gt;=$A981),0)),""))</x:f>
      </x:c>
      <x:c r="M981" t="n">
        <x:f>--($A981&lt;&gt;"")</x:f>
        <x:v>1</x:v>
      </x:c>
    </x:row>
    <x:row r="982">
      <x:c r="A982" s="10" t="n">
        <x:f>IF(Assumptions!$B$5+INT((ROW()-2)/Assumptions!$B$7)&gt;Assumptions!$B$6,"",Assumptions!$B$5+INT((ROW()-2)/Assumptions!$B$7))</x:f>
        <x:v>46219</x:v>
      </x:c>
      <x:c r="B982" t="str">
        <x:f>IF($A982="","",INDEX(Assumptions!$D$5:$D$12,MOD(ROW()-2,Assumptions!$B$7)+1))</x:f>
        <x:v>Acheron Prime</x:v>
      </x:c>
      <x:c r="C982" s="11" t="n">
        <x:f>IF($A982="","",INDEX(Assumptions!$F$5:$F$12,MATCH($B982,Assumptions!$D$5:$D$12,0)))</x:f>
        <x:v>1120</x:v>
      </x:c>
      <x:c r="D982" s="11" t="n">
        <x:f>IF($A982="","",INDEX(Assumptions!$G$5:$G$12,MATCH($B982,Assumptions!$D$5:$D$12,0)))</x:f>
        <x:v>115</x:v>
      </x:c>
      <x:c r="E982" s="11" t="n">
        <x:f>IF($A982="","",INDEX(Assumptions!$M$5:$M$11,WEEKDAY($A982,2)))</x:f>
        <x:v>1</x:v>
      </x:c>
      <x:c r="F982" s="11" t="n">
        <x:f>IF($A982="","",Assumptions!$B$15)</x:f>
        <x:v>0.35</x:v>
      </x:c>
      <x:c r="G982" s="11" t="n">
        <x:f>IF($A982="","",MAX(INDEX(Assumptions!$H$5:$H$12,MATCH($B982,Assumptions!$D$5:$D$12,0)),MIN(INDEX(Assumptions!$I$5:$I$12,MATCH($B982,Assumptions!$D$5:$D$12,0)),($C982+$D982*SQRT(-2*LN(RAND()))*COS(2*PI()*RAND()))*$E982*$J982*$K982)))</x:f>
        <x:v>1176.1216090030416</x:v>
      </x:c>
      <x:c r="H982" s="11" t="n">
        <x:f>IF($A982="","",$G982*$F982+$C982*(1-$F982))</x:f>
        <x:v>1139.6425631510647</x:v>
      </x:c>
      <x:c r="I982" s="11" t="n">
        <x:f>IF($A982="","",AVERAGE($H982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1119.9071871159856</x:v>
      </x:c>
      <x:c r="J982" s="12" t="n">
        <x:f>IF($A982="","",1+SUMIFS(Assumptions!$S$5:$S$10,Assumptions!$P$5:$P$10,$B982,Assumptions!$Q$5:$Q$10,"&lt;="&amp;$A982,Assumptions!$R$5:$R$10,"&gt;="&amp;$A982))</x:f>
        <x:v>1</x:v>
      </x:c>
      <x:c r="K982" s="12" t="n">
        <x:f>IF($A982="","",1+((($A982-Assumptions!$B$5)/30)*INDEX(Assumptions!$J$5:$J$12,MATCH($B982,Assumptions!$D$5:$D$12,0))))</x:f>
        <x:v>1.0130666666666666</x:v>
      </x:c>
      <x:c r="L982" t="str">
        <x:f>IF($A982="","",IFERROR(INDEX(Assumptions!$O$5:$O$10,MATCH(1,(Assumptions!$P$5:$P$10=$B982)*(Assumptions!$Q$5:$Q$10&lt;=$A982)*(Assumptions!$R$5:$R$10&gt;=$A982),0)),""))</x:f>
      </x:c>
      <x:c r="M982" t="n">
        <x:f>--($A982&lt;&gt;"")</x:f>
        <x:v>1</x:v>
      </x:c>
    </x:row>
    <x:row r="983">
      <x:c r="A983" s="10" t="n">
        <x:f>IF(Assumptions!$B$5+INT((ROW()-2)/Assumptions!$B$7)&gt;Assumptions!$B$6,"",Assumptions!$B$5+INT((ROW()-2)/Assumptions!$B$7))</x:f>
        <x:v>46219</x:v>
      </x:c>
      <x:c r="B983" t="str">
        <x:f>IF($A983="","",INDEX(Assumptions!$D$5:$D$12,MOD(ROW()-2,Assumptions!$B$7)+1))</x:f>
        <x:v>LV-426 North</x:v>
      </x:c>
      <x:c r="C983" s="11" t="n">
        <x:f>IF($A983="","",INDEX(Assumptions!$F$5:$F$12,MATCH($B983,Assumptions!$D$5:$D$12,0)))</x:f>
        <x:v>930</x:v>
      </x:c>
      <x:c r="D983" s="11" t="n">
        <x:f>IF($A983="","",INDEX(Assumptions!$G$5:$G$12,MATCH($B983,Assumptions!$D$5:$D$12,0)))</x:f>
        <x:v>95</x:v>
      </x:c>
      <x:c r="E983" s="11" t="n">
        <x:f>IF($A983="","",INDEX(Assumptions!$M$5:$M$11,WEEKDAY($A983,2)))</x:f>
        <x:v>1</x:v>
      </x:c>
      <x:c r="F983" s="11" t="n">
        <x:f>IF($A983="","",Assumptions!$B$15)</x:f>
        <x:v>0.35</x:v>
      </x:c>
      <x:c r="G983" s="11" t="n">
        <x:f>IF($A983="","",MAX(INDEX(Assumptions!$H$5:$H$12,MATCH($B983,Assumptions!$D$5:$D$12,0)),MIN(INDEX(Assumptions!$I$5:$I$12,MATCH($B983,Assumptions!$D$5:$D$12,0)),($C983+$D983*SQRT(-2*LN(RAND()))*COS(2*PI()*RAND()))*$E983*$J983*$K983)))</x:f>
        <x:v>929.744412365224</x:v>
      </x:c>
      <x:c r="H983" s="11" t="n">
        <x:f>IF($A983="","",$G983*$F983+$C983*(1-$F983))</x:f>
        <x:v>929.9105443278283</x:v>
      </x:c>
      <x:c r="I983" s="11" t="n">
        <x:f>IF($A983="","",AVERAGE($H983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923.4372028478874</x:v>
      </x:c>
      <x:c r="J983" s="12" t="n">
        <x:f>IF($A983="","",1+SUMIFS(Assumptions!$S$5:$S$10,Assumptions!$P$5:$P$10,$B983,Assumptions!$Q$5:$Q$10,"&lt;="&amp;$A983,Assumptions!$R$5:$R$10,"&gt;="&amp;$A983))</x:f>
        <x:v>1</x:v>
      </x:c>
      <x:c r="K983" s="12" t="n">
        <x:f>IF($A983="","",1+((($A983-Assumptions!$B$5)/30)*INDEX(Assumptions!$J$5:$J$12,MATCH($B983,Assumptions!$D$5:$D$12,0))))</x:f>
        <x:v>0.9934666666666667</x:v>
      </x:c>
      <x:c r="L983" t="str">
        <x:f>IF($A983="","",IFERROR(INDEX(Assumptions!$O$5:$O$10,MATCH(1,(Assumptions!$P$5:$P$10=$B983)*(Assumptions!$Q$5:$Q$10&lt;=$A983)*(Assumptions!$R$5:$R$10&gt;=$A983),0)),""))</x:f>
      </x:c>
      <x:c r="M983" t="n">
        <x:f>--($A983&lt;&gt;"")</x:f>
        <x:v>1</x:v>
      </x:c>
    </x:row>
    <x:row r="984">
      <x:c r="A984" s="10" t="n">
        <x:f>IF(Assumptions!$B$5+INT((ROW()-2)/Assumptions!$B$7)&gt;Assumptions!$B$6,"",Assumptions!$B$5+INT((ROW()-2)/Assumptions!$B$7))</x:f>
        <x:v>46219</x:v>
      </x:c>
      <x:c r="B984" t="str">
        <x:f>IF($A984="","",INDEX(Assumptions!$D$5:$D$12,MOD(ROW()-2,Assumptions!$B$7)+1))</x:f>
        <x:v>Nostromo Deep</x:v>
      </x:c>
      <x:c r="C984" s="11" t="n">
        <x:f>IF($A984="","",INDEX(Assumptions!$F$5:$F$12,MATCH($B984,Assumptions!$D$5:$D$12,0)))</x:f>
        <x:v>1260</x:v>
      </x:c>
      <x:c r="D984" s="11" t="n">
        <x:f>IF($A984="","",INDEX(Assumptions!$G$5:$G$12,MATCH($B984,Assumptions!$D$5:$D$12,0)))</x:f>
        <x:v>145</x:v>
      </x:c>
      <x:c r="E984" s="11" t="n">
        <x:f>IF($A984="","",INDEX(Assumptions!$M$5:$M$11,WEEKDAY($A984,2)))</x:f>
        <x:v>1</x:v>
      </x:c>
      <x:c r="F984" s="11" t="n">
        <x:f>IF($A984="","",Assumptions!$B$15)</x:f>
        <x:v>0.35</x:v>
      </x:c>
      <x:c r="G984" s="11" t="n">
        <x:f>IF($A984="","",MAX(INDEX(Assumptions!$H$5:$H$12,MATCH($B984,Assumptions!$D$5:$D$12,0)),MIN(INDEX(Assumptions!$I$5:$I$12,MATCH($B984,Assumptions!$D$5:$D$12,0)),($C984+$D984*SQRT(-2*LN(RAND()))*COS(2*PI()*RAND()))*$E984*$J984*$K984)))</x:f>
        <x:v>1335.2236880279718</x:v>
      </x:c>
      <x:c r="H984" s="11" t="n">
        <x:f>IF($A984="","",$G984*$F984+$C984*(1-$F984))</x:f>
        <x:v>1286.3282908097901</x:v>
      </x:c>
      <x:c r="I984" s="11" t="n">
        <x:f>IF($A984="","",AVERAGE($H984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1257.2260933934795</x:v>
      </x:c>
      <x:c r="J984" s="12" t="n">
        <x:f>IF($A984="","",1+SUMIFS(Assumptions!$S$5:$S$10,Assumptions!$P$5:$P$10,$B984,Assumptions!$Q$5:$Q$10,"&lt;="&amp;$A984,Assumptions!$R$5:$R$10,"&gt;="&amp;$A984))</x:f>
        <x:v>1</x:v>
      </x:c>
      <x:c r="K984" s="12" t="n">
        <x:f>IF($A984="","",1+((($A984-Assumptions!$B$5)/30)*INDEX(Assumptions!$J$5:$J$12,MATCH($B984,Assumptions!$D$5:$D$12,0))))</x:f>
        <x:v>1.0196</x:v>
      </x:c>
      <x:c r="L984" t="str">
        <x:f>IF($A984="","",IFERROR(INDEX(Assumptions!$O$5:$O$10,MATCH(1,(Assumptions!$P$5:$P$10=$B984)*(Assumptions!$Q$5:$Q$10&lt;=$A984)*(Assumptions!$R$5:$R$10&gt;=$A984),0)),""))</x:f>
      </x:c>
      <x:c r="M984" t="n">
        <x:f>--($A984&lt;&gt;"")</x:f>
        <x:v>1</x:v>
      </x:c>
    </x:row>
    <x:row r="985">
      <x:c r="A985" s="10" t="n">
        <x:f>IF(Assumptions!$B$5+INT((ROW()-2)/Assumptions!$B$7)&gt;Assumptions!$B$6,"",Assumptions!$B$5+INT((ROW()-2)/Assumptions!$B$7))</x:f>
        <x:v>46219</x:v>
      </x:c>
      <x:c r="B985" t="str">
        <x:f>IF($A985="","",INDEX(Assumptions!$D$5:$D$12,MOD(ROW()-2,Assumptions!$B$7)+1))</x:f>
        <x:v>Hadley's Hope</x:v>
      </x:c>
      <x:c r="C985" s="11" t="n">
        <x:f>IF($A985="","",INDEX(Assumptions!$F$5:$F$12,MATCH($B985,Assumptions!$D$5:$D$12,0)))</x:f>
        <x:v>845</x:v>
      </x:c>
      <x:c r="D985" s="11" t="n">
        <x:f>IF($A985="","",INDEX(Assumptions!$G$5:$G$12,MATCH($B985,Assumptions!$D$5:$D$12,0)))</x:f>
        <x:v>80</x:v>
      </x:c>
      <x:c r="E985" s="11" t="n">
        <x:f>IF($A985="","",INDEX(Assumptions!$M$5:$M$11,WEEKDAY($A985,2)))</x:f>
        <x:v>1</x:v>
      </x:c>
      <x:c r="F985" s="11" t="n">
        <x:f>IF($A985="","",Assumptions!$B$15)</x:f>
        <x:v>0.35</x:v>
      </x:c>
      <x:c r="G985" s="11" t="n">
        <x:f>IF($A985="","",MAX(INDEX(Assumptions!$H$5:$H$12,MATCH($B985,Assumptions!$D$5:$D$12,0)),MIN(INDEX(Assumptions!$I$5:$I$12,MATCH($B985,Assumptions!$D$5:$D$12,0)),($C985+$D985*SQRT(-2*LN(RAND()))*COS(2*PI()*RAND()))*$E985*$J985*$K985)))</x:f>
        <x:v>916.044658128136</x:v>
      </x:c>
      <x:c r="H985" s="11" t="n">
        <x:f>IF($A985="","",$G985*$F985+$C985*(1-$F985))</x:f>
        <x:v>869.8656303448477</x:v>
      </x:c>
      <x:c r="I985" s="11" t="n">
        <x:f>IF($A985="","",AVERAGE($H985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848.339051383596</x:v>
      </x:c>
      <x:c r="J985" s="12" t="n">
        <x:f>IF($A985="","",1+SUMIFS(Assumptions!$S$5:$S$10,Assumptions!$P$5:$P$10,$B985,Assumptions!$Q$5:$Q$10,"&lt;="&amp;$A985,Assumptions!$R$5:$R$10,"&gt;="&amp;$A985))</x:f>
        <x:v>1</x:v>
      </x:c>
      <x:c r="K985" s="12" t="n">
        <x:f>IF($A985="","",1+((($A985-Assumptions!$B$5)/30)*INDEX(Assumptions!$J$5:$J$12,MATCH($B985,Assumptions!$D$5:$D$12,0))))</x:f>
        <x:v>1.0065333333333333</x:v>
      </x:c>
      <x:c r="L985" t="str">
        <x:f>IF($A985="","",IFERROR(INDEX(Assumptions!$O$5:$O$10,MATCH(1,(Assumptions!$P$5:$P$10=$B985)*(Assumptions!$Q$5:$Q$10&lt;=$A985)*(Assumptions!$R$5:$R$10&gt;=$A985),0)),""))</x:f>
      </x:c>
      <x:c r="M985" t="n">
        <x:f>--($A985&lt;&gt;"")</x:f>
        <x:v>1</x:v>
      </x:c>
    </x:row>
    <x:row r="986">
      <x:c r="A986" s="10" t="n">
        <x:f>IF(Assumptions!$B$5+INT((ROW()-2)/Assumptions!$B$7)&gt;Assumptions!$B$6,"",Assumptions!$B$5+INT((ROW()-2)/Assumptions!$B$7))</x:f>
        <x:v>46219</x:v>
      </x:c>
      <x:c r="B986" t="str">
        <x:f>IF($A986="","",INDEX(Assumptions!$D$5:$D$12,MOD(ROW()-2,Assumptions!$B$7)+1))</x:f>
        <x:v>Yutani Ridge</x:v>
      </x:c>
      <x:c r="C986" s="11" t="n">
        <x:f>IF($A986="","",INDEX(Assumptions!$F$5:$F$12,MATCH($B986,Assumptions!$D$5:$D$12,0)))</x:f>
        <x:v>1050</x:v>
      </x:c>
      <x:c r="D986" s="11" t="n">
        <x:f>IF($A986="","",INDEX(Assumptions!$G$5:$G$12,MATCH($B986,Assumptions!$D$5:$D$12,0)))</x:f>
        <x:v>125</x:v>
      </x:c>
      <x:c r="E986" s="11" t="n">
        <x:f>IF($A986="","",INDEX(Assumptions!$M$5:$M$11,WEEKDAY($A986,2)))</x:f>
        <x:v>1</x:v>
      </x:c>
      <x:c r="F986" s="11" t="n">
        <x:f>IF($A986="","",Assumptions!$B$15)</x:f>
        <x:v>0.35</x:v>
      </x:c>
      <x:c r="G986" s="11" t="n">
        <x:f>IF($A986="","",MAX(INDEX(Assumptions!$H$5:$H$12,MATCH($B986,Assumptions!$D$5:$D$12,0)),MIN(INDEX(Assumptions!$I$5:$I$12,MATCH($B986,Assumptions!$D$5:$D$12,0)),($C986+$D986*SQRT(-2*LN(RAND()))*COS(2*PI()*RAND()))*$E986*$J986*$K986)))</x:f>
        <x:v>1199.2314379750223</x:v>
      </x:c>
      <x:c r="H986" s="11" t="n">
        <x:f>IF($A986="","",$G986*$F986+$C986*(1-$F986))</x:f>
        <x:v>1102.2310032912578</x:v>
      </x:c>
      <x:c r="I986" s="11" t="n">
        <x:f>IF($A986="","",AVERAGE($H986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1048.2158753996682</x:v>
      </x:c>
      <x:c r="J986" s="12" t="n">
        <x:f>IF($A986="","",1+SUMIFS(Assumptions!$S$5:$S$10,Assumptions!$P$5:$P$10,$B986,Assumptions!$Q$5:$Q$10,"&lt;="&amp;$A986,Assumptions!$R$5:$R$10,"&gt;="&amp;$A986))</x:f>
        <x:v>1</x:v>
      </x:c>
      <x:c r="K986" s="12" t="n">
        <x:f>IF($A986="","",1+((($A986-Assumptions!$B$5)/30)*INDEX(Assumptions!$J$5:$J$12,MATCH($B986,Assumptions!$D$5:$D$12,0))))</x:f>
        <x:v>1.0163333333333333</x:v>
      </x:c>
      <x:c r="L986" t="str">
        <x:f>IF($A986="","",IFERROR(INDEX(Assumptions!$O$5:$O$10,MATCH(1,(Assumptions!$P$5:$P$10=$B986)*(Assumptions!$Q$5:$Q$10&lt;=$A986)*(Assumptions!$R$5:$R$10&gt;=$A986),0)),""))</x:f>
      </x:c>
      <x:c r="M986" t="n">
        <x:f>--($A986&lt;&gt;"")</x:f>
        <x:v>1</x:v>
      </x:c>
    </x:row>
    <x:row r="987">
      <x:c r="A987" s="10" t="n">
        <x:f>IF(Assumptions!$B$5+INT((ROW()-2)/Assumptions!$B$7)&gt;Assumptions!$B$6,"",Assumptions!$B$5+INT((ROW()-2)/Assumptions!$B$7))</x:f>
        <x:v>46220</x:v>
      </x:c>
      <x:c r="B987" t="str">
        <x:f>IF($A987="","",INDEX(Assumptions!$D$5:$D$12,MOD(ROW()-2,Assumptions!$B$7)+1))</x:f>
        <x:v>Acheron Prime</x:v>
      </x:c>
      <x:c r="C987" s="11" t="n">
        <x:f>IF($A987="","",INDEX(Assumptions!$F$5:$F$12,MATCH($B987,Assumptions!$D$5:$D$12,0)))</x:f>
        <x:v>1120</x:v>
      </x:c>
      <x:c r="D987" s="11" t="n">
        <x:f>IF($A987="","",INDEX(Assumptions!$G$5:$G$12,MATCH($B987,Assumptions!$D$5:$D$12,0)))</x:f>
        <x:v>115</x:v>
      </x:c>
      <x:c r="E987" s="11" t="n">
        <x:f>IF($A987="","",INDEX(Assumptions!$M$5:$M$11,WEEKDAY($A987,2)))</x:f>
        <x:v>0.98</x:v>
      </x:c>
      <x:c r="F987" s="11" t="n">
        <x:f>IF($A987="","",Assumptions!$B$15)</x:f>
        <x:v>0.35</x:v>
      </x:c>
      <x:c r="G987" s="11" t="n">
        <x:f>IF($A987="","",MAX(INDEX(Assumptions!$H$5:$H$12,MATCH($B987,Assumptions!$D$5:$D$12,0)),MIN(INDEX(Assumptions!$I$5:$I$12,MATCH($B987,Assumptions!$D$5:$D$12,0)),($C987+$D987*SQRT(-2*LN(RAND()))*COS(2*PI()*RAND()))*$E987*$J987*$K987)))</x:f>
        <x:v>1178.2172878198628</x:v>
      </x:c>
      <x:c r="H987" s="11" t="n">
        <x:f>IF($A987="","",$G987*$F987+$C987*(1-$F987))</x:f>
        <x:v>1140.376050736952</x:v>
      </x:c>
      <x:c r="I987" s="11" t="n">
        <x:f>IF($A987="","",AVERAGE($H987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1119.1565515178104</x:v>
      </x:c>
      <x:c r="J987" s="12" t="n">
        <x:f>IF($A987="","",1+SUMIFS(Assumptions!$S$5:$S$10,Assumptions!$P$5:$P$10,$B987,Assumptions!$Q$5:$Q$10,"&lt;="&amp;$A987,Assumptions!$R$5:$R$10,"&gt;="&amp;$A987))</x:f>
        <x:v>1</x:v>
      </x:c>
      <x:c r="K987" s="12" t="n">
        <x:f>IF($A987="","",1+((($A987-Assumptions!$B$5)/30)*INDEX(Assumptions!$J$5:$J$12,MATCH($B987,Assumptions!$D$5:$D$12,0))))</x:f>
        <x:v>1.0131333333333334</x:v>
      </x:c>
      <x:c r="L987" t="str">
        <x:f>IF($A987="","",IFERROR(INDEX(Assumptions!$O$5:$O$10,MATCH(1,(Assumptions!$P$5:$P$10=$B987)*(Assumptions!$Q$5:$Q$10&lt;=$A987)*(Assumptions!$R$5:$R$10&gt;=$A987),0)),""))</x:f>
      </x:c>
      <x:c r="M987" t="n">
        <x:f>--($A987&lt;&gt;"")</x:f>
        <x:v>1</x:v>
      </x:c>
    </x:row>
    <x:row r="988">
      <x:c r="A988" s="10" t="n">
        <x:f>IF(Assumptions!$B$5+INT((ROW()-2)/Assumptions!$B$7)&gt;Assumptions!$B$6,"",Assumptions!$B$5+INT((ROW()-2)/Assumptions!$B$7))</x:f>
        <x:v>46220</x:v>
      </x:c>
      <x:c r="B988" t="str">
        <x:f>IF($A988="","",INDEX(Assumptions!$D$5:$D$12,MOD(ROW()-2,Assumptions!$B$7)+1))</x:f>
        <x:v>LV-426 North</x:v>
      </x:c>
      <x:c r="C988" s="11" t="n">
        <x:f>IF($A988="","",INDEX(Assumptions!$F$5:$F$12,MATCH($B988,Assumptions!$D$5:$D$12,0)))</x:f>
        <x:v>930</x:v>
      </x:c>
      <x:c r="D988" s="11" t="n">
        <x:f>IF($A988="","",INDEX(Assumptions!$G$5:$G$12,MATCH($B988,Assumptions!$D$5:$D$12,0)))</x:f>
        <x:v>95</x:v>
      </x:c>
      <x:c r="E988" s="11" t="n">
        <x:f>IF($A988="","",INDEX(Assumptions!$M$5:$M$11,WEEKDAY($A988,2)))</x:f>
        <x:v>0.98</x:v>
      </x:c>
      <x:c r="F988" s="11" t="n">
        <x:f>IF($A988="","",Assumptions!$B$15)</x:f>
        <x:v>0.35</x:v>
      </x:c>
      <x:c r="G988" s="11" t="n">
        <x:f>IF($A988="","",MAX(INDEX(Assumptions!$H$5:$H$12,MATCH($B988,Assumptions!$D$5:$D$12,0)),MIN(INDEX(Assumptions!$I$5:$I$12,MATCH($B988,Assumptions!$D$5:$D$12,0)),($C988+$D988*SQRT(-2*LN(RAND()))*COS(2*PI()*RAND()))*$E988*$J988*$K988)))</x:f>
        <x:v>738.5604242555194</x:v>
      </x:c>
      <x:c r="H988" s="11" t="n">
        <x:f>IF($A988="","",$G988*$F988+$C988*(1-$F988))</x:f>
        <x:v>862.9961484894318</x:v>
      </x:c>
      <x:c r="I988" s="11" t="n">
        <x:f>IF($A988="","",AVERAGE($H988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916.7441236444226</x:v>
      </x:c>
      <x:c r="J988" s="12" t="n">
        <x:f>IF($A988="","",1+SUMIFS(Assumptions!$S$5:$S$10,Assumptions!$P$5:$P$10,$B988,Assumptions!$Q$5:$Q$10,"&lt;="&amp;$A988,Assumptions!$R$5:$R$10,"&gt;="&amp;$A988))</x:f>
        <x:v>1</x:v>
      </x:c>
      <x:c r="K988" s="12" t="n">
        <x:f>IF($A988="","",1+((($A988-Assumptions!$B$5)/30)*INDEX(Assumptions!$J$5:$J$12,MATCH($B988,Assumptions!$D$5:$D$12,0))))</x:f>
        <x:v>0.9934333333333333</x:v>
      </x:c>
      <x:c r="L988" t="str">
        <x:f>IF($A988="","",IFERROR(INDEX(Assumptions!$O$5:$O$10,MATCH(1,(Assumptions!$P$5:$P$10=$B988)*(Assumptions!$Q$5:$Q$10&lt;=$A988)*(Assumptions!$R$5:$R$10&gt;=$A988),0)),""))</x:f>
      </x:c>
      <x:c r="M988" t="n">
        <x:f>--($A988&lt;&gt;"")</x:f>
        <x:v>1</x:v>
      </x:c>
    </x:row>
    <x:row r="989">
      <x:c r="A989" s="10" t="n">
        <x:f>IF(Assumptions!$B$5+INT((ROW()-2)/Assumptions!$B$7)&gt;Assumptions!$B$6,"",Assumptions!$B$5+INT((ROW()-2)/Assumptions!$B$7))</x:f>
        <x:v>46220</x:v>
      </x:c>
      <x:c r="B989" t="str">
        <x:f>IF($A989="","",INDEX(Assumptions!$D$5:$D$12,MOD(ROW()-2,Assumptions!$B$7)+1))</x:f>
        <x:v>Nostromo Deep</x:v>
      </x:c>
      <x:c r="C989" s="11" t="n">
        <x:f>IF($A989="","",INDEX(Assumptions!$F$5:$F$12,MATCH($B989,Assumptions!$D$5:$D$12,0)))</x:f>
        <x:v>1260</x:v>
      </x:c>
      <x:c r="D989" s="11" t="n">
        <x:f>IF($A989="","",INDEX(Assumptions!$G$5:$G$12,MATCH($B989,Assumptions!$D$5:$D$12,0)))</x:f>
        <x:v>145</x:v>
      </x:c>
      <x:c r="E989" s="11" t="n">
        <x:f>IF($A989="","",INDEX(Assumptions!$M$5:$M$11,WEEKDAY($A989,2)))</x:f>
        <x:v>0.98</x:v>
      </x:c>
      <x:c r="F989" s="11" t="n">
        <x:f>IF($A989="","",Assumptions!$B$15)</x:f>
        <x:v>0.35</x:v>
      </x:c>
      <x:c r="G989" s="11" t="n">
        <x:f>IF($A989="","",MAX(INDEX(Assumptions!$H$5:$H$12,MATCH($B989,Assumptions!$D$5:$D$12,0)),MIN(INDEX(Assumptions!$I$5:$I$12,MATCH($B989,Assumptions!$D$5:$D$12,0)),($C989+$D989*SQRT(-2*LN(RAND()))*COS(2*PI()*RAND()))*$E989*$J989*$K989)))</x:f>
        <x:v>1345.2848126564609</x:v>
      </x:c>
      <x:c r="H989" s="11" t="n">
        <x:f>IF($A989="","",$G989*$F989+$C989*(1-$F989))</x:f>
        <x:v>1289.8496844297613</x:v>
      </x:c>
      <x:c r="I989" s="11" t="n">
        <x:f>IF($A989="","",AVERAGE($H989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1263.8182440813505</x:v>
      </x:c>
      <x:c r="J989" s="12" t="n">
        <x:f>IF($A989="","",1+SUMIFS(Assumptions!$S$5:$S$10,Assumptions!$P$5:$P$10,$B989,Assumptions!$Q$5:$Q$10,"&lt;="&amp;$A989,Assumptions!$R$5:$R$10,"&gt;="&amp;$A989))</x:f>
        <x:v>1</x:v>
      </x:c>
      <x:c r="K989" s="12" t="n">
        <x:f>IF($A989="","",1+((($A989-Assumptions!$B$5)/30)*INDEX(Assumptions!$J$5:$J$12,MATCH($B989,Assumptions!$D$5:$D$12,0))))</x:f>
        <x:v>1.0197</x:v>
      </x:c>
      <x:c r="L989" t="str">
        <x:f>IF($A989="","",IFERROR(INDEX(Assumptions!$O$5:$O$10,MATCH(1,(Assumptions!$P$5:$P$10=$B989)*(Assumptions!$Q$5:$Q$10&lt;=$A989)*(Assumptions!$R$5:$R$10&gt;=$A989),0)),""))</x:f>
      </x:c>
      <x:c r="M989" t="n">
        <x:f>--($A989&lt;&gt;"")</x:f>
        <x:v>1</x:v>
      </x:c>
    </x:row>
    <x:row r="990">
      <x:c r="A990" s="10" t="n">
        <x:f>IF(Assumptions!$B$5+INT((ROW()-2)/Assumptions!$B$7)&gt;Assumptions!$B$6,"",Assumptions!$B$5+INT((ROW()-2)/Assumptions!$B$7))</x:f>
        <x:v>46220</x:v>
      </x:c>
      <x:c r="B990" t="str">
        <x:f>IF($A990="","",INDEX(Assumptions!$D$5:$D$12,MOD(ROW()-2,Assumptions!$B$7)+1))</x:f>
        <x:v>Hadley's Hope</x:v>
      </x:c>
      <x:c r="C990" s="11" t="n">
        <x:f>IF($A990="","",INDEX(Assumptions!$F$5:$F$12,MATCH($B990,Assumptions!$D$5:$D$12,0)))</x:f>
        <x:v>845</x:v>
      </x:c>
      <x:c r="D990" s="11" t="n">
        <x:f>IF($A990="","",INDEX(Assumptions!$G$5:$G$12,MATCH($B990,Assumptions!$D$5:$D$12,0)))</x:f>
        <x:v>80</x:v>
      </x:c>
      <x:c r="E990" s="11" t="n">
        <x:f>IF($A990="","",INDEX(Assumptions!$M$5:$M$11,WEEKDAY($A990,2)))</x:f>
        <x:v>0.98</x:v>
      </x:c>
      <x:c r="F990" s="11" t="n">
        <x:f>IF($A990="","",Assumptions!$B$15)</x:f>
        <x:v>0.35</x:v>
      </x:c>
      <x:c r="G990" s="11" t="n">
        <x:f>IF($A990="","",MAX(INDEX(Assumptions!$H$5:$H$12,MATCH($B990,Assumptions!$D$5:$D$12,0)),MIN(INDEX(Assumptions!$I$5:$I$12,MATCH($B990,Assumptions!$D$5:$D$12,0)),($C990+$D990*SQRT(-2*LN(RAND()))*COS(2*PI()*RAND()))*$E990*$J990*$K990)))</x:f>
        <x:v>804.0019848386067</x:v>
      </x:c>
      <x:c r="H990" s="11" t="n">
        <x:f>IF($A990="","",$G990*$F990+$C990*(1-$F990))</x:f>
        <x:v>830.6506946935124</x:v>
      </x:c>
      <x:c r="I990" s="11" t="n">
        <x:f>IF($A990="","",AVERAGE($H990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845.98015367629</x:v>
      </x:c>
      <x:c r="J990" s="12" t="n">
        <x:f>IF($A990="","",1+SUMIFS(Assumptions!$S$5:$S$10,Assumptions!$P$5:$P$10,$B990,Assumptions!$Q$5:$Q$10,"&lt;="&amp;$A990,Assumptions!$R$5:$R$10,"&gt;="&amp;$A990))</x:f>
        <x:v>1</x:v>
      </x:c>
      <x:c r="K990" s="12" t="n">
        <x:f>IF($A990="","",1+((($A990-Assumptions!$B$5)/30)*INDEX(Assumptions!$J$5:$J$12,MATCH($B990,Assumptions!$D$5:$D$12,0))))</x:f>
        <x:v>1.0065666666666666</x:v>
      </x:c>
      <x:c r="L990" t="str">
        <x:f>IF($A990="","",IFERROR(INDEX(Assumptions!$O$5:$O$10,MATCH(1,(Assumptions!$P$5:$P$10=$B990)*(Assumptions!$Q$5:$Q$10&lt;=$A990)*(Assumptions!$R$5:$R$10&gt;=$A990),0)),""))</x:f>
      </x:c>
      <x:c r="M990" t="n">
        <x:f>--($A990&lt;&gt;"")</x:f>
        <x:v>1</x:v>
      </x:c>
    </x:row>
    <x:row r="991">
      <x:c r="A991" s="10" t="n">
        <x:f>IF(Assumptions!$B$5+INT((ROW()-2)/Assumptions!$B$7)&gt;Assumptions!$B$6,"",Assumptions!$B$5+INT((ROW()-2)/Assumptions!$B$7))</x:f>
        <x:v>46220</x:v>
      </x:c>
      <x:c r="B991" t="str">
        <x:f>IF($A991="","",INDEX(Assumptions!$D$5:$D$12,MOD(ROW()-2,Assumptions!$B$7)+1))</x:f>
        <x:v>Yutani Ridge</x:v>
      </x:c>
      <x:c r="C991" s="11" t="n">
        <x:f>IF($A991="","",INDEX(Assumptions!$F$5:$F$12,MATCH($B991,Assumptions!$D$5:$D$12,0)))</x:f>
        <x:v>1050</x:v>
      </x:c>
      <x:c r="D991" s="11" t="n">
        <x:f>IF($A991="","",INDEX(Assumptions!$G$5:$G$12,MATCH($B991,Assumptions!$D$5:$D$12,0)))</x:f>
        <x:v>125</x:v>
      </x:c>
      <x:c r="E991" s="11" t="n">
        <x:f>IF($A991="","",INDEX(Assumptions!$M$5:$M$11,WEEKDAY($A991,2)))</x:f>
        <x:v>0.98</x:v>
      </x:c>
      <x:c r="F991" s="11" t="n">
        <x:f>IF($A991="","",Assumptions!$B$15)</x:f>
        <x:v>0.35</x:v>
      </x:c>
      <x:c r="G991" s="11" t="n">
        <x:f>IF($A991="","",MAX(INDEX(Assumptions!$H$5:$H$12,MATCH($B991,Assumptions!$D$5:$D$12,0)),MIN(INDEX(Assumptions!$I$5:$I$12,MATCH($B991,Assumptions!$D$5:$D$12,0)),($C991+$D991*SQRT(-2*LN(RAND()))*COS(2*PI()*RAND()))*$E991*$J991*$K991)))</x:f>
        <x:v>1021.7668752968043</x:v>
      </x:c>
      <x:c r="H991" s="11" t="n">
        <x:f>IF($A991="","",$G991*$F991+$C991*(1-$F991))</x:f>
        <x:v>1040.1184063538815</x:v>
      </x:c>
      <x:c r="I991" s="11" t="n">
        <x:f>IF($A991="","",AVERAGE($H991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1043.3389629957985</x:v>
      </x:c>
      <x:c r="J991" s="12" t="n">
        <x:f>IF($A991="","",1+SUMIFS(Assumptions!$S$5:$S$10,Assumptions!$P$5:$P$10,$B991,Assumptions!$Q$5:$Q$10,"&lt;="&amp;$A991,Assumptions!$R$5:$R$10,"&gt;="&amp;$A991))</x:f>
        <x:v>1</x:v>
      </x:c>
      <x:c r="K991" s="12" t="n">
        <x:f>IF($A991="","",1+((($A991-Assumptions!$B$5)/30)*INDEX(Assumptions!$J$5:$J$12,MATCH($B991,Assumptions!$D$5:$D$12,0))))</x:f>
        <x:v>1.0164166666666667</x:v>
      </x:c>
      <x:c r="L991" t="str">
        <x:f>IF($A991="","",IFERROR(INDEX(Assumptions!$O$5:$O$10,MATCH(1,(Assumptions!$P$5:$P$10=$B991)*(Assumptions!$Q$5:$Q$10&lt;=$A991)*(Assumptions!$R$5:$R$10&gt;=$A991),0)),""))</x:f>
      </x:c>
      <x:c r="M991" t="n">
        <x:f>--($A991&lt;&gt;"")</x:f>
        <x:v>1</x:v>
      </x:c>
    </x:row>
    <x:row r="992">
      <x:c r="A992" s="10" t="n">
        <x:f>IF(Assumptions!$B$5+INT((ROW()-2)/Assumptions!$B$7)&gt;Assumptions!$B$6,"",Assumptions!$B$5+INT((ROW()-2)/Assumptions!$B$7))</x:f>
        <x:v>46221</x:v>
      </x:c>
      <x:c r="B992" t="str">
        <x:f>IF($A992="","",INDEX(Assumptions!$D$5:$D$12,MOD(ROW()-2,Assumptions!$B$7)+1))</x:f>
        <x:v>Acheron Prime</x:v>
      </x:c>
      <x:c r="C992" s="11" t="n">
        <x:f>IF($A992="","",INDEX(Assumptions!$F$5:$F$12,MATCH($B992,Assumptions!$D$5:$D$12,0)))</x:f>
        <x:v>1120</x:v>
      </x:c>
      <x:c r="D992" s="11" t="n">
        <x:f>IF($A992="","",INDEX(Assumptions!$G$5:$G$12,MATCH($B992,Assumptions!$D$5:$D$12,0)))</x:f>
        <x:v>115</x:v>
      </x:c>
      <x:c r="E992" s="11" t="n">
        <x:f>IF($A992="","",INDEX(Assumptions!$M$5:$M$11,WEEKDAY($A992,2)))</x:f>
        <x:v>0.91</x:v>
      </x:c>
      <x:c r="F992" s="11" t="n">
        <x:f>IF($A992="","",Assumptions!$B$15)</x:f>
        <x:v>0.35</x:v>
      </x:c>
      <x:c r="G992" s="11" t="n">
        <x:f>IF($A992="","",MAX(INDEX(Assumptions!$H$5:$H$12,MATCH($B992,Assumptions!$D$5:$D$12,0)),MIN(INDEX(Assumptions!$I$5:$I$12,MATCH($B992,Assumptions!$D$5:$D$12,0)),($C992+$D992*SQRT(-2*LN(RAND()))*COS(2*PI()*RAND()))*$E992*$J992*$K992)))</x:f>
        <x:v>1165.3633895318226</x:v>
      </x:c>
      <x:c r="H992" s="11" t="n">
        <x:f>IF($A992="","",$G992*$F992+$C992*(1-$F992))</x:f>
        <x:v>1135.8771863361378</x:v>
      </x:c>
      <x:c r="I992" s="11" t="n">
        <x:f>IF($A992="","",AVERAGE($H992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1128.896167836913</x:v>
      </x:c>
      <x:c r="J992" s="12" t="n">
        <x:f>IF($A992="","",1+SUMIFS(Assumptions!$S$5:$S$10,Assumptions!$P$5:$P$10,$B992,Assumptions!$Q$5:$Q$10,"&lt;="&amp;$A992,Assumptions!$R$5:$R$10,"&gt;="&amp;$A992))</x:f>
        <x:v>1</x:v>
      </x:c>
      <x:c r="K992" s="12" t="n">
        <x:f>IF($A992="","",1+((($A992-Assumptions!$B$5)/30)*INDEX(Assumptions!$J$5:$J$12,MATCH($B992,Assumptions!$D$5:$D$12,0))))</x:f>
        <x:v>1.0132</x:v>
      </x:c>
      <x:c r="L992" t="str">
        <x:f>IF($A992="","",IFERROR(INDEX(Assumptions!$O$5:$O$10,MATCH(1,(Assumptions!$P$5:$P$10=$B992)*(Assumptions!$Q$5:$Q$10&lt;=$A992)*(Assumptions!$R$5:$R$10&gt;=$A992),0)),""))</x:f>
      </x:c>
      <x:c r="M992" t="n">
        <x:f>--($A992&lt;&gt;"")</x:f>
        <x:v>1</x:v>
      </x:c>
    </x:row>
    <x:row r="993">
      <x:c r="A993" s="10" t="n">
        <x:f>IF(Assumptions!$B$5+INT((ROW()-2)/Assumptions!$B$7)&gt;Assumptions!$B$6,"",Assumptions!$B$5+INT((ROW()-2)/Assumptions!$B$7))</x:f>
        <x:v>46221</x:v>
      </x:c>
      <x:c r="B993" t="str">
        <x:f>IF($A993="","",INDEX(Assumptions!$D$5:$D$12,MOD(ROW()-2,Assumptions!$B$7)+1))</x:f>
        <x:v>LV-426 North</x:v>
      </x:c>
      <x:c r="C993" s="11" t="n">
        <x:f>IF($A993="","",INDEX(Assumptions!$F$5:$F$12,MATCH($B993,Assumptions!$D$5:$D$12,0)))</x:f>
        <x:v>930</x:v>
      </x:c>
      <x:c r="D993" s="11" t="n">
        <x:f>IF($A993="","",INDEX(Assumptions!$G$5:$G$12,MATCH($B993,Assumptions!$D$5:$D$12,0)))</x:f>
        <x:v>95</x:v>
      </x:c>
      <x:c r="E993" s="11" t="n">
        <x:f>IF($A993="","",INDEX(Assumptions!$M$5:$M$11,WEEKDAY($A993,2)))</x:f>
        <x:v>0.91</x:v>
      </x:c>
      <x:c r="F993" s="11" t="n">
        <x:f>IF($A993="","",Assumptions!$B$15)</x:f>
        <x:v>0.35</x:v>
      </x:c>
      <x:c r="G993" s="11" t="n">
        <x:f>IF($A993="","",MAX(INDEX(Assumptions!$H$5:$H$12,MATCH($B993,Assumptions!$D$5:$D$12,0)),MIN(INDEX(Assumptions!$I$5:$I$12,MATCH($B993,Assumptions!$D$5:$D$12,0)),($C993+$D993*SQRT(-2*LN(RAND()))*COS(2*PI()*RAND()))*$E993*$J993*$K993)))</x:f>
        <x:v>927.9250510272096</x:v>
      </x:c>
      <x:c r="H993" s="11" t="n">
        <x:f>IF($A993="","",$G993*$F993+$C993*(1-$F993))</x:f>
        <x:v>929.2737678595233</x:v>
      </x:c>
      <x:c r="I993" s="11" t="n">
        <x:f>IF($A993="","",AVERAGE($H993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918.4838256653694</x:v>
      </x:c>
      <x:c r="J993" s="12" t="n">
        <x:f>IF($A993="","",1+SUMIFS(Assumptions!$S$5:$S$10,Assumptions!$P$5:$P$10,$B993,Assumptions!$Q$5:$Q$10,"&lt;="&amp;$A993,Assumptions!$R$5:$R$10,"&gt;="&amp;$A993))</x:f>
        <x:v>1</x:v>
      </x:c>
      <x:c r="K993" s="12" t="n">
        <x:f>IF($A993="","",1+((($A993-Assumptions!$B$5)/30)*INDEX(Assumptions!$J$5:$J$12,MATCH($B993,Assumptions!$D$5:$D$12,0))))</x:f>
        <x:v>0.9934</x:v>
      </x:c>
      <x:c r="L993" t="str">
        <x:f>IF($A993="","",IFERROR(INDEX(Assumptions!$O$5:$O$10,MATCH(1,(Assumptions!$P$5:$P$10=$B993)*(Assumptions!$Q$5:$Q$10&lt;=$A993)*(Assumptions!$R$5:$R$10&gt;=$A993),0)),""))</x:f>
      </x:c>
      <x:c r="M993" t="n">
        <x:f>--($A993&lt;&gt;"")</x:f>
        <x:v>1</x:v>
      </x:c>
    </x:row>
    <x:row r="994">
      <x:c r="A994" s="10" t="n">
        <x:f>IF(Assumptions!$B$5+INT((ROW()-2)/Assumptions!$B$7)&gt;Assumptions!$B$6,"",Assumptions!$B$5+INT((ROW()-2)/Assumptions!$B$7))</x:f>
        <x:v>46221</x:v>
      </x:c>
      <x:c r="B994" t="str">
        <x:f>IF($A994="","",INDEX(Assumptions!$D$5:$D$12,MOD(ROW()-2,Assumptions!$B$7)+1))</x:f>
        <x:v>Nostromo Deep</x:v>
      </x:c>
      <x:c r="C994" s="11" t="n">
        <x:f>IF($A994="","",INDEX(Assumptions!$F$5:$F$12,MATCH($B994,Assumptions!$D$5:$D$12,0)))</x:f>
        <x:v>1260</x:v>
      </x:c>
      <x:c r="D994" s="11" t="n">
        <x:f>IF($A994="","",INDEX(Assumptions!$G$5:$G$12,MATCH($B994,Assumptions!$D$5:$D$12,0)))</x:f>
        <x:v>145</x:v>
      </x:c>
      <x:c r="E994" s="11" t="n">
        <x:f>IF($A994="","",INDEX(Assumptions!$M$5:$M$11,WEEKDAY($A994,2)))</x:f>
        <x:v>0.91</x:v>
      </x:c>
      <x:c r="F994" s="11" t="n">
        <x:f>IF($A994="","",Assumptions!$B$15)</x:f>
        <x:v>0.35</x:v>
      </x:c>
      <x:c r="G994" s="11" t="n">
        <x:f>IF($A994="","",MAX(INDEX(Assumptions!$H$5:$H$12,MATCH($B994,Assumptions!$D$5:$D$12,0)),MIN(INDEX(Assumptions!$I$5:$I$12,MATCH($B994,Assumptions!$D$5:$D$12,0)),($C994+$D994*SQRT(-2*LN(RAND()))*COS(2*PI()*RAND()))*$E994*$J994*$K994)))</x:f>
        <x:v>1087.302808009609</x:v>
      </x:c>
      <x:c r="H994" s="11" t="n">
        <x:f>IF($A994="","",$G994*$F994+$C994*(1-$F994))</x:f>
        <x:v>1199.5559828033631</x:v>
      </x:c>
      <x:c r="I994" s="11" t="n">
        <x:f>IF($A994="","",AVERAGE($H994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1252.3725052496613</x:v>
      </x:c>
      <x:c r="J994" s="12" t="n">
        <x:f>IF($A994="","",1+SUMIFS(Assumptions!$S$5:$S$10,Assumptions!$P$5:$P$10,$B994,Assumptions!$Q$5:$Q$10,"&lt;="&amp;$A994,Assumptions!$R$5:$R$10,"&gt;="&amp;$A994))</x:f>
        <x:v>1</x:v>
      </x:c>
      <x:c r="K994" s="12" t="n">
        <x:f>IF($A994="","",1+((($A994-Assumptions!$B$5)/30)*INDEX(Assumptions!$J$5:$J$12,MATCH($B994,Assumptions!$D$5:$D$12,0))))</x:f>
        <x:v>1.0198</x:v>
      </x:c>
      <x:c r="L994" t="str">
        <x:f>IF($A994="","",IFERROR(INDEX(Assumptions!$O$5:$O$10,MATCH(1,(Assumptions!$P$5:$P$10=$B994)*(Assumptions!$Q$5:$Q$10&lt;=$A994)*(Assumptions!$R$5:$R$10&gt;=$A994),0)),""))</x:f>
      </x:c>
      <x:c r="M994" t="n">
        <x:f>--($A994&lt;&gt;"")</x:f>
        <x:v>1</x:v>
      </x:c>
    </x:row>
    <x:row r="995">
      <x:c r="A995" s="10" t="n">
        <x:f>IF(Assumptions!$B$5+INT((ROW()-2)/Assumptions!$B$7)&gt;Assumptions!$B$6,"",Assumptions!$B$5+INT((ROW()-2)/Assumptions!$B$7))</x:f>
        <x:v>46221</x:v>
      </x:c>
      <x:c r="B995" t="str">
        <x:f>IF($A995="","",INDEX(Assumptions!$D$5:$D$12,MOD(ROW()-2,Assumptions!$B$7)+1))</x:f>
        <x:v>Hadley's Hope</x:v>
      </x:c>
      <x:c r="C995" s="11" t="n">
        <x:f>IF($A995="","",INDEX(Assumptions!$F$5:$F$12,MATCH($B995,Assumptions!$D$5:$D$12,0)))</x:f>
        <x:v>845</x:v>
      </x:c>
      <x:c r="D995" s="11" t="n">
        <x:f>IF($A995="","",INDEX(Assumptions!$G$5:$G$12,MATCH($B995,Assumptions!$D$5:$D$12,0)))</x:f>
        <x:v>80</x:v>
      </x:c>
      <x:c r="E995" s="11" t="n">
        <x:f>IF($A995="","",INDEX(Assumptions!$M$5:$M$11,WEEKDAY($A995,2)))</x:f>
        <x:v>0.91</x:v>
      </x:c>
      <x:c r="F995" s="11" t="n">
        <x:f>IF($A995="","",Assumptions!$B$15)</x:f>
        <x:v>0.35</x:v>
      </x:c>
      <x:c r="G995" s="11" t="n">
        <x:f>IF($A995="","",MAX(INDEX(Assumptions!$H$5:$H$12,MATCH($B995,Assumptions!$D$5:$D$12,0)),MIN(INDEX(Assumptions!$I$5:$I$12,MATCH($B995,Assumptions!$D$5:$D$12,0)),($C995+$D995*SQRT(-2*LN(RAND()))*COS(2*PI()*RAND()))*$E995*$J995*$K995)))</x:f>
        <x:v>780.3092514340976</x:v>
      </x:c>
      <x:c r="H995" s="11" t="n">
        <x:f>IF($A995="","",$G995*$F995+$C995*(1-$F995))</x:f>
        <x:v>822.3582380019341</x:v>
      </x:c>
      <x:c r="I995" s="11" t="n">
        <x:f>IF($A995="","",AVERAGE($H995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849.5973744019326</x:v>
      </x:c>
      <x:c r="J995" s="12" t="n">
        <x:f>IF($A995="","",1+SUMIFS(Assumptions!$S$5:$S$10,Assumptions!$P$5:$P$10,$B995,Assumptions!$Q$5:$Q$10,"&lt;="&amp;$A995,Assumptions!$R$5:$R$10,"&gt;="&amp;$A995))</x:f>
        <x:v>1</x:v>
      </x:c>
      <x:c r="K995" s="12" t="n">
        <x:f>IF($A995="","",1+((($A995-Assumptions!$B$5)/30)*INDEX(Assumptions!$J$5:$J$12,MATCH($B995,Assumptions!$D$5:$D$12,0))))</x:f>
        <x:v>1.0066</x:v>
      </x:c>
      <x:c r="L995" t="str">
        <x:f>IF($A995="","",IFERROR(INDEX(Assumptions!$O$5:$O$10,MATCH(1,(Assumptions!$P$5:$P$10=$B995)*(Assumptions!$Q$5:$Q$10&lt;=$A995)*(Assumptions!$R$5:$R$10&gt;=$A995),0)),""))</x:f>
      </x:c>
      <x:c r="M995" t="n">
        <x:f>--($A995&lt;&gt;"")</x:f>
        <x:v>1</x:v>
      </x:c>
    </x:row>
    <x:row r="996">
      <x:c r="A996" s="10" t="n">
        <x:f>IF(Assumptions!$B$5+INT((ROW()-2)/Assumptions!$B$7)&gt;Assumptions!$B$6,"",Assumptions!$B$5+INT((ROW()-2)/Assumptions!$B$7))</x:f>
        <x:v>46221</x:v>
      </x:c>
      <x:c r="B996" t="str">
        <x:f>IF($A996="","",INDEX(Assumptions!$D$5:$D$12,MOD(ROW()-2,Assumptions!$B$7)+1))</x:f>
        <x:v>Yutani Ridge</x:v>
      </x:c>
      <x:c r="C996" s="11" t="n">
        <x:f>IF($A996="","",INDEX(Assumptions!$F$5:$F$12,MATCH($B996,Assumptions!$D$5:$D$12,0)))</x:f>
        <x:v>1050</x:v>
      </x:c>
      <x:c r="D996" s="11" t="n">
        <x:f>IF($A996="","",INDEX(Assumptions!$G$5:$G$12,MATCH($B996,Assumptions!$D$5:$D$12,0)))</x:f>
        <x:v>125</x:v>
      </x:c>
      <x:c r="E996" s="11" t="n">
        <x:f>IF($A996="","",INDEX(Assumptions!$M$5:$M$11,WEEKDAY($A996,2)))</x:f>
        <x:v>0.91</x:v>
      </x:c>
      <x:c r="F996" s="11" t="n">
        <x:f>IF($A996="","",Assumptions!$B$15)</x:f>
        <x:v>0.35</x:v>
      </x:c>
      <x:c r="G996" s="11" t="n">
        <x:f>IF($A996="","",MAX(INDEX(Assumptions!$H$5:$H$12,MATCH($B996,Assumptions!$D$5:$D$12,0)),MIN(INDEX(Assumptions!$I$5:$I$12,MATCH($B996,Assumptions!$D$5:$D$12,0)),($C996+$D996*SQRT(-2*LN(RAND()))*COS(2*PI()*RAND()))*$E996*$J996*$K996)))</x:f>
        <x:v>1007.7822178393217</x:v>
      </x:c>
      <x:c r="H996" s="11" t="n">
        <x:f>IF($A996="","",$G996*$F996+$C996*(1-$F996))</x:f>
        <x:v>1035.2237762437626</x:v>
      </x:c>
      <x:c r="I996" s="11" t="n">
        <x:f>IF($A996="","",AVERAGE($H996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1042.7621577267798</x:v>
      </x:c>
      <x:c r="J996" s="12" t="n">
        <x:f>IF($A996="","",1+SUMIFS(Assumptions!$S$5:$S$10,Assumptions!$P$5:$P$10,$B996,Assumptions!$Q$5:$Q$10,"&lt;="&amp;$A996,Assumptions!$R$5:$R$10,"&gt;="&amp;$A996))</x:f>
        <x:v>1</x:v>
      </x:c>
      <x:c r="K996" s="12" t="n">
        <x:f>IF($A996="","",1+((($A996-Assumptions!$B$5)/30)*INDEX(Assumptions!$J$5:$J$12,MATCH($B996,Assumptions!$D$5:$D$12,0))))</x:f>
        <x:v>1.0165</x:v>
      </x:c>
      <x:c r="L996" t="str">
        <x:f>IF($A996="","",IFERROR(INDEX(Assumptions!$O$5:$O$10,MATCH(1,(Assumptions!$P$5:$P$10=$B996)*(Assumptions!$Q$5:$Q$10&lt;=$A996)*(Assumptions!$R$5:$R$10&gt;=$A996),0)),""))</x:f>
      </x:c>
      <x:c r="M996" t="n">
        <x:f>--($A996&lt;&gt;"")</x:f>
        <x:v>1</x:v>
      </x:c>
    </x:row>
    <x:row r="997">
      <x:c r="A997" s="10" t="n">
        <x:f>IF(Assumptions!$B$5+INT((ROW()-2)/Assumptions!$B$7)&gt;Assumptions!$B$6,"",Assumptions!$B$5+INT((ROW()-2)/Assumptions!$B$7))</x:f>
        <x:v>46222</x:v>
      </x:c>
      <x:c r="B997" t="str">
        <x:f>IF($A997="","",INDEX(Assumptions!$D$5:$D$12,MOD(ROW()-2,Assumptions!$B$7)+1))</x:f>
        <x:v>Acheron Prime</x:v>
      </x:c>
      <x:c r="C997" s="11" t="n">
        <x:f>IF($A997="","",INDEX(Assumptions!$F$5:$F$12,MATCH($B997,Assumptions!$D$5:$D$12,0)))</x:f>
        <x:v>1120</x:v>
      </x:c>
      <x:c r="D997" s="11" t="n">
        <x:f>IF($A997="","",INDEX(Assumptions!$G$5:$G$12,MATCH($B997,Assumptions!$D$5:$D$12,0)))</x:f>
        <x:v>115</x:v>
      </x:c>
      <x:c r="E997" s="11" t="n">
        <x:f>IF($A997="","",INDEX(Assumptions!$M$5:$M$11,WEEKDAY($A997,2)))</x:f>
        <x:v>0.87</x:v>
      </x:c>
      <x:c r="F997" s="11" t="n">
        <x:f>IF($A997="","",Assumptions!$B$15)</x:f>
        <x:v>0.35</x:v>
      </x:c>
      <x:c r="G997" s="11" t="n">
        <x:f>IF($A997="","",MAX(INDEX(Assumptions!$H$5:$H$12,MATCH($B997,Assumptions!$D$5:$D$12,0)),MIN(INDEX(Assumptions!$I$5:$I$12,MATCH($B997,Assumptions!$D$5:$D$12,0)),($C997+$D997*SQRT(-2*LN(RAND()))*COS(2*PI()*RAND()))*$E997*$J997*$K997)))</x:f>
        <x:v>896.7547192799015</x:v>
      </x:c>
      <x:c r="H997" s="11" t="n">
        <x:f>IF($A997="","",$G997*$F997+$C997*(1-$F997))</x:f>
        <x:v>1041.8641517479655</x:v>
      </x:c>
      <x:c r="I997" s="11" t="n">
        <x:f>IF($A997="","",AVERAGE($H997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1115.2000868534892</x:v>
      </x:c>
      <x:c r="J997" s="12" t="n">
        <x:f>IF($A997="","",1+SUMIFS(Assumptions!$S$5:$S$10,Assumptions!$P$5:$P$10,$B997,Assumptions!$Q$5:$Q$10,"&lt;="&amp;$A997,Assumptions!$R$5:$R$10,"&gt;="&amp;$A997))</x:f>
        <x:v>1</x:v>
      </x:c>
      <x:c r="K997" s="12" t="n">
        <x:f>IF($A997="","",1+((($A997-Assumptions!$B$5)/30)*INDEX(Assumptions!$J$5:$J$12,MATCH($B997,Assumptions!$D$5:$D$12,0))))</x:f>
        <x:v>1.0132666666666668</x:v>
      </x:c>
      <x:c r="L997" t="str">
        <x:f>IF($A997="","",IFERROR(INDEX(Assumptions!$O$5:$O$10,MATCH(1,(Assumptions!$P$5:$P$10=$B997)*(Assumptions!$Q$5:$Q$10&lt;=$A997)*(Assumptions!$R$5:$R$10&gt;=$A997),0)),""))</x:f>
      </x:c>
      <x:c r="M997" t="n">
        <x:f>--($A997&lt;&gt;"")</x:f>
        <x:v>1</x:v>
      </x:c>
    </x:row>
    <x:row r="998">
      <x:c r="A998" s="10" t="n">
        <x:f>IF(Assumptions!$B$5+INT((ROW()-2)/Assumptions!$B$7)&gt;Assumptions!$B$6,"",Assumptions!$B$5+INT((ROW()-2)/Assumptions!$B$7))</x:f>
        <x:v>46222</x:v>
      </x:c>
      <x:c r="B998" t="str">
        <x:f>IF($A998="","",INDEX(Assumptions!$D$5:$D$12,MOD(ROW()-2,Assumptions!$B$7)+1))</x:f>
        <x:v>LV-426 North</x:v>
      </x:c>
      <x:c r="C998" s="11" t="n">
        <x:f>IF($A998="","",INDEX(Assumptions!$F$5:$F$12,MATCH($B998,Assumptions!$D$5:$D$12,0)))</x:f>
        <x:v>930</x:v>
      </x:c>
      <x:c r="D998" s="11" t="n">
        <x:f>IF($A998="","",INDEX(Assumptions!$G$5:$G$12,MATCH($B998,Assumptions!$D$5:$D$12,0)))</x:f>
        <x:v>95</x:v>
      </x:c>
      <x:c r="E998" s="11" t="n">
        <x:f>IF($A998="","",INDEX(Assumptions!$M$5:$M$11,WEEKDAY($A998,2)))</x:f>
        <x:v>0.87</x:v>
      </x:c>
      <x:c r="F998" s="11" t="n">
        <x:f>IF($A998="","",Assumptions!$B$15)</x:f>
        <x:v>0.35</x:v>
      </x:c>
      <x:c r="G998" s="11" t="n">
        <x:f>IF($A998="","",MAX(INDEX(Assumptions!$H$5:$H$12,MATCH($B998,Assumptions!$D$5:$D$12,0)),MIN(INDEX(Assumptions!$I$5:$I$12,MATCH($B998,Assumptions!$D$5:$D$12,0)),($C998+$D998*SQRT(-2*LN(RAND()))*COS(2*PI()*RAND()))*$E998*$J998*$K998)))</x:f>
        <x:v>897.4272138917245</x:v>
      </x:c>
      <x:c r="H998" s="11" t="n">
        <x:f>IF($A998="","",$G998*$F998+$C998*(1-$F998))</x:f>
        <x:v>918.5995248621035</x:v>
      </x:c>
      <x:c r="I998" s="11" t="n">
        <x:f>IF($A998="","",AVERAGE($H998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919.9459391026488</x:v>
      </x:c>
      <x:c r="J998" s="12" t="n">
        <x:f>IF($A998="","",1+SUMIFS(Assumptions!$S$5:$S$10,Assumptions!$P$5:$P$10,$B998,Assumptions!$Q$5:$Q$10,"&lt;="&amp;$A998,Assumptions!$R$5:$R$10,"&gt;="&amp;$A998))</x:f>
        <x:v>1</x:v>
      </x:c>
      <x:c r="K998" s="12" t="n">
        <x:f>IF($A998="","",1+((($A998-Assumptions!$B$5)/30)*INDEX(Assumptions!$J$5:$J$12,MATCH($B998,Assumptions!$D$5:$D$12,0))))</x:f>
        <x:v>0.9933666666666666</x:v>
      </x:c>
      <x:c r="L998" t="str">
        <x:f>IF($A998="","",IFERROR(INDEX(Assumptions!$O$5:$O$10,MATCH(1,(Assumptions!$P$5:$P$10=$B998)*(Assumptions!$Q$5:$Q$10&lt;=$A998)*(Assumptions!$R$5:$R$10&gt;=$A998),0)),""))</x:f>
      </x:c>
      <x:c r="M998" t="n">
        <x:f>--($A998&lt;&gt;"")</x:f>
        <x:v>1</x:v>
      </x:c>
    </x:row>
    <x:row r="999">
      <x:c r="A999" s="10" t="n">
        <x:f>IF(Assumptions!$B$5+INT((ROW()-2)/Assumptions!$B$7)&gt;Assumptions!$B$6,"",Assumptions!$B$5+INT((ROW()-2)/Assumptions!$B$7))</x:f>
        <x:v>46222</x:v>
      </x:c>
      <x:c r="B999" t="str">
        <x:f>IF($A999="","",INDEX(Assumptions!$D$5:$D$12,MOD(ROW()-2,Assumptions!$B$7)+1))</x:f>
        <x:v>Nostromo Deep</x:v>
      </x:c>
      <x:c r="C999" s="11" t="n">
        <x:f>IF($A999="","",INDEX(Assumptions!$F$5:$F$12,MATCH($B999,Assumptions!$D$5:$D$12,0)))</x:f>
        <x:v>1260</x:v>
      </x:c>
      <x:c r="D999" s="11" t="n">
        <x:f>IF($A999="","",INDEX(Assumptions!$G$5:$G$12,MATCH($B999,Assumptions!$D$5:$D$12,0)))</x:f>
        <x:v>145</x:v>
      </x:c>
      <x:c r="E999" s="11" t="n">
        <x:f>IF($A999="","",INDEX(Assumptions!$M$5:$M$11,WEEKDAY($A999,2)))</x:f>
        <x:v>0.87</x:v>
      </x:c>
      <x:c r="F999" s="11" t="n">
        <x:f>IF($A999="","",Assumptions!$B$15)</x:f>
        <x:v>0.35</x:v>
      </x:c>
      <x:c r="G999" s="11" t="n">
        <x:f>IF($A999="","",MAX(INDEX(Assumptions!$H$5:$H$12,MATCH($B999,Assumptions!$D$5:$D$12,0)),MIN(INDEX(Assumptions!$I$5:$I$12,MATCH($B999,Assumptions!$D$5:$D$12,0)),($C999+$D999*SQRT(-2*LN(RAND()))*COS(2*PI()*RAND()))*$E999*$J999*$K999)))</x:f>
        <x:v>1227.357355697953</x:v>
      </x:c>
      <x:c r="H999" s="11" t="n">
        <x:f>IF($A999="","",$G999*$F999+$C999*(1-$F999))</x:f>
        <x:v>1248.5750744942834</x:v>
      </x:c>
      <x:c r="I999" s="11" t="n">
        <x:f>IF($A999="","",AVERAGE($H999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1270.6267209615592</x:v>
      </x:c>
      <x:c r="J999" s="12" t="n">
        <x:f>IF($A999="","",1+SUMIFS(Assumptions!$S$5:$S$10,Assumptions!$P$5:$P$10,$B999,Assumptions!$Q$5:$Q$10,"&lt;="&amp;$A999,Assumptions!$R$5:$R$10,"&gt;="&amp;$A999))</x:f>
        <x:v>1</x:v>
      </x:c>
      <x:c r="K999" s="12" t="n">
        <x:f>IF($A999="","",1+((($A999-Assumptions!$B$5)/30)*INDEX(Assumptions!$J$5:$J$12,MATCH($B999,Assumptions!$D$5:$D$12,0))))</x:f>
        <x:v>1.0199</x:v>
      </x:c>
      <x:c r="L999" t="str">
        <x:f>IF($A999="","",IFERROR(INDEX(Assumptions!$O$5:$O$10,MATCH(1,(Assumptions!$P$5:$P$10=$B999)*(Assumptions!$Q$5:$Q$10&lt;=$A999)*(Assumptions!$R$5:$R$10&gt;=$A999),0)),""))</x:f>
      </x:c>
      <x:c r="M999" t="n">
        <x:f>--($A999&lt;&gt;"")</x:f>
        <x:v>1</x:v>
      </x:c>
    </x:row>
    <x:row r="1000">
      <x:c r="A1000" s="10" t="n">
        <x:f>IF(Assumptions!$B$5+INT((ROW()-2)/Assumptions!$B$7)&gt;Assumptions!$B$6,"",Assumptions!$B$5+INT((ROW()-2)/Assumptions!$B$7))</x:f>
        <x:v>46222</x:v>
      </x:c>
      <x:c r="B1000" t="str">
        <x:f>IF($A1000="","",INDEX(Assumptions!$D$5:$D$12,MOD(ROW()-2,Assumptions!$B$7)+1))</x:f>
        <x:v>Hadley's Hope</x:v>
      </x:c>
      <x:c r="C1000" s="11" t="n">
        <x:f>IF($A1000="","",INDEX(Assumptions!$F$5:$F$12,MATCH($B1000,Assumptions!$D$5:$D$12,0)))</x:f>
        <x:v>845</x:v>
      </x:c>
      <x:c r="D1000" s="11" t="n">
        <x:f>IF($A1000="","",INDEX(Assumptions!$G$5:$G$12,MATCH($B1000,Assumptions!$D$5:$D$12,0)))</x:f>
        <x:v>80</x:v>
      </x:c>
      <x:c r="E1000" s="11" t="n">
        <x:f>IF($A1000="","",INDEX(Assumptions!$M$5:$M$11,WEEKDAY($A1000,2)))</x:f>
        <x:v>0.87</x:v>
      </x:c>
      <x:c r="F1000" s="11" t="n">
        <x:f>IF($A1000="","",Assumptions!$B$15)</x:f>
        <x:v>0.35</x:v>
      </x:c>
      <x:c r="G1000" s="11" t="n">
        <x:f>IF($A1000="","",MAX(INDEX(Assumptions!$H$5:$H$12,MATCH($B1000,Assumptions!$D$5:$D$12,0)),MIN(INDEX(Assumptions!$I$5:$I$12,MATCH($B1000,Assumptions!$D$5:$D$12,0)),($C1000+$D1000*SQRT(-2*LN(RAND()))*COS(2*PI()*RAND()))*$E1000*$J1000*$K1000)))</x:f>
        <x:v>759.7097129511345</x:v>
      </x:c>
      <x:c r="H1000" s="11" t="n">
        <x:f>IF($A1000="","",$G1000*$F1000+$C1000*(1-$F1000))</x:f>
        <x:v>815.1483995328971</x:v>
      </x:c>
      <x:c r="I1000" s="11" t="n">
        <x:f>IF($A1000="","",AVERAGE($H1000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851.2121932735778</x:v>
      </x:c>
      <x:c r="J1000" s="12" t="n">
        <x:f>IF($A1000="","",1+SUMIFS(Assumptions!$S$5:$S$10,Assumptions!$P$5:$P$10,$B1000,Assumptions!$Q$5:$Q$10,"&lt;="&amp;$A1000,Assumptions!$R$5:$R$10,"&gt;="&amp;$A1000))</x:f>
        <x:v>1</x:v>
      </x:c>
      <x:c r="K1000" s="12" t="n">
        <x:f>IF($A1000="","",1+((($A1000-Assumptions!$B$5)/30)*INDEX(Assumptions!$J$5:$J$12,MATCH($B1000,Assumptions!$D$5:$D$12,0))))</x:f>
        <x:v>1.0066333333333333</x:v>
      </x:c>
      <x:c r="L1000" t="str">
        <x:f>IF($A1000="","",IFERROR(INDEX(Assumptions!$O$5:$O$10,MATCH(1,(Assumptions!$P$5:$P$10=$B1000)*(Assumptions!$Q$5:$Q$10&lt;=$A1000)*(Assumptions!$R$5:$R$10&gt;=$A1000),0)),""))</x:f>
      </x:c>
      <x:c r="M1000" t="n">
        <x:f>--($A1000&lt;&gt;"")</x:f>
        <x:v>1</x:v>
      </x:c>
    </x:row>
    <x:row r="1001">
      <x:c r="A1001" s="10" t="n">
        <x:f>IF(Assumptions!$B$5+INT((ROW()-2)/Assumptions!$B$7)&gt;Assumptions!$B$6,"",Assumptions!$B$5+INT((ROW()-2)/Assumptions!$B$7))</x:f>
        <x:v>46222</x:v>
      </x:c>
      <x:c r="B1001" t="str">
        <x:f>IF($A1001="","",INDEX(Assumptions!$D$5:$D$12,MOD(ROW()-2,Assumptions!$B$7)+1))</x:f>
        <x:v>Yutani Ridge</x:v>
      </x:c>
      <x:c r="C1001" s="11" t="n">
        <x:f>IF($A1001="","",INDEX(Assumptions!$F$5:$F$12,MATCH($B1001,Assumptions!$D$5:$D$12,0)))</x:f>
        <x:v>1050</x:v>
      </x:c>
      <x:c r="D1001" s="11" t="n">
        <x:f>IF($A1001="","",INDEX(Assumptions!$G$5:$G$12,MATCH($B1001,Assumptions!$D$5:$D$12,0)))</x:f>
        <x:v>125</x:v>
      </x:c>
      <x:c r="E1001" s="11" t="n">
        <x:f>IF($A1001="","",INDEX(Assumptions!$M$5:$M$11,WEEKDAY($A1001,2)))</x:f>
        <x:v>0.87</x:v>
      </x:c>
      <x:c r="F1001" s="11" t="n">
        <x:f>IF($A1001="","",Assumptions!$B$15)</x:f>
        <x:v>0.35</x:v>
      </x:c>
      <x:c r="G1001" s="11" t="n">
        <x:f>IF($A1001="","",MAX(INDEX(Assumptions!$H$5:$H$12,MATCH($B1001,Assumptions!$D$5:$D$12,0)),MIN(INDEX(Assumptions!$I$5:$I$12,MATCH($B1001,Assumptions!$D$5:$D$12,0)),($C1001+$D1001*SQRT(-2*LN(RAND()))*COS(2*PI()*RAND()))*$E1001*$J1001*$K1001)))</x:f>
        <x:v>1075.2198570269973</x:v>
      </x:c>
      <x:c r="H1001" s="11" t="n">
        <x:f>IF($A1001="","",$G1001*$F1001+$C1001*(1-$F1001))</x:f>
        <x:v>1058.826949959449</x:v>
      </x:c>
      <x:c r="I1001" s="11" t="n">
        <x:f>IF($A1001="","",AVERAGE($H1001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1045.6692901903002</x:v>
      </x:c>
      <x:c r="J1001" s="12" t="n">
        <x:f>IF($A1001="","",1+SUMIFS(Assumptions!$S$5:$S$10,Assumptions!$P$5:$P$10,$B1001,Assumptions!$Q$5:$Q$10,"&lt;="&amp;$A1001,Assumptions!$R$5:$R$10,"&gt;="&amp;$A1001))</x:f>
        <x:v>1</x:v>
      </x:c>
      <x:c r="K1001" s="12" t="n">
        <x:f>IF($A1001="","",1+((($A1001-Assumptions!$B$5)/30)*INDEX(Assumptions!$J$5:$J$12,MATCH($B1001,Assumptions!$D$5:$D$12,0))))</x:f>
        <x:v>1.0165833333333334</x:v>
      </x:c>
      <x:c r="L1001" t="str">
        <x:f>IF($A1001="","",IFERROR(INDEX(Assumptions!$O$5:$O$10,MATCH(1,(Assumptions!$P$5:$P$10=$B1001)*(Assumptions!$Q$5:$Q$10&lt;=$A1001)*(Assumptions!$R$5:$R$10&gt;=$A1001),0)),""))</x:f>
      </x:c>
      <x:c r="M1001" t="n">
        <x:f>--($A1001&lt;&gt;"")</x:f>
        <x:v>1</x:v>
      </x:c>
    </x:row>
    <x:row r="1002">
      <x:c r="A1002" s="10" t="n">
        <x:f>IF(Assumptions!$B$5+INT((ROW()-2)/Assumptions!$B$7)&gt;Assumptions!$B$6,"",Assumptions!$B$5+INT((ROW()-2)/Assumptions!$B$7))</x:f>
        <x:v>46223</x:v>
      </x:c>
      <x:c r="B1002" t="str">
        <x:f>IF($A1002="","",INDEX(Assumptions!$D$5:$D$12,MOD(ROW()-2,Assumptions!$B$7)+1))</x:f>
        <x:v>Acheron Prime</x:v>
      </x:c>
      <x:c r="C1002" s="11" t="n">
        <x:f>IF($A1002="","",INDEX(Assumptions!$F$5:$F$12,MATCH($B1002,Assumptions!$D$5:$D$12,0)))</x:f>
        <x:v>1120</x:v>
      </x:c>
      <x:c r="D1002" s="11" t="n">
        <x:f>IF($A1002="","",INDEX(Assumptions!$G$5:$G$12,MATCH($B1002,Assumptions!$D$5:$D$12,0)))</x:f>
        <x:v>115</x:v>
      </x:c>
      <x:c r="E1002" s="11" t="n">
        <x:f>IF($A1002="","",INDEX(Assumptions!$M$5:$M$11,WEEKDAY($A1002,2)))</x:f>
        <x:v>1.03</x:v>
      </x:c>
      <x:c r="F1002" s="11" t="n">
        <x:f>IF($A1002="","",Assumptions!$B$15)</x:f>
        <x:v>0.35</x:v>
      </x:c>
      <x:c r="G1002" s="11" t="n">
        <x:f>IF($A1002="","",MAX(INDEX(Assumptions!$H$5:$H$12,MATCH($B1002,Assumptions!$D$5:$D$12,0)),MIN(INDEX(Assumptions!$I$5:$I$12,MATCH($B1002,Assumptions!$D$5:$D$12,0)),($C1002+$D1002*SQRT(-2*LN(RAND()))*COS(2*PI()*RAND()))*$E1002*$J1002*$K1002)))</x:f>
        <x:v>933.1822415800236</x:v>
      </x:c>
      <x:c r="H1002" s="11" t="n">
        <x:f>IF($A1002="","",$G1002*$F1002+$C1002*(1-$F1002))</x:f>
        <x:v>1054.6137845530084</x:v>
      </x:c>
      <x:c r="I1002" s="11" t="n">
        <x:f>IF($A1002="","",AVERAGE($H1002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1105.4888286198288</x:v>
      </x:c>
      <x:c r="J1002" s="12" t="n">
        <x:f>IF($A1002="","",1+SUMIFS(Assumptions!$S$5:$S$10,Assumptions!$P$5:$P$10,$B1002,Assumptions!$Q$5:$Q$10,"&lt;="&amp;$A1002,Assumptions!$R$5:$R$10,"&gt;="&amp;$A1002))</x:f>
        <x:v>1</x:v>
      </x:c>
      <x:c r="K1002" s="12" t="n">
        <x:f>IF($A1002="","",1+((($A1002-Assumptions!$B$5)/30)*INDEX(Assumptions!$J$5:$J$12,MATCH($B1002,Assumptions!$D$5:$D$12,0))))</x:f>
        <x:v>1.0133333333333334</x:v>
      </x:c>
      <x:c r="L1002" t="str">
        <x:f>IF($A1002="","",IFERROR(INDEX(Assumptions!$O$5:$O$10,MATCH(1,(Assumptions!$P$5:$P$10=$B1002)*(Assumptions!$Q$5:$Q$10&lt;=$A1002)*(Assumptions!$R$5:$R$10&gt;=$A1002),0)),""))</x:f>
      </x:c>
      <x:c r="M1002" t="n">
        <x:f>--($A1002&lt;&gt;"")</x:f>
        <x:v>1</x:v>
      </x:c>
    </x:row>
    <x:row r="1003">
      <x:c r="A1003" s="10" t="n">
        <x:f>IF(Assumptions!$B$5+INT((ROW()-2)/Assumptions!$B$7)&gt;Assumptions!$B$6,"",Assumptions!$B$5+INT((ROW()-2)/Assumptions!$B$7))</x:f>
        <x:v>46223</x:v>
      </x:c>
      <x:c r="B1003" t="str">
        <x:f>IF($A1003="","",INDEX(Assumptions!$D$5:$D$12,MOD(ROW()-2,Assumptions!$B$7)+1))</x:f>
        <x:v>LV-426 North</x:v>
      </x:c>
      <x:c r="C1003" s="11" t="n">
        <x:f>IF($A1003="","",INDEX(Assumptions!$F$5:$F$12,MATCH($B1003,Assumptions!$D$5:$D$12,0)))</x:f>
        <x:v>930</x:v>
      </x:c>
      <x:c r="D1003" s="11" t="n">
        <x:f>IF($A1003="","",INDEX(Assumptions!$G$5:$G$12,MATCH($B1003,Assumptions!$D$5:$D$12,0)))</x:f>
        <x:v>95</x:v>
      </x:c>
      <x:c r="E1003" s="11" t="n">
        <x:f>IF($A1003="","",INDEX(Assumptions!$M$5:$M$11,WEEKDAY($A1003,2)))</x:f>
        <x:v>1.03</x:v>
      </x:c>
      <x:c r="F1003" s="11" t="n">
        <x:f>IF($A1003="","",Assumptions!$B$15)</x:f>
        <x:v>0.35</x:v>
      </x:c>
      <x:c r="G1003" s="11" t="n">
        <x:f>IF($A1003="","",MAX(INDEX(Assumptions!$H$5:$H$12,MATCH($B1003,Assumptions!$D$5:$D$12,0)),MIN(INDEX(Assumptions!$I$5:$I$12,MATCH($B1003,Assumptions!$D$5:$D$12,0)),($C1003+$D1003*SQRT(-2*LN(RAND()))*COS(2*PI()*RAND()))*$E1003*$J1003*$K1003)))</x:f>
        <x:v>1048.2793660906395</x:v>
      </x:c>
      <x:c r="H1003" s="11" t="n">
        <x:f>IF($A1003="","",$G1003*$F1003+$C1003*(1-$F1003))</x:f>
        <x:v>971.3977781317238</x:v>
      </x:c>
      <x:c r="I1003" s="11" t="n">
        <x:f>IF($A1003="","",AVERAGE($H1003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920.9231878545803</x:v>
      </x:c>
      <x:c r="J1003" s="12" t="n">
        <x:f>IF($A1003="","",1+SUMIFS(Assumptions!$S$5:$S$10,Assumptions!$P$5:$P$10,$B1003,Assumptions!$Q$5:$Q$10,"&lt;="&amp;$A1003,Assumptions!$R$5:$R$10,"&gt;="&amp;$A1003))</x:f>
        <x:v>1</x:v>
      </x:c>
      <x:c r="K1003" s="12" t="n">
        <x:f>IF($A1003="","",1+((($A1003-Assumptions!$B$5)/30)*INDEX(Assumptions!$J$5:$J$12,MATCH($B1003,Assumptions!$D$5:$D$12,0))))</x:f>
        <x:v>0.9933333333333333</x:v>
      </x:c>
      <x:c r="L1003" t="str">
        <x:f>IF($A1003="","",IFERROR(INDEX(Assumptions!$O$5:$O$10,MATCH(1,(Assumptions!$P$5:$P$10=$B1003)*(Assumptions!$Q$5:$Q$10&lt;=$A1003)*(Assumptions!$R$5:$R$10&gt;=$A1003),0)),""))</x:f>
      </x:c>
      <x:c r="M1003" t="n">
        <x:f>--($A1003&lt;&gt;"")</x:f>
        <x:v>1</x:v>
      </x:c>
    </x:row>
    <x:row r="1004">
      <x:c r="A1004" s="10" t="n">
        <x:f>IF(Assumptions!$B$5+INT((ROW()-2)/Assumptions!$B$7)&gt;Assumptions!$B$6,"",Assumptions!$B$5+INT((ROW()-2)/Assumptions!$B$7))</x:f>
        <x:v>46223</x:v>
      </x:c>
      <x:c r="B1004" t="str">
        <x:f>IF($A1004="","",INDEX(Assumptions!$D$5:$D$12,MOD(ROW()-2,Assumptions!$B$7)+1))</x:f>
        <x:v>Nostromo Deep</x:v>
      </x:c>
      <x:c r="C1004" s="11" t="n">
        <x:f>IF($A1004="","",INDEX(Assumptions!$F$5:$F$12,MATCH($B1004,Assumptions!$D$5:$D$12,0)))</x:f>
        <x:v>1260</x:v>
      </x:c>
      <x:c r="D1004" s="11" t="n">
        <x:f>IF($A1004="","",INDEX(Assumptions!$G$5:$G$12,MATCH($B1004,Assumptions!$D$5:$D$12,0)))</x:f>
        <x:v>145</x:v>
      </x:c>
      <x:c r="E1004" s="11" t="n">
        <x:f>IF($A1004="","",INDEX(Assumptions!$M$5:$M$11,WEEKDAY($A1004,2)))</x:f>
        <x:v>1.03</x:v>
      </x:c>
      <x:c r="F1004" s="11" t="n">
        <x:f>IF($A1004="","",Assumptions!$B$15)</x:f>
        <x:v>0.35</x:v>
      </x:c>
      <x:c r="G1004" s="11" t="n">
        <x:f>IF($A1004="","",MAX(INDEX(Assumptions!$H$5:$H$12,MATCH($B1004,Assumptions!$D$5:$D$12,0)),MIN(INDEX(Assumptions!$I$5:$I$12,MATCH($B1004,Assumptions!$D$5:$D$12,0)),($C1004+$D1004*SQRT(-2*LN(RAND()))*COS(2*PI()*RAND()))*$E1004*$J1004*$K1004)))</x:f>
        <x:v>1322.8394638866166</x:v>
      </x:c>
      <x:c r="H1004" s="11" t="n">
        <x:f>IF($A1004="","",$G1004*$F1004+$C1004*(1-$F1004))</x:f>
        <x:v>1281.9938123603158</x:v>
      </x:c>
      <x:c r="I1004" s="11" t="n">
        <x:f>IF($A1004="","",AVERAGE($H1004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1267.421485325165</x:v>
      </x:c>
      <x:c r="J1004" s="12" t="n">
        <x:f>IF($A1004="","",1+SUMIFS(Assumptions!$S$5:$S$10,Assumptions!$P$5:$P$10,$B1004,Assumptions!$Q$5:$Q$10,"&lt;="&amp;$A1004,Assumptions!$R$5:$R$10,"&gt;="&amp;$A1004))</x:f>
        <x:v>1</x:v>
      </x:c>
      <x:c r="K1004" s="12" t="n">
        <x:f>IF($A1004="","",1+((($A1004-Assumptions!$B$5)/30)*INDEX(Assumptions!$J$5:$J$12,MATCH($B1004,Assumptions!$D$5:$D$12,0))))</x:f>
        <x:v>1.02</x:v>
      </x:c>
      <x:c r="L1004" t="str">
        <x:f>IF($A1004="","",IFERROR(INDEX(Assumptions!$O$5:$O$10,MATCH(1,(Assumptions!$P$5:$P$10=$B1004)*(Assumptions!$Q$5:$Q$10&lt;=$A1004)*(Assumptions!$R$5:$R$10&gt;=$A1004),0)),""))</x:f>
      </x:c>
      <x:c r="M1004" t="n">
        <x:f>--($A1004&lt;&gt;"")</x:f>
        <x:v>1</x:v>
      </x:c>
    </x:row>
    <x:row r="1005">
      <x:c r="A1005" s="10" t="n">
        <x:f>IF(Assumptions!$B$5+INT((ROW()-2)/Assumptions!$B$7)&gt;Assumptions!$B$6,"",Assumptions!$B$5+INT((ROW()-2)/Assumptions!$B$7))</x:f>
        <x:v>46223</x:v>
      </x:c>
      <x:c r="B1005" t="str">
        <x:f>IF($A1005="","",INDEX(Assumptions!$D$5:$D$12,MOD(ROW()-2,Assumptions!$B$7)+1))</x:f>
        <x:v>Hadley's Hope</x:v>
      </x:c>
      <x:c r="C1005" s="11" t="n">
        <x:f>IF($A1005="","",INDEX(Assumptions!$F$5:$F$12,MATCH($B1005,Assumptions!$D$5:$D$12,0)))</x:f>
        <x:v>845</x:v>
      </x:c>
      <x:c r="D1005" s="11" t="n">
        <x:f>IF($A1005="","",INDEX(Assumptions!$G$5:$G$12,MATCH($B1005,Assumptions!$D$5:$D$12,0)))</x:f>
        <x:v>80</x:v>
      </x:c>
      <x:c r="E1005" s="11" t="n">
        <x:f>IF($A1005="","",INDEX(Assumptions!$M$5:$M$11,WEEKDAY($A1005,2)))</x:f>
        <x:v>1.03</x:v>
      </x:c>
      <x:c r="F1005" s="11" t="n">
        <x:f>IF($A1005="","",Assumptions!$B$15)</x:f>
        <x:v>0.35</x:v>
      </x:c>
      <x:c r="G1005" s="11" t="n">
        <x:f>IF($A1005="","",MAX(INDEX(Assumptions!$H$5:$H$12,MATCH($B1005,Assumptions!$D$5:$D$12,0)),MIN(INDEX(Assumptions!$I$5:$I$12,MATCH($B1005,Assumptions!$D$5:$D$12,0)),($C1005+$D1005*SQRT(-2*LN(RAND()))*COS(2*PI()*RAND()))*$E1005*$J1005*$K1005)))</x:f>
        <x:v>1042.8843953005423</x:v>
      </x:c>
      <x:c r="H1005" s="11" t="n">
        <x:f>IF($A1005="","",$G1005*$F1005+$C1005*(1-$F1005))</x:f>
        <x:v>914.2595383551898</x:v>
      </x:c>
      <x:c r="I1005" s="11" t="n">
        <x:f>IF($A1005="","",AVERAGE($H1005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856.1309296330865</x:v>
      </x:c>
      <x:c r="J1005" s="12" t="n">
        <x:f>IF($A1005="","",1+SUMIFS(Assumptions!$S$5:$S$10,Assumptions!$P$5:$P$10,$B1005,Assumptions!$Q$5:$Q$10,"&lt;="&amp;$A1005,Assumptions!$R$5:$R$10,"&gt;="&amp;$A1005))</x:f>
        <x:v>1</x:v>
      </x:c>
      <x:c r="K1005" s="12" t="n">
        <x:f>IF($A1005="","",1+((($A1005-Assumptions!$B$5)/30)*INDEX(Assumptions!$J$5:$J$12,MATCH($B1005,Assumptions!$D$5:$D$12,0))))</x:f>
        <x:v>1.0066666666666666</x:v>
      </x:c>
      <x:c r="L1005" t="str">
        <x:f>IF($A1005="","",IFERROR(INDEX(Assumptions!$O$5:$O$10,MATCH(1,(Assumptions!$P$5:$P$10=$B1005)*(Assumptions!$Q$5:$Q$10&lt;=$A1005)*(Assumptions!$R$5:$R$10&gt;=$A1005),0)),""))</x:f>
      </x:c>
      <x:c r="M1005" t="n">
        <x:f>--($A1005&lt;&gt;"")</x:f>
        <x:v>1</x:v>
      </x:c>
    </x:row>
    <x:row r="1006">
      <x:c r="A1006" s="10" t="n">
        <x:f>IF(Assumptions!$B$5+INT((ROW()-2)/Assumptions!$B$7)&gt;Assumptions!$B$6,"",Assumptions!$B$5+INT((ROW()-2)/Assumptions!$B$7))</x:f>
        <x:v>46223</x:v>
      </x:c>
      <x:c r="B1006" t="str">
        <x:f>IF($A1006="","",INDEX(Assumptions!$D$5:$D$12,MOD(ROW()-2,Assumptions!$B$7)+1))</x:f>
        <x:v>Yutani Ridge</x:v>
      </x:c>
      <x:c r="C1006" s="11" t="n">
        <x:f>IF($A1006="","",INDEX(Assumptions!$F$5:$F$12,MATCH($B1006,Assumptions!$D$5:$D$12,0)))</x:f>
        <x:v>1050</x:v>
      </x:c>
      <x:c r="D1006" s="11" t="n">
        <x:f>IF($A1006="","",INDEX(Assumptions!$G$5:$G$12,MATCH($B1006,Assumptions!$D$5:$D$12,0)))</x:f>
        <x:v>125</x:v>
      </x:c>
      <x:c r="E1006" s="11" t="n">
        <x:f>IF($A1006="","",INDEX(Assumptions!$M$5:$M$11,WEEKDAY($A1006,2)))</x:f>
        <x:v>1.03</x:v>
      </x:c>
      <x:c r="F1006" s="11" t="n">
        <x:f>IF($A1006="","",Assumptions!$B$15)</x:f>
        <x:v>0.35</x:v>
      </x:c>
      <x:c r="G1006" s="11" t="n">
        <x:f>IF($A1006="","",MAX(INDEX(Assumptions!$H$5:$H$12,MATCH($B1006,Assumptions!$D$5:$D$12,0)),MIN(INDEX(Assumptions!$I$5:$I$12,MATCH($B1006,Assumptions!$D$5:$D$12,0)),($C1006+$D1006*SQRT(-2*LN(RAND()))*COS(2*PI()*RAND()))*$E1006*$J1006*$K1006)))</x:f>
        <x:v>1480</x:v>
      </x:c>
      <x:c r="H1006" s="11" t="n">
        <x:f>IF($A1006="","",$G1006*$F1006+$C1006*(1-$F1006))</x:f>
        <x:v>1200.5</x:v>
      </x:c>
      <x:c r="I1006" s="11" t="n">
        <x:f>IF($A1006="","",AVERAGE($H1006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1071.2508354176327</x:v>
      </x:c>
      <x:c r="J1006" s="12" t="n">
        <x:f>IF($A1006="","",1+SUMIFS(Assumptions!$S$5:$S$10,Assumptions!$P$5:$P$10,$B1006,Assumptions!$Q$5:$Q$10,"&lt;="&amp;$A1006,Assumptions!$R$5:$R$10,"&gt;="&amp;$A1006))</x:f>
        <x:v>1</x:v>
      </x:c>
      <x:c r="K1006" s="12" t="n">
        <x:f>IF($A1006="","",1+((($A1006-Assumptions!$B$5)/30)*INDEX(Assumptions!$J$5:$J$12,MATCH($B1006,Assumptions!$D$5:$D$12,0))))</x:f>
        <x:v>1.0166666666666666</x:v>
      </x:c>
      <x:c r="L1006" t="str">
        <x:f>IF($A1006="","",IFERROR(INDEX(Assumptions!$O$5:$O$10,MATCH(1,(Assumptions!$P$5:$P$10=$B1006)*(Assumptions!$Q$5:$Q$10&lt;=$A1006)*(Assumptions!$R$5:$R$10&gt;=$A1006),0)),""))</x:f>
      </x:c>
      <x:c r="M1006" t="n">
        <x:f>--($A1006&lt;&gt;"")</x:f>
        <x:v>1</x:v>
      </x:c>
    </x:row>
    <x:row r="1007">
      <x:c r="A1007" s="10" t="n">
        <x:f>IF(Assumptions!$B$5+INT((ROW()-2)/Assumptions!$B$7)&gt;Assumptions!$B$6,"",Assumptions!$B$5+INT((ROW()-2)/Assumptions!$B$7))</x:f>
        <x:v>46224</x:v>
      </x:c>
      <x:c r="B1007" t="str">
        <x:f>IF($A1007="","",INDEX(Assumptions!$D$5:$D$12,MOD(ROW()-2,Assumptions!$B$7)+1))</x:f>
        <x:v>Acheron Prime</x:v>
      </x:c>
      <x:c r="C1007" s="11" t="n">
        <x:f>IF($A1007="","",INDEX(Assumptions!$F$5:$F$12,MATCH($B1007,Assumptions!$D$5:$D$12,0)))</x:f>
        <x:v>1120</x:v>
      </x:c>
      <x:c r="D1007" s="11" t="n">
        <x:f>IF($A1007="","",INDEX(Assumptions!$G$5:$G$12,MATCH($B1007,Assumptions!$D$5:$D$12,0)))</x:f>
        <x:v>115</x:v>
      </x:c>
      <x:c r="E1007" s="11" t="n">
        <x:f>IF($A1007="","",INDEX(Assumptions!$M$5:$M$11,WEEKDAY($A1007,2)))</x:f>
        <x:v>1.02</x:v>
      </x:c>
      <x:c r="F1007" s="11" t="n">
        <x:f>IF($A1007="","",Assumptions!$B$15)</x:f>
        <x:v>0.35</x:v>
      </x:c>
      <x:c r="G1007" s="11" t="n">
        <x:f>IF($A1007="","",MAX(INDEX(Assumptions!$H$5:$H$12,MATCH($B1007,Assumptions!$D$5:$D$12,0)),MIN(INDEX(Assumptions!$I$5:$I$12,MATCH($B1007,Assumptions!$D$5:$D$12,0)),($C1007+$D1007*SQRT(-2*LN(RAND()))*COS(2*PI()*RAND()))*$E1007*$J1007*$K1007)))</x:f>
        <x:v>1007.696905297956</x:v>
      </x:c>
      <x:c r="H1007" s="11" t="n">
        <x:f>IF($A1007="","",$G1007*$F1007+$C1007*(1-$F1007))</x:f>
        <x:v>1080.6939168542847</x:v>
      </x:c>
      <x:c r="I1007" s="11" t="n">
        <x:f>IF($A1007="","",AVERAGE($H1007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1095.3749197481286</x:v>
      </x:c>
      <x:c r="J1007" s="12" t="n">
        <x:f>IF($A1007="","",1+SUMIFS(Assumptions!$S$5:$S$10,Assumptions!$P$5:$P$10,$B1007,Assumptions!$Q$5:$Q$10,"&lt;="&amp;$A1007,Assumptions!$R$5:$R$10,"&gt;="&amp;$A1007))</x:f>
        <x:v>1</x:v>
      </x:c>
      <x:c r="K1007" s="12" t="n">
        <x:f>IF($A1007="","",1+((($A1007-Assumptions!$B$5)/30)*INDEX(Assumptions!$J$5:$J$12,MATCH($B1007,Assumptions!$D$5:$D$12,0))))</x:f>
        <x:v>1.0134</x:v>
      </x:c>
      <x:c r="L1007" t="str">
        <x:f>IF($A1007="","",IFERROR(INDEX(Assumptions!$O$5:$O$10,MATCH(1,(Assumptions!$P$5:$P$10=$B1007)*(Assumptions!$Q$5:$Q$10&lt;=$A1007)*(Assumptions!$R$5:$R$10&gt;=$A1007),0)),""))</x:f>
      </x:c>
      <x:c r="M1007" t="n">
        <x:f>--($A1007&lt;&gt;"")</x:f>
        <x:v>1</x:v>
      </x:c>
    </x:row>
    <x:row r="1008">
      <x:c r="A1008" s="10" t="n">
        <x:f>IF(Assumptions!$B$5+INT((ROW()-2)/Assumptions!$B$7)&gt;Assumptions!$B$6,"",Assumptions!$B$5+INT((ROW()-2)/Assumptions!$B$7))</x:f>
        <x:v>46224</x:v>
      </x:c>
      <x:c r="B1008" t="str">
        <x:f>IF($A1008="","",INDEX(Assumptions!$D$5:$D$12,MOD(ROW()-2,Assumptions!$B$7)+1))</x:f>
        <x:v>LV-426 North</x:v>
      </x:c>
      <x:c r="C1008" s="11" t="n">
        <x:f>IF($A1008="","",INDEX(Assumptions!$F$5:$F$12,MATCH($B1008,Assumptions!$D$5:$D$12,0)))</x:f>
        <x:v>930</x:v>
      </x:c>
      <x:c r="D1008" s="11" t="n">
        <x:f>IF($A1008="","",INDEX(Assumptions!$G$5:$G$12,MATCH($B1008,Assumptions!$D$5:$D$12,0)))</x:f>
        <x:v>95</x:v>
      </x:c>
      <x:c r="E1008" s="11" t="n">
        <x:f>IF($A1008="","",INDEX(Assumptions!$M$5:$M$11,WEEKDAY($A1008,2)))</x:f>
        <x:v>1.02</x:v>
      </x:c>
      <x:c r="F1008" s="11" t="n">
        <x:f>IF($A1008="","",Assumptions!$B$15)</x:f>
        <x:v>0.35</x:v>
      </x:c>
      <x:c r="G1008" s="11" t="n">
        <x:f>IF($A1008="","",MAX(INDEX(Assumptions!$H$5:$H$12,MATCH($B1008,Assumptions!$D$5:$D$12,0)),MIN(INDEX(Assumptions!$I$5:$I$12,MATCH($B1008,Assumptions!$D$5:$D$12,0)),($C1008+$D1008*SQRT(-2*LN(RAND()))*COS(2*PI()*RAND()))*$E1008*$J1008*$K1008)))</x:f>
        <x:v>1118.607844461946</x:v>
      </x:c>
      <x:c r="H1008" s="11" t="n">
        <x:f>IF($A1008="","",$G1008*$F1008+$C1008*(1-$F1008))</x:f>
        <x:v>996.012745561681</x:v>
      </x:c>
      <x:c r="I1008" s="11" t="n">
        <x:f>IF($A1008="","",AVERAGE($H1008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932.6339240464838</x:v>
      </x:c>
      <x:c r="J1008" s="12" t="n">
        <x:f>IF($A1008="","",1+SUMIFS(Assumptions!$S$5:$S$10,Assumptions!$P$5:$P$10,$B1008,Assumptions!$Q$5:$Q$10,"&lt;="&amp;$A1008,Assumptions!$R$5:$R$10,"&gt;="&amp;$A1008))</x:f>
        <x:v>1</x:v>
      </x:c>
      <x:c r="K1008" s="12" t="n">
        <x:f>IF($A1008="","",1+((($A1008-Assumptions!$B$5)/30)*INDEX(Assumptions!$J$5:$J$12,MATCH($B1008,Assumptions!$D$5:$D$12,0))))</x:f>
        <x:v>0.9933</x:v>
      </x:c>
      <x:c r="L1008" t="str">
        <x:f>IF($A1008="","",IFERROR(INDEX(Assumptions!$O$5:$O$10,MATCH(1,(Assumptions!$P$5:$P$10=$B1008)*(Assumptions!$Q$5:$Q$10&lt;=$A1008)*(Assumptions!$R$5:$R$10&gt;=$A1008),0)),""))</x:f>
      </x:c>
      <x:c r="M1008" t="n">
        <x:f>--($A1008&lt;&gt;"")</x:f>
        <x:v>1</x:v>
      </x:c>
    </x:row>
    <x:row r="1009">
      <x:c r="A1009" s="10" t="n">
        <x:f>IF(Assumptions!$B$5+INT((ROW()-2)/Assumptions!$B$7)&gt;Assumptions!$B$6,"",Assumptions!$B$5+INT((ROW()-2)/Assumptions!$B$7))</x:f>
        <x:v>46224</x:v>
      </x:c>
      <x:c r="B1009" t="str">
        <x:f>IF($A1009="","",INDEX(Assumptions!$D$5:$D$12,MOD(ROW()-2,Assumptions!$B$7)+1))</x:f>
        <x:v>Nostromo Deep</x:v>
      </x:c>
      <x:c r="C1009" s="11" t="n">
        <x:f>IF($A1009="","",INDEX(Assumptions!$F$5:$F$12,MATCH($B1009,Assumptions!$D$5:$D$12,0)))</x:f>
        <x:v>1260</x:v>
      </x:c>
      <x:c r="D1009" s="11" t="n">
        <x:f>IF($A1009="","",INDEX(Assumptions!$G$5:$G$12,MATCH($B1009,Assumptions!$D$5:$D$12,0)))</x:f>
        <x:v>145</x:v>
      </x:c>
      <x:c r="E1009" s="11" t="n">
        <x:f>IF($A1009="","",INDEX(Assumptions!$M$5:$M$11,WEEKDAY($A1009,2)))</x:f>
        <x:v>1.02</x:v>
      </x:c>
      <x:c r="F1009" s="11" t="n">
        <x:f>IF($A1009="","",Assumptions!$B$15)</x:f>
        <x:v>0.35</x:v>
      </x:c>
      <x:c r="G1009" s="11" t="n">
        <x:f>IF($A1009="","",MAX(INDEX(Assumptions!$H$5:$H$12,MATCH($B1009,Assumptions!$D$5:$D$12,0)),MIN(INDEX(Assumptions!$I$5:$I$12,MATCH($B1009,Assumptions!$D$5:$D$12,0)),($C1009+$D1009*SQRT(-2*LN(RAND()))*COS(2*PI()*RAND()))*$E1009*$J1009*$K1009)))</x:f>
        <x:v>1326.0850118732988</x:v>
      </x:c>
      <x:c r="H1009" s="11" t="n">
        <x:f>IF($A1009="","",$G1009*$F1009+$C1009*(1-$F1009))</x:f>
        <x:v>1283.1297541556546</x:v>
      </x:c>
      <x:c r="I1009" s="11" t="n">
        <x:f>IF($A1009="","",AVERAGE($H1009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1270.0680756264626</x:v>
      </x:c>
      <x:c r="J1009" s="12" t="n">
        <x:f>IF($A1009="","",1+SUMIFS(Assumptions!$S$5:$S$10,Assumptions!$P$5:$P$10,$B1009,Assumptions!$Q$5:$Q$10,"&lt;="&amp;$A1009,Assumptions!$R$5:$R$10,"&gt;="&amp;$A1009))</x:f>
        <x:v>1</x:v>
      </x:c>
      <x:c r="K1009" s="12" t="n">
        <x:f>IF($A1009="","",1+((($A1009-Assumptions!$B$5)/30)*INDEX(Assumptions!$J$5:$J$12,MATCH($B1009,Assumptions!$D$5:$D$12,0))))</x:f>
        <x:v>1.0201</x:v>
      </x:c>
      <x:c r="L1009" t="str">
        <x:f>IF($A1009="","",IFERROR(INDEX(Assumptions!$O$5:$O$10,MATCH(1,(Assumptions!$P$5:$P$10=$B1009)*(Assumptions!$Q$5:$Q$10&lt;=$A1009)*(Assumptions!$R$5:$R$10&gt;=$A1009),0)),""))</x:f>
      </x:c>
      <x:c r="M1009" t="n">
        <x:f>--($A1009&lt;&gt;"")</x:f>
        <x:v>1</x:v>
      </x:c>
    </x:row>
    <x:row r="1010">
      <x:c r="A1010" s="10" t="n">
        <x:f>IF(Assumptions!$B$5+INT((ROW()-2)/Assumptions!$B$7)&gt;Assumptions!$B$6,"",Assumptions!$B$5+INT((ROW()-2)/Assumptions!$B$7))</x:f>
        <x:v>46224</x:v>
      </x:c>
      <x:c r="B1010" t="str">
        <x:f>IF($A1010="","",INDEX(Assumptions!$D$5:$D$12,MOD(ROW()-2,Assumptions!$B$7)+1))</x:f>
        <x:v>Hadley's Hope</x:v>
      </x:c>
      <x:c r="C1010" s="11" t="n">
        <x:f>IF($A1010="","",INDEX(Assumptions!$F$5:$F$12,MATCH($B1010,Assumptions!$D$5:$D$12,0)))</x:f>
        <x:v>845</x:v>
      </x:c>
      <x:c r="D1010" s="11" t="n">
        <x:f>IF($A1010="","",INDEX(Assumptions!$G$5:$G$12,MATCH($B1010,Assumptions!$D$5:$D$12,0)))</x:f>
        <x:v>80</x:v>
      </x:c>
      <x:c r="E1010" s="11" t="n">
        <x:f>IF($A1010="","",INDEX(Assumptions!$M$5:$M$11,WEEKDAY($A1010,2)))</x:f>
        <x:v>1.02</x:v>
      </x:c>
      <x:c r="F1010" s="11" t="n">
        <x:f>IF($A1010="","",Assumptions!$B$15)</x:f>
        <x:v>0.35</x:v>
      </x:c>
      <x:c r="G1010" s="11" t="n">
        <x:f>IF($A1010="","",MAX(INDEX(Assumptions!$H$5:$H$12,MATCH($B1010,Assumptions!$D$5:$D$12,0)),MIN(INDEX(Assumptions!$I$5:$I$12,MATCH($B1010,Assumptions!$D$5:$D$12,0)),($C1010+$D1010*SQRT(-2*LN(RAND()))*COS(2*PI()*RAND()))*$E1010*$J1010*$K1010)))</x:f>
        <x:v>814.1127334304468</x:v>
      </x:c>
      <x:c r="H1010" s="11" t="n">
        <x:f>IF($A1010="","",$G1010*$F1010+$C1010*(1-$F1010))</x:f>
        <x:v>834.1894567006564</x:v>
      </x:c>
      <x:c r="I1010" s="11" t="n">
        <x:f>IF($A1010="","",AVERAGE($H1010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849.7515601514804</x:v>
      </x:c>
      <x:c r="J1010" s="12" t="n">
        <x:f>IF($A1010="","",1+SUMIFS(Assumptions!$S$5:$S$10,Assumptions!$P$5:$P$10,$B1010,Assumptions!$Q$5:$Q$10,"&lt;="&amp;$A1010,Assumptions!$R$5:$R$10,"&gt;="&amp;$A1010))</x:f>
        <x:v>1</x:v>
      </x:c>
      <x:c r="K1010" s="12" t="n">
        <x:f>IF($A1010="","",1+((($A1010-Assumptions!$B$5)/30)*INDEX(Assumptions!$J$5:$J$12,MATCH($B1010,Assumptions!$D$5:$D$12,0))))</x:f>
        <x:v>1.0067</x:v>
      </x:c>
      <x:c r="L1010" t="str">
        <x:f>IF($A1010="","",IFERROR(INDEX(Assumptions!$O$5:$O$10,MATCH(1,(Assumptions!$P$5:$P$10=$B1010)*(Assumptions!$Q$5:$Q$10&lt;=$A1010)*(Assumptions!$R$5:$R$10&gt;=$A1010),0)),""))</x:f>
      </x:c>
      <x:c r="M1010" t="n">
        <x:f>--($A1010&lt;&gt;"")</x:f>
        <x:v>1</x:v>
      </x:c>
    </x:row>
    <x:row r="1011">
      <x:c r="A1011" s="10" t="n">
        <x:f>IF(Assumptions!$B$5+INT((ROW()-2)/Assumptions!$B$7)&gt;Assumptions!$B$6,"",Assumptions!$B$5+INT((ROW()-2)/Assumptions!$B$7))</x:f>
        <x:v>46224</x:v>
      </x:c>
      <x:c r="B1011" t="str">
        <x:f>IF($A1011="","",INDEX(Assumptions!$D$5:$D$12,MOD(ROW()-2,Assumptions!$B$7)+1))</x:f>
        <x:v>Yutani Ridge</x:v>
      </x:c>
      <x:c r="C1011" s="11" t="n">
        <x:f>IF($A1011="","",INDEX(Assumptions!$F$5:$F$12,MATCH($B1011,Assumptions!$D$5:$D$12,0)))</x:f>
        <x:v>1050</x:v>
      </x:c>
      <x:c r="D1011" s="11" t="n">
        <x:f>IF($A1011="","",INDEX(Assumptions!$G$5:$G$12,MATCH($B1011,Assumptions!$D$5:$D$12,0)))</x:f>
        <x:v>125</x:v>
      </x:c>
      <x:c r="E1011" s="11" t="n">
        <x:f>IF($A1011="","",INDEX(Assumptions!$M$5:$M$11,WEEKDAY($A1011,2)))</x:f>
        <x:v>1.02</x:v>
      </x:c>
      <x:c r="F1011" s="11" t="n">
        <x:f>IF($A1011="","",Assumptions!$B$15)</x:f>
        <x:v>0.35</x:v>
      </x:c>
      <x:c r="G1011" s="11" t="n">
        <x:f>IF($A1011="","",MAX(INDEX(Assumptions!$H$5:$H$12,MATCH($B1011,Assumptions!$D$5:$D$12,0)),MIN(INDEX(Assumptions!$I$5:$I$12,MATCH($B1011,Assumptions!$D$5:$D$12,0)),($C1011+$D1011*SQRT(-2*LN(RAND()))*COS(2*PI()*RAND()))*$E1011*$J1011*$K1011)))</x:f>
        <x:v>1078.3948145599973</x:v>
      </x:c>
      <x:c r="H1011" s="11" t="n">
        <x:f>IF($A1011="","",$G1011*$F1011+$C1011*(1-$F1011))</x:f>
        <x:v>1059.938185095999</x:v>
      </x:c>
      <x:c r="I1011" s="11" t="n">
        <x:f>IF($A1011="","",AVERAGE($H1011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1073.3036066966752</x:v>
      </x:c>
      <x:c r="J1011" s="12" t="n">
        <x:f>IF($A1011="","",1+SUMIFS(Assumptions!$S$5:$S$10,Assumptions!$P$5:$P$10,$B1011,Assumptions!$Q$5:$Q$10,"&lt;="&amp;$A1011,Assumptions!$R$5:$R$10,"&gt;="&amp;$A1011))</x:f>
        <x:v>1</x:v>
      </x:c>
      <x:c r="K1011" s="12" t="n">
        <x:f>IF($A1011="","",1+((($A1011-Assumptions!$B$5)/30)*INDEX(Assumptions!$J$5:$J$12,MATCH($B1011,Assumptions!$D$5:$D$12,0))))</x:f>
        <x:v>1.01675</x:v>
      </x:c>
      <x:c r="L1011" t="str">
        <x:f>IF($A1011="","",IFERROR(INDEX(Assumptions!$O$5:$O$10,MATCH(1,(Assumptions!$P$5:$P$10=$B1011)*(Assumptions!$Q$5:$Q$10&lt;=$A1011)*(Assumptions!$R$5:$R$10&gt;=$A1011),0)),""))</x:f>
      </x:c>
      <x:c r="M1011" t="n">
        <x:f>--($A1011&lt;&gt;"")</x:f>
        <x:v>1</x:v>
      </x:c>
    </x:row>
    <x:row r="1012">
      <x:c r="A1012" s="10" t="n">
        <x:f>IF(Assumptions!$B$5+INT((ROW()-2)/Assumptions!$B$7)&gt;Assumptions!$B$6,"",Assumptions!$B$5+INT((ROW()-2)/Assumptions!$B$7))</x:f>
        <x:v>46225</x:v>
      </x:c>
      <x:c r="B1012" t="str">
        <x:f>IF($A1012="","",INDEX(Assumptions!$D$5:$D$12,MOD(ROW()-2,Assumptions!$B$7)+1))</x:f>
        <x:v>Acheron Prime</x:v>
      </x:c>
      <x:c r="C1012" s="11" t="n">
        <x:f>IF($A1012="","",INDEX(Assumptions!$F$5:$F$12,MATCH($B1012,Assumptions!$D$5:$D$12,0)))</x:f>
        <x:v>1120</x:v>
      </x:c>
      <x:c r="D1012" s="11" t="n">
        <x:f>IF($A1012="","",INDEX(Assumptions!$G$5:$G$12,MATCH($B1012,Assumptions!$D$5:$D$12,0)))</x:f>
        <x:v>115</x:v>
      </x:c>
      <x:c r="E1012" s="11" t="n">
        <x:f>IF($A1012="","",INDEX(Assumptions!$M$5:$M$11,WEEKDAY($A1012,2)))</x:f>
        <x:v>1.01</x:v>
      </x:c>
      <x:c r="F1012" s="11" t="n">
        <x:f>IF($A1012="","",Assumptions!$B$15)</x:f>
        <x:v>0.35</x:v>
      </x:c>
      <x:c r="G1012" s="11" t="n">
        <x:f>IF($A1012="","",MAX(INDEX(Assumptions!$H$5:$H$12,MATCH($B1012,Assumptions!$D$5:$D$12,0)),MIN(INDEX(Assumptions!$I$5:$I$12,MATCH($B1012,Assumptions!$D$5:$D$12,0)),($C1012+$D1012*SQRT(-2*LN(RAND()))*COS(2*PI()*RAND()))*$E1012*$J1012*$K1012)))</x:f>
        <x:v>845.4378537994397</x:v>
      </x:c>
      <x:c r="H1012" s="11" t="n">
        <x:f>IF($A1012="","",$G1012*$F1012+$C1012*(1-$F1012))</x:f>
        <x:v>1023.9032488298039</x:v>
      </x:c>
      <x:c r="I1012" s="11" t="n">
        <x:f>IF($A1012="","",AVERAGE($H1012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1088.1387003156026</x:v>
      </x:c>
      <x:c r="J1012" s="12" t="n">
        <x:f>IF($A1012="","",1+SUMIFS(Assumptions!$S$5:$S$10,Assumptions!$P$5:$P$10,$B1012,Assumptions!$Q$5:$Q$10,"&lt;="&amp;$A1012,Assumptions!$R$5:$R$10,"&gt;="&amp;$A1012))</x:f>
        <x:v>1</x:v>
      </x:c>
      <x:c r="K1012" s="12" t="n">
        <x:f>IF($A1012="","",1+((($A1012-Assumptions!$B$5)/30)*INDEX(Assumptions!$J$5:$J$12,MATCH($B1012,Assumptions!$D$5:$D$12,0))))</x:f>
        <x:v>1.0134666666666667</x:v>
      </x:c>
      <x:c r="L1012" t="str">
        <x:f>IF($A1012="","",IFERROR(INDEX(Assumptions!$O$5:$O$10,MATCH(1,(Assumptions!$P$5:$P$10=$B1012)*(Assumptions!$Q$5:$Q$10&lt;=$A1012)*(Assumptions!$R$5:$R$10&gt;=$A1012),0)),""))</x:f>
      </x:c>
      <x:c r="M1012" t="n">
        <x:f>--($A1012&lt;&gt;"")</x:f>
        <x:v>1</x:v>
      </x:c>
    </x:row>
    <x:row r="1013">
      <x:c r="A1013" s="10" t="n">
        <x:f>IF(Assumptions!$B$5+INT((ROW()-2)/Assumptions!$B$7)&gt;Assumptions!$B$6,"",Assumptions!$B$5+INT((ROW()-2)/Assumptions!$B$7))</x:f>
        <x:v>46225</x:v>
      </x:c>
      <x:c r="B1013" t="str">
        <x:f>IF($A1013="","",INDEX(Assumptions!$D$5:$D$12,MOD(ROW()-2,Assumptions!$B$7)+1))</x:f>
        <x:v>LV-426 North</x:v>
      </x:c>
      <x:c r="C1013" s="11" t="n">
        <x:f>IF($A1013="","",INDEX(Assumptions!$F$5:$F$12,MATCH($B1013,Assumptions!$D$5:$D$12,0)))</x:f>
        <x:v>930</x:v>
      </x:c>
      <x:c r="D1013" s="11" t="n">
        <x:f>IF($A1013="","",INDEX(Assumptions!$G$5:$G$12,MATCH($B1013,Assumptions!$D$5:$D$12,0)))</x:f>
        <x:v>95</x:v>
      </x:c>
      <x:c r="E1013" s="11" t="n">
        <x:f>IF($A1013="","",INDEX(Assumptions!$M$5:$M$11,WEEKDAY($A1013,2)))</x:f>
        <x:v>1.01</x:v>
      </x:c>
      <x:c r="F1013" s="11" t="n">
        <x:f>IF($A1013="","",Assumptions!$B$15)</x:f>
        <x:v>0.35</x:v>
      </x:c>
      <x:c r="G1013" s="11" t="n">
        <x:f>IF($A1013="","",MAX(INDEX(Assumptions!$H$5:$H$12,MATCH($B1013,Assumptions!$D$5:$D$12,0)),MIN(INDEX(Assumptions!$I$5:$I$12,MATCH($B1013,Assumptions!$D$5:$D$12,0)),($C1013+$D1013*SQRT(-2*LN(RAND()))*COS(2*PI()*RAND()))*$E1013*$J1013*$K1013)))</x:f>
        <x:v>995.441387722709</x:v>
      </x:c>
      <x:c r="H1013" s="11" t="n">
        <x:f>IF($A1013="","",$G1013*$F1013+$C1013*(1-$F1013))</x:f>
        <x:v>952.9044857029481</x:v>
      </x:c>
      <x:c r="I1013" s="11" t="n">
        <x:f>IF($A1013="","",AVERAGE($H1013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937.2992849907487</x:v>
      </x:c>
      <x:c r="J1013" s="12" t="n">
        <x:f>IF($A1013="","",1+SUMIFS(Assumptions!$S$5:$S$10,Assumptions!$P$5:$P$10,$B1013,Assumptions!$Q$5:$Q$10,"&lt;="&amp;$A1013,Assumptions!$R$5:$R$10,"&gt;="&amp;$A1013))</x:f>
        <x:v>1</x:v>
      </x:c>
      <x:c r="K1013" s="12" t="n">
        <x:f>IF($A1013="","",1+((($A1013-Assumptions!$B$5)/30)*INDEX(Assumptions!$J$5:$J$12,MATCH($B1013,Assumptions!$D$5:$D$12,0))))</x:f>
        <x:v>0.9932666666666666</x:v>
      </x:c>
      <x:c r="L1013" t="str">
        <x:f>IF($A1013="","",IFERROR(INDEX(Assumptions!$O$5:$O$10,MATCH(1,(Assumptions!$P$5:$P$10=$B1013)*(Assumptions!$Q$5:$Q$10&lt;=$A1013)*(Assumptions!$R$5:$R$10&gt;=$A1013),0)),""))</x:f>
      </x:c>
      <x:c r="M1013" t="n">
        <x:f>--($A1013&lt;&gt;"")</x:f>
        <x:v>1</x:v>
      </x:c>
    </x:row>
    <x:row r="1014">
      <x:c r="A1014" s="10" t="n">
        <x:f>IF(Assumptions!$B$5+INT((ROW()-2)/Assumptions!$B$7)&gt;Assumptions!$B$6,"",Assumptions!$B$5+INT((ROW()-2)/Assumptions!$B$7))</x:f>
        <x:v>46225</x:v>
      </x:c>
      <x:c r="B1014" t="str">
        <x:f>IF($A1014="","",INDEX(Assumptions!$D$5:$D$12,MOD(ROW()-2,Assumptions!$B$7)+1))</x:f>
        <x:v>Nostromo Deep</x:v>
      </x:c>
      <x:c r="C1014" s="11" t="n">
        <x:f>IF($A1014="","",INDEX(Assumptions!$F$5:$F$12,MATCH($B1014,Assumptions!$D$5:$D$12,0)))</x:f>
        <x:v>1260</x:v>
      </x:c>
      <x:c r="D1014" s="11" t="n">
        <x:f>IF($A1014="","",INDEX(Assumptions!$G$5:$G$12,MATCH($B1014,Assumptions!$D$5:$D$12,0)))</x:f>
        <x:v>145</x:v>
      </x:c>
      <x:c r="E1014" s="11" t="n">
        <x:f>IF($A1014="","",INDEX(Assumptions!$M$5:$M$11,WEEKDAY($A1014,2)))</x:f>
        <x:v>1.01</x:v>
      </x:c>
      <x:c r="F1014" s="11" t="n">
        <x:f>IF($A1014="","",Assumptions!$B$15)</x:f>
        <x:v>0.35</x:v>
      </x:c>
      <x:c r="G1014" s="11" t="n">
        <x:f>IF($A1014="","",MAX(INDEX(Assumptions!$H$5:$H$12,MATCH($B1014,Assumptions!$D$5:$D$12,0)),MIN(INDEX(Assumptions!$I$5:$I$12,MATCH($B1014,Assumptions!$D$5:$D$12,0)),($C1014+$D1014*SQRT(-2*LN(RAND()))*COS(2*PI()*RAND()))*$E1014*$J1014*$K1014)))</x:f>
        <x:v>1242.038127532269</x:v>
      </x:c>
      <x:c r="H1014" s="11" t="n">
        <x:f>IF($A1014="","",$G1014*$F1014+$C1014*(1-$F1014))</x:f>
        <x:v>1253.713344636294</x:v>
      </x:c>
      <x:c r="I1014" s="11" t="n">
        <x:f>IF($A1014="","",AVERAGE($H1014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1263.3065633842089</x:v>
      </x:c>
      <x:c r="J1014" s="12" t="n">
        <x:f>IF($A1014="","",1+SUMIFS(Assumptions!$S$5:$S$10,Assumptions!$P$5:$P$10,$B1014,Assumptions!$Q$5:$Q$10,"&lt;="&amp;$A1014,Assumptions!$R$5:$R$10,"&gt;="&amp;$A1014))</x:f>
        <x:v>1</x:v>
      </x:c>
      <x:c r="K1014" s="12" t="n">
        <x:f>IF($A1014="","",1+((($A1014-Assumptions!$B$5)/30)*INDEX(Assumptions!$J$5:$J$12,MATCH($B1014,Assumptions!$D$5:$D$12,0))))</x:f>
        <x:v>1.0202</x:v>
      </x:c>
      <x:c r="L1014" t="str">
        <x:f>IF($A1014="","",IFERROR(INDEX(Assumptions!$O$5:$O$10,MATCH(1,(Assumptions!$P$5:$P$10=$B1014)*(Assumptions!$Q$5:$Q$10&lt;=$A1014)*(Assumptions!$R$5:$R$10&gt;=$A1014),0)),""))</x:f>
      </x:c>
      <x:c r="M1014" t="n">
        <x:f>--($A1014&lt;&gt;"")</x:f>
        <x:v>1</x:v>
      </x:c>
    </x:row>
    <x:row r="1015">
      <x:c r="A1015" s="10" t="n">
        <x:f>IF(Assumptions!$B$5+INT((ROW()-2)/Assumptions!$B$7)&gt;Assumptions!$B$6,"",Assumptions!$B$5+INT((ROW()-2)/Assumptions!$B$7))</x:f>
        <x:v>46225</x:v>
      </x:c>
      <x:c r="B1015" t="str">
        <x:f>IF($A1015="","",INDEX(Assumptions!$D$5:$D$12,MOD(ROW()-2,Assumptions!$B$7)+1))</x:f>
        <x:v>Hadley's Hope</x:v>
      </x:c>
      <x:c r="C1015" s="11" t="n">
        <x:f>IF($A1015="","",INDEX(Assumptions!$F$5:$F$12,MATCH($B1015,Assumptions!$D$5:$D$12,0)))</x:f>
        <x:v>845</x:v>
      </x:c>
      <x:c r="D1015" s="11" t="n">
        <x:f>IF($A1015="","",INDEX(Assumptions!$G$5:$G$12,MATCH($B1015,Assumptions!$D$5:$D$12,0)))</x:f>
        <x:v>80</x:v>
      </x:c>
      <x:c r="E1015" s="11" t="n">
        <x:f>IF($A1015="","",INDEX(Assumptions!$M$5:$M$11,WEEKDAY($A1015,2)))</x:f>
        <x:v>1.01</x:v>
      </x:c>
      <x:c r="F1015" s="11" t="n">
        <x:f>IF($A1015="","",Assumptions!$B$15)</x:f>
        <x:v>0.35</x:v>
      </x:c>
      <x:c r="G1015" s="11" t="n">
        <x:f>IF($A1015="","",MAX(INDEX(Assumptions!$H$5:$H$12,MATCH($B1015,Assumptions!$D$5:$D$12,0)),MIN(INDEX(Assumptions!$I$5:$I$12,MATCH($B1015,Assumptions!$D$5:$D$12,0)),($C1015+$D1015*SQRT(-2*LN(RAND()))*COS(2*PI()*RAND()))*$E1015*$J1015*$K1015)))</x:f>
        <x:v>721.1642189648032</x:v>
      </x:c>
      <x:c r="H1015" s="11" t="n">
        <x:f>IF($A1015="","",$G1015*$F1015+$C1015*(1-$F1015))</x:f>
        <x:v>801.6574766376812</x:v>
      </x:c>
      <x:c r="I1015" s="11" t="n">
        <x:f>IF($A1015="","",AVERAGE($H1015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841.1613477523885</x:v>
      </x:c>
      <x:c r="J1015" s="12" t="n">
        <x:f>IF($A1015="","",1+SUMIFS(Assumptions!$S$5:$S$10,Assumptions!$P$5:$P$10,$B1015,Assumptions!$Q$5:$Q$10,"&lt;="&amp;$A1015,Assumptions!$R$5:$R$10,"&gt;="&amp;$A1015))</x:f>
        <x:v>1</x:v>
      </x:c>
      <x:c r="K1015" s="12" t="n">
        <x:f>IF($A1015="","",1+((($A1015-Assumptions!$B$5)/30)*INDEX(Assumptions!$J$5:$J$12,MATCH($B1015,Assumptions!$D$5:$D$12,0))))</x:f>
        <x:v>1.0067333333333333</x:v>
      </x:c>
      <x:c r="L1015" t="str">
        <x:f>IF($A1015="","",IFERROR(INDEX(Assumptions!$O$5:$O$10,MATCH(1,(Assumptions!$P$5:$P$10=$B1015)*(Assumptions!$Q$5:$Q$10&lt;=$A1015)*(Assumptions!$R$5:$R$10&gt;=$A1015),0)),""))</x:f>
      </x:c>
      <x:c r="M1015" t="n">
        <x:f>--($A1015&lt;&gt;"")</x:f>
        <x:v>1</x:v>
      </x:c>
    </x:row>
    <x:row r="1016">
      <x:c r="A1016" s="10" t="n">
        <x:f>IF(Assumptions!$B$5+INT((ROW()-2)/Assumptions!$B$7)&gt;Assumptions!$B$6,"",Assumptions!$B$5+INT((ROW()-2)/Assumptions!$B$7))</x:f>
        <x:v>46225</x:v>
      </x:c>
      <x:c r="B1016" t="str">
        <x:f>IF($A1016="","",INDEX(Assumptions!$D$5:$D$12,MOD(ROW()-2,Assumptions!$B$7)+1))</x:f>
        <x:v>Yutani Ridge</x:v>
      </x:c>
      <x:c r="C1016" s="11" t="n">
        <x:f>IF($A1016="","",INDEX(Assumptions!$F$5:$F$12,MATCH($B1016,Assumptions!$D$5:$D$12,0)))</x:f>
        <x:v>1050</x:v>
      </x:c>
      <x:c r="D1016" s="11" t="n">
        <x:f>IF($A1016="","",INDEX(Assumptions!$G$5:$G$12,MATCH($B1016,Assumptions!$D$5:$D$12,0)))</x:f>
        <x:v>125</x:v>
      </x:c>
      <x:c r="E1016" s="11" t="n">
        <x:f>IF($A1016="","",INDEX(Assumptions!$M$5:$M$11,WEEKDAY($A1016,2)))</x:f>
        <x:v>1.01</x:v>
      </x:c>
      <x:c r="F1016" s="11" t="n">
        <x:f>IF($A1016="","",Assumptions!$B$15)</x:f>
        <x:v>0.35</x:v>
      </x:c>
      <x:c r="G1016" s="11" t="n">
        <x:f>IF($A1016="","",MAX(INDEX(Assumptions!$H$5:$H$12,MATCH($B1016,Assumptions!$D$5:$D$12,0)),MIN(INDEX(Assumptions!$I$5:$I$12,MATCH($B1016,Assumptions!$D$5:$D$12,0)),($C1016+$D1016*SQRT(-2*LN(RAND()))*COS(2*PI()*RAND()))*$E1016*$J1016*$K1016)))</x:f>
        <x:v>1050.9228510368932</x:v>
      </x:c>
      <x:c r="H1016" s="11" t="n">
        <x:f>IF($A1016="","",$G1016*$F1016+$C1016*(1-$F1016))</x:f>
        <x:v>1050.3229978629126</x:v>
      </x:c>
      <x:c r="I1016" s="11" t="n">
        <x:f>IF($A1016="","",AVERAGE($H1016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1078.1659026867517</x:v>
      </x:c>
      <x:c r="J1016" s="12" t="n">
        <x:f>IF($A1016="","",1+SUMIFS(Assumptions!$S$5:$S$10,Assumptions!$P$5:$P$10,$B1016,Assumptions!$Q$5:$Q$10,"&lt;="&amp;$A1016,Assumptions!$R$5:$R$10,"&gt;="&amp;$A1016))</x:f>
        <x:v>1</x:v>
      </x:c>
      <x:c r="K1016" s="12" t="n">
        <x:f>IF($A1016="","",1+((($A1016-Assumptions!$B$5)/30)*INDEX(Assumptions!$J$5:$J$12,MATCH($B1016,Assumptions!$D$5:$D$12,0))))</x:f>
        <x:v>1.0168333333333333</x:v>
      </x:c>
      <x:c r="L1016" t="str">
        <x:f>IF($A1016="","",IFERROR(INDEX(Assumptions!$O$5:$O$10,MATCH(1,(Assumptions!$P$5:$P$10=$B1016)*(Assumptions!$Q$5:$Q$10&lt;=$A1016)*(Assumptions!$R$5:$R$10&gt;=$A1016),0)),""))</x:f>
      </x:c>
      <x:c r="M1016" t="n">
        <x:f>--($A1016&lt;&gt;"")</x:f>
        <x:v>1</x:v>
      </x:c>
    </x:row>
    <x:row r="1017">
      <x:c r="A1017" s="10" t="n">
        <x:f>IF(Assumptions!$B$5+INT((ROW()-2)/Assumptions!$B$7)&gt;Assumptions!$B$6,"",Assumptions!$B$5+INT((ROW()-2)/Assumptions!$B$7))</x:f>
        <x:v>46226</x:v>
      </x:c>
      <x:c r="B1017" t="str">
        <x:f>IF($A1017="","",INDEX(Assumptions!$D$5:$D$12,MOD(ROW()-2,Assumptions!$B$7)+1))</x:f>
        <x:v>Acheron Prime</x:v>
      </x:c>
      <x:c r="C1017" s="11" t="n">
        <x:f>IF($A1017="","",INDEX(Assumptions!$F$5:$F$12,MATCH($B1017,Assumptions!$D$5:$D$12,0)))</x:f>
        <x:v>1120</x:v>
      </x:c>
      <x:c r="D1017" s="11" t="n">
        <x:f>IF($A1017="","",INDEX(Assumptions!$G$5:$G$12,MATCH($B1017,Assumptions!$D$5:$D$12,0)))</x:f>
        <x:v>115</x:v>
      </x:c>
      <x:c r="E1017" s="11" t="n">
        <x:f>IF($A1017="","",INDEX(Assumptions!$M$5:$M$11,WEEKDAY($A1017,2)))</x:f>
        <x:v>1</x:v>
      </x:c>
      <x:c r="F1017" s="11" t="n">
        <x:f>IF($A1017="","",Assumptions!$B$15)</x:f>
        <x:v>0.35</x:v>
      </x:c>
      <x:c r="G1017" s="11" t="n">
        <x:f>IF($A1017="","",MAX(INDEX(Assumptions!$H$5:$H$12,MATCH($B1017,Assumptions!$D$5:$D$12,0)),MIN(INDEX(Assumptions!$I$5:$I$12,MATCH($B1017,Assumptions!$D$5:$D$12,0)),($C1017+$D1017*SQRT(-2*LN(RAND()))*COS(2*PI()*RAND()))*$E1017*$J1017*$K1017)))</x:f>
        <x:v>990.493609260907</x:v>
      </x:c>
      <x:c r="H1017" s="11" t="n">
        <x:f>IF($A1017="","",$G1017*$F1017+$C1017*(1-$F1017))</x:f>
        <x:v>1074.6727632413174</x:v>
      </x:c>
      <x:c r="I1017" s="11" t="n">
        <x:f>IF($A1017="","",AVERAGE($H1017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1078.8573003284957</x:v>
      </x:c>
      <x:c r="J1017" s="12" t="n">
        <x:f>IF($A1017="","",1+SUMIFS(Assumptions!$S$5:$S$10,Assumptions!$P$5:$P$10,$B1017,Assumptions!$Q$5:$Q$10,"&lt;="&amp;$A1017,Assumptions!$R$5:$R$10,"&gt;="&amp;$A1017))</x:f>
        <x:v>1</x:v>
      </x:c>
      <x:c r="K1017" s="12" t="n">
        <x:f>IF($A1017="","",1+((($A1017-Assumptions!$B$5)/30)*INDEX(Assumptions!$J$5:$J$12,MATCH($B1017,Assumptions!$D$5:$D$12,0))))</x:f>
        <x:v>1.0135333333333334</x:v>
      </x:c>
      <x:c r="L1017" t="str">
        <x:f>IF($A1017="","",IFERROR(INDEX(Assumptions!$O$5:$O$10,MATCH(1,(Assumptions!$P$5:$P$10=$B1017)*(Assumptions!$Q$5:$Q$10&lt;=$A1017)*(Assumptions!$R$5:$R$10&gt;=$A1017),0)),""))</x:f>
      </x:c>
      <x:c r="M1017" t="n">
        <x:f>--($A1017&lt;&gt;"")</x:f>
        <x:v>1</x:v>
      </x:c>
    </x:row>
    <x:row r="1018">
      <x:c r="A1018" s="10" t="n">
        <x:f>IF(Assumptions!$B$5+INT((ROW()-2)/Assumptions!$B$7)&gt;Assumptions!$B$6,"",Assumptions!$B$5+INT((ROW()-2)/Assumptions!$B$7))</x:f>
        <x:v>46226</x:v>
      </x:c>
      <x:c r="B1018" t="str">
        <x:f>IF($A1018="","",INDEX(Assumptions!$D$5:$D$12,MOD(ROW()-2,Assumptions!$B$7)+1))</x:f>
        <x:v>LV-426 North</x:v>
      </x:c>
      <x:c r="C1018" s="11" t="n">
        <x:f>IF($A1018="","",INDEX(Assumptions!$F$5:$F$12,MATCH($B1018,Assumptions!$D$5:$D$12,0)))</x:f>
        <x:v>930</x:v>
      </x:c>
      <x:c r="D1018" s="11" t="n">
        <x:f>IF($A1018="","",INDEX(Assumptions!$G$5:$G$12,MATCH($B1018,Assumptions!$D$5:$D$12,0)))</x:f>
        <x:v>95</x:v>
      </x:c>
      <x:c r="E1018" s="11" t="n">
        <x:f>IF($A1018="","",INDEX(Assumptions!$M$5:$M$11,WEEKDAY($A1018,2)))</x:f>
        <x:v>1</x:v>
      </x:c>
      <x:c r="F1018" s="11" t="n">
        <x:f>IF($A1018="","",Assumptions!$B$15)</x:f>
        <x:v>0.35</x:v>
      </x:c>
      <x:c r="G1018" s="11" t="n">
        <x:f>IF($A1018="","",MAX(INDEX(Assumptions!$H$5:$H$12,MATCH($B1018,Assumptions!$D$5:$D$12,0)),MIN(INDEX(Assumptions!$I$5:$I$12,MATCH($B1018,Assumptions!$D$5:$D$12,0)),($C1018+$D1018*SQRT(-2*LN(RAND()))*COS(2*PI()*RAND()))*$E1018*$J1018*$K1018)))</x:f>
        <x:v>824.7681974423023</x:v>
      </x:c>
      <x:c r="H1018" s="11" t="n">
        <x:f>IF($A1018="","",$G1018*$F1018+$C1018*(1-$F1018))</x:f>
        <x:v>893.1688691048057</x:v>
      </x:c>
      <x:c r="I1018" s="11" t="n">
        <x:f>IF($A1018="","",AVERAGE($H1018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932.0504742446025</x:v>
      </x:c>
      <x:c r="J1018" s="12" t="n">
        <x:f>IF($A1018="","",1+SUMIFS(Assumptions!$S$5:$S$10,Assumptions!$P$5:$P$10,$B1018,Assumptions!$Q$5:$Q$10,"&lt;="&amp;$A1018,Assumptions!$R$5:$R$10,"&gt;="&amp;$A1018))</x:f>
        <x:v>1</x:v>
      </x:c>
      <x:c r="K1018" s="12" t="n">
        <x:f>IF($A1018="","",1+((($A1018-Assumptions!$B$5)/30)*INDEX(Assumptions!$J$5:$J$12,MATCH($B1018,Assumptions!$D$5:$D$12,0))))</x:f>
        <x:v>0.9932333333333333</x:v>
      </x:c>
      <x:c r="L1018" t="str">
        <x:f>IF($A1018="","",IFERROR(INDEX(Assumptions!$O$5:$O$10,MATCH(1,(Assumptions!$P$5:$P$10=$B1018)*(Assumptions!$Q$5:$Q$10&lt;=$A1018)*(Assumptions!$R$5:$R$10&gt;=$A1018),0)),""))</x:f>
      </x:c>
      <x:c r="M1018" t="n">
        <x:f>--($A1018&lt;&gt;"")</x:f>
        <x:v>1</x:v>
      </x:c>
    </x:row>
    <x:row r="1019">
      <x:c r="A1019" s="10" t="n">
        <x:f>IF(Assumptions!$B$5+INT((ROW()-2)/Assumptions!$B$7)&gt;Assumptions!$B$6,"",Assumptions!$B$5+INT((ROW()-2)/Assumptions!$B$7))</x:f>
        <x:v>46226</x:v>
      </x:c>
      <x:c r="B1019" t="str">
        <x:f>IF($A1019="","",INDEX(Assumptions!$D$5:$D$12,MOD(ROW()-2,Assumptions!$B$7)+1))</x:f>
        <x:v>Nostromo Deep</x:v>
      </x:c>
      <x:c r="C1019" s="11" t="n">
        <x:f>IF($A1019="","",INDEX(Assumptions!$F$5:$F$12,MATCH($B1019,Assumptions!$D$5:$D$12,0)))</x:f>
        <x:v>1260</x:v>
      </x:c>
      <x:c r="D1019" s="11" t="n">
        <x:f>IF($A1019="","",INDEX(Assumptions!$G$5:$G$12,MATCH($B1019,Assumptions!$D$5:$D$12,0)))</x:f>
        <x:v>145</x:v>
      </x:c>
      <x:c r="E1019" s="11" t="n">
        <x:f>IF($A1019="","",INDEX(Assumptions!$M$5:$M$11,WEEKDAY($A1019,2)))</x:f>
        <x:v>1</x:v>
      </x:c>
      <x:c r="F1019" s="11" t="n">
        <x:f>IF($A1019="","",Assumptions!$B$15)</x:f>
        <x:v>0.35</x:v>
      </x:c>
      <x:c r="G1019" s="11" t="n">
        <x:f>IF($A1019="","",MAX(INDEX(Assumptions!$H$5:$H$12,MATCH($B1019,Assumptions!$D$5:$D$12,0)),MIN(INDEX(Assumptions!$I$5:$I$12,MATCH($B1019,Assumptions!$D$5:$D$12,0)),($C1019+$D1019*SQRT(-2*LN(RAND()))*COS(2*PI()*RAND()))*$E1019*$J1019*$K1019)))</x:f>
        <x:v>1253.592772297648</x:v>
      </x:c>
      <x:c r="H1019" s="11" t="n">
        <x:f>IF($A1019="","",$G1019*$F1019+$C1019*(1-$F1019))</x:f>
        <x:v>1257.7574703041769</x:v>
      </x:c>
      <x:c r="I1019" s="11" t="n">
        <x:f>IF($A1019="","",AVERAGE($H1019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1259.2250175976928</x:v>
      </x:c>
      <x:c r="J1019" s="12" t="n">
        <x:f>IF($A1019="","",1+SUMIFS(Assumptions!$S$5:$S$10,Assumptions!$P$5:$P$10,$B1019,Assumptions!$Q$5:$Q$10,"&lt;="&amp;$A1019,Assumptions!$R$5:$R$10,"&gt;="&amp;$A1019))</x:f>
        <x:v>1</x:v>
      </x:c>
      <x:c r="K1019" s="12" t="n">
        <x:f>IF($A1019="","",1+((($A1019-Assumptions!$B$5)/30)*INDEX(Assumptions!$J$5:$J$12,MATCH($B1019,Assumptions!$D$5:$D$12,0))))</x:f>
        <x:v>1.0203</x:v>
      </x:c>
      <x:c r="L1019" t="str">
        <x:f>IF($A1019="","",IFERROR(INDEX(Assumptions!$O$5:$O$10,MATCH(1,(Assumptions!$P$5:$P$10=$B1019)*(Assumptions!$Q$5:$Q$10&lt;=$A1019)*(Assumptions!$R$5:$R$10&gt;=$A1019),0)),""))</x:f>
      </x:c>
      <x:c r="M1019" t="n">
        <x:f>--($A1019&lt;&gt;"")</x:f>
        <x:v>1</x:v>
      </x:c>
    </x:row>
    <x:row r="1020">
      <x:c r="A1020" s="10" t="n">
        <x:f>IF(Assumptions!$B$5+INT((ROW()-2)/Assumptions!$B$7)&gt;Assumptions!$B$6,"",Assumptions!$B$5+INT((ROW()-2)/Assumptions!$B$7))</x:f>
        <x:v>46226</x:v>
      </x:c>
      <x:c r="B1020" t="str">
        <x:f>IF($A1020="","",INDEX(Assumptions!$D$5:$D$12,MOD(ROW()-2,Assumptions!$B$7)+1))</x:f>
        <x:v>Hadley's Hope</x:v>
      </x:c>
      <x:c r="C1020" s="11" t="n">
        <x:f>IF($A1020="","",INDEX(Assumptions!$F$5:$F$12,MATCH($B1020,Assumptions!$D$5:$D$12,0)))</x:f>
        <x:v>845</x:v>
      </x:c>
      <x:c r="D1020" s="11" t="n">
        <x:f>IF($A1020="","",INDEX(Assumptions!$G$5:$G$12,MATCH($B1020,Assumptions!$D$5:$D$12,0)))</x:f>
        <x:v>80</x:v>
      </x:c>
      <x:c r="E1020" s="11" t="n">
        <x:f>IF($A1020="","",INDEX(Assumptions!$M$5:$M$11,WEEKDAY($A1020,2)))</x:f>
        <x:v>1</x:v>
      </x:c>
      <x:c r="F1020" s="11" t="n">
        <x:f>IF($A1020="","",Assumptions!$B$15)</x:f>
        <x:v>0.35</x:v>
      </x:c>
      <x:c r="G1020" s="11" t="n">
        <x:f>IF($A1020="","",MAX(INDEX(Assumptions!$H$5:$H$12,MATCH($B1020,Assumptions!$D$5:$D$12,0)),MIN(INDEX(Assumptions!$I$5:$I$12,MATCH($B1020,Assumptions!$D$5:$D$12,0)),($C1020+$D1020*SQRT(-2*LN(RAND()))*COS(2*PI()*RAND()))*$E1020*$J1020*$K1020)))</x:f>
        <x:v>840.39436759467</x:v>
      </x:c>
      <x:c r="H1020" s="11" t="n">
        <x:f>IF($A1020="","",$G1020*$F1020+$C1020*(1-$F1020))</x:f>
        <x:v>843.3880286581345</x:v>
      </x:c>
      <x:c r="I1020" s="11" t="n">
        <x:f>IF($A1020="","",AVERAGE($H1020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837.3788332257151</x:v>
      </x:c>
      <x:c r="J1020" s="12" t="n">
        <x:f>IF($A1020="","",1+SUMIFS(Assumptions!$S$5:$S$10,Assumptions!$P$5:$P$10,$B1020,Assumptions!$Q$5:$Q$10,"&lt;="&amp;$A1020,Assumptions!$R$5:$R$10,"&gt;="&amp;$A1020))</x:f>
        <x:v>1</x:v>
      </x:c>
      <x:c r="K1020" s="12" t="n">
        <x:f>IF($A1020="","",1+((($A1020-Assumptions!$B$5)/30)*INDEX(Assumptions!$J$5:$J$12,MATCH($B1020,Assumptions!$D$5:$D$12,0))))</x:f>
        <x:v>1.0067666666666666</x:v>
      </x:c>
      <x:c r="L1020" t="str">
        <x:f>IF($A1020="","",IFERROR(INDEX(Assumptions!$O$5:$O$10,MATCH(1,(Assumptions!$P$5:$P$10=$B1020)*(Assumptions!$Q$5:$Q$10&lt;=$A1020)*(Assumptions!$R$5:$R$10&gt;=$A1020),0)),""))</x:f>
      </x:c>
      <x:c r="M1020" t="n">
        <x:f>--($A1020&lt;&gt;"")</x:f>
        <x:v>1</x:v>
      </x:c>
    </x:row>
    <x:row r="1021">
      <x:c r="A1021" s="10" t="n">
        <x:f>IF(Assumptions!$B$5+INT((ROW()-2)/Assumptions!$B$7)&gt;Assumptions!$B$6,"",Assumptions!$B$5+INT((ROW()-2)/Assumptions!$B$7))</x:f>
        <x:v>46226</x:v>
      </x:c>
      <x:c r="B1021" t="str">
        <x:f>IF($A1021="","",INDEX(Assumptions!$D$5:$D$12,MOD(ROW()-2,Assumptions!$B$7)+1))</x:f>
        <x:v>Yutani Ridge</x:v>
      </x:c>
      <x:c r="C1021" s="11" t="n">
        <x:f>IF($A1021="","",INDEX(Assumptions!$F$5:$F$12,MATCH($B1021,Assumptions!$D$5:$D$12,0)))</x:f>
        <x:v>1050</x:v>
      </x:c>
      <x:c r="D1021" s="11" t="n">
        <x:f>IF($A1021="","",INDEX(Assumptions!$G$5:$G$12,MATCH($B1021,Assumptions!$D$5:$D$12,0)))</x:f>
        <x:v>125</x:v>
      </x:c>
      <x:c r="E1021" s="11" t="n">
        <x:f>IF($A1021="","",INDEX(Assumptions!$M$5:$M$11,WEEKDAY($A1021,2)))</x:f>
        <x:v>1</x:v>
      </x:c>
      <x:c r="F1021" s="11" t="n">
        <x:f>IF($A1021="","",Assumptions!$B$15)</x:f>
        <x:v>0.35</x:v>
      </x:c>
      <x:c r="G1021" s="11" t="n">
        <x:f>IF($A1021="","",MAX(INDEX(Assumptions!$H$5:$H$12,MATCH($B1021,Assumptions!$D$5:$D$12,0)),MIN(INDEX(Assumptions!$I$5:$I$12,MATCH($B1021,Assumptions!$D$5:$D$12,0)),($C1021+$D1021*SQRT(-2*LN(RAND()))*COS(2*PI()*RAND()))*$E1021*$J1021*$K1021)))</x:f>
        <x:v>1209.4829771049972</x:v>
      </x:c>
      <x:c r="H1021" s="11" t="n">
        <x:f>IF($A1021="","",$G1021*$F1021+$C1021*(1-$F1021))</x:f>
        <x:v>1105.819041986749</x:v>
      </x:c>
      <x:c r="I1021" s="11" t="n">
        <x:f>IF($A1021="","",AVERAGE($H1021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1078.6784796432505</x:v>
      </x:c>
      <x:c r="J1021" s="12" t="n">
        <x:f>IF($A1021="","",1+SUMIFS(Assumptions!$S$5:$S$10,Assumptions!$P$5:$P$10,$B1021,Assumptions!$Q$5:$Q$10,"&lt;="&amp;$A1021,Assumptions!$R$5:$R$10,"&gt;="&amp;$A1021))</x:f>
        <x:v>1</x:v>
      </x:c>
      <x:c r="K1021" s="12" t="n">
        <x:f>IF($A1021="","",1+((($A1021-Assumptions!$B$5)/30)*INDEX(Assumptions!$J$5:$J$12,MATCH($B1021,Assumptions!$D$5:$D$12,0))))</x:f>
        <x:v>1.0169166666666667</x:v>
      </x:c>
      <x:c r="L1021" t="str">
        <x:f>IF($A1021="","",IFERROR(INDEX(Assumptions!$O$5:$O$10,MATCH(1,(Assumptions!$P$5:$P$10=$B1021)*(Assumptions!$Q$5:$Q$10&lt;=$A1021)*(Assumptions!$R$5:$R$10&gt;=$A1021),0)),""))</x:f>
      </x:c>
      <x:c r="M1021" t="n">
        <x:f>--($A1021&lt;&gt;"")</x:f>
        <x:v>1</x:v>
      </x:c>
    </x:row>
    <x:row r="1022">
      <x:c r="A1022" s="10" t="n">
        <x:f>IF(Assumptions!$B$5+INT((ROW()-2)/Assumptions!$B$7)&gt;Assumptions!$B$6,"",Assumptions!$B$5+INT((ROW()-2)/Assumptions!$B$7))</x:f>
        <x:v>46227</x:v>
      </x:c>
      <x:c r="B1022" t="str">
        <x:f>IF($A1022="","",INDEX(Assumptions!$D$5:$D$12,MOD(ROW()-2,Assumptions!$B$7)+1))</x:f>
        <x:v>Acheron Prime</x:v>
      </x:c>
      <x:c r="C1022" s="11" t="n">
        <x:f>IF($A1022="","",INDEX(Assumptions!$F$5:$F$12,MATCH($B1022,Assumptions!$D$5:$D$12,0)))</x:f>
        <x:v>1120</x:v>
      </x:c>
      <x:c r="D1022" s="11" t="n">
        <x:f>IF($A1022="","",INDEX(Assumptions!$G$5:$G$12,MATCH($B1022,Assumptions!$D$5:$D$12,0)))</x:f>
        <x:v>115</x:v>
      </x:c>
      <x:c r="E1022" s="11" t="n">
        <x:f>IF($A1022="","",INDEX(Assumptions!$M$5:$M$11,WEEKDAY($A1022,2)))</x:f>
        <x:v>0.98</x:v>
      </x:c>
      <x:c r="F1022" s="11" t="n">
        <x:f>IF($A1022="","",Assumptions!$B$15)</x:f>
        <x:v>0.35</x:v>
      </x:c>
      <x:c r="G1022" s="11" t="n">
        <x:f>IF($A1022="","",MAX(INDEX(Assumptions!$H$5:$H$12,MATCH($B1022,Assumptions!$D$5:$D$12,0)),MIN(INDEX(Assumptions!$I$5:$I$12,MATCH($B1022,Assumptions!$D$5:$D$12,0)),($C1022+$D1022*SQRT(-2*LN(RAND()))*COS(2*PI()*RAND()))*$E1022*$J1022*$K1022)))</x:f>
        <x:v>1095.655751360077</x:v>
      </x:c>
      <x:c r="H1022" s="11" t="n">
        <x:f>IF($A1022="","",$G1022*$F1022+$C1022*(1-$F1022))</x:f>
        <x:v>1111.4795129760269</x:v>
      </x:c>
      <x:c r="I1022" s="11" t="n">
        <x:f>IF($A1022="","",AVERAGE($H1022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1074.7292235055063</x:v>
      </x:c>
      <x:c r="J1022" s="12" t="n">
        <x:f>IF($A1022="","",1+SUMIFS(Assumptions!$S$5:$S$10,Assumptions!$P$5:$P$10,$B1022,Assumptions!$Q$5:$Q$10,"&lt;="&amp;$A1022,Assumptions!$R$5:$R$10,"&gt;="&amp;$A1022))</x:f>
        <x:v>1</x:v>
      </x:c>
      <x:c r="K1022" s="12" t="n">
        <x:f>IF($A1022="","",1+((($A1022-Assumptions!$B$5)/30)*INDEX(Assumptions!$J$5:$J$12,MATCH($B1022,Assumptions!$D$5:$D$12,0))))</x:f>
        <x:v>1.0136</x:v>
      </x:c>
      <x:c r="L1022" t="str">
        <x:f>IF($A1022="","",IFERROR(INDEX(Assumptions!$O$5:$O$10,MATCH(1,(Assumptions!$P$5:$P$10=$B1022)*(Assumptions!$Q$5:$Q$10&lt;=$A1022)*(Assumptions!$R$5:$R$10&gt;=$A1022),0)),""))</x:f>
      </x:c>
      <x:c r="M1022" t="n">
        <x:f>--($A1022&lt;&gt;"")</x:f>
        <x:v>1</x:v>
      </x:c>
    </x:row>
    <x:row r="1023">
      <x:c r="A1023" s="10" t="n">
        <x:f>IF(Assumptions!$B$5+INT((ROW()-2)/Assumptions!$B$7)&gt;Assumptions!$B$6,"",Assumptions!$B$5+INT((ROW()-2)/Assumptions!$B$7))</x:f>
        <x:v>46227</x:v>
      </x:c>
      <x:c r="B1023" t="str">
        <x:f>IF($A1023="","",INDEX(Assumptions!$D$5:$D$12,MOD(ROW()-2,Assumptions!$B$7)+1))</x:f>
        <x:v>LV-426 North</x:v>
      </x:c>
      <x:c r="C1023" s="11" t="n">
        <x:f>IF($A1023="","",INDEX(Assumptions!$F$5:$F$12,MATCH($B1023,Assumptions!$D$5:$D$12,0)))</x:f>
        <x:v>930</x:v>
      </x:c>
      <x:c r="D1023" s="11" t="n">
        <x:f>IF($A1023="","",INDEX(Assumptions!$G$5:$G$12,MATCH($B1023,Assumptions!$D$5:$D$12,0)))</x:f>
        <x:v>95</x:v>
      </x:c>
      <x:c r="E1023" s="11" t="n">
        <x:f>IF($A1023="","",INDEX(Assumptions!$M$5:$M$11,WEEKDAY($A1023,2)))</x:f>
        <x:v>0.98</x:v>
      </x:c>
      <x:c r="F1023" s="11" t="n">
        <x:f>IF($A1023="","",Assumptions!$B$15)</x:f>
        <x:v>0.35</x:v>
      </x:c>
      <x:c r="G1023" s="11" t="n">
        <x:f>IF($A1023="","",MAX(INDEX(Assumptions!$H$5:$H$12,MATCH($B1023,Assumptions!$D$5:$D$12,0)),MIN(INDEX(Assumptions!$I$5:$I$12,MATCH($B1023,Assumptions!$D$5:$D$12,0)),($C1023+$D1023*SQRT(-2*LN(RAND()))*COS(2*PI()*RAND()))*$E1023*$J1023*$K1023)))</x:f>
        <x:v>949.2386984815668</x:v>
      </x:c>
      <x:c r="H1023" s="11" t="n">
        <x:f>IF($A1023="","",$G1023*$F1023+$C1023*(1-$F1023))</x:f>
        <x:v>936.7335444685484</x:v>
      </x:c>
      <x:c r="I1023" s="11" t="n">
        <x:f>IF($A1023="","",AVERAGE($H1023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942.5843879559048</x:v>
      </x:c>
      <x:c r="J1023" s="12" t="n">
        <x:f>IF($A1023="","",1+SUMIFS(Assumptions!$S$5:$S$10,Assumptions!$P$5:$P$10,$B1023,Assumptions!$Q$5:$Q$10,"&lt;="&amp;$A1023,Assumptions!$R$5:$R$10,"&gt;="&amp;$A1023))</x:f>
        <x:v>1</x:v>
      </x:c>
      <x:c r="K1023" s="12" t="n">
        <x:f>IF($A1023="","",1+((($A1023-Assumptions!$B$5)/30)*INDEX(Assumptions!$J$5:$J$12,MATCH($B1023,Assumptions!$D$5:$D$12,0))))</x:f>
        <x:v>0.9932</x:v>
      </x:c>
      <x:c r="L1023" t="str">
        <x:f>IF($A1023="","",IFERROR(INDEX(Assumptions!$O$5:$O$10,MATCH(1,(Assumptions!$P$5:$P$10=$B1023)*(Assumptions!$Q$5:$Q$10&lt;=$A1023)*(Assumptions!$R$5:$R$10&gt;=$A1023),0)),""))</x:f>
      </x:c>
      <x:c r="M1023" t="n">
        <x:f>--($A1023&lt;&gt;"")</x:f>
        <x:v>1</x:v>
      </x:c>
    </x:row>
    <x:row r="1024">
      <x:c r="A1024" s="10" t="n">
        <x:f>IF(Assumptions!$B$5+INT((ROW()-2)/Assumptions!$B$7)&gt;Assumptions!$B$6,"",Assumptions!$B$5+INT((ROW()-2)/Assumptions!$B$7))</x:f>
        <x:v>46227</x:v>
      </x:c>
      <x:c r="B1024" t="str">
        <x:f>IF($A1024="","",INDEX(Assumptions!$D$5:$D$12,MOD(ROW()-2,Assumptions!$B$7)+1))</x:f>
        <x:v>Nostromo Deep</x:v>
      </x:c>
      <x:c r="C1024" s="11" t="n">
        <x:f>IF($A1024="","",INDEX(Assumptions!$F$5:$F$12,MATCH($B1024,Assumptions!$D$5:$D$12,0)))</x:f>
        <x:v>1260</x:v>
      </x:c>
      <x:c r="D1024" s="11" t="n">
        <x:f>IF($A1024="","",INDEX(Assumptions!$G$5:$G$12,MATCH($B1024,Assumptions!$D$5:$D$12,0)))</x:f>
        <x:v>145</x:v>
      </x:c>
      <x:c r="E1024" s="11" t="n">
        <x:f>IF($A1024="","",INDEX(Assumptions!$M$5:$M$11,WEEKDAY($A1024,2)))</x:f>
        <x:v>0.98</x:v>
      </x:c>
      <x:c r="F1024" s="11" t="n">
        <x:f>IF($A1024="","",Assumptions!$B$15)</x:f>
        <x:v>0.35</x:v>
      </x:c>
      <x:c r="G1024" s="11" t="n">
        <x:f>IF($A1024="","",MAX(INDEX(Assumptions!$H$5:$H$12,MATCH($B1024,Assumptions!$D$5:$D$12,0)),MIN(INDEX(Assumptions!$I$5:$I$12,MATCH($B1024,Assumptions!$D$5:$D$12,0)),($C1024+$D1024*SQRT(-2*LN(RAND()))*COS(2*PI()*RAND()))*$E1024*$J1024*$K1024)))</x:f>
        <x:v>1194.1422108084291</x:v>
      </x:c>
      <x:c r="H1024" s="11" t="n">
        <x:f>IF($A1024="","",$G1024*$F1024+$C1024*(1-$F1024))</x:f>
        <x:v>1236.9497737829502</x:v>
      </x:c>
      <x:c r="I1024" s="11" t="n">
        <x:f>IF($A1024="","",AVERAGE($H1024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1251.6678875052912</x:v>
      </x:c>
      <x:c r="J1024" s="12" t="n">
        <x:f>IF($A1024="","",1+SUMIFS(Assumptions!$S$5:$S$10,Assumptions!$P$5:$P$10,$B1024,Assumptions!$Q$5:$Q$10,"&lt;="&amp;$A1024,Assumptions!$R$5:$R$10,"&gt;="&amp;$A1024))</x:f>
        <x:v>1</x:v>
      </x:c>
      <x:c r="K1024" s="12" t="n">
        <x:f>IF($A1024="","",1+((($A1024-Assumptions!$B$5)/30)*INDEX(Assumptions!$J$5:$J$12,MATCH($B1024,Assumptions!$D$5:$D$12,0))))</x:f>
        <x:v>1.0204</x:v>
      </x:c>
      <x:c r="L1024" t="str">
        <x:f>IF($A1024="","",IFERROR(INDEX(Assumptions!$O$5:$O$10,MATCH(1,(Assumptions!$P$5:$P$10=$B1024)*(Assumptions!$Q$5:$Q$10&lt;=$A1024)*(Assumptions!$R$5:$R$10&gt;=$A1024),0)),""))</x:f>
      </x:c>
      <x:c r="M1024" t="n">
        <x:f>--($A1024&lt;&gt;"")</x:f>
        <x:v>1</x:v>
      </x:c>
    </x:row>
    <x:row r="1025">
      <x:c r="A1025" s="10" t="n">
        <x:f>IF(Assumptions!$B$5+INT((ROW()-2)/Assumptions!$B$7)&gt;Assumptions!$B$6,"",Assumptions!$B$5+INT((ROW()-2)/Assumptions!$B$7))</x:f>
        <x:v>46227</x:v>
      </x:c>
      <x:c r="B1025" t="str">
        <x:f>IF($A1025="","",INDEX(Assumptions!$D$5:$D$12,MOD(ROW()-2,Assumptions!$B$7)+1))</x:f>
        <x:v>Hadley's Hope</x:v>
      </x:c>
      <x:c r="C1025" s="11" t="n">
        <x:f>IF($A1025="","",INDEX(Assumptions!$F$5:$F$12,MATCH($B1025,Assumptions!$D$5:$D$12,0)))</x:f>
        <x:v>845</x:v>
      </x:c>
      <x:c r="D1025" s="11" t="n">
        <x:f>IF($A1025="","",INDEX(Assumptions!$G$5:$G$12,MATCH($B1025,Assumptions!$D$5:$D$12,0)))</x:f>
        <x:v>80</x:v>
      </x:c>
      <x:c r="E1025" s="11" t="n">
        <x:f>IF($A1025="","",INDEX(Assumptions!$M$5:$M$11,WEEKDAY($A1025,2)))</x:f>
        <x:v>0.98</x:v>
      </x:c>
      <x:c r="F1025" s="11" t="n">
        <x:f>IF($A1025="","",Assumptions!$B$15)</x:f>
        <x:v>0.35</x:v>
      </x:c>
      <x:c r="G1025" s="11" t="n">
        <x:f>IF($A1025="","",MAX(INDEX(Assumptions!$H$5:$H$12,MATCH($B1025,Assumptions!$D$5:$D$12,0)),MIN(INDEX(Assumptions!$I$5:$I$12,MATCH($B1025,Assumptions!$D$5:$D$12,0)),($C1025+$D1025*SQRT(-2*LN(RAND()))*COS(2*PI()*RAND()))*$E1025*$J1025*$K1025)))</x:f>
        <x:v>802.534001396853</x:v>
      </x:c>
      <x:c r="H1025" s="11" t="n">
        <x:f>IF($A1025="","",$G1025*$F1025+$C1025*(1-$F1025))</x:f>
        <x:v>830.1369004888985</x:v>
      </x:c>
      <x:c r="I1025" s="11" t="n">
        <x:f>IF($A1025="","",AVERAGE($H1025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837.3054340536274</x:v>
      </x:c>
      <x:c r="J1025" s="12" t="n">
        <x:f>IF($A1025="","",1+SUMIFS(Assumptions!$S$5:$S$10,Assumptions!$P$5:$P$10,$B1025,Assumptions!$Q$5:$Q$10,"&lt;="&amp;$A1025,Assumptions!$R$5:$R$10,"&gt;="&amp;$A1025))</x:f>
        <x:v>1</x:v>
      </x:c>
      <x:c r="K1025" s="12" t="n">
        <x:f>IF($A1025="","",1+((($A1025-Assumptions!$B$5)/30)*INDEX(Assumptions!$J$5:$J$12,MATCH($B1025,Assumptions!$D$5:$D$12,0))))</x:f>
        <x:v>1.0068</x:v>
      </x:c>
      <x:c r="L1025" t="str">
        <x:f>IF($A1025="","",IFERROR(INDEX(Assumptions!$O$5:$O$10,MATCH(1,(Assumptions!$P$5:$P$10=$B1025)*(Assumptions!$Q$5:$Q$10&lt;=$A1025)*(Assumptions!$R$5:$R$10&gt;=$A1025),0)),""))</x:f>
      </x:c>
      <x:c r="M1025" t="n">
        <x:f>--($A1025&lt;&gt;"")</x:f>
        <x:v>1</x:v>
      </x:c>
    </x:row>
    <x:row r="1026">
      <x:c r="A1026" s="10" t="n">
        <x:f>IF(Assumptions!$B$5+INT((ROW()-2)/Assumptions!$B$7)&gt;Assumptions!$B$6,"",Assumptions!$B$5+INT((ROW()-2)/Assumptions!$B$7))</x:f>
        <x:v>46227</x:v>
      </x:c>
      <x:c r="B1026" t="str">
        <x:f>IF($A1026="","",INDEX(Assumptions!$D$5:$D$12,MOD(ROW()-2,Assumptions!$B$7)+1))</x:f>
        <x:v>Yutani Ridge</x:v>
      </x:c>
      <x:c r="C1026" s="11" t="n">
        <x:f>IF($A1026="","",INDEX(Assumptions!$F$5:$F$12,MATCH($B1026,Assumptions!$D$5:$D$12,0)))</x:f>
        <x:v>1050</x:v>
      </x:c>
      <x:c r="D1026" s="11" t="n">
        <x:f>IF($A1026="","",INDEX(Assumptions!$G$5:$G$12,MATCH($B1026,Assumptions!$D$5:$D$12,0)))</x:f>
        <x:v>125</x:v>
      </x:c>
      <x:c r="E1026" s="11" t="n">
        <x:f>IF($A1026="","",INDEX(Assumptions!$M$5:$M$11,WEEKDAY($A1026,2)))</x:f>
        <x:v>0.98</x:v>
      </x:c>
      <x:c r="F1026" s="11" t="n">
        <x:f>IF($A1026="","",Assumptions!$B$15)</x:f>
        <x:v>0.35</x:v>
      </x:c>
      <x:c r="G1026" s="11" t="n">
        <x:f>IF($A1026="","",MAX(INDEX(Assumptions!$H$5:$H$12,MATCH($B1026,Assumptions!$D$5:$D$12,0)),MIN(INDEX(Assumptions!$I$5:$I$12,MATCH($B1026,Assumptions!$D$5:$D$12,0)),($C1026+$D1026*SQRT(-2*LN(RAND()))*COS(2*PI()*RAND()))*$E1026*$J1026*$K1026)))</x:f>
        <x:v>1088.6441607767956</x:v>
      </x:c>
      <x:c r="H1026" s="11" t="n">
        <x:f>IF($A1026="","",$G1026*$F1026+$C1026*(1-$F1026))</x:f>
        <x:v>1063.5254562718785</x:v>
      </x:c>
      <x:c r="I1026" s="11" t="n">
        <x:f>IF($A1026="","",AVERAGE($H1026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1082.02234391725</x:v>
      </x:c>
      <x:c r="J1026" s="12" t="n">
        <x:f>IF($A1026="","",1+SUMIFS(Assumptions!$S$5:$S$10,Assumptions!$P$5:$P$10,$B1026,Assumptions!$Q$5:$Q$10,"&lt;="&amp;$A1026,Assumptions!$R$5:$R$10,"&gt;="&amp;$A1026))</x:f>
        <x:v>1</x:v>
      </x:c>
      <x:c r="K1026" s="12" t="n">
        <x:f>IF($A1026="","",1+((($A1026-Assumptions!$B$5)/30)*INDEX(Assumptions!$J$5:$J$12,MATCH($B1026,Assumptions!$D$5:$D$12,0))))</x:f>
        <x:v>1.017</x:v>
      </x:c>
      <x:c r="L1026" t="str">
        <x:f>IF($A1026="","",IFERROR(INDEX(Assumptions!$O$5:$O$10,MATCH(1,(Assumptions!$P$5:$P$10=$B1026)*(Assumptions!$Q$5:$Q$10&lt;=$A1026)*(Assumptions!$R$5:$R$10&gt;=$A1026),0)),""))</x:f>
      </x:c>
      <x:c r="M1026" t="n">
        <x:f>--($A1026&lt;&gt;"")</x:f>
        <x:v>1</x:v>
      </x:c>
    </x:row>
    <x:row r="1027">
      <x:c r="A1027" s="10" t="n">
        <x:f>IF(Assumptions!$B$5+INT((ROW()-2)/Assumptions!$B$7)&gt;Assumptions!$B$6,"",Assumptions!$B$5+INT((ROW()-2)/Assumptions!$B$7))</x:f>
        <x:v>46228</x:v>
      </x:c>
      <x:c r="B1027" t="str">
        <x:f>IF($A1027="","",INDEX(Assumptions!$D$5:$D$12,MOD(ROW()-2,Assumptions!$B$7)+1))</x:f>
        <x:v>Acheron Prime</x:v>
      </x:c>
      <x:c r="C1027" s="11" t="n">
        <x:f>IF($A1027="","",INDEX(Assumptions!$F$5:$F$12,MATCH($B1027,Assumptions!$D$5:$D$12,0)))</x:f>
        <x:v>1120</x:v>
      </x:c>
      <x:c r="D1027" s="11" t="n">
        <x:f>IF($A1027="","",INDEX(Assumptions!$G$5:$G$12,MATCH($B1027,Assumptions!$D$5:$D$12,0)))</x:f>
        <x:v>115</x:v>
      </x:c>
      <x:c r="E1027" s="11" t="n">
        <x:f>IF($A1027="","",INDEX(Assumptions!$M$5:$M$11,WEEKDAY($A1027,2)))</x:f>
        <x:v>0.91</x:v>
      </x:c>
      <x:c r="F1027" s="11" t="n">
        <x:f>IF($A1027="","",Assumptions!$B$15)</x:f>
        <x:v>0.35</x:v>
      </x:c>
      <x:c r="G1027" s="11" t="n">
        <x:f>IF($A1027="","",MAX(INDEX(Assumptions!$H$5:$H$12,MATCH($B1027,Assumptions!$D$5:$D$12,0)),MIN(INDEX(Assumptions!$I$5:$I$12,MATCH($B1027,Assumptions!$D$5:$D$12,0)),($C1027+$D1027*SQRT(-2*LN(RAND()))*COS(2*PI()*RAND()))*$E1027*$J1027*$K1027)))</x:f>
        <x:v>884.7952591495715</x:v>
      </x:c>
      <x:c r="H1027" s="11" t="n">
        <x:f>IF($A1027="","",$G1027*$F1027+$C1027*(1-$F1027))</x:f>
        <x:v>1037.67834070235</x:v>
      </x:c>
      <x:c r="I1027" s="11" t="n">
        <x:f>IF($A1027="","",AVERAGE($H1027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1060.7008169863939</x:v>
      </x:c>
      <x:c r="J1027" s="12" t="n">
        <x:f>IF($A1027="","",1+SUMIFS(Assumptions!$S$5:$S$10,Assumptions!$P$5:$P$10,$B1027,Assumptions!$Q$5:$Q$10,"&lt;="&amp;$A1027,Assumptions!$R$5:$R$10,"&gt;="&amp;$A1027))</x:f>
        <x:v>1</x:v>
      </x:c>
      <x:c r="K1027" s="12" t="n">
        <x:f>IF($A1027="","",1+((($A1027-Assumptions!$B$5)/30)*INDEX(Assumptions!$J$5:$J$12,MATCH($B1027,Assumptions!$D$5:$D$12,0))))</x:f>
        <x:v>1.0136666666666667</x:v>
      </x:c>
      <x:c r="L1027" t="str">
        <x:f>IF($A1027="","",IFERROR(INDEX(Assumptions!$O$5:$O$10,MATCH(1,(Assumptions!$P$5:$P$10=$B1027)*(Assumptions!$Q$5:$Q$10&lt;=$A1027)*(Assumptions!$R$5:$R$10&gt;=$A1027),0)),""))</x:f>
      </x:c>
      <x:c r="M1027" t="n">
        <x:f>--($A1027&lt;&gt;"")</x:f>
        <x:v>1</x:v>
      </x:c>
    </x:row>
    <x:row r="1028">
      <x:c r="A1028" s="10" t="n">
        <x:f>IF(Assumptions!$B$5+INT((ROW()-2)/Assumptions!$B$7)&gt;Assumptions!$B$6,"",Assumptions!$B$5+INT((ROW()-2)/Assumptions!$B$7))</x:f>
        <x:v>46228</x:v>
      </x:c>
      <x:c r="B1028" t="str">
        <x:f>IF($A1028="","",INDEX(Assumptions!$D$5:$D$12,MOD(ROW()-2,Assumptions!$B$7)+1))</x:f>
        <x:v>LV-426 North</x:v>
      </x:c>
      <x:c r="C1028" s="11" t="n">
        <x:f>IF($A1028="","",INDEX(Assumptions!$F$5:$F$12,MATCH($B1028,Assumptions!$D$5:$D$12,0)))</x:f>
        <x:v>930</x:v>
      </x:c>
      <x:c r="D1028" s="11" t="n">
        <x:f>IF($A1028="","",INDEX(Assumptions!$G$5:$G$12,MATCH($B1028,Assumptions!$D$5:$D$12,0)))</x:f>
        <x:v>95</x:v>
      </x:c>
      <x:c r="E1028" s="11" t="n">
        <x:f>IF($A1028="","",INDEX(Assumptions!$M$5:$M$11,WEEKDAY($A1028,2)))</x:f>
        <x:v>0.91</x:v>
      </x:c>
      <x:c r="F1028" s="11" t="n">
        <x:f>IF($A1028="","",Assumptions!$B$15)</x:f>
        <x:v>0.35</x:v>
      </x:c>
      <x:c r="G1028" s="11" t="n">
        <x:f>IF($A1028="","",MAX(INDEX(Assumptions!$H$5:$H$12,MATCH($B1028,Assumptions!$D$5:$D$12,0)),MIN(INDEX(Assumptions!$I$5:$I$12,MATCH($B1028,Assumptions!$D$5:$D$12,0)),($C1028+$D1028*SQRT(-2*LN(RAND()))*COS(2*PI()*RAND()))*$E1028*$J1028*$K1028)))</x:f>
        <x:v>919.8308848663854</x:v>
      </x:c>
      <x:c r="H1028" s="11" t="n">
        <x:f>IF($A1028="","",$G1028*$F1028+$C1028*(1-$F1028))</x:f>
        <x:v>926.4408097032349</x:v>
      </x:c>
      <x:c r="I1028" s="11" t="n">
        <x:f>IF($A1028="","",AVERAGE($H1028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942.1796796478636</x:v>
      </x:c>
      <x:c r="J1028" s="12" t="n">
        <x:f>IF($A1028="","",1+SUMIFS(Assumptions!$S$5:$S$10,Assumptions!$P$5:$P$10,$B1028,Assumptions!$Q$5:$Q$10,"&lt;="&amp;$A1028,Assumptions!$R$5:$R$10,"&gt;="&amp;$A1028))</x:f>
        <x:v>1</x:v>
      </x:c>
      <x:c r="K1028" s="12" t="n">
        <x:f>IF($A1028="","",1+((($A1028-Assumptions!$B$5)/30)*INDEX(Assumptions!$J$5:$J$12,MATCH($B1028,Assumptions!$D$5:$D$12,0))))</x:f>
        <x:v>0.9931666666666666</x:v>
      </x:c>
      <x:c r="L1028" t="str">
        <x:f>IF($A1028="","",IFERROR(INDEX(Assumptions!$O$5:$O$10,MATCH(1,(Assumptions!$P$5:$P$10=$B1028)*(Assumptions!$Q$5:$Q$10&lt;=$A1028)*(Assumptions!$R$5:$R$10&gt;=$A1028),0)),""))</x:f>
      </x:c>
      <x:c r="M1028" t="n">
        <x:f>--($A1028&lt;&gt;"")</x:f>
        <x:v>1</x:v>
      </x:c>
    </x:row>
    <x:row r="1029">
      <x:c r="A1029" s="10" t="n">
        <x:f>IF(Assumptions!$B$5+INT((ROW()-2)/Assumptions!$B$7)&gt;Assumptions!$B$6,"",Assumptions!$B$5+INT((ROW()-2)/Assumptions!$B$7))</x:f>
        <x:v>46228</x:v>
      </x:c>
      <x:c r="B1029" t="str">
        <x:f>IF($A1029="","",INDEX(Assumptions!$D$5:$D$12,MOD(ROW()-2,Assumptions!$B$7)+1))</x:f>
        <x:v>Nostromo Deep</x:v>
      </x:c>
      <x:c r="C1029" s="11" t="n">
        <x:f>IF($A1029="","",INDEX(Assumptions!$F$5:$F$12,MATCH($B1029,Assumptions!$D$5:$D$12,0)))</x:f>
        <x:v>1260</x:v>
      </x:c>
      <x:c r="D1029" s="11" t="n">
        <x:f>IF($A1029="","",INDEX(Assumptions!$G$5:$G$12,MATCH($B1029,Assumptions!$D$5:$D$12,0)))</x:f>
        <x:v>145</x:v>
      </x:c>
      <x:c r="E1029" s="11" t="n">
        <x:f>IF($A1029="","",INDEX(Assumptions!$M$5:$M$11,WEEKDAY($A1029,2)))</x:f>
        <x:v>0.91</x:v>
      </x:c>
      <x:c r="F1029" s="11" t="n">
        <x:f>IF($A1029="","",Assumptions!$B$15)</x:f>
        <x:v>0.35</x:v>
      </x:c>
      <x:c r="G1029" s="11" t="n">
        <x:f>IF($A1029="","",MAX(INDEX(Assumptions!$H$5:$H$12,MATCH($B1029,Assumptions!$D$5:$D$12,0)),MIN(INDEX(Assumptions!$I$5:$I$12,MATCH($B1029,Assumptions!$D$5:$D$12,0)),($C1029+$D1029*SQRT(-2*LN(RAND()))*COS(2*PI()*RAND()))*$E1029*$J1029*$K1029)))</x:f>
        <x:v>1337.5577490308137</x:v>
      </x:c>
      <x:c r="H1029" s="11" t="n">
        <x:f>IF($A1029="","",$G1029*$F1029+$C1029*(1-$F1029))</x:f>
        <x:v>1287.1452121607847</x:v>
      </x:c>
      <x:c r="I1029" s="11" t="n">
        <x:f>IF($A1029="","",AVERAGE($H1029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1264.1806345563512</x:v>
      </x:c>
      <x:c r="J1029" s="12" t="n">
        <x:f>IF($A1029="","",1+SUMIFS(Assumptions!$S$5:$S$10,Assumptions!$P$5:$P$10,$B1029,Assumptions!$Q$5:$Q$10,"&lt;="&amp;$A1029,Assumptions!$R$5:$R$10,"&gt;="&amp;$A1029))</x:f>
        <x:v>1</x:v>
      </x:c>
      <x:c r="K1029" s="12" t="n">
        <x:f>IF($A1029="","",1+((($A1029-Assumptions!$B$5)/30)*INDEX(Assumptions!$J$5:$J$12,MATCH($B1029,Assumptions!$D$5:$D$12,0))))</x:f>
        <x:v>1.0205</x:v>
      </x:c>
      <x:c r="L1029" t="str">
        <x:f>IF($A1029="","",IFERROR(INDEX(Assumptions!$O$5:$O$10,MATCH(1,(Assumptions!$P$5:$P$10=$B1029)*(Assumptions!$Q$5:$Q$10&lt;=$A1029)*(Assumptions!$R$5:$R$10&gt;=$A1029),0)),""))</x:f>
      </x:c>
      <x:c r="M1029" t="n">
        <x:f>--($A1029&lt;&gt;"")</x:f>
        <x:v>1</x:v>
      </x:c>
    </x:row>
    <x:row r="1030">
      <x:c r="A1030" s="10" t="n">
        <x:f>IF(Assumptions!$B$5+INT((ROW()-2)/Assumptions!$B$7)&gt;Assumptions!$B$6,"",Assumptions!$B$5+INT((ROW()-2)/Assumptions!$B$7))</x:f>
        <x:v>46228</x:v>
      </x:c>
      <x:c r="B1030" t="str">
        <x:f>IF($A1030="","",INDEX(Assumptions!$D$5:$D$12,MOD(ROW()-2,Assumptions!$B$7)+1))</x:f>
        <x:v>Hadley's Hope</x:v>
      </x:c>
      <x:c r="C1030" s="11" t="n">
        <x:f>IF($A1030="","",INDEX(Assumptions!$F$5:$F$12,MATCH($B1030,Assumptions!$D$5:$D$12,0)))</x:f>
        <x:v>845</x:v>
      </x:c>
      <x:c r="D1030" s="11" t="n">
        <x:f>IF($A1030="","",INDEX(Assumptions!$G$5:$G$12,MATCH($B1030,Assumptions!$D$5:$D$12,0)))</x:f>
        <x:v>80</x:v>
      </x:c>
      <x:c r="E1030" s="11" t="n">
        <x:f>IF($A1030="","",INDEX(Assumptions!$M$5:$M$11,WEEKDAY($A1030,2)))</x:f>
        <x:v>0.91</x:v>
      </x:c>
      <x:c r="F1030" s="11" t="n">
        <x:f>IF($A1030="","",Assumptions!$B$15)</x:f>
        <x:v>0.35</x:v>
      </x:c>
      <x:c r="G1030" s="11" t="n">
        <x:f>IF($A1030="","",MAX(INDEX(Assumptions!$H$5:$H$12,MATCH($B1030,Assumptions!$D$5:$D$12,0)),MIN(INDEX(Assumptions!$I$5:$I$12,MATCH($B1030,Assumptions!$D$5:$D$12,0)),($C1030+$D1030*SQRT(-2*LN(RAND()))*COS(2*PI()*RAND()))*$E1030*$J1030*$K1030)))</x:f>
        <x:v>745.8633311142243</x:v>
      </x:c>
      <x:c r="H1030" s="11" t="n">
        <x:f>IF($A1030="","",$G1030*$F1030+$C1030*(1-$F1030))</x:f>
        <x:v>810.3021658899785</x:v>
      </x:c>
      <x:c r="I1030" s="11" t="n">
        <x:f>IF($A1030="","",AVERAGE($H1030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835.5831380376337</x:v>
      </x:c>
      <x:c r="J1030" s="12" t="n">
        <x:f>IF($A1030="","",1+SUMIFS(Assumptions!$S$5:$S$10,Assumptions!$P$5:$P$10,$B1030,Assumptions!$Q$5:$Q$10,"&lt;="&amp;$A1030,Assumptions!$R$5:$R$10,"&gt;="&amp;$A1030))</x:f>
        <x:v>1</x:v>
      </x:c>
      <x:c r="K1030" s="12" t="n">
        <x:f>IF($A1030="","",1+((($A1030-Assumptions!$B$5)/30)*INDEX(Assumptions!$J$5:$J$12,MATCH($B1030,Assumptions!$D$5:$D$12,0))))</x:f>
        <x:v>1.0068333333333332</x:v>
      </x:c>
      <x:c r="L1030" t="str">
        <x:f>IF($A1030="","",IFERROR(INDEX(Assumptions!$O$5:$O$10,MATCH(1,(Assumptions!$P$5:$P$10=$B1030)*(Assumptions!$Q$5:$Q$10&lt;=$A1030)*(Assumptions!$R$5:$R$10&gt;=$A1030),0)),""))</x:f>
      </x:c>
      <x:c r="M1030" t="n">
        <x:f>--($A1030&lt;&gt;"")</x:f>
        <x:v>1</x:v>
      </x:c>
    </x:row>
    <x:row r="1031">
      <x:c r="A1031" s="10" t="n">
        <x:f>IF(Assumptions!$B$5+INT((ROW()-2)/Assumptions!$B$7)&gt;Assumptions!$B$6,"",Assumptions!$B$5+INT((ROW()-2)/Assumptions!$B$7))</x:f>
        <x:v>46228</x:v>
      </x:c>
      <x:c r="B1031" t="str">
        <x:f>IF($A1031="","",INDEX(Assumptions!$D$5:$D$12,MOD(ROW()-2,Assumptions!$B$7)+1))</x:f>
        <x:v>Yutani Ridge</x:v>
      </x:c>
      <x:c r="C1031" s="11" t="n">
        <x:f>IF($A1031="","",INDEX(Assumptions!$F$5:$F$12,MATCH($B1031,Assumptions!$D$5:$D$12,0)))</x:f>
        <x:v>1050</x:v>
      </x:c>
      <x:c r="D1031" s="11" t="n">
        <x:f>IF($A1031="","",INDEX(Assumptions!$G$5:$G$12,MATCH($B1031,Assumptions!$D$5:$D$12,0)))</x:f>
        <x:v>125</x:v>
      </x:c>
      <x:c r="E1031" s="11" t="n">
        <x:f>IF($A1031="","",INDEX(Assumptions!$M$5:$M$11,WEEKDAY($A1031,2)))</x:f>
        <x:v>0.91</x:v>
      </x:c>
      <x:c r="F1031" s="11" t="n">
        <x:f>IF($A1031="","",Assumptions!$B$15)</x:f>
        <x:v>0.35</x:v>
      </x:c>
      <x:c r="G1031" s="11" t="n">
        <x:f>IF($A1031="","",MAX(INDEX(Assumptions!$H$5:$H$12,MATCH($B1031,Assumptions!$D$5:$D$12,0)),MIN(INDEX(Assumptions!$I$5:$I$12,MATCH($B1031,Assumptions!$D$5:$D$12,0)),($C1031+$D1031*SQRT(-2*LN(RAND()))*COS(2*PI()*RAND()))*$E1031*$J1031*$K1031)))</x:f>
        <x:v>1139.656847752287</x:v>
      </x:c>
      <x:c r="H1031" s="11" t="n">
        <x:f>IF($A1031="","",$G1031*$F1031+$C1031*(1-$F1031))</x:f>
        <x:v>1081.3798967133005</x:v>
      </x:c>
      <x:c r="I1031" s="11" t="n">
        <x:f>IF($A1031="","",AVERAGE($H1031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1088.6160754128982</x:v>
      </x:c>
      <x:c r="J1031" s="12" t="n">
        <x:f>IF($A1031="","",1+SUMIFS(Assumptions!$S$5:$S$10,Assumptions!$P$5:$P$10,$B1031,Assumptions!$Q$5:$Q$10,"&lt;="&amp;$A1031,Assumptions!$R$5:$R$10,"&gt;="&amp;$A1031))</x:f>
        <x:v>1</x:v>
      </x:c>
      <x:c r="K1031" s="12" t="n">
        <x:f>IF($A1031="","",1+((($A1031-Assumptions!$B$5)/30)*INDEX(Assumptions!$J$5:$J$12,MATCH($B1031,Assumptions!$D$5:$D$12,0))))</x:f>
        <x:v>1.0170833333333333</x:v>
      </x:c>
      <x:c r="L1031" t="str">
        <x:f>IF($A1031="","",IFERROR(INDEX(Assumptions!$O$5:$O$10,MATCH(1,(Assumptions!$P$5:$P$10=$B1031)*(Assumptions!$Q$5:$Q$10&lt;=$A1031)*(Assumptions!$R$5:$R$10&gt;=$A1031),0)),""))</x:f>
      </x:c>
      <x:c r="M1031" t="n">
        <x:f>--($A1031&lt;&gt;"")</x:f>
        <x:v>1</x:v>
      </x:c>
    </x:row>
    <x:row r="1032">
      <x:c r="A1032" s="10" t="n">
        <x:f>IF(Assumptions!$B$5+INT((ROW()-2)/Assumptions!$B$7)&gt;Assumptions!$B$6,"",Assumptions!$B$5+INT((ROW()-2)/Assumptions!$B$7))</x:f>
        <x:v>46229</x:v>
      </x:c>
      <x:c r="B1032" t="str">
        <x:f>IF($A1032="","",INDEX(Assumptions!$D$5:$D$12,MOD(ROW()-2,Assumptions!$B$7)+1))</x:f>
        <x:v>Acheron Prime</x:v>
      </x:c>
      <x:c r="C1032" s="11" t="n">
        <x:f>IF($A1032="","",INDEX(Assumptions!$F$5:$F$12,MATCH($B1032,Assumptions!$D$5:$D$12,0)))</x:f>
        <x:v>1120</x:v>
      </x:c>
      <x:c r="D1032" s="11" t="n">
        <x:f>IF($A1032="","",INDEX(Assumptions!$G$5:$G$12,MATCH($B1032,Assumptions!$D$5:$D$12,0)))</x:f>
        <x:v>115</x:v>
      </x:c>
      <x:c r="E1032" s="11" t="n">
        <x:f>IF($A1032="","",INDEX(Assumptions!$M$5:$M$11,WEEKDAY($A1032,2)))</x:f>
        <x:v>0.87</x:v>
      </x:c>
      <x:c r="F1032" s="11" t="n">
        <x:f>IF($A1032="","",Assumptions!$B$15)</x:f>
        <x:v>0.35</x:v>
      </x:c>
      <x:c r="G1032" s="11" t="n">
        <x:f>IF($A1032="","",MAX(INDEX(Assumptions!$H$5:$H$12,MATCH($B1032,Assumptions!$D$5:$D$12,0)),MIN(INDEX(Assumptions!$I$5:$I$12,MATCH($B1032,Assumptions!$D$5:$D$12,0)),($C1032+$D1032*SQRT(-2*LN(RAND()))*COS(2*PI()*RAND()))*$E1032*$J1032*$K1032)))</x:f>
        <x:v>1063.9188643899988</x:v>
      </x:c>
      <x:c r="H1032" s="11" t="n">
        <x:f>IF($A1032="","",$G1032*$F1032+$C1032*(1-$F1032))</x:f>
        <x:v>1100.3716025364995</x:v>
      </x:c>
      <x:c r="I1032" s="11" t="n">
        <x:f>IF($A1032="","",AVERAGE($H1032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1069.0590242418987</x:v>
      </x:c>
      <x:c r="J1032" s="12" t="n">
        <x:f>IF($A1032="","",1+SUMIFS(Assumptions!$S$5:$S$10,Assumptions!$P$5:$P$10,$B1032,Assumptions!$Q$5:$Q$10,"&lt;="&amp;$A1032,Assumptions!$R$5:$R$10,"&gt;="&amp;$A1032))</x:f>
        <x:v>1</x:v>
      </x:c>
      <x:c r="K1032" s="12" t="n">
        <x:f>IF($A1032="","",1+((($A1032-Assumptions!$B$5)/30)*INDEX(Assumptions!$J$5:$J$12,MATCH($B1032,Assumptions!$D$5:$D$12,0))))</x:f>
        <x:v>1.0137333333333334</x:v>
      </x:c>
      <x:c r="L1032" t="str">
        <x:f>IF($A1032="","",IFERROR(INDEX(Assumptions!$O$5:$O$10,MATCH(1,(Assumptions!$P$5:$P$10=$B1032)*(Assumptions!$Q$5:$Q$10&lt;=$A1032)*(Assumptions!$R$5:$R$10&gt;=$A1032),0)),""))</x:f>
      </x:c>
      <x:c r="M1032" t="n">
        <x:f>--($A1032&lt;&gt;"")</x:f>
        <x:v>1</x:v>
      </x:c>
    </x:row>
    <x:row r="1033">
      <x:c r="A1033" s="10" t="n">
        <x:f>IF(Assumptions!$B$5+INT((ROW()-2)/Assumptions!$B$7)&gt;Assumptions!$B$6,"",Assumptions!$B$5+INT((ROW()-2)/Assumptions!$B$7))</x:f>
        <x:v>46229</x:v>
      </x:c>
      <x:c r="B1033" t="str">
        <x:f>IF($A1033="","",INDEX(Assumptions!$D$5:$D$12,MOD(ROW()-2,Assumptions!$B$7)+1))</x:f>
        <x:v>LV-426 North</x:v>
      </x:c>
      <x:c r="C1033" s="11" t="n">
        <x:f>IF($A1033="","",INDEX(Assumptions!$F$5:$F$12,MATCH($B1033,Assumptions!$D$5:$D$12,0)))</x:f>
        <x:v>930</x:v>
      </x:c>
      <x:c r="D1033" s="11" t="n">
        <x:f>IF($A1033="","",INDEX(Assumptions!$G$5:$G$12,MATCH($B1033,Assumptions!$D$5:$D$12,0)))</x:f>
        <x:v>95</x:v>
      </x:c>
      <x:c r="E1033" s="11" t="n">
        <x:f>IF($A1033="","",INDEX(Assumptions!$M$5:$M$11,WEEKDAY($A1033,2)))</x:f>
        <x:v>0.87</x:v>
      </x:c>
      <x:c r="F1033" s="11" t="n">
        <x:f>IF($A1033="","",Assumptions!$B$15)</x:f>
        <x:v>0.35</x:v>
      </x:c>
      <x:c r="G1033" s="11" t="n">
        <x:f>IF($A1033="","",MAX(INDEX(Assumptions!$H$5:$H$12,MATCH($B1033,Assumptions!$D$5:$D$12,0)),MIN(INDEX(Assumptions!$I$5:$I$12,MATCH($B1033,Assumptions!$D$5:$D$12,0)),($C1033+$D1033*SQRT(-2*LN(RAND()))*COS(2*PI()*RAND()))*$E1033*$J1033*$K1033)))</x:f>
        <x:v>809.3878175249789</x:v>
      </x:c>
      <x:c r="H1033" s="11" t="n">
        <x:f>IF($A1033="","",$G1033*$F1033+$C1033*(1-$F1033))</x:f>
        <x:v>887.7857361337426</x:v>
      </x:c>
      <x:c r="I1033" s="11" t="n">
        <x:f>IF($A1033="","",AVERAGE($H1033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937.7777098295264</x:v>
      </x:c>
      <x:c r="J1033" s="12" t="n">
        <x:f>IF($A1033="","",1+SUMIFS(Assumptions!$S$5:$S$10,Assumptions!$P$5:$P$10,$B1033,Assumptions!$Q$5:$Q$10,"&lt;="&amp;$A1033,Assumptions!$R$5:$R$10,"&gt;="&amp;$A1033))</x:f>
        <x:v>1</x:v>
      </x:c>
      <x:c r="K1033" s="12" t="n">
        <x:f>IF($A1033="","",1+((($A1033-Assumptions!$B$5)/30)*INDEX(Assumptions!$J$5:$J$12,MATCH($B1033,Assumptions!$D$5:$D$12,0))))</x:f>
        <x:v>0.9931333333333333</x:v>
      </x:c>
      <x:c r="L1033" t="str">
        <x:f>IF($A1033="","",IFERROR(INDEX(Assumptions!$O$5:$O$10,MATCH(1,(Assumptions!$P$5:$P$10=$B1033)*(Assumptions!$Q$5:$Q$10&lt;=$A1033)*(Assumptions!$R$5:$R$10&gt;=$A1033),0)),""))</x:f>
      </x:c>
      <x:c r="M1033" t="n">
        <x:f>--($A1033&lt;&gt;"")</x:f>
        <x:v>1</x:v>
      </x:c>
    </x:row>
    <x:row r="1034">
      <x:c r="A1034" s="10" t="n">
        <x:f>IF(Assumptions!$B$5+INT((ROW()-2)/Assumptions!$B$7)&gt;Assumptions!$B$6,"",Assumptions!$B$5+INT((ROW()-2)/Assumptions!$B$7))</x:f>
        <x:v>46229</x:v>
      </x:c>
      <x:c r="B1034" t="str">
        <x:f>IF($A1034="","",INDEX(Assumptions!$D$5:$D$12,MOD(ROW()-2,Assumptions!$B$7)+1))</x:f>
        <x:v>Nostromo Deep</x:v>
      </x:c>
      <x:c r="C1034" s="11" t="n">
        <x:f>IF($A1034="","",INDEX(Assumptions!$F$5:$F$12,MATCH($B1034,Assumptions!$D$5:$D$12,0)))</x:f>
        <x:v>1260</x:v>
      </x:c>
      <x:c r="D1034" s="11" t="n">
        <x:f>IF($A1034="","",INDEX(Assumptions!$G$5:$G$12,MATCH($B1034,Assumptions!$D$5:$D$12,0)))</x:f>
        <x:v>145</x:v>
      </x:c>
      <x:c r="E1034" s="11" t="n">
        <x:f>IF($A1034="","",INDEX(Assumptions!$M$5:$M$11,WEEKDAY($A1034,2)))</x:f>
        <x:v>0.87</x:v>
      </x:c>
      <x:c r="F1034" s="11" t="n">
        <x:f>IF($A1034="","",Assumptions!$B$15)</x:f>
        <x:v>0.35</x:v>
      </x:c>
      <x:c r="G1034" s="11" t="n">
        <x:f>IF($A1034="","",MAX(INDEX(Assumptions!$H$5:$H$12,MATCH($B1034,Assumptions!$D$5:$D$12,0)),MIN(INDEX(Assumptions!$I$5:$I$12,MATCH($B1034,Assumptions!$D$5:$D$12,0)),($C1034+$D1034*SQRT(-2*LN(RAND()))*COS(2*PI()*RAND()))*$E1034*$J1034*$K1034)))</x:f>
        <x:v>1050.2424675068692</x:v>
      </x:c>
      <x:c r="H1034" s="11" t="n">
        <x:f>IF($A1034="","",$G1034*$F1034+$C1034*(1-$F1034))</x:f>
        <x:v>1186.584863627404</x:v>
      </x:c>
      <x:c r="I1034" s="11" t="n">
        <x:f>IF($A1034="","",AVERAGE($H1034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1255.324890146797</x:v>
      </x:c>
      <x:c r="J1034" s="12" t="n">
        <x:f>IF($A1034="","",1+SUMIFS(Assumptions!$S$5:$S$10,Assumptions!$P$5:$P$10,$B1034,Assumptions!$Q$5:$Q$10,"&lt;="&amp;$A1034,Assumptions!$R$5:$R$10,"&gt;="&amp;$A1034))</x:f>
        <x:v>1</x:v>
      </x:c>
      <x:c r="K1034" s="12" t="n">
        <x:f>IF($A1034="","",1+((($A1034-Assumptions!$B$5)/30)*INDEX(Assumptions!$J$5:$J$12,MATCH($B1034,Assumptions!$D$5:$D$12,0))))</x:f>
        <x:v>1.0206</x:v>
      </x:c>
      <x:c r="L1034" t="str">
        <x:f>IF($A1034="","",IFERROR(INDEX(Assumptions!$O$5:$O$10,MATCH(1,(Assumptions!$P$5:$P$10=$B1034)*(Assumptions!$Q$5:$Q$10&lt;=$A1034)*(Assumptions!$R$5:$R$10&gt;=$A1034),0)),""))</x:f>
      </x:c>
      <x:c r="M1034" t="n">
        <x:f>--($A1034&lt;&gt;"")</x:f>
        <x:v>1</x:v>
      </x:c>
    </x:row>
    <x:row r="1035">
      <x:c r="A1035" s="10" t="n">
        <x:f>IF(Assumptions!$B$5+INT((ROW()-2)/Assumptions!$B$7)&gt;Assumptions!$B$6,"",Assumptions!$B$5+INT((ROW()-2)/Assumptions!$B$7))</x:f>
        <x:v>46229</x:v>
      </x:c>
      <x:c r="B1035" t="str">
        <x:f>IF($A1035="","",INDEX(Assumptions!$D$5:$D$12,MOD(ROW()-2,Assumptions!$B$7)+1))</x:f>
        <x:v>Hadley's Hope</x:v>
      </x:c>
      <x:c r="C1035" s="11" t="n">
        <x:f>IF($A1035="","",INDEX(Assumptions!$F$5:$F$12,MATCH($B1035,Assumptions!$D$5:$D$12,0)))</x:f>
        <x:v>845</x:v>
      </x:c>
      <x:c r="D1035" s="11" t="n">
        <x:f>IF($A1035="","",INDEX(Assumptions!$G$5:$G$12,MATCH($B1035,Assumptions!$D$5:$D$12,0)))</x:f>
        <x:v>80</x:v>
      </x:c>
      <x:c r="E1035" s="11" t="n">
        <x:f>IF($A1035="","",INDEX(Assumptions!$M$5:$M$11,WEEKDAY($A1035,2)))</x:f>
        <x:v>0.87</x:v>
      </x:c>
      <x:c r="F1035" s="11" t="n">
        <x:f>IF($A1035="","",Assumptions!$B$15)</x:f>
        <x:v>0.35</x:v>
      </x:c>
      <x:c r="G1035" s="11" t="n">
        <x:f>IF($A1035="","",MAX(INDEX(Assumptions!$H$5:$H$12,MATCH($B1035,Assumptions!$D$5:$D$12,0)),MIN(INDEX(Assumptions!$I$5:$I$12,MATCH($B1035,Assumptions!$D$5:$D$12,0)),($C1035+$D1035*SQRT(-2*LN(RAND()))*COS(2*PI()*RAND()))*$E1035*$J1035*$K1035)))</x:f>
        <x:v>713.3326470315267</x:v>
      </x:c>
      <x:c r="H1035" s="11" t="n">
        <x:f>IF($A1035="","",$G1035*$F1035+$C1035*(1-$F1035))</x:f>
        <x:v>798.9164264610343</x:v>
      </x:c>
      <x:c r="I1035" s="11" t="n">
        <x:f>IF($A1035="","",AVERAGE($H1035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833.2642847416533</x:v>
      </x:c>
      <x:c r="J1035" s="12" t="n">
        <x:f>IF($A1035="","",1+SUMIFS(Assumptions!$S$5:$S$10,Assumptions!$P$5:$P$10,$B1035,Assumptions!$Q$5:$Q$10,"&lt;="&amp;$A1035,Assumptions!$R$5:$R$10,"&gt;="&amp;$A1035))</x:f>
        <x:v>1</x:v>
      </x:c>
      <x:c r="K1035" s="12" t="n">
        <x:f>IF($A1035="","",1+((($A1035-Assumptions!$B$5)/30)*INDEX(Assumptions!$J$5:$J$12,MATCH($B1035,Assumptions!$D$5:$D$12,0))))</x:f>
        <x:v>1.0068666666666666</x:v>
      </x:c>
      <x:c r="L1035" t="str">
        <x:f>IF($A1035="","",IFERROR(INDEX(Assumptions!$O$5:$O$10,MATCH(1,(Assumptions!$P$5:$P$10=$B1035)*(Assumptions!$Q$5:$Q$10&lt;=$A1035)*(Assumptions!$R$5:$R$10&gt;=$A1035),0)),""))</x:f>
      </x:c>
      <x:c r="M1035" t="n">
        <x:f>--($A1035&lt;&gt;"")</x:f>
        <x:v>1</x:v>
      </x:c>
    </x:row>
    <x:row r="1036">
      <x:c r="A1036" s="10" t="n">
        <x:f>IF(Assumptions!$B$5+INT((ROW()-2)/Assumptions!$B$7)&gt;Assumptions!$B$6,"",Assumptions!$B$5+INT((ROW()-2)/Assumptions!$B$7))</x:f>
        <x:v>46229</x:v>
      </x:c>
      <x:c r="B1036" t="str">
        <x:f>IF($A1036="","",INDEX(Assumptions!$D$5:$D$12,MOD(ROW()-2,Assumptions!$B$7)+1))</x:f>
        <x:v>Yutani Ridge</x:v>
      </x:c>
      <x:c r="C1036" s="11" t="n">
        <x:f>IF($A1036="","",INDEX(Assumptions!$F$5:$F$12,MATCH($B1036,Assumptions!$D$5:$D$12,0)))</x:f>
        <x:v>1050</x:v>
      </x:c>
      <x:c r="D1036" s="11" t="n">
        <x:f>IF($A1036="","",INDEX(Assumptions!$G$5:$G$12,MATCH($B1036,Assumptions!$D$5:$D$12,0)))</x:f>
        <x:v>125</x:v>
      </x:c>
      <x:c r="E1036" s="11" t="n">
        <x:f>IF($A1036="","",INDEX(Assumptions!$M$5:$M$11,WEEKDAY($A1036,2)))</x:f>
        <x:v>0.87</x:v>
      </x:c>
      <x:c r="F1036" s="11" t="n">
        <x:f>IF($A1036="","",Assumptions!$B$15)</x:f>
        <x:v>0.35</x:v>
      </x:c>
      <x:c r="G1036" s="11" t="n">
        <x:f>IF($A1036="","",MAX(INDEX(Assumptions!$H$5:$H$12,MATCH($B1036,Assumptions!$D$5:$D$12,0)),MIN(INDEX(Assumptions!$I$5:$I$12,MATCH($B1036,Assumptions!$D$5:$D$12,0)),($C1036+$D1036*SQRT(-2*LN(RAND()))*COS(2*PI()*RAND()))*$E1036*$J1036*$K1036)))</x:f>
        <x:v>850.712933823159</x:v>
      </x:c>
      <x:c r="H1036" s="11" t="n">
        <x:f>IF($A1036="","",$G1036*$F1036+$C1036*(1-$F1036))</x:f>
        <x:v>980.2495268381056</x:v>
      </x:c>
      <x:c r="I1036" s="11" t="n">
        <x:f>IF($A1036="","",AVERAGE($H1036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1077.3907292527063</x:v>
      </x:c>
      <x:c r="J1036" s="12" t="n">
        <x:f>IF($A1036="","",1+SUMIFS(Assumptions!$S$5:$S$10,Assumptions!$P$5:$P$10,$B1036,Assumptions!$Q$5:$Q$10,"&lt;="&amp;$A1036,Assumptions!$R$5:$R$10,"&gt;="&amp;$A1036))</x:f>
        <x:v>1</x:v>
      </x:c>
      <x:c r="K1036" s="12" t="n">
        <x:f>IF($A1036="","",1+((($A1036-Assumptions!$B$5)/30)*INDEX(Assumptions!$J$5:$J$12,MATCH($B1036,Assumptions!$D$5:$D$12,0))))</x:f>
        <x:v>1.0171666666666668</x:v>
      </x:c>
      <x:c r="L1036" t="str">
        <x:f>IF($A1036="","",IFERROR(INDEX(Assumptions!$O$5:$O$10,MATCH(1,(Assumptions!$P$5:$P$10=$B1036)*(Assumptions!$Q$5:$Q$10&lt;=$A1036)*(Assumptions!$R$5:$R$10&gt;=$A1036),0)),""))</x:f>
      </x:c>
      <x:c r="M1036" t="n">
        <x:f>--($A1036&lt;&gt;"")</x:f>
        <x:v>1</x:v>
      </x:c>
    </x:row>
    <x:row r="1037">
      <x:c r="A1037" s="10" t="n">
        <x:f>IF(Assumptions!$B$5+INT((ROW()-2)/Assumptions!$B$7)&gt;Assumptions!$B$6,"",Assumptions!$B$5+INT((ROW()-2)/Assumptions!$B$7))</x:f>
        <x:v>46230</x:v>
      </x:c>
      <x:c r="B1037" t="str">
        <x:f>IF($A1037="","",INDEX(Assumptions!$D$5:$D$12,MOD(ROW()-2,Assumptions!$B$7)+1))</x:f>
        <x:v>Acheron Prime</x:v>
      </x:c>
      <x:c r="C1037" s="11" t="n">
        <x:f>IF($A1037="","",INDEX(Assumptions!$F$5:$F$12,MATCH($B1037,Assumptions!$D$5:$D$12,0)))</x:f>
        <x:v>1120</x:v>
      </x:c>
      <x:c r="D1037" s="11" t="n">
        <x:f>IF($A1037="","",INDEX(Assumptions!$G$5:$G$12,MATCH($B1037,Assumptions!$D$5:$D$12,0)))</x:f>
        <x:v>115</x:v>
      </x:c>
      <x:c r="E1037" s="11" t="n">
        <x:f>IF($A1037="","",INDEX(Assumptions!$M$5:$M$11,WEEKDAY($A1037,2)))</x:f>
        <x:v>1.03</x:v>
      </x:c>
      <x:c r="F1037" s="11" t="n">
        <x:f>IF($A1037="","",Assumptions!$B$15)</x:f>
        <x:v>0.35</x:v>
      </x:c>
      <x:c r="G1037" s="11" t="n">
        <x:f>IF($A1037="","",MAX(INDEX(Assumptions!$H$5:$H$12,MATCH($B1037,Assumptions!$D$5:$D$12,0)),MIN(INDEX(Assumptions!$I$5:$I$12,MATCH($B1037,Assumptions!$D$5:$D$12,0)),($C1037+$D1037*SQRT(-2*LN(RAND()))*COS(2*PI()*RAND()))*$E1037*$J1037*$K1037)))</x:f>
        <x:v>1157.2432427912206</x:v>
      </x:c>
      <x:c r="H1037" s="11" t="n">
        <x:f>IF($A1037="","",$G1037*$F1037+$C1037*(1-$F1037))</x:f>
        <x:v>1133.035134976927</x:v>
      </x:c>
      <x:c r="I1037" s="11" t="n">
        <x:f>IF($A1037="","",AVERAGE($H1037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1080.2620743024586</x:v>
      </x:c>
      <x:c r="J1037" s="12" t="n">
        <x:f>IF($A1037="","",1+SUMIFS(Assumptions!$S$5:$S$10,Assumptions!$P$5:$P$10,$B1037,Assumptions!$Q$5:$Q$10,"&lt;="&amp;$A1037,Assumptions!$R$5:$R$10,"&gt;="&amp;$A1037))</x:f>
        <x:v>1</x:v>
      </x:c>
      <x:c r="K1037" s="12" t="n">
        <x:f>IF($A1037="","",1+((($A1037-Assumptions!$B$5)/30)*INDEX(Assumptions!$J$5:$J$12,MATCH($B1037,Assumptions!$D$5:$D$12,0))))</x:f>
        <x:v>1.0138</x:v>
      </x:c>
      <x:c r="L1037" t="str">
        <x:f>IF($A1037="","",IFERROR(INDEX(Assumptions!$O$5:$O$10,MATCH(1,(Assumptions!$P$5:$P$10=$B1037)*(Assumptions!$Q$5:$Q$10&lt;=$A1037)*(Assumptions!$R$5:$R$10&gt;=$A1037),0)),""))</x:f>
      </x:c>
      <x:c r="M1037" t="n">
        <x:f>--($A1037&lt;&gt;"")</x:f>
        <x:v>1</x:v>
      </x:c>
    </x:row>
    <x:row r="1038">
      <x:c r="A1038" s="10" t="n">
        <x:f>IF(Assumptions!$B$5+INT((ROW()-2)/Assumptions!$B$7)&gt;Assumptions!$B$6,"",Assumptions!$B$5+INT((ROW()-2)/Assumptions!$B$7))</x:f>
        <x:v>46230</x:v>
      </x:c>
      <x:c r="B1038" t="str">
        <x:f>IF($A1038="","",INDEX(Assumptions!$D$5:$D$12,MOD(ROW()-2,Assumptions!$B$7)+1))</x:f>
        <x:v>LV-426 North</x:v>
      </x:c>
      <x:c r="C1038" s="11" t="n">
        <x:f>IF($A1038="","",INDEX(Assumptions!$F$5:$F$12,MATCH($B1038,Assumptions!$D$5:$D$12,0)))</x:f>
        <x:v>930</x:v>
      </x:c>
      <x:c r="D1038" s="11" t="n">
        <x:f>IF($A1038="","",INDEX(Assumptions!$G$5:$G$12,MATCH($B1038,Assumptions!$D$5:$D$12,0)))</x:f>
        <x:v>95</x:v>
      </x:c>
      <x:c r="E1038" s="11" t="n">
        <x:f>IF($A1038="","",INDEX(Assumptions!$M$5:$M$11,WEEKDAY($A1038,2)))</x:f>
        <x:v>1.03</x:v>
      </x:c>
      <x:c r="F1038" s="11" t="n">
        <x:f>IF($A1038="","",Assumptions!$B$15)</x:f>
        <x:v>0.35</x:v>
      </x:c>
      <x:c r="G1038" s="11" t="n">
        <x:f>IF($A1038="","",MAX(INDEX(Assumptions!$H$5:$H$12,MATCH($B1038,Assumptions!$D$5:$D$12,0)),MIN(INDEX(Assumptions!$I$5:$I$12,MATCH($B1038,Assumptions!$D$5:$D$12,0)),($C1038+$D1038*SQRT(-2*LN(RAND()))*COS(2*PI()*RAND()))*$E1038*$J1038*$K1038)))</x:f>
        <x:v>754.0342647119863</x:v>
      </x:c>
      <x:c r="H1038" s="11" t="n">
        <x:f>IF($A1038="","",$G1038*$F1038+$C1038*(1-$F1038))</x:f>
        <x:v>868.4119926491952</x:v>
      </x:c>
      <x:c r="I1038" s="11" t="n">
        <x:f>IF($A1038="","",AVERAGE($H1038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923.0654547605938</x:v>
      </x:c>
      <x:c r="J1038" s="12" t="n">
        <x:f>IF($A1038="","",1+SUMIFS(Assumptions!$S$5:$S$10,Assumptions!$P$5:$P$10,$B1038,Assumptions!$Q$5:$Q$10,"&lt;="&amp;$A1038,Assumptions!$R$5:$R$10,"&gt;="&amp;$A1038))</x:f>
        <x:v>1</x:v>
      </x:c>
      <x:c r="K1038" s="12" t="n">
        <x:f>IF($A1038="","",1+((($A1038-Assumptions!$B$5)/30)*INDEX(Assumptions!$J$5:$J$12,MATCH($B1038,Assumptions!$D$5:$D$12,0))))</x:f>
        <x:v>0.9931</x:v>
      </x:c>
      <x:c r="L1038" t="str">
        <x:f>IF($A1038="","",IFERROR(INDEX(Assumptions!$O$5:$O$10,MATCH(1,(Assumptions!$P$5:$P$10=$B1038)*(Assumptions!$Q$5:$Q$10&lt;=$A1038)*(Assumptions!$R$5:$R$10&gt;=$A1038),0)),""))</x:f>
      </x:c>
      <x:c r="M1038" t="n">
        <x:f>--($A1038&lt;&gt;"")</x:f>
        <x:v>1</x:v>
      </x:c>
    </x:row>
    <x:row r="1039">
      <x:c r="A1039" s="10" t="n">
        <x:f>IF(Assumptions!$B$5+INT((ROW()-2)/Assumptions!$B$7)&gt;Assumptions!$B$6,"",Assumptions!$B$5+INT((ROW()-2)/Assumptions!$B$7))</x:f>
        <x:v>46230</x:v>
      </x:c>
      <x:c r="B1039" t="str">
        <x:f>IF($A1039="","",INDEX(Assumptions!$D$5:$D$12,MOD(ROW()-2,Assumptions!$B$7)+1))</x:f>
        <x:v>Nostromo Deep</x:v>
      </x:c>
      <x:c r="C1039" s="11" t="n">
        <x:f>IF($A1039="","",INDEX(Assumptions!$F$5:$F$12,MATCH($B1039,Assumptions!$D$5:$D$12,0)))</x:f>
        <x:v>1260</x:v>
      </x:c>
      <x:c r="D1039" s="11" t="n">
        <x:f>IF($A1039="","",INDEX(Assumptions!$G$5:$G$12,MATCH($B1039,Assumptions!$D$5:$D$12,0)))</x:f>
        <x:v>145</x:v>
      </x:c>
      <x:c r="E1039" s="11" t="n">
        <x:f>IF($A1039="","",INDEX(Assumptions!$M$5:$M$11,WEEKDAY($A1039,2)))</x:f>
        <x:v>1.03</x:v>
      </x:c>
      <x:c r="F1039" s="11" t="n">
        <x:f>IF($A1039="","",Assumptions!$B$15)</x:f>
        <x:v>0.35</x:v>
      </x:c>
      <x:c r="G1039" s="11" t="n">
        <x:f>IF($A1039="","",MAX(INDEX(Assumptions!$H$5:$H$12,MATCH($B1039,Assumptions!$D$5:$D$12,0)),MIN(INDEX(Assumptions!$I$5:$I$12,MATCH($B1039,Assumptions!$D$5:$D$12,0)),($C1039+$D1039*SQRT(-2*LN(RAND()))*COS(2*PI()*RAND()))*$E1039*$J1039*$K1039)))</x:f>
        <x:v>1289.0638207754564</x:v>
      </x:c>
      <x:c r="H1039" s="11" t="n">
        <x:f>IF($A1039="","",$G1039*$F1039+$C1039*(1-$F1039))</x:f>
        <x:v>1270.1723372714098</x:v>
      </x:c>
      <x:c r="I1039" s="11" t="n">
        <x:f>IF($A1039="","",AVERAGE($H1039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1253.6361079912392</x:v>
      </x:c>
      <x:c r="J1039" s="12" t="n">
        <x:f>IF($A1039="","",1+SUMIFS(Assumptions!$S$5:$S$10,Assumptions!$P$5:$P$10,$B1039,Assumptions!$Q$5:$Q$10,"&lt;="&amp;$A1039,Assumptions!$R$5:$R$10,"&gt;="&amp;$A1039))</x:f>
        <x:v>1</x:v>
      </x:c>
      <x:c r="K1039" s="12" t="n">
        <x:f>IF($A1039="","",1+((($A1039-Assumptions!$B$5)/30)*INDEX(Assumptions!$J$5:$J$12,MATCH($B1039,Assumptions!$D$5:$D$12,0))))</x:f>
        <x:v>1.0207</x:v>
      </x:c>
      <x:c r="L1039" t="str">
        <x:f>IF($A1039="","",IFERROR(INDEX(Assumptions!$O$5:$O$10,MATCH(1,(Assumptions!$P$5:$P$10=$B1039)*(Assumptions!$Q$5:$Q$10&lt;=$A1039)*(Assumptions!$R$5:$R$10&gt;=$A1039),0)),""))</x:f>
      </x:c>
      <x:c r="M1039" t="n">
        <x:f>--($A1039&lt;&gt;"")</x:f>
        <x:v>1</x:v>
      </x:c>
    </x:row>
    <x:row r="1040">
      <x:c r="A1040" s="10" t="n">
        <x:f>IF(Assumptions!$B$5+INT((ROW()-2)/Assumptions!$B$7)&gt;Assumptions!$B$6,"",Assumptions!$B$5+INT((ROW()-2)/Assumptions!$B$7))</x:f>
        <x:v>46230</x:v>
      </x:c>
      <x:c r="B1040" t="str">
        <x:f>IF($A1040="","",INDEX(Assumptions!$D$5:$D$12,MOD(ROW()-2,Assumptions!$B$7)+1))</x:f>
        <x:v>Hadley's Hope</x:v>
      </x:c>
      <x:c r="C1040" s="11" t="n">
        <x:f>IF($A1040="","",INDEX(Assumptions!$F$5:$F$12,MATCH($B1040,Assumptions!$D$5:$D$12,0)))</x:f>
        <x:v>845</x:v>
      </x:c>
      <x:c r="D1040" s="11" t="n">
        <x:f>IF($A1040="","",INDEX(Assumptions!$G$5:$G$12,MATCH($B1040,Assumptions!$D$5:$D$12,0)))</x:f>
        <x:v>80</x:v>
      </x:c>
      <x:c r="E1040" s="11" t="n">
        <x:f>IF($A1040="","",INDEX(Assumptions!$M$5:$M$11,WEEKDAY($A1040,2)))</x:f>
        <x:v>1.03</x:v>
      </x:c>
      <x:c r="F1040" s="11" t="n">
        <x:f>IF($A1040="","",Assumptions!$B$15)</x:f>
        <x:v>0.35</x:v>
      </x:c>
      <x:c r="G1040" s="11" t="n">
        <x:f>IF($A1040="","",MAX(INDEX(Assumptions!$H$5:$H$12,MATCH($B1040,Assumptions!$D$5:$D$12,0)),MIN(INDEX(Assumptions!$I$5:$I$12,MATCH($B1040,Assumptions!$D$5:$D$12,0)),($C1040+$D1040*SQRT(-2*LN(RAND()))*COS(2*PI()*RAND()))*$E1040*$J1040*$K1040)))</x:f>
        <x:v>917.3514078848515</x:v>
      </x:c>
      <x:c r="H1040" s="11" t="n">
        <x:f>IF($A1040="","",$G1040*$F1040+$C1040*(1-$F1040))</x:f>
        <x:v>870.3229927596981</x:v>
      </x:c>
      <x:c r="I1040" s="11" t="n">
        <x:f>IF($A1040="","",AVERAGE($H1040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826.9876353708688</x:v>
      </x:c>
      <x:c r="J1040" s="12" t="n">
        <x:f>IF($A1040="","",1+SUMIFS(Assumptions!$S$5:$S$10,Assumptions!$P$5:$P$10,$B1040,Assumptions!$Q$5:$Q$10,"&lt;="&amp;$A1040,Assumptions!$R$5:$R$10,"&gt;="&amp;$A1040))</x:f>
        <x:v>1</x:v>
      </x:c>
      <x:c r="K1040" s="12" t="n">
        <x:f>IF($A1040="","",1+((($A1040-Assumptions!$B$5)/30)*INDEX(Assumptions!$J$5:$J$12,MATCH($B1040,Assumptions!$D$5:$D$12,0))))</x:f>
        <x:v>1.0069</x:v>
      </x:c>
      <x:c r="L1040" t="str">
        <x:f>IF($A1040="","",IFERROR(INDEX(Assumptions!$O$5:$O$10,MATCH(1,(Assumptions!$P$5:$P$10=$B1040)*(Assumptions!$Q$5:$Q$10&lt;=$A1040)*(Assumptions!$R$5:$R$10&gt;=$A1040),0)),""))</x:f>
      </x:c>
      <x:c r="M1040" t="n">
        <x:f>--($A1040&lt;&gt;"")</x:f>
        <x:v>1</x:v>
      </x:c>
    </x:row>
    <x:row r="1041">
      <x:c r="A1041" s="10" t="n">
        <x:f>IF(Assumptions!$B$5+INT((ROW()-2)/Assumptions!$B$7)&gt;Assumptions!$B$6,"",Assumptions!$B$5+INT((ROW()-2)/Assumptions!$B$7))</x:f>
        <x:v>46230</x:v>
      </x:c>
      <x:c r="B1041" t="str">
        <x:f>IF($A1041="","",INDEX(Assumptions!$D$5:$D$12,MOD(ROW()-2,Assumptions!$B$7)+1))</x:f>
        <x:v>Yutani Ridge</x:v>
      </x:c>
      <x:c r="C1041" s="11" t="n">
        <x:f>IF($A1041="","",INDEX(Assumptions!$F$5:$F$12,MATCH($B1041,Assumptions!$D$5:$D$12,0)))</x:f>
        <x:v>1050</x:v>
      </x:c>
      <x:c r="D1041" s="11" t="n">
        <x:f>IF($A1041="","",INDEX(Assumptions!$G$5:$G$12,MATCH($B1041,Assumptions!$D$5:$D$12,0)))</x:f>
        <x:v>125</x:v>
      </x:c>
      <x:c r="E1041" s="11" t="n">
        <x:f>IF($A1041="","",INDEX(Assumptions!$M$5:$M$11,WEEKDAY($A1041,2)))</x:f>
        <x:v>1.03</x:v>
      </x:c>
      <x:c r="F1041" s="11" t="n">
        <x:f>IF($A1041="","",Assumptions!$B$15)</x:f>
        <x:v>0.35</x:v>
      </x:c>
      <x:c r="G1041" s="11" t="n">
        <x:f>IF($A1041="","",MAX(INDEX(Assumptions!$H$5:$H$12,MATCH($B1041,Assumptions!$D$5:$D$12,0)),MIN(INDEX(Assumptions!$I$5:$I$12,MATCH($B1041,Assumptions!$D$5:$D$12,0)),($C1041+$D1041*SQRT(-2*LN(RAND()))*COS(2*PI()*RAND()))*$E1041*$J1041*$K1041)))</x:f>
        <x:v>1052.998061678753</x:v>
      </x:c>
      <x:c r="H1041" s="11" t="n">
        <x:f>IF($A1041="","",$G1041*$F1041+$C1041*(1-$F1041))</x:f>
        <x:v>1051.0493215875636</x:v>
      </x:c>
      <x:c r="I1041" s="11" t="n">
        <x:f>IF($A1041="","",AVERAGE($H1041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1056.040632336644</x:v>
      </x:c>
      <x:c r="J1041" s="12" t="n">
        <x:f>IF($A1041="","",1+SUMIFS(Assumptions!$S$5:$S$10,Assumptions!$P$5:$P$10,$B1041,Assumptions!$Q$5:$Q$10,"&lt;="&amp;$A1041,Assumptions!$R$5:$R$10,"&gt;="&amp;$A1041))</x:f>
        <x:v>1</x:v>
      </x:c>
      <x:c r="K1041" s="12" t="n">
        <x:f>IF($A1041="","",1+((($A1041-Assumptions!$B$5)/30)*INDEX(Assumptions!$J$5:$J$12,MATCH($B1041,Assumptions!$D$5:$D$12,0))))</x:f>
        <x:v>1.01725</x:v>
      </x:c>
      <x:c r="L1041" t="str">
        <x:f>IF($A1041="","",IFERROR(INDEX(Assumptions!$O$5:$O$10,MATCH(1,(Assumptions!$P$5:$P$10=$B1041)*(Assumptions!$Q$5:$Q$10&lt;=$A1041)*(Assumptions!$R$5:$R$10&gt;=$A1041),0)),""))</x:f>
      </x:c>
      <x:c r="M1041" t="n">
        <x:f>--($A1041&lt;&gt;"")</x:f>
        <x:v>1</x:v>
      </x:c>
    </x:row>
    <x:row r="1042">
      <x:c r="A1042" s="10" t="n">
        <x:f>IF(Assumptions!$B$5+INT((ROW()-2)/Assumptions!$B$7)&gt;Assumptions!$B$6,"",Assumptions!$B$5+INT((ROW()-2)/Assumptions!$B$7))</x:f>
        <x:v>46231</x:v>
      </x:c>
      <x:c r="B1042" t="str">
        <x:f>IF($A1042="","",INDEX(Assumptions!$D$5:$D$12,MOD(ROW()-2,Assumptions!$B$7)+1))</x:f>
        <x:v>Acheron Prime</x:v>
      </x:c>
      <x:c r="C1042" s="11" t="n">
        <x:f>IF($A1042="","",INDEX(Assumptions!$F$5:$F$12,MATCH($B1042,Assumptions!$D$5:$D$12,0)))</x:f>
        <x:v>1120</x:v>
      </x:c>
      <x:c r="D1042" s="11" t="n">
        <x:f>IF($A1042="","",INDEX(Assumptions!$G$5:$G$12,MATCH($B1042,Assumptions!$D$5:$D$12,0)))</x:f>
        <x:v>115</x:v>
      </x:c>
      <x:c r="E1042" s="11" t="n">
        <x:f>IF($A1042="","",INDEX(Assumptions!$M$5:$M$11,WEEKDAY($A1042,2)))</x:f>
        <x:v>1.02</x:v>
      </x:c>
      <x:c r="F1042" s="11" t="n">
        <x:f>IF($A1042="","",Assumptions!$B$15)</x:f>
        <x:v>0.35</x:v>
      </x:c>
      <x:c r="G1042" s="11" t="n">
        <x:f>IF($A1042="","",MAX(INDEX(Assumptions!$H$5:$H$12,MATCH($B1042,Assumptions!$D$5:$D$12,0)),MIN(INDEX(Assumptions!$I$5:$I$12,MATCH($B1042,Assumptions!$D$5:$D$12,0)),($C1042+$D1042*SQRT(-2*LN(RAND()))*COS(2*PI()*RAND()))*$E1042*$J1042*$K1042)))</x:f>
        <x:v>1277.0720176982031</x:v>
      </x:c>
      <x:c r="H1042" s="11" t="n">
        <x:f>IF($A1042="","",$G1042*$F1042+$C1042*(1-$F1042))</x:f>
        <x:v>1174.9752061943711</x:v>
      </x:c>
      <x:c r="I1042" s="11" t="n">
        <x:f>IF($A1042="","",AVERAGE($H1042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1093.7308299224708</x:v>
      </x:c>
      <x:c r="J1042" s="12" t="n">
        <x:f>IF($A1042="","",1+SUMIFS(Assumptions!$S$5:$S$10,Assumptions!$P$5:$P$10,$B1042,Assumptions!$Q$5:$Q$10,"&lt;="&amp;$A1042,Assumptions!$R$5:$R$10,"&gt;="&amp;$A1042))</x:f>
        <x:v>1</x:v>
      </x:c>
      <x:c r="K1042" s="12" t="n">
        <x:f>IF($A1042="","",1+((($A1042-Assumptions!$B$5)/30)*INDEX(Assumptions!$J$5:$J$12,MATCH($B1042,Assumptions!$D$5:$D$12,0))))</x:f>
        <x:v>1.0138666666666667</x:v>
      </x:c>
      <x:c r="L1042" t="str">
        <x:f>IF($A1042="","",IFERROR(INDEX(Assumptions!$O$5:$O$10,MATCH(1,(Assumptions!$P$5:$P$10=$B1042)*(Assumptions!$Q$5:$Q$10&lt;=$A1042)*(Assumptions!$R$5:$R$10&gt;=$A1042),0)),""))</x:f>
      </x:c>
      <x:c r="M1042" t="n">
        <x:f>--($A1042&lt;&gt;"")</x:f>
        <x:v>1</x:v>
      </x:c>
    </x:row>
    <x:row r="1043">
      <x:c r="A1043" s="10" t="n">
        <x:f>IF(Assumptions!$B$5+INT((ROW()-2)/Assumptions!$B$7)&gt;Assumptions!$B$6,"",Assumptions!$B$5+INT((ROW()-2)/Assumptions!$B$7))</x:f>
        <x:v>46231</x:v>
      </x:c>
      <x:c r="B1043" t="str">
        <x:f>IF($A1043="","",INDEX(Assumptions!$D$5:$D$12,MOD(ROW()-2,Assumptions!$B$7)+1))</x:f>
        <x:v>LV-426 North</x:v>
      </x:c>
      <x:c r="C1043" s="11" t="n">
        <x:f>IF($A1043="","",INDEX(Assumptions!$F$5:$F$12,MATCH($B1043,Assumptions!$D$5:$D$12,0)))</x:f>
        <x:v>930</x:v>
      </x:c>
      <x:c r="D1043" s="11" t="n">
        <x:f>IF($A1043="","",INDEX(Assumptions!$G$5:$G$12,MATCH($B1043,Assumptions!$D$5:$D$12,0)))</x:f>
        <x:v>95</x:v>
      </x:c>
      <x:c r="E1043" s="11" t="n">
        <x:f>IF($A1043="","",INDEX(Assumptions!$M$5:$M$11,WEEKDAY($A1043,2)))</x:f>
        <x:v>1.02</x:v>
      </x:c>
      <x:c r="F1043" s="11" t="n">
        <x:f>IF($A1043="","",Assumptions!$B$15)</x:f>
        <x:v>0.35</x:v>
      </x:c>
      <x:c r="G1043" s="11" t="n">
        <x:f>IF($A1043="","",MAX(INDEX(Assumptions!$H$5:$H$12,MATCH($B1043,Assumptions!$D$5:$D$12,0)),MIN(INDEX(Assumptions!$I$5:$I$12,MATCH($B1043,Assumptions!$D$5:$D$12,0)),($C1043+$D1043*SQRT(-2*LN(RAND()))*COS(2*PI()*RAND()))*$E1043*$J1043*$K1043)))</x:f>
        <x:v>1151.3647578076063</x:v>
      </x:c>
      <x:c r="H1043" s="11" t="n">
        <x:f>IF($A1043="","",$G1043*$F1043+$C1043*(1-$F1043))</x:f>
        <x:v>1007.4776652326623</x:v>
      </x:c>
      <x:c r="I1043" s="11" t="n">
        <x:f>IF($A1043="","",AVERAGE($H1043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924.7033004278768</x:v>
      </x:c>
      <x:c r="J1043" s="12" t="n">
        <x:f>IF($A1043="","",1+SUMIFS(Assumptions!$S$5:$S$10,Assumptions!$P$5:$P$10,$B1043,Assumptions!$Q$5:$Q$10,"&lt;="&amp;$A1043,Assumptions!$R$5:$R$10,"&gt;="&amp;$A1043))</x:f>
        <x:v>1</x:v>
      </x:c>
      <x:c r="K1043" s="12" t="n">
        <x:f>IF($A1043="","",1+((($A1043-Assumptions!$B$5)/30)*INDEX(Assumptions!$J$5:$J$12,MATCH($B1043,Assumptions!$D$5:$D$12,0))))</x:f>
        <x:v>0.9930666666666667</x:v>
      </x:c>
      <x:c r="L1043" t="str">
        <x:f>IF($A1043="","",IFERROR(INDEX(Assumptions!$O$5:$O$10,MATCH(1,(Assumptions!$P$5:$P$10=$B1043)*(Assumptions!$Q$5:$Q$10&lt;=$A1043)*(Assumptions!$R$5:$R$10&gt;=$A1043),0)),""))</x:f>
      </x:c>
      <x:c r="M1043" t="n">
        <x:f>--($A1043&lt;&gt;"")</x:f>
        <x:v>1</x:v>
      </x:c>
    </x:row>
    <x:row r="1044">
      <x:c r="A1044" s="10" t="n">
        <x:f>IF(Assumptions!$B$5+INT((ROW()-2)/Assumptions!$B$7)&gt;Assumptions!$B$6,"",Assumptions!$B$5+INT((ROW()-2)/Assumptions!$B$7))</x:f>
        <x:v>46231</x:v>
      </x:c>
      <x:c r="B1044" t="str">
        <x:f>IF($A1044="","",INDEX(Assumptions!$D$5:$D$12,MOD(ROW()-2,Assumptions!$B$7)+1))</x:f>
        <x:v>Nostromo Deep</x:v>
      </x:c>
      <x:c r="C1044" s="11" t="n">
        <x:f>IF($A1044="","",INDEX(Assumptions!$F$5:$F$12,MATCH($B1044,Assumptions!$D$5:$D$12,0)))</x:f>
        <x:v>1260</x:v>
      </x:c>
      <x:c r="D1044" s="11" t="n">
        <x:f>IF($A1044="","",INDEX(Assumptions!$G$5:$G$12,MATCH($B1044,Assumptions!$D$5:$D$12,0)))</x:f>
        <x:v>145</x:v>
      </x:c>
      <x:c r="E1044" s="11" t="n">
        <x:f>IF($A1044="","",INDEX(Assumptions!$M$5:$M$11,WEEKDAY($A1044,2)))</x:f>
        <x:v>1.02</x:v>
      </x:c>
      <x:c r="F1044" s="11" t="n">
        <x:f>IF($A1044="","",Assumptions!$B$15)</x:f>
        <x:v>0.35</x:v>
      </x:c>
      <x:c r="G1044" s="11" t="n">
        <x:f>IF($A1044="","",MAX(INDEX(Assumptions!$H$5:$H$12,MATCH($B1044,Assumptions!$D$5:$D$12,0)),MIN(INDEX(Assumptions!$I$5:$I$12,MATCH($B1044,Assumptions!$D$5:$D$12,0)),($C1044+$D1044*SQRT(-2*LN(RAND()))*COS(2*PI()*RAND()))*$E1044*$J1044*$K1044)))</x:f>
        <x:v>1355.099303410432</x:v>
      </x:c>
      <x:c r="H1044" s="11" t="n">
        <x:f>IF($A1044="","",$G1044*$F1044+$C1044*(1-$F1044))</x:f>
        <x:v>1293.2847561936512</x:v>
      </x:c>
      <x:c r="I1044" s="11" t="n">
        <x:f>IF($A1044="","",AVERAGE($H1044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1255.0868225680958</x:v>
      </x:c>
      <x:c r="J1044" s="12" t="n">
        <x:f>IF($A1044="","",1+SUMIFS(Assumptions!$S$5:$S$10,Assumptions!$P$5:$P$10,$B1044,Assumptions!$Q$5:$Q$10,"&lt;="&amp;$A1044,Assumptions!$R$5:$R$10,"&gt;="&amp;$A1044))</x:f>
        <x:v>1</x:v>
      </x:c>
      <x:c r="K1044" s="12" t="n">
        <x:f>IF($A1044="","",1+((($A1044-Assumptions!$B$5)/30)*INDEX(Assumptions!$J$5:$J$12,MATCH($B1044,Assumptions!$D$5:$D$12,0))))</x:f>
        <x:v>1.0208</x:v>
      </x:c>
      <x:c r="L1044" t="str">
        <x:f>IF($A1044="","",IFERROR(INDEX(Assumptions!$O$5:$O$10,MATCH(1,(Assumptions!$P$5:$P$10=$B1044)*(Assumptions!$Q$5:$Q$10&lt;=$A1044)*(Assumptions!$R$5:$R$10&gt;=$A1044),0)),""))</x:f>
      </x:c>
      <x:c r="M1044" t="n">
        <x:f>--($A1044&lt;&gt;"")</x:f>
        <x:v>1</x:v>
      </x:c>
    </x:row>
    <x:row r="1045">
      <x:c r="A1045" s="10" t="n">
        <x:f>IF(Assumptions!$B$5+INT((ROW()-2)/Assumptions!$B$7)&gt;Assumptions!$B$6,"",Assumptions!$B$5+INT((ROW()-2)/Assumptions!$B$7))</x:f>
        <x:v>46231</x:v>
      </x:c>
      <x:c r="B1045" t="str">
        <x:f>IF($A1045="","",INDEX(Assumptions!$D$5:$D$12,MOD(ROW()-2,Assumptions!$B$7)+1))</x:f>
        <x:v>Hadley's Hope</x:v>
      </x:c>
      <x:c r="C1045" s="11" t="n">
        <x:f>IF($A1045="","",INDEX(Assumptions!$F$5:$F$12,MATCH($B1045,Assumptions!$D$5:$D$12,0)))</x:f>
        <x:v>845</x:v>
      </x:c>
      <x:c r="D1045" s="11" t="n">
        <x:f>IF($A1045="","",INDEX(Assumptions!$G$5:$G$12,MATCH($B1045,Assumptions!$D$5:$D$12,0)))</x:f>
        <x:v>80</x:v>
      </x:c>
      <x:c r="E1045" s="11" t="n">
        <x:f>IF($A1045="","",INDEX(Assumptions!$M$5:$M$11,WEEKDAY($A1045,2)))</x:f>
        <x:v>1.02</x:v>
      </x:c>
      <x:c r="F1045" s="11" t="n">
        <x:f>IF($A1045="","",Assumptions!$B$15)</x:f>
        <x:v>0.35</x:v>
      </x:c>
      <x:c r="G1045" s="11" t="n">
        <x:f>IF($A1045="","",MAX(INDEX(Assumptions!$H$5:$H$12,MATCH($B1045,Assumptions!$D$5:$D$12,0)),MIN(INDEX(Assumptions!$I$5:$I$12,MATCH($B1045,Assumptions!$D$5:$D$12,0)),($C1045+$D1045*SQRT(-2*LN(RAND()))*COS(2*PI()*RAND()))*$E1045*$J1045*$K1045)))</x:f>
        <x:v>879.138760194589</x:v>
      </x:c>
      <x:c r="H1045" s="11" t="n">
        <x:f>IF($A1045="","",$G1045*$F1045+$C1045*(1-$F1045))</x:f>
        <x:v>856.9485660681062</x:v>
      </x:c>
      <x:c r="I1045" s="11" t="n">
        <x:f>IF($A1045="","",AVERAGE($H1045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830.2389367090758</x:v>
      </x:c>
      <x:c r="J1045" s="12" t="n">
        <x:f>IF($A1045="","",1+SUMIFS(Assumptions!$S$5:$S$10,Assumptions!$P$5:$P$10,$B1045,Assumptions!$Q$5:$Q$10,"&lt;="&amp;$A1045,Assumptions!$R$5:$R$10,"&gt;="&amp;$A1045))</x:f>
        <x:v>1</x:v>
      </x:c>
      <x:c r="K1045" s="12" t="n">
        <x:f>IF($A1045="","",1+((($A1045-Assumptions!$B$5)/30)*INDEX(Assumptions!$J$5:$J$12,MATCH($B1045,Assumptions!$D$5:$D$12,0))))</x:f>
        <x:v>1.0069333333333332</x:v>
      </x:c>
      <x:c r="L1045" t="str">
        <x:f>IF($A1045="","",IFERROR(INDEX(Assumptions!$O$5:$O$10,MATCH(1,(Assumptions!$P$5:$P$10=$B1045)*(Assumptions!$Q$5:$Q$10&lt;=$A1045)*(Assumptions!$R$5:$R$10&gt;=$A1045),0)),""))</x:f>
      </x:c>
      <x:c r="M1045" t="n">
        <x:f>--($A1045&lt;&gt;"")</x:f>
        <x:v>1</x:v>
      </x:c>
    </x:row>
    <x:row r="1046">
      <x:c r="A1046" s="10" t="n">
        <x:f>IF(Assumptions!$B$5+INT((ROW()-2)/Assumptions!$B$7)&gt;Assumptions!$B$6,"",Assumptions!$B$5+INT((ROW()-2)/Assumptions!$B$7))</x:f>
        <x:v>46231</x:v>
      </x:c>
      <x:c r="B1046" t="str">
        <x:f>IF($A1046="","",INDEX(Assumptions!$D$5:$D$12,MOD(ROW()-2,Assumptions!$B$7)+1))</x:f>
        <x:v>Yutani Ridge</x:v>
      </x:c>
      <x:c r="C1046" s="11" t="n">
        <x:f>IF($A1046="","",INDEX(Assumptions!$F$5:$F$12,MATCH($B1046,Assumptions!$D$5:$D$12,0)))</x:f>
        <x:v>1050</x:v>
      </x:c>
      <x:c r="D1046" s="11" t="n">
        <x:f>IF($A1046="","",INDEX(Assumptions!$G$5:$G$12,MATCH($B1046,Assumptions!$D$5:$D$12,0)))</x:f>
        <x:v>125</x:v>
      </x:c>
      <x:c r="E1046" s="11" t="n">
        <x:f>IF($A1046="","",INDEX(Assumptions!$M$5:$M$11,WEEKDAY($A1046,2)))</x:f>
        <x:v>1.02</x:v>
      </x:c>
      <x:c r="F1046" s="11" t="n">
        <x:f>IF($A1046="","",Assumptions!$B$15)</x:f>
        <x:v>0.35</x:v>
      </x:c>
      <x:c r="G1046" s="11" t="n">
        <x:f>IF($A1046="","",MAX(INDEX(Assumptions!$H$5:$H$12,MATCH($B1046,Assumptions!$D$5:$D$12,0)),MIN(INDEX(Assumptions!$I$5:$I$12,MATCH($B1046,Assumptions!$D$5:$D$12,0)),($C1046+$D1046*SQRT(-2*LN(RAND()))*COS(2*PI()*RAND()))*$E1046*$J1046*$K1046)))</x:f>
        <x:v>979.6718877618888</x:v>
      </x:c>
      <x:c r="H1046" s="11" t="n">
        <x:f>IF($A1046="","",$G1046*$F1046+$C1046*(1-$F1046))</x:f>
        <x:v>1025.3851607166612</x:v>
      </x:c>
      <x:c r="I1046" s="11" t="n">
        <x:f>IF($A1046="","",AVERAGE($H1046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1051.1044859967385</x:v>
      </x:c>
      <x:c r="J1046" s="12" t="n">
        <x:f>IF($A1046="","",1+SUMIFS(Assumptions!$S$5:$S$10,Assumptions!$P$5:$P$10,$B1046,Assumptions!$Q$5:$Q$10,"&lt;="&amp;$A1046,Assumptions!$R$5:$R$10,"&gt;="&amp;$A1046))</x:f>
        <x:v>1</x:v>
      </x:c>
      <x:c r="K1046" s="12" t="n">
        <x:f>IF($A1046="","",1+((($A1046-Assumptions!$B$5)/30)*INDEX(Assumptions!$J$5:$J$12,MATCH($B1046,Assumptions!$D$5:$D$12,0))))</x:f>
        <x:v>1.0173333333333334</x:v>
      </x:c>
      <x:c r="L1046" t="str">
        <x:f>IF($A1046="","",IFERROR(INDEX(Assumptions!$O$5:$O$10,MATCH(1,(Assumptions!$P$5:$P$10=$B1046)*(Assumptions!$Q$5:$Q$10&lt;=$A1046)*(Assumptions!$R$5:$R$10&gt;=$A1046),0)),""))</x:f>
      </x:c>
      <x:c r="M1046" t="n">
        <x:f>--($A1046&lt;&gt;"")</x:f>
        <x:v>1</x:v>
      </x:c>
    </x:row>
    <x:row r="1047">
      <x:c r="A1047" s="10" t="n">
        <x:f>IF(Assumptions!$B$5+INT((ROW()-2)/Assumptions!$B$7)&gt;Assumptions!$B$6,"",Assumptions!$B$5+INT((ROW()-2)/Assumptions!$B$7))</x:f>
        <x:v>46232</x:v>
      </x:c>
      <x:c r="B1047" t="str">
        <x:f>IF($A1047="","",INDEX(Assumptions!$D$5:$D$12,MOD(ROW()-2,Assumptions!$B$7)+1))</x:f>
        <x:v>Acheron Prime</x:v>
      </x:c>
      <x:c r="C1047" s="11" t="n">
        <x:f>IF($A1047="","",INDEX(Assumptions!$F$5:$F$12,MATCH($B1047,Assumptions!$D$5:$D$12,0)))</x:f>
        <x:v>1120</x:v>
      </x:c>
      <x:c r="D1047" s="11" t="n">
        <x:f>IF($A1047="","",INDEX(Assumptions!$G$5:$G$12,MATCH($B1047,Assumptions!$D$5:$D$12,0)))</x:f>
        <x:v>115</x:v>
      </x:c>
      <x:c r="E1047" s="11" t="n">
        <x:f>IF($A1047="","",INDEX(Assumptions!$M$5:$M$11,WEEKDAY($A1047,2)))</x:f>
        <x:v>1.01</x:v>
      </x:c>
      <x:c r="F1047" s="11" t="n">
        <x:f>IF($A1047="","",Assumptions!$B$15)</x:f>
        <x:v>0.35</x:v>
      </x:c>
      <x:c r="G1047" s="11" t="n">
        <x:f>IF($A1047="","",MAX(INDEX(Assumptions!$H$5:$H$12,MATCH($B1047,Assumptions!$D$5:$D$12,0)),MIN(INDEX(Assumptions!$I$5:$I$12,MATCH($B1047,Assumptions!$D$5:$D$12,0)),($C1047+$D1047*SQRT(-2*LN(RAND()))*COS(2*PI()*RAND()))*$E1047*$J1047*$K1047)))</x:f>
        <x:v>1349.7234972593867</x:v>
      </x:c>
      <x:c r="H1047" s="11" t="n">
        <x:f>IF($A1047="","",$G1047*$F1047+$C1047*(1-$F1047))</x:f>
        <x:v>1200.4032240407853</x:v>
      </x:c>
      <x:c r="I1047" s="11" t="n">
        <x:f>IF($A1047="","",AVERAGE($H1047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1118.9451120954684</x:v>
      </x:c>
      <x:c r="J1047" s="12" t="n">
        <x:f>IF($A1047="","",1+SUMIFS(Assumptions!$S$5:$S$10,Assumptions!$P$5:$P$10,$B1047,Assumptions!$Q$5:$Q$10,"&lt;="&amp;$A1047,Assumptions!$R$5:$R$10,"&gt;="&amp;$A1047))</x:f>
        <x:v>1</x:v>
      </x:c>
      <x:c r="K1047" s="12" t="n">
        <x:f>IF($A1047="","",1+((($A1047-Assumptions!$B$5)/30)*INDEX(Assumptions!$J$5:$J$12,MATCH($B1047,Assumptions!$D$5:$D$12,0))))</x:f>
        <x:v>1.0139333333333334</x:v>
      </x:c>
      <x:c r="L1047" t="str">
        <x:f>IF($A1047="","",IFERROR(INDEX(Assumptions!$O$5:$O$10,MATCH(1,(Assumptions!$P$5:$P$10=$B1047)*(Assumptions!$Q$5:$Q$10&lt;=$A1047)*(Assumptions!$R$5:$R$10&gt;=$A1047),0)),""))</x:f>
      </x:c>
      <x:c r="M1047" t="n">
        <x:f>--($A1047&lt;&gt;"")</x:f>
        <x:v>1</x:v>
      </x:c>
    </x:row>
    <x:row r="1048">
      <x:c r="A1048" s="10" t="n">
        <x:f>IF(Assumptions!$B$5+INT((ROW()-2)/Assumptions!$B$7)&gt;Assumptions!$B$6,"",Assumptions!$B$5+INT((ROW()-2)/Assumptions!$B$7))</x:f>
        <x:v>46232</x:v>
      </x:c>
      <x:c r="B1048" t="str">
        <x:f>IF($A1048="","",INDEX(Assumptions!$D$5:$D$12,MOD(ROW()-2,Assumptions!$B$7)+1))</x:f>
        <x:v>LV-426 North</x:v>
      </x:c>
      <x:c r="C1048" s="11" t="n">
        <x:f>IF($A1048="","",INDEX(Assumptions!$F$5:$F$12,MATCH($B1048,Assumptions!$D$5:$D$12,0)))</x:f>
        <x:v>930</x:v>
      </x:c>
      <x:c r="D1048" s="11" t="n">
        <x:f>IF($A1048="","",INDEX(Assumptions!$G$5:$G$12,MATCH($B1048,Assumptions!$D$5:$D$12,0)))</x:f>
        <x:v>95</x:v>
      </x:c>
      <x:c r="E1048" s="11" t="n">
        <x:f>IF($A1048="","",INDEX(Assumptions!$M$5:$M$11,WEEKDAY($A1048,2)))</x:f>
        <x:v>1.01</x:v>
      </x:c>
      <x:c r="F1048" s="11" t="n">
        <x:f>IF($A1048="","",Assumptions!$B$15)</x:f>
        <x:v>0.35</x:v>
      </x:c>
      <x:c r="G1048" s="11" t="n">
        <x:f>IF($A1048="","",MAX(INDEX(Assumptions!$H$5:$H$12,MATCH($B1048,Assumptions!$D$5:$D$12,0)),MIN(INDEX(Assumptions!$I$5:$I$12,MATCH($B1048,Assumptions!$D$5:$D$12,0)),($C1048+$D1048*SQRT(-2*LN(RAND()))*COS(2*PI()*RAND()))*$E1048*$J1048*$K1048)))</x:f>
        <x:v>935.9475691844689</x:v>
      </x:c>
      <x:c r="H1048" s="11" t="n">
        <x:f>IF($A1048="","",$G1048*$F1048+$C1048*(1-$F1048))</x:f>
        <x:v>932.0816492145641</x:v>
      </x:c>
      <x:c r="I1048" s="11" t="n">
        <x:f>IF($A1048="","",AVERAGE($H1048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921.7286095009648</x:v>
      </x:c>
      <x:c r="J1048" s="12" t="n">
        <x:f>IF($A1048="","",1+SUMIFS(Assumptions!$S$5:$S$10,Assumptions!$P$5:$P$10,$B1048,Assumptions!$Q$5:$Q$10,"&lt;="&amp;$A1048,Assumptions!$R$5:$R$10,"&gt;="&amp;$A1048))</x:f>
        <x:v>1</x:v>
      </x:c>
      <x:c r="K1048" s="12" t="n">
        <x:f>IF($A1048="","",1+((($A1048-Assumptions!$B$5)/30)*INDEX(Assumptions!$J$5:$J$12,MATCH($B1048,Assumptions!$D$5:$D$12,0))))</x:f>
        <x:v>0.9930333333333333</x:v>
      </x:c>
      <x:c r="L1048" t="str">
        <x:f>IF($A1048="","",IFERROR(INDEX(Assumptions!$O$5:$O$10,MATCH(1,(Assumptions!$P$5:$P$10=$B1048)*(Assumptions!$Q$5:$Q$10&lt;=$A1048)*(Assumptions!$R$5:$R$10&gt;=$A1048),0)),""))</x:f>
      </x:c>
      <x:c r="M1048" t="n">
        <x:f>--($A1048&lt;&gt;"")</x:f>
        <x:v>1</x:v>
      </x:c>
    </x:row>
    <x:row r="1049">
      <x:c r="A1049" s="10" t="n">
        <x:f>IF(Assumptions!$B$5+INT((ROW()-2)/Assumptions!$B$7)&gt;Assumptions!$B$6,"",Assumptions!$B$5+INT((ROW()-2)/Assumptions!$B$7))</x:f>
        <x:v>46232</x:v>
      </x:c>
      <x:c r="B1049" t="str">
        <x:f>IF($A1049="","",INDEX(Assumptions!$D$5:$D$12,MOD(ROW()-2,Assumptions!$B$7)+1))</x:f>
        <x:v>Nostromo Deep</x:v>
      </x:c>
      <x:c r="C1049" s="11" t="n">
        <x:f>IF($A1049="","",INDEX(Assumptions!$F$5:$F$12,MATCH($B1049,Assumptions!$D$5:$D$12,0)))</x:f>
        <x:v>1260</x:v>
      </x:c>
      <x:c r="D1049" s="11" t="n">
        <x:f>IF($A1049="","",INDEX(Assumptions!$G$5:$G$12,MATCH($B1049,Assumptions!$D$5:$D$12,0)))</x:f>
        <x:v>145</x:v>
      </x:c>
      <x:c r="E1049" s="11" t="n">
        <x:f>IF($A1049="","",INDEX(Assumptions!$M$5:$M$11,WEEKDAY($A1049,2)))</x:f>
        <x:v>1.01</x:v>
      </x:c>
      <x:c r="F1049" s="11" t="n">
        <x:f>IF($A1049="","",Assumptions!$B$15)</x:f>
        <x:v>0.35</x:v>
      </x:c>
      <x:c r="G1049" s="11" t="n">
        <x:f>IF($A1049="","",MAX(INDEX(Assumptions!$H$5:$H$12,MATCH($B1049,Assumptions!$D$5:$D$12,0)),MIN(INDEX(Assumptions!$I$5:$I$12,MATCH($B1049,Assumptions!$D$5:$D$12,0)),($C1049+$D1049*SQRT(-2*LN(RAND()))*COS(2*PI()*RAND()))*$E1049*$J1049*$K1049)))</x:f>
        <x:v>1520.5228532799083</x:v>
      </x:c>
      <x:c r="H1049" s="11" t="n">
        <x:f>IF($A1049="","",$G1049*$F1049+$C1049*(1-$F1049))</x:f>
        <x:v>1351.182998647968</x:v>
      </x:c>
      <x:c r="I1049" s="11" t="n">
        <x:f>IF($A1049="","",AVERAGE($H1049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1269.0110588554778</x:v>
      </x:c>
      <x:c r="J1049" s="12" t="n">
        <x:f>IF($A1049="","",1+SUMIFS(Assumptions!$S$5:$S$10,Assumptions!$P$5:$P$10,$B1049,Assumptions!$Q$5:$Q$10,"&lt;="&amp;$A1049,Assumptions!$R$5:$R$10,"&gt;="&amp;$A1049))</x:f>
        <x:v>1</x:v>
      </x:c>
      <x:c r="K1049" s="12" t="n">
        <x:f>IF($A1049="","",1+((($A1049-Assumptions!$B$5)/30)*INDEX(Assumptions!$J$5:$J$12,MATCH($B1049,Assumptions!$D$5:$D$12,0))))</x:f>
        <x:v>1.0209</x:v>
      </x:c>
      <x:c r="L1049" t="str">
        <x:f>IF($A1049="","",IFERROR(INDEX(Assumptions!$O$5:$O$10,MATCH(1,(Assumptions!$P$5:$P$10=$B1049)*(Assumptions!$Q$5:$Q$10&lt;=$A1049)*(Assumptions!$R$5:$R$10&gt;=$A1049),0)),""))</x:f>
      </x:c>
      <x:c r="M1049" t="n">
        <x:f>--($A1049&lt;&gt;"")</x:f>
        <x:v>1</x:v>
      </x:c>
    </x:row>
    <x:row r="1050">
      <x:c r="A1050" s="10" t="n">
        <x:f>IF(Assumptions!$B$5+INT((ROW()-2)/Assumptions!$B$7)&gt;Assumptions!$B$6,"",Assumptions!$B$5+INT((ROW()-2)/Assumptions!$B$7))</x:f>
        <x:v>46232</x:v>
      </x:c>
      <x:c r="B1050" t="str">
        <x:f>IF($A1050="","",INDEX(Assumptions!$D$5:$D$12,MOD(ROW()-2,Assumptions!$B$7)+1))</x:f>
        <x:v>Hadley's Hope</x:v>
      </x:c>
      <x:c r="C1050" s="11" t="n">
        <x:f>IF($A1050="","",INDEX(Assumptions!$F$5:$F$12,MATCH($B1050,Assumptions!$D$5:$D$12,0)))</x:f>
        <x:v>845</x:v>
      </x:c>
      <x:c r="D1050" s="11" t="n">
        <x:f>IF($A1050="","",INDEX(Assumptions!$G$5:$G$12,MATCH($B1050,Assumptions!$D$5:$D$12,0)))</x:f>
        <x:v>80</x:v>
      </x:c>
      <x:c r="E1050" s="11" t="n">
        <x:f>IF($A1050="","",INDEX(Assumptions!$M$5:$M$11,WEEKDAY($A1050,2)))</x:f>
        <x:v>1.01</x:v>
      </x:c>
      <x:c r="F1050" s="11" t="n">
        <x:f>IF($A1050="","",Assumptions!$B$15)</x:f>
        <x:v>0.35</x:v>
      </x:c>
      <x:c r="G1050" s="11" t="n">
        <x:f>IF($A1050="","",MAX(INDEX(Assumptions!$H$5:$H$12,MATCH($B1050,Assumptions!$D$5:$D$12,0)),MIN(INDEX(Assumptions!$I$5:$I$12,MATCH($B1050,Assumptions!$D$5:$D$12,0)),($C1050+$D1050*SQRT(-2*LN(RAND()))*COS(2*PI()*RAND()))*$E1050*$J1050*$K1050)))</x:f>
        <x:v>896.7759478293528</x:v>
      </x:c>
      <x:c r="H1050" s="11" t="n">
        <x:f>IF($A1050="","",$G1050*$F1050+$C1050*(1-$F1050))</x:f>
        <x:v>863.1215817402735</x:v>
      </x:c>
      <x:c r="I1050" s="11" t="n">
        <x:f>IF($A1050="","",AVERAGE($H1050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839.0195231523033</x:v>
      </x:c>
      <x:c r="J1050" s="12" t="n">
        <x:f>IF($A1050="","",1+SUMIFS(Assumptions!$S$5:$S$10,Assumptions!$P$5:$P$10,$B1050,Assumptions!$Q$5:$Q$10,"&lt;="&amp;$A1050,Assumptions!$R$5:$R$10,"&gt;="&amp;$A1050))</x:f>
        <x:v>1</x:v>
      </x:c>
      <x:c r="K1050" s="12" t="n">
        <x:f>IF($A1050="","",1+((($A1050-Assumptions!$B$5)/30)*INDEX(Assumptions!$J$5:$J$12,MATCH($B1050,Assumptions!$D$5:$D$12,0))))</x:f>
        <x:v>1.0069666666666666</x:v>
      </x:c>
      <x:c r="L1050" t="str">
        <x:f>IF($A1050="","",IFERROR(INDEX(Assumptions!$O$5:$O$10,MATCH(1,(Assumptions!$P$5:$P$10=$B1050)*(Assumptions!$Q$5:$Q$10&lt;=$A1050)*(Assumptions!$R$5:$R$10&gt;=$A1050),0)),""))</x:f>
      </x:c>
      <x:c r="M1050" t="n">
        <x:f>--($A1050&lt;&gt;"")</x:f>
        <x:v>1</x:v>
      </x:c>
    </x:row>
    <x:row r="1051">
      <x:c r="A1051" s="10" t="n">
        <x:f>IF(Assumptions!$B$5+INT((ROW()-2)/Assumptions!$B$7)&gt;Assumptions!$B$6,"",Assumptions!$B$5+INT((ROW()-2)/Assumptions!$B$7))</x:f>
        <x:v>46232</x:v>
      </x:c>
      <x:c r="B1051" t="str">
        <x:f>IF($A1051="","",INDEX(Assumptions!$D$5:$D$12,MOD(ROW()-2,Assumptions!$B$7)+1))</x:f>
        <x:v>Yutani Ridge</x:v>
      </x:c>
      <x:c r="C1051" s="11" t="n">
        <x:f>IF($A1051="","",INDEX(Assumptions!$F$5:$F$12,MATCH($B1051,Assumptions!$D$5:$D$12,0)))</x:f>
        <x:v>1050</x:v>
      </x:c>
      <x:c r="D1051" s="11" t="n">
        <x:f>IF($A1051="","",INDEX(Assumptions!$G$5:$G$12,MATCH($B1051,Assumptions!$D$5:$D$12,0)))</x:f>
        <x:v>125</x:v>
      </x:c>
      <x:c r="E1051" s="11" t="n">
        <x:f>IF($A1051="","",INDEX(Assumptions!$M$5:$M$11,WEEKDAY($A1051,2)))</x:f>
        <x:v>1.01</x:v>
      </x:c>
      <x:c r="F1051" s="11" t="n">
        <x:f>IF($A1051="","",Assumptions!$B$15)</x:f>
        <x:v>0.35</x:v>
      </x:c>
      <x:c r="G1051" s="11" t="n">
        <x:f>IF($A1051="","",MAX(INDEX(Assumptions!$H$5:$H$12,MATCH($B1051,Assumptions!$D$5:$D$12,0)),MIN(INDEX(Assumptions!$I$5:$I$12,MATCH($B1051,Assumptions!$D$5:$D$12,0)),($C1051+$D1051*SQRT(-2*LN(RAND()))*COS(2*PI()*RAND()))*$E1051*$J1051*$K1051)))</x:f>
        <x:v>958.7837439004392</x:v>
      </x:c>
      <x:c r="H1051" s="11" t="n">
        <x:f>IF($A1051="","",$G1051*$F1051+$C1051*(1-$F1051))</x:f>
        <x:v>1018.0743103651537</x:v>
      </x:c>
      <x:c r="I1051" s="11" t="n">
        <x:f>IF($A1051="","",AVERAGE($H1051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1046.497530639916</x:v>
      </x:c>
      <x:c r="J1051" s="12" t="n">
        <x:f>IF($A1051="","",1+SUMIFS(Assumptions!$S$5:$S$10,Assumptions!$P$5:$P$10,$B1051,Assumptions!$Q$5:$Q$10,"&lt;="&amp;$A1051,Assumptions!$R$5:$R$10,"&gt;="&amp;$A1051))</x:f>
        <x:v>1</x:v>
      </x:c>
      <x:c r="K1051" s="12" t="n">
        <x:f>IF($A1051="","",1+((($A1051-Assumptions!$B$5)/30)*INDEX(Assumptions!$J$5:$J$12,MATCH($B1051,Assumptions!$D$5:$D$12,0))))</x:f>
        <x:v>1.0174166666666666</x:v>
      </x:c>
      <x:c r="L1051" t="str">
        <x:f>IF($A1051="","",IFERROR(INDEX(Assumptions!$O$5:$O$10,MATCH(1,(Assumptions!$P$5:$P$10=$B1051)*(Assumptions!$Q$5:$Q$10&lt;=$A1051)*(Assumptions!$R$5:$R$10&gt;=$A1051),0)),""))</x:f>
      </x:c>
      <x:c r="M1051" t="n">
        <x:f>--($A1051&lt;&gt;"")</x:f>
        <x:v>1</x:v>
      </x:c>
    </x:row>
    <x:row r="1052">
      <x:c r="A1052" s="10" t="n">
        <x:f>IF(Assumptions!$B$5+INT((ROW()-2)/Assumptions!$B$7)&gt;Assumptions!$B$6,"",Assumptions!$B$5+INT((ROW()-2)/Assumptions!$B$7))</x:f>
        <x:v>46233</x:v>
      </x:c>
      <x:c r="B1052" t="str">
        <x:f>IF($A1052="","",INDEX(Assumptions!$D$5:$D$12,MOD(ROW()-2,Assumptions!$B$7)+1))</x:f>
        <x:v>Acheron Prime</x:v>
      </x:c>
      <x:c r="C1052" s="11" t="n">
        <x:f>IF($A1052="","",INDEX(Assumptions!$F$5:$F$12,MATCH($B1052,Assumptions!$D$5:$D$12,0)))</x:f>
        <x:v>1120</x:v>
      </x:c>
      <x:c r="D1052" s="11" t="n">
        <x:f>IF($A1052="","",INDEX(Assumptions!$G$5:$G$12,MATCH($B1052,Assumptions!$D$5:$D$12,0)))</x:f>
        <x:v>115</x:v>
      </x:c>
      <x:c r="E1052" s="11" t="n">
        <x:f>IF($A1052="","",INDEX(Assumptions!$M$5:$M$11,WEEKDAY($A1052,2)))</x:f>
        <x:v>1</x:v>
      </x:c>
      <x:c r="F1052" s="11" t="n">
        <x:f>IF($A1052="","",Assumptions!$B$15)</x:f>
        <x:v>0.35</x:v>
      </x:c>
      <x:c r="G1052" s="11" t="n">
        <x:f>IF($A1052="","",MAX(INDEX(Assumptions!$H$5:$H$12,MATCH($B1052,Assumptions!$D$5:$D$12,0)),MIN(INDEX(Assumptions!$I$5:$I$12,MATCH($B1052,Assumptions!$D$5:$D$12,0)),($C1052+$D1052*SQRT(-2*LN(RAND()))*COS(2*PI()*RAND()))*$E1052*$J1052*$K1052)))</x:f>
        <x:v>1069.0367491468787</x:v>
      </x:c>
      <x:c r="H1052" s="11" t="n">
        <x:f>IF($A1052="","",$G1052*$F1052+$C1052*(1-$F1052))</x:f>
        <x:v>1102.1628622014075</x:v>
      </x:c>
      <x:c r="I1052" s="11" t="n">
        <x:f>IF($A1052="","",AVERAGE($H1052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1122.8722690897669</x:v>
      </x:c>
      <x:c r="J1052" s="12" t="n">
        <x:f>IF($A1052="","",1+SUMIFS(Assumptions!$S$5:$S$10,Assumptions!$P$5:$P$10,$B1052,Assumptions!$Q$5:$Q$10,"&lt;="&amp;$A1052,Assumptions!$R$5:$R$10,"&gt;="&amp;$A1052))</x:f>
        <x:v>1</x:v>
      </x:c>
      <x:c r="K1052" s="12" t="n">
        <x:f>IF($A1052="","",1+((($A1052-Assumptions!$B$5)/30)*INDEX(Assumptions!$J$5:$J$12,MATCH($B1052,Assumptions!$D$5:$D$12,0))))</x:f>
        <x:v>1.014</x:v>
      </x:c>
      <x:c r="L1052" t="str">
        <x:f>IF($A1052="","",IFERROR(INDEX(Assumptions!$O$5:$O$10,MATCH(1,(Assumptions!$P$5:$P$10=$B1052)*(Assumptions!$Q$5:$Q$10&lt;=$A1052)*(Assumptions!$R$5:$R$10&gt;=$A1052),0)),""))</x:f>
      </x:c>
      <x:c r="M1052" t="n">
        <x:f>--($A1052&lt;&gt;"")</x:f>
        <x:v>1</x:v>
      </x:c>
    </x:row>
    <x:row r="1053">
      <x:c r="A1053" s="10" t="n">
        <x:f>IF(Assumptions!$B$5+INT((ROW()-2)/Assumptions!$B$7)&gt;Assumptions!$B$6,"",Assumptions!$B$5+INT((ROW()-2)/Assumptions!$B$7))</x:f>
        <x:v>46233</x:v>
      </x:c>
      <x:c r="B1053" t="str">
        <x:f>IF($A1053="","",INDEX(Assumptions!$D$5:$D$12,MOD(ROW()-2,Assumptions!$B$7)+1))</x:f>
        <x:v>LV-426 North</x:v>
      </x:c>
      <x:c r="C1053" s="11" t="n">
        <x:f>IF($A1053="","",INDEX(Assumptions!$F$5:$F$12,MATCH($B1053,Assumptions!$D$5:$D$12,0)))</x:f>
        <x:v>930</x:v>
      </x:c>
      <x:c r="D1053" s="11" t="n">
        <x:f>IF($A1053="","",INDEX(Assumptions!$G$5:$G$12,MATCH($B1053,Assumptions!$D$5:$D$12,0)))</x:f>
        <x:v>95</x:v>
      </x:c>
      <x:c r="E1053" s="11" t="n">
        <x:f>IF($A1053="","",INDEX(Assumptions!$M$5:$M$11,WEEKDAY($A1053,2)))</x:f>
        <x:v>1</x:v>
      </x:c>
      <x:c r="F1053" s="11" t="n">
        <x:f>IF($A1053="","",Assumptions!$B$15)</x:f>
        <x:v>0.35</x:v>
      </x:c>
      <x:c r="G1053" s="11" t="n">
        <x:f>IF($A1053="","",MAX(INDEX(Assumptions!$H$5:$H$12,MATCH($B1053,Assumptions!$D$5:$D$12,0)),MIN(INDEX(Assumptions!$I$5:$I$12,MATCH($B1053,Assumptions!$D$5:$D$12,0)),($C1053+$D1053*SQRT(-2*LN(RAND()))*COS(2*PI()*RAND()))*$E1053*$J1053*$K1053)))</x:f>
        <x:v>733.5436930219486</x:v>
      </x:c>
      <x:c r="H1053" s="11" t="n">
        <x:f>IF($A1053="","",$G1053*$F1053+$C1053*(1-$F1053))</x:f>
        <x:v>861.240292557682</x:v>
      </x:c>
      <x:c r="I1053" s="11" t="n">
        <x:f>IF($A1053="","",AVERAGE($H1053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917.1673842799471</x:v>
      </x:c>
      <x:c r="J1053" s="12" t="n">
        <x:f>IF($A1053="","",1+SUMIFS(Assumptions!$S$5:$S$10,Assumptions!$P$5:$P$10,$B1053,Assumptions!$Q$5:$Q$10,"&lt;="&amp;$A1053,Assumptions!$R$5:$R$10,"&gt;="&amp;$A1053))</x:f>
        <x:v>1</x:v>
      </x:c>
      <x:c r="K1053" s="12" t="n">
        <x:f>IF($A1053="","",1+((($A1053-Assumptions!$B$5)/30)*INDEX(Assumptions!$J$5:$J$12,MATCH($B1053,Assumptions!$D$5:$D$12,0))))</x:f>
        <x:v>0.993</x:v>
      </x:c>
      <x:c r="L1053" t="str">
        <x:f>IF($A1053="","",IFERROR(INDEX(Assumptions!$O$5:$O$10,MATCH(1,(Assumptions!$P$5:$P$10=$B1053)*(Assumptions!$Q$5:$Q$10&lt;=$A1053)*(Assumptions!$R$5:$R$10&gt;=$A1053),0)),""))</x:f>
      </x:c>
      <x:c r="M1053" t="n">
        <x:f>--($A1053&lt;&gt;"")</x:f>
        <x:v>1</x:v>
      </x:c>
    </x:row>
    <x:row r="1054">
      <x:c r="A1054" s="10" t="n">
        <x:f>IF(Assumptions!$B$5+INT((ROW()-2)/Assumptions!$B$7)&gt;Assumptions!$B$6,"",Assumptions!$B$5+INT((ROW()-2)/Assumptions!$B$7))</x:f>
        <x:v>46233</x:v>
      </x:c>
      <x:c r="B1054" t="str">
        <x:f>IF($A1054="","",INDEX(Assumptions!$D$5:$D$12,MOD(ROW()-2,Assumptions!$B$7)+1))</x:f>
        <x:v>Nostromo Deep</x:v>
      </x:c>
      <x:c r="C1054" s="11" t="n">
        <x:f>IF($A1054="","",INDEX(Assumptions!$F$5:$F$12,MATCH($B1054,Assumptions!$D$5:$D$12,0)))</x:f>
        <x:v>1260</x:v>
      </x:c>
      <x:c r="D1054" s="11" t="n">
        <x:f>IF($A1054="","",INDEX(Assumptions!$G$5:$G$12,MATCH($B1054,Assumptions!$D$5:$D$12,0)))</x:f>
        <x:v>145</x:v>
      </x:c>
      <x:c r="E1054" s="11" t="n">
        <x:f>IF($A1054="","",INDEX(Assumptions!$M$5:$M$11,WEEKDAY($A1054,2)))</x:f>
        <x:v>1</x:v>
      </x:c>
      <x:c r="F1054" s="11" t="n">
        <x:f>IF($A1054="","",Assumptions!$B$15)</x:f>
        <x:v>0.35</x:v>
      </x:c>
      <x:c r="G1054" s="11" t="n">
        <x:f>IF($A1054="","",MAX(INDEX(Assumptions!$H$5:$H$12,MATCH($B1054,Assumptions!$D$5:$D$12,0)),MIN(INDEX(Assumptions!$I$5:$I$12,MATCH($B1054,Assumptions!$D$5:$D$12,0)),($C1054+$D1054*SQRT(-2*LN(RAND()))*COS(2*PI()*RAND()))*$E1054*$J1054*$K1054)))</x:f>
        <x:v>1241.2469284480856</x:v>
      </x:c>
      <x:c r="H1054" s="11" t="n">
        <x:f>IF($A1054="","",$G1054*$F1054+$C1054*(1-$F1054))</x:f>
        <x:v>1253.4364249568298</x:v>
      </x:c>
      <x:c r="I1054" s="11" t="n">
        <x:f>IF($A1054="","",AVERAGE($H1054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1268.3937666629995</x:v>
      </x:c>
      <x:c r="J1054" s="12" t="n">
        <x:f>IF($A1054="","",1+SUMIFS(Assumptions!$S$5:$S$10,Assumptions!$P$5:$P$10,$B1054,Assumptions!$Q$5:$Q$10,"&lt;="&amp;$A1054,Assumptions!$R$5:$R$10,"&gt;="&amp;$A1054))</x:f>
        <x:v>1</x:v>
      </x:c>
      <x:c r="K1054" s="12" t="n">
        <x:f>IF($A1054="","",1+((($A1054-Assumptions!$B$5)/30)*INDEX(Assumptions!$J$5:$J$12,MATCH($B1054,Assumptions!$D$5:$D$12,0))))</x:f>
        <x:v>1.021</x:v>
      </x:c>
      <x:c r="L1054" t="str">
        <x:f>IF($A1054="","",IFERROR(INDEX(Assumptions!$O$5:$O$10,MATCH(1,(Assumptions!$P$5:$P$10=$B1054)*(Assumptions!$Q$5:$Q$10&lt;=$A1054)*(Assumptions!$R$5:$R$10&gt;=$A1054),0)),""))</x:f>
      </x:c>
      <x:c r="M1054" t="n">
        <x:f>--($A1054&lt;&gt;"")</x:f>
        <x:v>1</x:v>
      </x:c>
    </x:row>
    <x:row r="1055">
      <x:c r="A1055" s="10" t="n">
        <x:f>IF(Assumptions!$B$5+INT((ROW()-2)/Assumptions!$B$7)&gt;Assumptions!$B$6,"",Assumptions!$B$5+INT((ROW()-2)/Assumptions!$B$7))</x:f>
        <x:v>46233</x:v>
      </x:c>
      <x:c r="B1055" t="str">
        <x:f>IF($A1055="","",INDEX(Assumptions!$D$5:$D$12,MOD(ROW()-2,Assumptions!$B$7)+1))</x:f>
        <x:v>Hadley's Hope</x:v>
      </x:c>
      <x:c r="C1055" s="11" t="n">
        <x:f>IF($A1055="","",INDEX(Assumptions!$F$5:$F$12,MATCH($B1055,Assumptions!$D$5:$D$12,0)))</x:f>
        <x:v>845</x:v>
      </x:c>
      <x:c r="D1055" s="11" t="n">
        <x:f>IF($A1055="","",INDEX(Assumptions!$G$5:$G$12,MATCH($B1055,Assumptions!$D$5:$D$12,0)))</x:f>
        <x:v>80</x:v>
      </x:c>
      <x:c r="E1055" s="11" t="n">
        <x:f>IF($A1055="","",INDEX(Assumptions!$M$5:$M$11,WEEKDAY($A1055,2)))</x:f>
        <x:v>1</x:v>
      </x:c>
      <x:c r="F1055" s="11" t="n">
        <x:f>IF($A1055="","",Assumptions!$B$15)</x:f>
        <x:v>0.35</x:v>
      </x:c>
      <x:c r="G1055" s="11" t="n">
        <x:f>IF($A1055="","",MAX(INDEX(Assumptions!$H$5:$H$12,MATCH($B1055,Assumptions!$D$5:$D$12,0)),MIN(INDEX(Assumptions!$I$5:$I$12,MATCH($B1055,Assumptions!$D$5:$D$12,0)),($C1055+$D1055*SQRT(-2*LN(RAND()))*COS(2*PI()*RAND()))*$E1055*$J1055*$K1055)))</x:f>
        <x:v>870.9235570076003</x:v>
      </x:c>
      <x:c r="H1055" s="11" t="n">
        <x:f>IF($A1055="","",$G1055*$F1055+$C1055*(1-$F1055))</x:f>
        <x:v>854.07324495266</x:v>
      </x:c>
      <x:c r="I1055" s="11" t="n">
        <x:f>IF($A1055="","",AVERAGE($H1055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840.5459826229499</x:v>
      </x:c>
      <x:c r="J1055" s="12" t="n">
        <x:f>IF($A1055="","",1+SUMIFS(Assumptions!$S$5:$S$10,Assumptions!$P$5:$P$10,$B1055,Assumptions!$Q$5:$Q$10,"&lt;="&amp;$A1055,Assumptions!$R$5:$R$10,"&gt;="&amp;$A1055))</x:f>
        <x:v>1</x:v>
      </x:c>
      <x:c r="K1055" s="12" t="n">
        <x:f>IF($A1055="","",1+((($A1055-Assumptions!$B$5)/30)*INDEX(Assumptions!$J$5:$J$12,MATCH($B1055,Assumptions!$D$5:$D$12,0))))</x:f>
        <x:v>1.007</x:v>
      </x:c>
      <x:c r="L1055" t="str">
        <x:f>IF($A1055="","",IFERROR(INDEX(Assumptions!$O$5:$O$10,MATCH(1,(Assumptions!$P$5:$P$10=$B1055)*(Assumptions!$Q$5:$Q$10&lt;=$A1055)*(Assumptions!$R$5:$R$10&gt;=$A1055),0)),""))</x:f>
      </x:c>
      <x:c r="M1055" t="n">
        <x:f>--($A1055&lt;&gt;"")</x:f>
        <x:v>1</x:v>
      </x:c>
    </x:row>
    <x:row r="1056">
      <x:c r="A1056" s="10" t="n">
        <x:f>IF(Assumptions!$B$5+INT((ROW()-2)/Assumptions!$B$7)&gt;Assumptions!$B$6,"",Assumptions!$B$5+INT((ROW()-2)/Assumptions!$B$7))</x:f>
        <x:v>46233</x:v>
      </x:c>
      <x:c r="B1056" t="str">
        <x:f>IF($A1056="","",INDEX(Assumptions!$D$5:$D$12,MOD(ROW()-2,Assumptions!$B$7)+1))</x:f>
        <x:v>Yutani Ridge</x:v>
      </x:c>
      <x:c r="C1056" s="11" t="n">
        <x:f>IF($A1056="","",INDEX(Assumptions!$F$5:$F$12,MATCH($B1056,Assumptions!$D$5:$D$12,0)))</x:f>
        <x:v>1050</x:v>
      </x:c>
      <x:c r="D1056" s="11" t="n">
        <x:f>IF($A1056="","",INDEX(Assumptions!$G$5:$G$12,MATCH($B1056,Assumptions!$D$5:$D$12,0)))</x:f>
        <x:v>125</x:v>
      </x:c>
      <x:c r="E1056" s="11" t="n">
        <x:f>IF($A1056="","",INDEX(Assumptions!$M$5:$M$11,WEEKDAY($A1056,2)))</x:f>
        <x:v>1</x:v>
      </x:c>
      <x:c r="F1056" s="11" t="n">
        <x:f>IF($A1056="","",Assumptions!$B$15)</x:f>
        <x:v>0.35</x:v>
      </x:c>
      <x:c r="G1056" s="11" t="n">
        <x:f>IF($A1056="","",MAX(INDEX(Assumptions!$H$5:$H$12,MATCH($B1056,Assumptions!$D$5:$D$12,0)),MIN(INDEX(Assumptions!$I$5:$I$12,MATCH($B1056,Assumptions!$D$5:$D$12,0)),($C1056+$D1056*SQRT(-2*LN(RAND()))*COS(2*PI()*RAND()))*$E1056*$J1056*$K1056)))</x:f>
        <x:v>1040.6945547285588</x:v>
      </x:c>
      <x:c r="H1056" s="11" t="n">
        <x:f>IF($A1056="","",$G1056*$F1056+$C1056*(1-$F1056))</x:f>
        <x:v>1046.7430941549956</x:v>
      </x:c>
      <x:c r="I1056" s="11" t="n">
        <x:f>IF($A1056="","",AVERAGE($H1056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1038.0581095210941</x:v>
      </x:c>
      <x:c r="J1056" s="12" t="n">
        <x:f>IF($A1056="","",1+SUMIFS(Assumptions!$S$5:$S$10,Assumptions!$P$5:$P$10,$B1056,Assumptions!$Q$5:$Q$10,"&lt;="&amp;$A1056,Assumptions!$R$5:$R$10,"&gt;="&amp;$A1056))</x:f>
        <x:v>1</x:v>
      </x:c>
      <x:c r="K1056" s="12" t="n">
        <x:f>IF($A1056="","",1+((($A1056-Assumptions!$B$5)/30)*INDEX(Assumptions!$J$5:$J$12,MATCH($B1056,Assumptions!$D$5:$D$12,0))))</x:f>
        <x:v>1.0175</x:v>
      </x:c>
      <x:c r="L1056" t="str">
        <x:f>IF($A1056="","",IFERROR(INDEX(Assumptions!$O$5:$O$10,MATCH(1,(Assumptions!$P$5:$P$10=$B1056)*(Assumptions!$Q$5:$Q$10&lt;=$A1056)*(Assumptions!$R$5:$R$10&gt;=$A1056),0)),""))</x:f>
      </x:c>
      <x:c r="M1056" t="n">
        <x:f>--($A1056&lt;&gt;"")</x:f>
        <x:v>1</x:v>
      </x:c>
    </x:row>
    <x:row r="1057">
      <x:c r="A1057" s="10" t="n">
        <x:f>IF(Assumptions!$B$5+INT((ROW()-2)/Assumptions!$B$7)&gt;Assumptions!$B$6,"",Assumptions!$B$5+INT((ROW()-2)/Assumptions!$B$7))</x:f>
        <x:v>46234</x:v>
      </x:c>
      <x:c r="B1057" t="str">
        <x:f>IF($A1057="","",INDEX(Assumptions!$D$5:$D$12,MOD(ROW()-2,Assumptions!$B$7)+1))</x:f>
        <x:v>Acheron Prime</x:v>
      </x:c>
      <x:c r="C1057" s="11" t="n">
        <x:f>IF($A1057="","",INDEX(Assumptions!$F$5:$F$12,MATCH($B1057,Assumptions!$D$5:$D$12,0)))</x:f>
        <x:v>1120</x:v>
      </x:c>
      <x:c r="D1057" s="11" t="n">
        <x:f>IF($A1057="","",INDEX(Assumptions!$G$5:$G$12,MATCH($B1057,Assumptions!$D$5:$D$12,0)))</x:f>
        <x:v>115</x:v>
      </x:c>
      <x:c r="E1057" s="11" t="n">
        <x:f>IF($A1057="","",INDEX(Assumptions!$M$5:$M$11,WEEKDAY($A1057,2)))</x:f>
        <x:v>0.98</x:v>
      </x:c>
      <x:c r="F1057" s="11" t="n">
        <x:f>IF($A1057="","",Assumptions!$B$15)</x:f>
        <x:v>0.35</x:v>
      </x:c>
      <x:c r="G1057" s="11" t="n">
        <x:f>IF($A1057="","",MAX(INDEX(Assumptions!$H$5:$H$12,MATCH($B1057,Assumptions!$D$5:$D$12,0)),MIN(INDEX(Assumptions!$I$5:$I$12,MATCH($B1057,Assumptions!$D$5:$D$12,0)),($C1057+$D1057*SQRT(-2*LN(RAND()))*COS(2*PI()*RAND()))*$E1057*$J1057*$K1057)))</x:f>
        <x:v>1090.0006737660037</x:v>
      </x:c>
      <x:c r="H1057" s="11" t="n">
        <x:f>IF($A1057="","",$G1057*$F1057+$C1057*(1-$F1057))</x:f>
        <x:v>1109.5002358181014</x:v>
      </x:c>
      <x:c r="I1057" s="11" t="n">
        <x:f>IF($A1057="","",AVERAGE($H1057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1122.5895152100632</x:v>
      </x:c>
      <x:c r="J1057" s="12" t="n">
        <x:f>IF($A1057="","",1+SUMIFS(Assumptions!$S$5:$S$10,Assumptions!$P$5:$P$10,$B1057,Assumptions!$Q$5:$Q$10,"&lt;="&amp;$A1057,Assumptions!$R$5:$R$10,"&gt;="&amp;$A1057))</x:f>
        <x:v>1</x:v>
      </x:c>
      <x:c r="K1057" s="12" t="n">
        <x:f>IF($A1057="","",1+((($A1057-Assumptions!$B$5)/30)*INDEX(Assumptions!$J$5:$J$12,MATCH($B1057,Assumptions!$D$5:$D$12,0))))</x:f>
        <x:v>1.0140666666666667</x:v>
      </x:c>
      <x:c r="L1057" t="str">
        <x:f>IF($A1057="","",IFERROR(INDEX(Assumptions!$O$5:$O$10,MATCH(1,(Assumptions!$P$5:$P$10=$B1057)*(Assumptions!$Q$5:$Q$10&lt;=$A1057)*(Assumptions!$R$5:$R$10&gt;=$A1057),0)),""))</x:f>
      </x:c>
      <x:c r="M1057" t="n">
        <x:f>--($A1057&lt;&gt;"")</x:f>
        <x:v>1</x:v>
      </x:c>
    </x:row>
    <x:row r="1058">
      <x:c r="A1058" s="10" t="n">
        <x:f>IF(Assumptions!$B$5+INT((ROW()-2)/Assumptions!$B$7)&gt;Assumptions!$B$6,"",Assumptions!$B$5+INT((ROW()-2)/Assumptions!$B$7))</x:f>
        <x:v>46234</x:v>
      </x:c>
      <x:c r="B1058" t="str">
        <x:f>IF($A1058="","",INDEX(Assumptions!$D$5:$D$12,MOD(ROW()-2,Assumptions!$B$7)+1))</x:f>
        <x:v>LV-426 North</x:v>
      </x:c>
      <x:c r="C1058" s="11" t="n">
        <x:f>IF($A1058="","",INDEX(Assumptions!$F$5:$F$12,MATCH($B1058,Assumptions!$D$5:$D$12,0)))</x:f>
        <x:v>930</x:v>
      </x:c>
      <x:c r="D1058" s="11" t="n">
        <x:f>IF($A1058="","",INDEX(Assumptions!$G$5:$G$12,MATCH($B1058,Assumptions!$D$5:$D$12,0)))</x:f>
        <x:v>95</x:v>
      </x:c>
      <x:c r="E1058" s="11" t="n">
        <x:f>IF($A1058="","",INDEX(Assumptions!$M$5:$M$11,WEEKDAY($A1058,2)))</x:f>
        <x:v>0.98</x:v>
      </x:c>
      <x:c r="F1058" s="11" t="n">
        <x:f>IF($A1058="","",Assumptions!$B$15)</x:f>
        <x:v>0.35</x:v>
      </x:c>
      <x:c r="G1058" s="11" t="n">
        <x:f>IF($A1058="","",MAX(INDEX(Assumptions!$H$5:$H$12,MATCH($B1058,Assumptions!$D$5:$D$12,0)),MIN(INDEX(Assumptions!$I$5:$I$12,MATCH($B1058,Assumptions!$D$5:$D$12,0)),($C1058+$D1058*SQRT(-2*LN(RAND()))*COS(2*PI()*RAND()))*$E1058*$J1058*$K1058)))</x:f>
        <x:v>985.0315004465862</x:v>
      </x:c>
      <x:c r="H1058" s="11" t="n">
        <x:f>IF($A1058="","",$G1058*$F1058+$C1058*(1-$F1058))</x:f>
        <x:v>949.2610251563051</x:v>
      </x:c>
      <x:c r="I1058" s="11" t="n">
        <x:f>IF($A1058="","",AVERAGE($H1058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918.9570243781981</x:v>
      </x:c>
      <x:c r="J1058" s="12" t="n">
        <x:f>IF($A1058="","",1+SUMIFS(Assumptions!$S$5:$S$10,Assumptions!$P$5:$P$10,$B1058,Assumptions!$Q$5:$Q$10,"&lt;="&amp;$A1058,Assumptions!$R$5:$R$10,"&gt;="&amp;$A1058))</x:f>
        <x:v>1</x:v>
      </x:c>
      <x:c r="K1058" s="12" t="n">
        <x:f>IF($A1058="","",1+((($A1058-Assumptions!$B$5)/30)*INDEX(Assumptions!$J$5:$J$12,MATCH($B1058,Assumptions!$D$5:$D$12,0))))</x:f>
        <x:v>0.9929666666666667</x:v>
      </x:c>
      <x:c r="L1058" t="str">
        <x:f>IF($A1058="","",IFERROR(INDEX(Assumptions!$O$5:$O$10,MATCH(1,(Assumptions!$P$5:$P$10=$B1058)*(Assumptions!$Q$5:$Q$10&lt;=$A1058)*(Assumptions!$R$5:$R$10&gt;=$A1058),0)),""))</x:f>
      </x:c>
      <x:c r="M1058" t="n">
        <x:f>--($A1058&lt;&gt;"")</x:f>
        <x:v>1</x:v>
      </x:c>
    </x:row>
    <x:row r="1059">
      <x:c r="A1059" s="10" t="n">
        <x:f>IF(Assumptions!$B$5+INT((ROW()-2)/Assumptions!$B$7)&gt;Assumptions!$B$6,"",Assumptions!$B$5+INT((ROW()-2)/Assumptions!$B$7))</x:f>
        <x:v>46234</x:v>
      </x:c>
      <x:c r="B1059" t="str">
        <x:f>IF($A1059="","",INDEX(Assumptions!$D$5:$D$12,MOD(ROW()-2,Assumptions!$B$7)+1))</x:f>
        <x:v>Nostromo Deep</x:v>
      </x:c>
      <x:c r="C1059" s="11" t="n">
        <x:f>IF($A1059="","",INDEX(Assumptions!$F$5:$F$12,MATCH($B1059,Assumptions!$D$5:$D$12,0)))</x:f>
        <x:v>1260</x:v>
      </x:c>
      <x:c r="D1059" s="11" t="n">
        <x:f>IF($A1059="","",INDEX(Assumptions!$G$5:$G$12,MATCH($B1059,Assumptions!$D$5:$D$12,0)))</x:f>
        <x:v>145</x:v>
      </x:c>
      <x:c r="E1059" s="11" t="n">
        <x:f>IF($A1059="","",INDEX(Assumptions!$M$5:$M$11,WEEKDAY($A1059,2)))</x:f>
        <x:v>0.98</x:v>
      </x:c>
      <x:c r="F1059" s="11" t="n">
        <x:f>IF($A1059="","",Assumptions!$B$15)</x:f>
        <x:v>0.35</x:v>
      </x:c>
      <x:c r="G1059" s="11" t="n">
        <x:f>IF($A1059="","",MAX(INDEX(Assumptions!$H$5:$H$12,MATCH($B1059,Assumptions!$D$5:$D$12,0)),MIN(INDEX(Assumptions!$I$5:$I$12,MATCH($B1059,Assumptions!$D$5:$D$12,0)),($C1059+$D1059*SQRT(-2*LN(RAND()))*COS(2*PI()*RAND()))*$E1059*$J1059*$K1059)))</x:f>
        <x:v>1545.2074789569383</x:v>
      </x:c>
      <x:c r="H1059" s="11" t="n">
        <x:f>IF($A1059="","",$G1059*$F1059+$C1059*(1-$F1059))</x:f>
        <x:v>1359.8226176349285</x:v>
      </x:c>
      <x:c r="I1059" s="11" t="n">
        <x:f>IF($A1059="","",AVERAGE($H1059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1285.9470300704252</x:v>
      </x:c>
      <x:c r="J1059" s="12" t="n">
        <x:f>IF($A1059="","",1+SUMIFS(Assumptions!$S$5:$S$10,Assumptions!$P$5:$P$10,$B1059,Assumptions!$Q$5:$Q$10,"&lt;="&amp;$A1059,Assumptions!$R$5:$R$10,"&gt;="&amp;$A1059))</x:f>
        <x:v>1</x:v>
      </x:c>
      <x:c r="K1059" s="12" t="n">
        <x:f>IF($A1059="","",1+((($A1059-Assumptions!$B$5)/30)*INDEX(Assumptions!$J$5:$J$12,MATCH($B1059,Assumptions!$D$5:$D$12,0))))</x:f>
        <x:v>1.0211</x:v>
      </x:c>
      <x:c r="L1059" t="str">
        <x:f>IF($A1059="","",IFERROR(INDEX(Assumptions!$O$5:$O$10,MATCH(1,(Assumptions!$P$5:$P$10=$B1059)*(Assumptions!$Q$5:$Q$10&lt;=$A1059)*(Assumptions!$R$5:$R$10&gt;=$A1059),0)),""))</x:f>
      </x:c>
      <x:c r="M1059" t="n">
        <x:f>--($A1059&lt;&gt;"")</x:f>
        <x:v>1</x:v>
      </x:c>
    </x:row>
    <x:row r="1060">
      <x:c r="A1060" s="10" t="n">
        <x:f>IF(Assumptions!$B$5+INT((ROW()-2)/Assumptions!$B$7)&gt;Assumptions!$B$6,"",Assumptions!$B$5+INT((ROW()-2)/Assumptions!$B$7))</x:f>
        <x:v>46234</x:v>
      </x:c>
      <x:c r="B1060" t="str">
        <x:f>IF($A1060="","",INDEX(Assumptions!$D$5:$D$12,MOD(ROW()-2,Assumptions!$B$7)+1))</x:f>
        <x:v>Hadley's Hope</x:v>
      </x:c>
      <x:c r="C1060" s="11" t="n">
        <x:f>IF($A1060="","",INDEX(Assumptions!$F$5:$F$12,MATCH($B1060,Assumptions!$D$5:$D$12,0)))</x:f>
        <x:v>845</x:v>
      </x:c>
      <x:c r="D1060" s="11" t="n">
        <x:f>IF($A1060="","",INDEX(Assumptions!$G$5:$G$12,MATCH($B1060,Assumptions!$D$5:$D$12,0)))</x:f>
        <x:v>80</x:v>
      </x:c>
      <x:c r="E1060" s="11" t="n">
        <x:f>IF($A1060="","",INDEX(Assumptions!$M$5:$M$11,WEEKDAY($A1060,2)))</x:f>
        <x:v>0.98</x:v>
      </x:c>
      <x:c r="F1060" s="11" t="n">
        <x:f>IF($A1060="","",Assumptions!$B$15)</x:f>
        <x:v>0.35</x:v>
      </x:c>
      <x:c r="G1060" s="11" t="n">
        <x:f>IF($A1060="","",MAX(INDEX(Assumptions!$H$5:$H$12,MATCH($B1060,Assumptions!$D$5:$D$12,0)),MIN(INDEX(Assumptions!$I$5:$I$12,MATCH($B1060,Assumptions!$D$5:$D$12,0)),($C1060+$D1060*SQRT(-2*LN(RAND()))*COS(2*PI()*RAND()))*$E1060*$J1060*$K1060)))</x:f>
        <x:v>828.6797565888992</x:v>
      </x:c>
      <x:c r="H1060" s="11" t="n">
        <x:f>IF($A1060="","",$G1060*$F1060+$C1060*(1-$F1060))</x:f>
        <x:v>839.2879148061147</x:v>
      </x:c>
      <x:c r="I1060" s="11" t="n">
        <x:f>IF($A1060="","",AVERAGE($H1060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841.8532703825523</x:v>
      </x:c>
      <x:c r="J1060" s="12" t="n">
        <x:f>IF($A1060="","",1+SUMIFS(Assumptions!$S$5:$S$10,Assumptions!$P$5:$P$10,$B1060,Assumptions!$Q$5:$Q$10,"&lt;="&amp;$A1060,Assumptions!$R$5:$R$10,"&gt;="&amp;$A1060))</x:f>
        <x:v>1</x:v>
      </x:c>
      <x:c r="K1060" s="12" t="n">
        <x:f>IF($A1060="","",1+((($A1060-Assumptions!$B$5)/30)*INDEX(Assumptions!$J$5:$J$12,MATCH($B1060,Assumptions!$D$5:$D$12,0))))</x:f>
        <x:v>1.0070333333333332</x:v>
      </x:c>
      <x:c r="L1060" t="str">
        <x:f>IF($A1060="","",IFERROR(INDEX(Assumptions!$O$5:$O$10,MATCH(1,(Assumptions!$P$5:$P$10=$B1060)*(Assumptions!$Q$5:$Q$10&lt;=$A1060)*(Assumptions!$R$5:$R$10&gt;=$A1060),0)),""))</x:f>
      </x:c>
      <x:c r="M1060" t="n">
        <x:f>--($A1060&lt;&gt;"")</x:f>
        <x:v>1</x:v>
      </x:c>
    </x:row>
    <x:row r="1061">
      <x:c r="A1061" s="10" t="n">
        <x:f>IF(Assumptions!$B$5+INT((ROW()-2)/Assumptions!$B$7)&gt;Assumptions!$B$6,"",Assumptions!$B$5+INT((ROW()-2)/Assumptions!$B$7))</x:f>
        <x:v>46234</x:v>
      </x:c>
      <x:c r="B1061" t="str">
        <x:f>IF($A1061="","",INDEX(Assumptions!$D$5:$D$12,MOD(ROW()-2,Assumptions!$B$7)+1))</x:f>
        <x:v>Yutani Ridge</x:v>
      </x:c>
      <x:c r="C1061" s="11" t="n">
        <x:f>IF($A1061="","",INDEX(Assumptions!$F$5:$F$12,MATCH($B1061,Assumptions!$D$5:$D$12,0)))</x:f>
        <x:v>1050</x:v>
      </x:c>
      <x:c r="D1061" s="11" t="n">
        <x:f>IF($A1061="","",INDEX(Assumptions!$G$5:$G$12,MATCH($B1061,Assumptions!$D$5:$D$12,0)))</x:f>
        <x:v>125</x:v>
      </x:c>
      <x:c r="E1061" s="11" t="n">
        <x:f>IF($A1061="","",INDEX(Assumptions!$M$5:$M$11,WEEKDAY($A1061,2)))</x:f>
        <x:v>0.98</x:v>
      </x:c>
      <x:c r="F1061" s="11" t="n">
        <x:f>IF($A1061="","",Assumptions!$B$15)</x:f>
        <x:v>0.35</x:v>
      </x:c>
      <x:c r="G1061" s="11" t="n">
        <x:f>IF($A1061="","",MAX(INDEX(Assumptions!$H$5:$H$12,MATCH($B1061,Assumptions!$D$5:$D$12,0)),MIN(INDEX(Assumptions!$I$5:$I$12,MATCH($B1061,Assumptions!$D$5:$D$12,0)),($C1061+$D1061*SQRT(-2*LN(RAND()))*COS(2*PI()*RAND()))*$E1061*$J1061*$K1061)))</x:f>
        <x:v>726.5171969041372</x:v>
      </x:c>
      <x:c r="H1061" s="11" t="n">
        <x:f>IF($A1061="","",$G1061*$F1061+$C1061*(1-$F1061))</x:f>
        <x:v>936.781018916448</x:v>
      </x:c>
      <x:c r="I1061" s="11" t="n">
        <x:f>IF($A1061="","",AVERAGE($H1061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1019.9517613274611</x:v>
      </x:c>
      <x:c r="J1061" s="12" t="n">
        <x:f>IF($A1061="","",1+SUMIFS(Assumptions!$S$5:$S$10,Assumptions!$P$5:$P$10,$B1061,Assumptions!$Q$5:$Q$10,"&lt;="&amp;$A1061,Assumptions!$R$5:$R$10,"&gt;="&amp;$A1061))</x:f>
        <x:v>1</x:v>
      </x:c>
      <x:c r="K1061" s="12" t="n">
        <x:f>IF($A1061="","",1+((($A1061-Assumptions!$B$5)/30)*INDEX(Assumptions!$J$5:$J$12,MATCH($B1061,Assumptions!$D$5:$D$12,0))))</x:f>
        <x:v>1.0175833333333333</x:v>
      </x:c>
      <x:c r="L1061" t="str">
        <x:f>IF($A1061="","",IFERROR(INDEX(Assumptions!$O$5:$O$10,MATCH(1,(Assumptions!$P$5:$P$10=$B1061)*(Assumptions!$Q$5:$Q$10&lt;=$A1061)*(Assumptions!$R$5:$R$10&gt;=$A1061),0)),""))</x:f>
      </x:c>
      <x:c r="M1061" t="n">
        <x:f>--($A1061&lt;&gt;"")</x:f>
        <x:v>1</x:v>
      </x:c>
    </x:row>
    <x:row r="1062">
      <x:c r="A1062" s="10" t="n">
        <x:f>IF(Assumptions!$B$5+INT((ROW()-2)/Assumptions!$B$7)&gt;Assumptions!$B$6,"",Assumptions!$B$5+INT((ROW()-2)/Assumptions!$B$7))</x:f>
        <x:v>46235</x:v>
      </x:c>
      <x:c r="B1062" t="str">
        <x:f>IF($A1062="","",INDEX(Assumptions!$D$5:$D$12,MOD(ROW()-2,Assumptions!$B$7)+1))</x:f>
        <x:v>Acheron Prime</x:v>
      </x:c>
      <x:c r="C1062" s="11" t="n">
        <x:f>IF($A1062="","",INDEX(Assumptions!$F$5:$F$12,MATCH($B1062,Assumptions!$D$5:$D$12,0)))</x:f>
        <x:v>1120</x:v>
      </x:c>
      <x:c r="D1062" s="11" t="n">
        <x:f>IF($A1062="","",INDEX(Assumptions!$G$5:$G$12,MATCH($B1062,Assumptions!$D$5:$D$12,0)))</x:f>
        <x:v>115</x:v>
      </x:c>
      <x:c r="E1062" s="11" t="n">
        <x:f>IF($A1062="","",INDEX(Assumptions!$M$5:$M$11,WEEKDAY($A1062,2)))</x:f>
        <x:v>0.91</x:v>
      </x:c>
      <x:c r="F1062" s="11" t="n">
        <x:f>IF($A1062="","",Assumptions!$B$15)</x:f>
        <x:v>0.35</x:v>
      </x:c>
      <x:c r="G1062" s="11" t="n">
        <x:f>IF($A1062="","",MAX(INDEX(Assumptions!$H$5:$H$12,MATCH($B1062,Assumptions!$D$5:$D$12,0)),MIN(INDEX(Assumptions!$I$5:$I$12,MATCH($B1062,Assumptions!$D$5:$D$12,0)),($C1062+$D1062*SQRT(-2*LN(RAND()))*COS(2*PI()*RAND()))*$E1062*$J1062*$K1062)))</x:f>
        <x:v>953.6895076307579</x:v>
      </x:c>
      <x:c r="H1062" s="11" t="n">
        <x:f>IF($A1062="","",$G1062*$F1062+$C1062*(1-$F1062))</x:f>
        <x:v>1061.7913276707652</x:v>
      </x:c>
      <x:c r="I1062" s="11" t="n">
        <x:f>IF($A1062="","",AVERAGE($H1062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1126.0342276341223</x:v>
      </x:c>
      <x:c r="J1062" s="12" t="n">
        <x:f>IF($A1062="","",1+SUMIFS(Assumptions!$S$5:$S$10,Assumptions!$P$5:$P$10,$B1062,Assumptions!$Q$5:$Q$10,"&lt;="&amp;$A1062,Assumptions!$R$5:$R$10,"&gt;="&amp;$A1062))</x:f>
        <x:v>1</x:v>
      </x:c>
      <x:c r="K1062" s="12" t="n">
        <x:f>IF($A1062="","",1+((($A1062-Assumptions!$B$5)/30)*INDEX(Assumptions!$J$5:$J$12,MATCH($B1062,Assumptions!$D$5:$D$12,0))))</x:f>
        <x:v>1.0141333333333333</x:v>
      </x:c>
      <x:c r="L1062" t="str">
        <x:f>IF($A1062="","",IFERROR(INDEX(Assumptions!$O$5:$O$10,MATCH(1,(Assumptions!$P$5:$P$10=$B1062)*(Assumptions!$Q$5:$Q$10&lt;=$A1062)*(Assumptions!$R$5:$R$10&gt;=$A1062),0)),""))</x:f>
      </x:c>
      <x:c r="M1062" t="n">
        <x:f>--($A1062&lt;&gt;"")</x:f>
        <x:v>1</x:v>
      </x:c>
    </x:row>
    <x:row r="1063">
      <x:c r="A1063" s="10" t="n">
        <x:f>IF(Assumptions!$B$5+INT((ROW()-2)/Assumptions!$B$7)&gt;Assumptions!$B$6,"",Assumptions!$B$5+INT((ROW()-2)/Assumptions!$B$7))</x:f>
        <x:v>46235</x:v>
      </x:c>
      <x:c r="B1063" t="str">
        <x:f>IF($A1063="","",INDEX(Assumptions!$D$5:$D$12,MOD(ROW()-2,Assumptions!$B$7)+1))</x:f>
        <x:v>LV-426 North</x:v>
      </x:c>
      <x:c r="C1063" s="11" t="n">
        <x:f>IF($A1063="","",INDEX(Assumptions!$F$5:$F$12,MATCH($B1063,Assumptions!$D$5:$D$12,0)))</x:f>
        <x:v>930</x:v>
      </x:c>
      <x:c r="D1063" s="11" t="n">
        <x:f>IF($A1063="","",INDEX(Assumptions!$G$5:$G$12,MATCH($B1063,Assumptions!$D$5:$D$12,0)))</x:f>
        <x:v>95</x:v>
      </x:c>
      <x:c r="E1063" s="11" t="n">
        <x:f>IF($A1063="","",INDEX(Assumptions!$M$5:$M$11,WEEKDAY($A1063,2)))</x:f>
        <x:v>0.91</x:v>
      </x:c>
      <x:c r="F1063" s="11" t="n">
        <x:f>IF($A1063="","",Assumptions!$B$15)</x:f>
        <x:v>0.35</x:v>
      </x:c>
      <x:c r="G1063" s="11" t="n">
        <x:f>IF($A1063="","",MAX(INDEX(Assumptions!$H$5:$H$12,MATCH($B1063,Assumptions!$D$5:$D$12,0)),MIN(INDEX(Assumptions!$I$5:$I$12,MATCH($B1063,Assumptions!$D$5:$D$12,0)),($C1063+$D1063*SQRT(-2*LN(RAND()))*COS(2*PI()*RAND()))*$E1063*$J1063*$K1063)))</x:f>
        <x:v>885.272151199964</x:v>
      </x:c>
      <x:c r="H1063" s="11" t="n">
        <x:f>IF($A1063="","",$G1063*$F1063+$C1063*(1-$F1063))</x:f>
        <x:v>914.3452529199874</x:v>
      </x:c>
      <x:c r="I1063" s="11" t="n">
        <x:f>IF($A1063="","",AVERAGE($H1063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917.229087694877</x:v>
      </x:c>
      <x:c r="J1063" s="12" t="n">
        <x:f>IF($A1063="","",1+SUMIFS(Assumptions!$S$5:$S$10,Assumptions!$P$5:$P$10,$B1063,Assumptions!$Q$5:$Q$10,"&lt;="&amp;$A1063,Assumptions!$R$5:$R$10,"&gt;="&amp;$A1063))</x:f>
        <x:v>1</x:v>
      </x:c>
      <x:c r="K1063" s="12" t="n">
        <x:f>IF($A1063="","",1+((($A1063-Assumptions!$B$5)/30)*INDEX(Assumptions!$J$5:$J$12,MATCH($B1063,Assumptions!$D$5:$D$12,0))))</x:f>
        <x:v>0.9929333333333333</x:v>
      </x:c>
      <x:c r="L1063" t="str">
        <x:f>IF($A1063="","",IFERROR(INDEX(Assumptions!$O$5:$O$10,MATCH(1,(Assumptions!$P$5:$P$10=$B1063)*(Assumptions!$Q$5:$Q$10&lt;=$A1063)*(Assumptions!$R$5:$R$10&gt;=$A1063),0)),""))</x:f>
      </x:c>
      <x:c r="M1063" t="n">
        <x:f>--($A1063&lt;&gt;"")</x:f>
        <x:v>1</x:v>
      </x:c>
    </x:row>
    <x:row r="1064">
      <x:c r="A1064" s="10" t="n">
        <x:f>IF(Assumptions!$B$5+INT((ROW()-2)/Assumptions!$B$7)&gt;Assumptions!$B$6,"",Assumptions!$B$5+INT((ROW()-2)/Assumptions!$B$7))</x:f>
        <x:v>46235</x:v>
      </x:c>
      <x:c r="B1064" t="str">
        <x:f>IF($A1064="","",INDEX(Assumptions!$D$5:$D$12,MOD(ROW()-2,Assumptions!$B$7)+1))</x:f>
        <x:v>Nostromo Deep</x:v>
      </x:c>
      <x:c r="C1064" s="11" t="n">
        <x:f>IF($A1064="","",INDEX(Assumptions!$F$5:$F$12,MATCH($B1064,Assumptions!$D$5:$D$12,0)))</x:f>
        <x:v>1260</x:v>
      </x:c>
      <x:c r="D1064" s="11" t="n">
        <x:f>IF($A1064="","",INDEX(Assumptions!$G$5:$G$12,MATCH($B1064,Assumptions!$D$5:$D$12,0)))</x:f>
        <x:v>145</x:v>
      </x:c>
      <x:c r="E1064" s="11" t="n">
        <x:f>IF($A1064="","",INDEX(Assumptions!$M$5:$M$11,WEEKDAY($A1064,2)))</x:f>
        <x:v>0.91</x:v>
      </x:c>
      <x:c r="F1064" s="11" t="n">
        <x:f>IF($A1064="","",Assumptions!$B$15)</x:f>
        <x:v>0.35</x:v>
      </x:c>
      <x:c r="G1064" s="11" t="n">
        <x:f>IF($A1064="","",MAX(INDEX(Assumptions!$H$5:$H$12,MATCH($B1064,Assumptions!$D$5:$D$12,0)),MIN(INDEX(Assumptions!$I$5:$I$12,MATCH($B1064,Assumptions!$D$5:$D$12,0)),($C1064+$D1064*SQRT(-2*LN(RAND()))*COS(2*PI()*RAND()))*$E1064*$J1064*$K1064)))</x:f>
        <x:v>1094.3176343857426</x:v>
      </x:c>
      <x:c r="H1064" s="11" t="n">
        <x:f>IF($A1064="","",$G1064*$F1064+$C1064*(1-$F1064))</x:f>
        <x:v>1202.0111720350098</x:v>
      </x:c>
      <x:c r="I1064" s="11" t="n">
        <x:f>IF($A1064="","",AVERAGE($H1064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1273.7850243381715</x:v>
      </x:c>
      <x:c r="J1064" s="12" t="n">
        <x:f>IF($A1064="","",1+SUMIFS(Assumptions!$S$5:$S$10,Assumptions!$P$5:$P$10,$B1064,Assumptions!$Q$5:$Q$10,"&lt;="&amp;$A1064,Assumptions!$R$5:$R$10,"&gt;="&amp;$A1064))</x:f>
        <x:v>1</x:v>
      </x:c>
      <x:c r="K1064" s="12" t="n">
        <x:f>IF($A1064="","",1+((($A1064-Assumptions!$B$5)/30)*INDEX(Assumptions!$J$5:$J$12,MATCH($B1064,Assumptions!$D$5:$D$12,0))))</x:f>
        <x:v>1.0212</x:v>
      </x:c>
      <x:c r="L1064" t="str">
        <x:f>IF($A1064="","",IFERROR(INDEX(Assumptions!$O$5:$O$10,MATCH(1,(Assumptions!$P$5:$P$10=$B1064)*(Assumptions!$Q$5:$Q$10&lt;=$A1064)*(Assumptions!$R$5:$R$10&gt;=$A1064),0)),""))</x:f>
      </x:c>
      <x:c r="M1064" t="n">
        <x:f>--($A1064&lt;&gt;"")</x:f>
        <x:v>1</x:v>
      </x:c>
    </x:row>
    <x:row r="1065">
      <x:c r="A1065" s="10" t="n">
        <x:f>IF(Assumptions!$B$5+INT((ROW()-2)/Assumptions!$B$7)&gt;Assumptions!$B$6,"",Assumptions!$B$5+INT((ROW()-2)/Assumptions!$B$7))</x:f>
        <x:v>46235</x:v>
      </x:c>
      <x:c r="B1065" t="str">
        <x:f>IF($A1065="","",INDEX(Assumptions!$D$5:$D$12,MOD(ROW()-2,Assumptions!$B$7)+1))</x:f>
        <x:v>Hadley's Hope</x:v>
      </x:c>
      <x:c r="C1065" s="11" t="n">
        <x:f>IF($A1065="","",INDEX(Assumptions!$F$5:$F$12,MATCH($B1065,Assumptions!$D$5:$D$12,0)))</x:f>
        <x:v>845</x:v>
      </x:c>
      <x:c r="D1065" s="11" t="n">
        <x:f>IF($A1065="","",INDEX(Assumptions!$G$5:$G$12,MATCH($B1065,Assumptions!$D$5:$D$12,0)))</x:f>
        <x:v>80</x:v>
      </x:c>
      <x:c r="E1065" s="11" t="n">
        <x:f>IF($A1065="","",INDEX(Assumptions!$M$5:$M$11,WEEKDAY($A1065,2)))</x:f>
        <x:v>0.91</x:v>
      </x:c>
      <x:c r="F1065" s="11" t="n">
        <x:f>IF($A1065="","",Assumptions!$B$15)</x:f>
        <x:v>0.35</x:v>
      </x:c>
      <x:c r="G1065" s="11" t="n">
        <x:f>IF($A1065="","",MAX(INDEX(Assumptions!$H$5:$H$12,MATCH($B1065,Assumptions!$D$5:$D$12,0)),MIN(INDEX(Assumptions!$I$5:$I$12,MATCH($B1065,Assumptions!$D$5:$D$12,0)),($C1065+$D1065*SQRT(-2*LN(RAND()))*COS(2*PI()*RAND()))*$E1065*$J1065*$K1065)))</x:f>
        <x:v>814.9861848046633</x:v>
      </x:c>
      <x:c r="H1065" s="11" t="n">
        <x:f>IF($A1065="","",$G1065*$F1065+$C1065*(1-$F1065))</x:f>
        <x:v>834.4951646816321</x:v>
      </x:c>
      <x:c r="I1065" s="11" t="n">
        <x:f>IF($A1065="","",AVERAGE($H1065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845.3094130670742</x:v>
      </x:c>
      <x:c r="J1065" s="12" t="n">
        <x:f>IF($A1065="","",1+SUMIFS(Assumptions!$S$5:$S$10,Assumptions!$P$5:$P$10,$B1065,Assumptions!$Q$5:$Q$10,"&lt;="&amp;$A1065,Assumptions!$R$5:$R$10,"&gt;="&amp;$A1065))</x:f>
        <x:v>1</x:v>
      </x:c>
      <x:c r="K1065" s="12" t="n">
        <x:f>IF($A1065="","",1+((($A1065-Assumptions!$B$5)/30)*INDEX(Assumptions!$J$5:$J$12,MATCH($B1065,Assumptions!$D$5:$D$12,0))))</x:f>
        <x:v>1.0070666666666668</x:v>
      </x:c>
      <x:c r="L1065" t="str">
        <x:f>IF($A1065="","",IFERROR(INDEX(Assumptions!$O$5:$O$10,MATCH(1,(Assumptions!$P$5:$P$10=$B1065)*(Assumptions!$Q$5:$Q$10&lt;=$A1065)*(Assumptions!$R$5:$R$10&gt;=$A1065),0)),""))</x:f>
      </x:c>
      <x:c r="M1065" t="n">
        <x:f>--($A1065&lt;&gt;"")</x:f>
        <x:v>1</x:v>
      </x:c>
    </x:row>
    <x:row r="1066">
      <x:c r="A1066" s="10" t="n">
        <x:f>IF(Assumptions!$B$5+INT((ROW()-2)/Assumptions!$B$7)&gt;Assumptions!$B$6,"",Assumptions!$B$5+INT((ROW()-2)/Assumptions!$B$7))</x:f>
        <x:v>46235</x:v>
      </x:c>
      <x:c r="B1066" t="str">
        <x:f>IF($A1066="","",INDEX(Assumptions!$D$5:$D$12,MOD(ROW()-2,Assumptions!$B$7)+1))</x:f>
        <x:v>Yutani Ridge</x:v>
      </x:c>
      <x:c r="C1066" s="11" t="n">
        <x:f>IF($A1066="","",INDEX(Assumptions!$F$5:$F$12,MATCH($B1066,Assumptions!$D$5:$D$12,0)))</x:f>
        <x:v>1050</x:v>
      </x:c>
      <x:c r="D1066" s="11" t="n">
        <x:f>IF($A1066="","",INDEX(Assumptions!$G$5:$G$12,MATCH($B1066,Assumptions!$D$5:$D$12,0)))</x:f>
        <x:v>125</x:v>
      </x:c>
      <x:c r="E1066" s="11" t="n">
        <x:f>IF($A1066="","",INDEX(Assumptions!$M$5:$M$11,WEEKDAY($A1066,2)))</x:f>
        <x:v>0.91</x:v>
      </x:c>
      <x:c r="F1066" s="11" t="n">
        <x:f>IF($A1066="","",Assumptions!$B$15)</x:f>
        <x:v>0.35</x:v>
      </x:c>
      <x:c r="G1066" s="11" t="n">
        <x:f>IF($A1066="","",MAX(INDEX(Assumptions!$H$5:$H$12,MATCH($B1066,Assumptions!$D$5:$D$12,0)),MIN(INDEX(Assumptions!$I$5:$I$12,MATCH($B1066,Assumptions!$D$5:$D$12,0)),($C1066+$D1066*SQRT(-2*LN(RAND()))*COS(2*PI()*RAND()))*$E1066*$J1066*$K1066)))</x:f>
        <x:v>744.7923853350266</x:v>
      </x:c>
      <x:c r="H1066" s="11" t="n">
        <x:f>IF($A1066="","",$G1066*$F1066+$C1066*(1-$F1066))</x:f>
        <x:v>943.1773348672593</x:v>
      </x:c>
      <x:c r="I1066" s="11" t="n">
        <x:f>IF($A1066="","",AVERAGE($H1066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1000.2085382065981</x:v>
      </x:c>
      <x:c r="J1066" s="12" t="n">
        <x:f>IF($A1066="","",1+SUMIFS(Assumptions!$S$5:$S$10,Assumptions!$P$5:$P$10,$B1066,Assumptions!$Q$5:$Q$10,"&lt;="&amp;$A1066,Assumptions!$R$5:$R$10,"&gt;="&amp;$A1066))</x:f>
        <x:v>1</x:v>
      </x:c>
      <x:c r="K1066" s="12" t="n">
        <x:f>IF($A1066="","",1+((($A1066-Assumptions!$B$5)/30)*INDEX(Assumptions!$J$5:$J$12,MATCH($B1066,Assumptions!$D$5:$D$12,0))))</x:f>
        <x:v>1.0176666666666667</x:v>
      </x:c>
      <x:c r="L1066" t="str">
        <x:f>IF($A1066="","",IFERROR(INDEX(Assumptions!$O$5:$O$10,MATCH(1,(Assumptions!$P$5:$P$10=$B1066)*(Assumptions!$Q$5:$Q$10&lt;=$A1066)*(Assumptions!$R$5:$R$10&gt;=$A1066),0)),""))</x:f>
      </x:c>
      <x:c r="M1066" t="n">
        <x:f>--($A1066&lt;&gt;"")</x:f>
        <x:v>1</x:v>
      </x:c>
    </x:row>
    <x:row r="1067">
      <x:c r="A1067" s="10" t="n">
        <x:f>IF(Assumptions!$B$5+INT((ROW()-2)/Assumptions!$B$7)&gt;Assumptions!$B$6,"",Assumptions!$B$5+INT((ROW()-2)/Assumptions!$B$7))</x:f>
        <x:v>46236</x:v>
      </x:c>
      <x:c r="B1067" t="str">
        <x:f>IF($A1067="","",INDEX(Assumptions!$D$5:$D$12,MOD(ROW()-2,Assumptions!$B$7)+1))</x:f>
        <x:v>Acheron Prime</x:v>
      </x:c>
      <x:c r="C1067" s="11" t="n">
        <x:f>IF($A1067="","",INDEX(Assumptions!$F$5:$F$12,MATCH($B1067,Assumptions!$D$5:$D$12,0)))</x:f>
        <x:v>1120</x:v>
      </x:c>
      <x:c r="D1067" s="11" t="n">
        <x:f>IF($A1067="","",INDEX(Assumptions!$G$5:$G$12,MATCH($B1067,Assumptions!$D$5:$D$12,0)))</x:f>
        <x:v>115</x:v>
      </x:c>
      <x:c r="E1067" s="11" t="n">
        <x:f>IF($A1067="","",INDEX(Assumptions!$M$5:$M$11,WEEKDAY($A1067,2)))</x:f>
        <x:v>0.87</x:v>
      </x:c>
      <x:c r="F1067" s="11" t="n">
        <x:f>IF($A1067="","",Assumptions!$B$15)</x:f>
        <x:v>0.35</x:v>
      </x:c>
      <x:c r="G1067" s="11" t="n">
        <x:f>IF($A1067="","",MAX(INDEX(Assumptions!$H$5:$H$12,MATCH($B1067,Assumptions!$D$5:$D$12,0)),MIN(INDEX(Assumptions!$I$5:$I$12,MATCH($B1067,Assumptions!$D$5:$D$12,0)),($C1067+$D1067*SQRT(-2*LN(RAND()))*COS(2*PI()*RAND()))*$E1067*$J1067*$K1067)))</x:f>
        <x:v>914.9508029756638</x:v>
      </x:c>
      <x:c r="H1067" s="11" t="n">
        <x:f>IF($A1067="","",$G1067*$F1067+$C1067*(1-$F1067))</x:f>
        <x:v>1048.2327810414822</x:v>
      </x:c>
      <x:c r="I1067" s="11" t="n">
        <x:f>IF($A1067="","",AVERAGE($H1067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1118.5858245634056</x:v>
      </x:c>
      <x:c r="J1067" s="12" t="n">
        <x:f>IF($A1067="","",1+SUMIFS(Assumptions!$S$5:$S$10,Assumptions!$P$5:$P$10,$B1067,Assumptions!$Q$5:$Q$10,"&lt;="&amp;$A1067,Assumptions!$R$5:$R$10,"&gt;="&amp;$A1067))</x:f>
        <x:v>1</x:v>
      </x:c>
      <x:c r="K1067" s="12" t="n">
        <x:f>IF($A1067="","",1+((($A1067-Assumptions!$B$5)/30)*INDEX(Assumptions!$J$5:$J$12,MATCH($B1067,Assumptions!$D$5:$D$12,0))))</x:f>
        <x:v>1.0142</x:v>
      </x:c>
      <x:c r="L1067" t="str">
        <x:f>IF($A1067="","",IFERROR(INDEX(Assumptions!$O$5:$O$10,MATCH(1,(Assumptions!$P$5:$P$10=$B1067)*(Assumptions!$Q$5:$Q$10&lt;=$A1067)*(Assumptions!$R$5:$R$10&gt;=$A1067),0)),""))</x:f>
      </x:c>
      <x:c r="M1067" t="n">
        <x:f>--($A1067&lt;&gt;"")</x:f>
        <x:v>1</x:v>
      </x:c>
    </x:row>
    <x:row r="1068">
      <x:c r="A1068" s="10" t="n">
        <x:f>IF(Assumptions!$B$5+INT((ROW()-2)/Assumptions!$B$7)&gt;Assumptions!$B$6,"",Assumptions!$B$5+INT((ROW()-2)/Assumptions!$B$7))</x:f>
        <x:v>46236</x:v>
      </x:c>
      <x:c r="B1068" t="str">
        <x:f>IF($A1068="","",INDEX(Assumptions!$D$5:$D$12,MOD(ROW()-2,Assumptions!$B$7)+1))</x:f>
        <x:v>LV-426 North</x:v>
      </x:c>
      <x:c r="C1068" s="11" t="n">
        <x:f>IF($A1068="","",INDEX(Assumptions!$F$5:$F$12,MATCH($B1068,Assumptions!$D$5:$D$12,0)))</x:f>
        <x:v>930</x:v>
      </x:c>
      <x:c r="D1068" s="11" t="n">
        <x:f>IF($A1068="","",INDEX(Assumptions!$G$5:$G$12,MATCH($B1068,Assumptions!$D$5:$D$12,0)))</x:f>
        <x:v>95</x:v>
      </x:c>
      <x:c r="E1068" s="11" t="n">
        <x:f>IF($A1068="","",INDEX(Assumptions!$M$5:$M$11,WEEKDAY($A1068,2)))</x:f>
        <x:v>0.87</x:v>
      </x:c>
      <x:c r="F1068" s="11" t="n">
        <x:f>IF($A1068="","",Assumptions!$B$15)</x:f>
        <x:v>0.35</x:v>
      </x:c>
      <x:c r="G1068" s="11" t="n">
        <x:f>IF($A1068="","",MAX(INDEX(Assumptions!$H$5:$H$12,MATCH($B1068,Assumptions!$D$5:$D$12,0)),MIN(INDEX(Assumptions!$I$5:$I$12,MATCH($B1068,Assumptions!$D$5:$D$12,0)),($C1068+$D1068*SQRT(-2*LN(RAND()))*COS(2*PI()*RAND()))*$E1068*$J1068*$K1068)))</x:f>
        <x:v>775.2165352733571</x:v>
      </x:c>
      <x:c r="H1068" s="11" t="n">
        <x:f>IF($A1068="","",$G1068*$F1068+$C1068*(1-$F1068))</x:f>
        <x:v>875.8257873456749</x:v>
      </x:c>
      <x:c r="I1068" s="11" t="n">
        <x:f>IF($A1068="","",AVERAGE($H1068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915.5205235822957</x:v>
      </x:c>
      <x:c r="J1068" s="12" t="n">
        <x:f>IF($A1068="","",1+SUMIFS(Assumptions!$S$5:$S$10,Assumptions!$P$5:$P$10,$B1068,Assumptions!$Q$5:$Q$10,"&lt;="&amp;$A1068,Assumptions!$R$5:$R$10,"&gt;="&amp;$A1068))</x:f>
        <x:v>1</x:v>
      </x:c>
      <x:c r="K1068" s="12" t="n">
        <x:f>IF($A1068="","",1+((($A1068-Assumptions!$B$5)/30)*INDEX(Assumptions!$J$5:$J$12,MATCH($B1068,Assumptions!$D$5:$D$12,0))))</x:f>
        <x:v>0.9929</x:v>
      </x:c>
      <x:c r="L1068" t="str">
        <x:f>IF($A1068="","",IFERROR(INDEX(Assumptions!$O$5:$O$10,MATCH(1,(Assumptions!$P$5:$P$10=$B1068)*(Assumptions!$Q$5:$Q$10&lt;=$A1068)*(Assumptions!$R$5:$R$10&gt;=$A1068),0)),""))</x:f>
      </x:c>
      <x:c r="M1068" t="n">
        <x:f>--($A1068&lt;&gt;"")</x:f>
        <x:v>1</x:v>
      </x:c>
    </x:row>
    <x:row r="1069">
      <x:c r="A1069" s="10" t="n">
        <x:f>IF(Assumptions!$B$5+INT((ROW()-2)/Assumptions!$B$7)&gt;Assumptions!$B$6,"",Assumptions!$B$5+INT((ROW()-2)/Assumptions!$B$7))</x:f>
        <x:v>46236</x:v>
      </x:c>
      <x:c r="B1069" t="str">
        <x:f>IF($A1069="","",INDEX(Assumptions!$D$5:$D$12,MOD(ROW()-2,Assumptions!$B$7)+1))</x:f>
        <x:v>Nostromo Deep</x:v>
      </x:c>
      <x:c r="C1069" s="11" t="n">
        <x:f>IF($A1069="","",INDEX(Assumptions!$F$5:$F$12,MATCH($B1069,Assumptions!$D$5:$D$12,0)))</x:f>
        <x:v>1260</x:v>
      </x:c>
      <x:c r="D1069" s="11" t="n">
        <x:f>IF($A1069="","",INDEX(Assumptions!$G$5:$G$12,MATCH($B1069,Assumptions!$D$5:$D$12,0)))</x:f>
        <x:v>145</x:v>
      </x:c>
      <x:c r="E1069" s="11" t="n">
        <x:f>IF($A1069="","",INDEX(Assumptions!$M$5:$M$11,WEEKDAY($A1069,2)))</x:f>
        <x:v>0.87</x:v>
      </x:c>
      <x:c r="F1069" s="11" t="n">
        <x:f>IF($A1069="","",Assumptions!$B$15)</x:f>
        <x:v>0.35</x:v>
      </x:c>
      <x:c r="G1069" s="11" t="n">
        <x:f>IF($A1069="","",MAX(INDEX(Assumptions!$H$5:$H$12,MATCH($B1069,Assumptions!$D$5:$D$12,0)),MIN(INDEX(Assumptions!$I$5:$I$12,MATCH($B1069,Assumptions!$D$5:$D$12,0)),($C1069+$D1069*SQRT(-2*LN(RAND()))*COS(2*PI()*RAND()))*$E1069*$J1069*$K1069)))</x:f>
        <x:v>1135.2231254830876</x:v>
      </x:c>
      <x:c r="H1069" s="11" t="n">
        <x:f>IF($A1069="","",$G1069*$F1069+$C1069*(1-$F1069))</x:f>
        <x:v>1216.3280939190806</x:v>
      </x:c>
      <x:c r="I1069" s="11" t="n">
        <x:f>IF($A1069="","",AVERAGE($H1069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1278.0340572369826</x:v>
      </x:c>
      <x:c r="J1069" s="12" t="n">
        <x:f>IF($A1069="","",1+SUMIFS(Assumptions!$S$5:$S$10,Assumptions!$P$5:$P$10,$B1069,Assumptions!$Q$5:$Q$10,"&lt;="&amp;$A1069,Assumptions!$R$5:$R$10,"&gt;="&amp;$A1069))</x:f>
        <x:v>1</x:v>
      </x:c>
      <x:c r="K1069" s="12" t="n">
        <x:f>IF($A1069="","",1+((($A1069-Assumptions!$B$5)/30)*INDEX(Assumptions!$J$5:$J$12,MATCH($B1069,Assumptions!$D$5:$D$12,0))))</x:f>
        <x:v>1.0213</x:v>
      </x:c>
      <x:c r="L1069" t="str">
        <x:f>IF($A1069="","",IFERROR(INDEX(Assumptions!$O$5:$O$10,MATCH(1,(Assumptions!$P$5:$P$10=$B1069)*(Assumptions!$Q$5:$Q$10&lt;=$A1069)*(Assumptions!$R$5:$R$10&gt;=$A1069),0)),""))</x:f>
      </x:c>
      <x:c r="M1069" t="n">
        <x:f>--($A1069&lt;&gt;"")</x:f>
        <x:v>1</x:v>
      </x:c>
    </x:row>
    <x:row r="1070">
      <x:c r="A1070" s="10" t="n">
        <x:f>IF(Assumptions!$B$5+INT((ROW()-2)/Assumptions!$B$7)&gt;Assumptions!$B$6,"",Assumptions!$B$5+INT((ROW()-2)/Assumptions!$B$7))</x:f>
        <x:v>46236</x:v>
      </x:c>
      <x:c r="B1070" t="str">
        <x:f>IF($A1070="","",INDEX(Assumptions!$D$5:$D$12,MOD(ROW()-2,Assumptions!$B$7)+1))</x:f>
        <x:v>Hadley's Hope</x:v>
      </x:c>
      <x:c r="C1070" s="11" t="n">
        <x:f>IF($A1070="","",INDEX(Assumptions!$F$5:$F$12,MATCH($B1070,Assumptions!$D$5:$D$12,0)))</x:f>
        <x:v>845</x:v>
      </x:c>
      <x:c r="D1070" s="11" t="n">
        <x:f>IF($A1070="","",INDEX(Assumptions!$G$5:$G$12,MATCH($B1070,Assumptions!$D$5:$D$12,0)))</x:f>
        <x:v>80</x:v>
      </x:c>
      <x:c r="E1070" s="11" t="n">
        <x:f>IF($A1070="","",INDEX(Assumptions!$M$5:$M$11,WEEKDAY($A1070,2)))</x:f>
        <x:v>0.87</x:v>
      </x:c>
      <x:c r="F1070" s="11" t="n">
        <x:f>IF($A1070="","",Assumptions!$B$15)</x:f>
        <x:v>0.35</x:v>
      </x:c>
      <x:c r="G1070" s="11" t="n">
        <x:f>IF($A1070="","",MAX(INDEX(Assumptions!$H$5:$H$12,MATCH($B1070,Assumptions!$D$5:$D$12,0)),MIN(INDEX(Assumptions!$I$5:$I$12,MATCH($B1070,Assumptions!$D$5:$D$12,0)),($C1070+$D1070*SQRT(-2*LN(RAND()))*COS(2*PI()*RAND()))*$E1070*$J1070*$K1070)))</x:f>
        <x:v>686.8394231150354</x:v>
      </x:c>
      <x:c r="H1070" s="11" t="n">
        <x:f>IF($A1070="","",$G1070*$F1070+$C1070*(1-$F1070))</x:f>
        <x:v>789.6437980902624</x:v>
      </x:c>
      <x:c r="I1070" s="11" t="n">
        <x:f>IF($A1070="","",AVERAGE($H1070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843.9847518712496</x:v>
      </x:c>
      <x:c r="J1070" s="12" t="n">
        <x:f>IF($A1070="","",1+SUMIFS(Assumptions!$S$5:$S$10,Assumptions!$P$5:$P$10,$B1070,Assumptions!$Q$5:$Q$10,"&lt;="&amp;$A1070,Assumptions!$R$5:$R$10,"&gt;="&amp;$A1070))</x:f>
        <x:v>1</x:v>
      </x:c>
      <x:c r="K1070" s="12" t="n">
        <x:f>IF($A1070="","",1+((($A1070-Assumptions!$B$5)/30)*INDEX(Assumptions!$J$5:$J$12,MATCH($B1070,Assumptions!$D$5:$D$12,0))))</x:f>
        <x:v>1.0071</x:v>
      </x:c>
      <x:c r="L1070" t="str">
        <x:f>IF($A1070="","",IFERROR(INDEX(Assumptions!$O$5:$O$10,MATCH(1,(Assumptions!$P$5:$P$10=$B1070)*(Assumptions!$Q$5:$Q$10&lt;=$A1070)*(Assumptions!$R$5:$R$10&gt;=$A1070),0)),""))</x:f>
      </x:c>
      <x:c r="M1070" t="n">
        <x:f>--($A1070&lt;&gt;"")</x:f>
        <x:v>1</x:v>
      </x:c>
    </x:row>
    <x:row r="1071">
      <x:c r="A1071" s="10" t="n">
        <x:f>IF(Assumptions!$B$5+INT((ROW()-2)/Assumptions!$B$7)&gt;Assumptions!$B$6,"",Assumptions!$B$5+INT((ROW()-2)/Assumptions!$B$7))</x:f>
        <x:v>46236</x:v>
      </x:c>
      <x:c r="B1071" t="str">
        <x:f>IF($A1071="","",INDEX(Assumptions!$D$5:$D$12,MOD(ROW()-2,Assumptions!$B$7)+1))</x:f>
        <x:v>Yutani Ridge</x:v>
      </x:c>
      <x:c r="C1071" s="11" t="n">
        <x:f>IF($A1071="","",INDEX(Assumptions!$F$5:$F$12,MATCH($B1071,Assumptions!$D$5:$D$12,0)))</x:f>
        <x:v>1050</x:v>
      </x:c>
      <x:c r="D1071" s="11" t="n">
        <x:f>IF($A1071="","",INDEX(Assumptions!$G$5:$G$12,MATCH($B1071,Assumptions!$D$5:$D$12,0)))</x:f>
        <x:v>125</x:v>
      </x:c>
      <x:c r="E1071" s="11" t="n">
        <x:f>IF($A1071="","",INDEX(Assumptions!$M$5:$M$11,WEEKDAY($A1071,2)))</x:f>
        <x:v>0.87</x:v>
      </x:c>
      <x:c r="F1071" s="11" t="n">
        <x:f>IF($A1071="","",Assumptions!$B$15)</x:f>
        <x:v>0.35</x:v>
      </x:c>
      <x:c r="G1071" s="11" t="n">
        <x:f>IF($A1071="","",MAX(INDEX(Assumptions!$H$5:$H$12,MATCH($B1071,Assumptions!$D$5:$D$12,0)),MIN(INDEX(Assumptions!$I$5:$I$12,MATCH($B1071,Assumptions!$D$5:$D$12,0)),($C1071+$D1071*SQRT(-2*LN(RAND()))*COS(2*PI()*RAND()))*$E1071*$J1071*$K1071)))</x:f>
        <x:v>815.8613589610773</x:v>
      </x:c>
      <x:c r="H1071" s="11" t="n">
        <x:f>IF($A1071="","",$G1071*$F1071+$C1071*(1-$F1071))</x:f>
        <x:v>968.0514756363771</x:v>
      </x:c>
      <x:c r="I1071" s="11" t="n">
        <x:f>IF($A1071="","",AVERAGE($H1071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998.4659594634941</x:v>
      </x:c>
      <x:c r="J1071" s="12" t="n">
        <x:f>IF($A1071="","",1+SUMIFS(Assumptions!$S$5:$S$10,Assumptions!$P$5:$P$10,$B1071,Assumptions!$Q$5:$Q$10,"&lt;="&amp;$A1071,Assumptions!$R$5:$R$10,"&gt;="&amp;$A1071))</x:f>
        <x:v>1</x:v>
      </x:c>
      <x:c r="K1071" s="12" t="n">
        <x:f>IF($A1071="","",1+((($A1071-Assumptions!$B$5)/30)*INDEX(Assumptions!$J$5:$J$12,MATCH($B1071,Assumptions!$D$5:$D$12,0))))</x:f>
        <x:v>1.01775</x:v>
      </x:c>
      <x:c r="L1071" t="str">
        <x:f>IF($A1071="","",IFERROR(INDEX(Assumptions!$O$5:$O$10,MATCH(1,(Assumptions!$P$5:$P$10=$B1071)*(Assumptions!$Q$5:$Q$10&lt;=$A1071)*(Assumptions!$R$5:$R$10&gt;=$A1071),0)),""))</x:f>
      </x:c>
      <x:c r="M1071" t="n">
        <x:f>--($A1071&lt;&gt;"")</x:f>
        <x:v>1</x:v>
      </x:c>
    </x:row>
    <x:row r="1072">
      <x:c r="A1072" s="10" t="n">
        <x:f>IF(Assumptions!$B$5+INT((ROW()-2)/Assumptions!$B$7)&gt;Assumptions!$B$6,"",Assumptions!$B$5+INT((ROW()-2)/Assumptions!$B$7))</x:f>
        <x:v>46237</x:v>
      </x:c>
      <x:c r="B1072" t="str">
        <x:f>IF($A1072="","",INDEX(Assumptions!$D$5:$D$12,MOD(ROW()-2,Assumptions!$B$7)+1))</x:f>
        <x:v>Acheron Prime</x:v>
      </x:c>
      <x:c r="C1072" s="11" t="n">
        <x:f>IF($A1072="","",INDEX(Assumptions!$F$5:$F$12,MATCH($B1072,Assumptions!$D$5:$D$12,0)))</x:f>
        <x:v>1120</x:v>
      </x:c>
      <x:c r="D1072" s="11" t="n">
        <x:f>IF($A1072="","",INDEX(Assumptions!$G$5:$G$12,MATCH($B1072,Assumptions!$D$5:$D$12,0)))</x:f>
        <x:v>115</x:v>
      </x:c>
      <x:c r="E1072" s="11" t="n">
        <x:f>IF($A1072="","",INDEX(Assumptions!$M$5:$M$11,WEEKDAY($A1072,2)))</x:f>
        <x:v>1.03</x:v>
      </x:c>
      <x:c r="F1072" s="11" t="n">
        <x:f>IF($A1072="","",Assumptions!$B$15)</x:f>
        <x:v>0.35</x:v>
      </x:c>
      <x:c r="G1072" s="11" t="n">
        <x:f>IF($A1072="","",MAX(INDEX(Assumptions!$H$5:$H$12,MATCH($B1072,Assumptions!$D$5:$D$12,0)),MIN(INDEX(Assumptions!$I$5:$I$12,MATCH($B1072,Assumptions!$D$5:$D$12,0)),($C1072+$D1072*SQRT(-2*LN(RAND()))*COS(2*PI()*RAND()))*$E1072*$J1072*$K1072)))</x:f>
        <x:v>999.7331186903749</x:v>
      </x:c>
      <x:c r="H1072" s="11" t="n">
        <x:f>IF($A1072="","",$G1072*$F1072+$C1072*(1-$F1072))</x:f>
        <x:v>1077.9065915416313</x:v>
      </x:c>
      <x:c r="I1072" s="11" t="n">
        <x:f>IF($A1072="","",AVERAGE($H1072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1110.7103183583633</x:v>
      </x:c>
      <x:c r="J1072" s="12" t="n">
        <x:f>IF($A1072="","",1+SUMIFS(Assumptions!$S$5:$S$10,Assumptions!$P$5:$P$10,$B1072,Assumptions!$Q$5:$Q$10,"&lt;="&amp;$A1072,Assumptions!$R$5:$R$10,"&gt;="&amp;$A1072))</x:f>
        <x:v>1</x:v>
      </x:c>
      <x:c r="K1072" s="12" t="n">
        <x:f>IF($A1072="","",1+((($A1072-Assumptions!$B$5)/30)*INDEX(Assumptions!$J$5:$J$12,MATCH($B1072,Assumptions!$D$5:$D$12,0))))</x:f>
        <x:v>1.0142666666666666</x:v>
      </x:c>
      <x:c r="L1072" t="str">
        <x:f>IF($A1072="","",IFERROR(INDEX(Assumptions!$O$5:$O$10,MATCH(1,(Assumptions!$P$5:$P$10=$B1072)*(Assumptions!$Q$5:$Q$10&lt;=$A1072)*(Assumptions!$R$5:$R$10&gt;=$A1072),0)),""))</x:f>
      </x:c>
      <x:c r="M1072" t="n">
        <x:f>--($A1072&lt;&gt;"")</x:f>
        <x:v>1</x:v>
      </x:c>
    </x:row>
    <x:row r="1073">
      <x:c r="A1073" s="10" t="n">
        <x:f>IF(Assumptions!$B$5+INT((ROW()-2)/Assumptions!$B$7)&gt;Assumptions!$B$6,"",Assumptions!$B$5+INT((ROW()-2)/Assumptions!$B$7))</x:f>
        <x:v>46237</x:v>
      </x:c>
      <x:c r="B1073" t="str">
        <x:f>IF($A1073="","",INDEX(Assumptions!$D$5:$D$12,MOD(ROW()-2,Assumptions!$B$7)+1))</x:f>
        <x:v>LV-426 North</x:v>
      </x:c>
      <x:c r="C1073" s="11" t="n">
        <x:f>IF($A1073="","",INDEX(Assumptions!$F$5:$F$12,MATCH($B1073,Assumptions!$D$5:$D$12,0)))</x:f>
        <x:v>930</x:v>
      </x:c>
      <x:c r="D1073" s="11" t="n">
        <x:f>IF($A1073="","",INDEX(Assumptions!$G$5:$G$12,MATCH($B1073,Assumptions!$D$5:$D$12,0)))</x:f>
        <x:v>95</x:v>
      </x:c>
      <x:c r="E1073" s="11" t="n">
        <x:f>IF($A1073="","",INDEX(Assumptions!$M$5:$M$11,WEEKDAY($A1073,2)))</x:f>
        <x:v>1.03</x:v>
      </x:c>
      <x:c r="F1073" s="11" t="n">
        <x:f>IF($A1073="","",Assumptions!$B$15)</x:f>
        <x:v>0.35</x:v>
      </x:c>
      <x:c r="G1073" s="11" t="n">
        <x:f>IF($A1073="","",MAX(INDEX(Assumptions!$H$5:$H$12,MATCH($B1073,Assumptions!$D$5:$D$12,0)),MIN(INDEX(Assumptions!$I$5:$I$12,MATCH($B1073,Assumptions!$D$5:$D$12,0)),($C1073+$D1073*SQRT(-2*LN(RAND()))*COS(2*PI()*RAND()))*$E1073*$J1073*$K1073)))</x:f>
        <x:v>749.506862889054</x:v>
      </x:c>
      <x:c r="H1073" s="11" t="n">
        <x:f>IF($A1073="","",$G1073*$F1073+$C1073*(1-$F1073))</x:f>
        <x:v>866.8274020111689</x:v>
      </x:c>
      <x:c r="I1073" s="11" t="n">
        <x:f>IF($A1073="","",AVERAGE($H1073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915.2941534911491</x:v>
      </x:c>
      <x:c r="J1073" s="12" t="n">
        <x:f>IF($A1073="","",1+SUMIFS(Assumptions!$S$5:$S$10,Assumptions!$P$5:$P$10,$B1073,Assumptions!$Q$5:$Q$10,"&lt;="&amp;$A1073,Assumptions!$R$5:$R$10,"&gt;="&amp;$A1073))</x:f>
        <x:v>1</x:v>
      </x:c>
      <x:c r="K1073" s="12" t="n">
        <x:f>IF($A1073="","",1+((($A1073-Assumptions!$B$5)/30)*INDEX(Assumptions!$J$5:$J$12,MATCH($B1073,Assumptions!$D$5:$D$12,0))))</x:f>
        <x:v>0.9928666666666667</x:v>
      </x:c>
      <x:c r="L1073" t="str">
        <x:f>IF($A1073="","",IFERROR(INDEX(Assumptions!$O$5:$O$10,MATCH(1,(Assumptions!$P$5:$P$10=$B1073)*(Assumptions!$Q$5:$Q$10&lt;=$A1073)*(Assumptions!$R$5:$R$10&gt;=$A1073),0)),""))</x:f>
      </x:c>
      <x:c r="M1073" t="n">
        <x:f>--($A1073&lt;&gt;"")</x:f>
        <x:v>1</x:v>
      </x:c>
    </x:row>
    <x:row r="1074">
      <x:c r="A1074" s="10" t="n">
        <x:f>IF(Assumptions!$B$5+INT((ROW()-2)/Assumptions!$B$7)&gt;Assumptions!$B$6,"",Assumptions!$B$5+INT((ROW()-2)/Assumptions!$B$7))</x:f>
        <x:v>46237</x:v>
      </x:c>
      <x:c r="B1074" t="str">
        <x:f>IF($A1074="","",INDEX(Assumptions!$D$5:$D$12,MOD(ROW()-2,Assumptions!$B$7)+1))</x:f>
        <x:v>Nostromo Deep</x:v>
      </x:c>
      <x:c r="C1074" s="11" t="n">
        <x:f>IF($A1074="","",INDEX(Assumptions!$F$5:$F$12,MATCH($B1074,Assumptions!$D$5:$D$12,0)))</x:f>
        <x:v>1260</x:v>
      </x:c>
      <x:c r="D1074" s="11" t="n">
        <x:f>IF($A1074="","",INDEX(Assumptions!$G$5:$G$12,MATCH($B1074,Assumptions!$D$5:$D$12,0)))</x:f>
        <x:v>145</x:v>
      </x:c>
      <x:c r="E1074" s="11" t="n">
        <x:f>IF($A1074="","",INDEX(Assumptions!$M$5:$M$11,WEEKDAY($A1074,2)))</x:f>
        <x:v>1.03</x:v>
      </x:c>
      <x:c r="F1074" s="11" t="n">
        <x:f>IF($A1074="","",Assumptions!$B$15)</x:f>
        <x:v>0.35</x:v>
      </x:c>
      <x:c r="G1074" s="11" t="n">
        <x:f>IF($A1074="","",MAX(INDEX(Assumptions!$H$5:$H$12,MATCH($B1074,Assumptions!$D$5:$D$12,0)),MIN(INDEX(Assumptions!$I$5:$I$12,MATCH($B1074,Assumptions!$D$5:$D$12,0)),($C1074+$D1074*SQRT(-2*LN(RAND()))*COS(2*PI()*RAND()))*$E1074*$J1074*$K1074)))</x:f>
        <x:v>1266.9769188676617</x:v>
      </x:c>
      <x:c r="H1074" s="11" t="n">
        <x:f>IF($A1074="","",$G1074*$F1074+$C1074*(1-$F1074))</x:f>
        <x:v>1262.4419216036815</x:v>
      </x:c>
      <x:c r="I1074" s="11" t="n">
        <x:f>IF($A1074="","",AVERAGE($H1074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1276.9297121415927</x:v>
      </x:c>
      <x:c r="J1074" s="12" t="n">
        <x:f>IF($A1074="","",1+SUMIFS(Assumptions!$S$5:$S$10,Assumptions!$P$5:$P$10,$B1074,Assumptions!$Q$5:$Q$10,"&lt;="&amp;$A1074,Assumptions!$R$5:$R$10,"&gt;="&amp;$A1074))</x:f>
        <x:v>1</x:v>
      </x:c>
      <x:c r="K1074" s="12" t="n">
        <x:f>IF($A1074="","",1+((($A1074-Assumptions!$B$5)/30)*INDEX(Assumptions!$J$5:$J$12,MATCH($B1074,Assumptions!$D$5:$D$12,0))))</x:f>
        <x:v>1.0214</x:v>
      </x:c>
      <x:c r="L1074" t="str">
        <x:f>IF($A1074="","",IFERROR(INDEX(Assumptions!$O$5:$O$10,MATCH(1,(Assumptions!$P$5:$P$10=$B1074)*(Assumptions!$Q$5:$Q$10&lt;=$A1074)*(Assumptions!$R$5:$R$10&gt;=$A1074),0)),""))</x:f>
      </x:c>
      <x:c r="M1074" t="n">
        <x:f>--($A1074&lt;&gt;"")</x:f>
        <x:v>1</x:v>
      </x:c>
    </x:row>
    <x:row r="1075">
      <x:c r="A1075" s="10" t="n">
        <x:f>IF(Assumptions!$B$5+INT((ROW()-2)/Assumptions!$B$7)&gt;Assumptions!$B$6,"",Assumptions!$B$5+INT((ROW()-2)/Assumptions!$B$7))</x:f>
        <x:v>46237</x:v>
      </x:c>
      <x:c r="B1075" t="str">
        <x:f>IF($A1075="","",INDEX(Assumptions!$D$5:$D$12,MOD(ROW()-2,Assumptions!$B$7)+1))</x:f>
        <x:v>Hadley's Hope</x:v>
      </x:c>
      <x:c r="C1075" s="11" t="n">
        <x:f>IF($A1075="","",INDEX(Assumptions!$F$5:$F$12,MATCH($B1075,Assumptions!$D$5:$D$12,0)))</x:f>
        <x:v>845</x:v>
      </x:c>
      <x:c r="D1075" s="11" t="n">
        <x:f>IF($A1075="","",INDEX(Assumptions!$G$5:$G$12,MATCH($B1075,Assumptions!$D$5:$D$12,0)))</x:f>
        <x:v>80</x:v>
      </x:c>
      <x:c r="E1075" s="11" t="n">
        <x:f>IF($A1075="","",INDEX(Assumptions!$M$5:$M$11,WEEKDAY($A1075,2)))</x:f>
        <x:v>1.03</x:v>
      </x:c>
      <x:c r="F1075" s="11" t="n">
        <x:f>IF($A1075="","",Assumptions!$B$15)</x:f>
        <x:v>0.35</x:v>
      </x:c>
      <x:c r="G1075" s="11" t="n">
        <x:f>IF($A1075="","",MAX(INDEX(Assumptions!$H$5:$H$12,MATCH($B1075,Assumptions!$D$5:$D$12,0)),MIN(INDEX(Assumptions!$I$5:$I$12,MATCH($B1075,Assumptions!$D$5:$D$12,0)),($C1075+$D1075*SQRT(-2*LN(RAND()))*COS(2*PI()*RAND()))*$E1075*$J1075*$K1075)))</x:f>
        <x:v>1008.9183189312836</x:v>
      </x:c>
      <x:c r="H1075" s="11" t="n">
        <x:f>IF($A1075="","",$G1075*$F1075+$C1075*(1-$F1075))</x:f>
        <x:v>902.3714116259492</x:v>
      </x:c>
      <x:c r="I1075" s="11" t="n">
        <x:f>IF($A1075="","",AVERAGE($H1075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848.5630974235711</x:v>
      </x:c>
      <x:c r="J1075" s="12" t="n">
        <x:f>IF($A1075="","",1+SUMIFS(Assumptions!$S$5:$S$10,Assumptions!$P$5:$P$10,$B1075,Assumptions!$Q$5:$Q$10,"&lt;="&amp;$A1075,Assumptions!$R$5:$R$10,"&gt;="&amp;$A1075))</x:f>
        <x:v>1</x:v>
      </x:c>
      <x:c r="K1075" s="12" t="n">
        <x:f>IF($A1075="","",1+((($A1075-Assumptions!$B$5)/30)*INDEX(Assumptions!$J$5:$J$12,MATCH($B1075,Assumptions!$D$5:$D$12,0))))</x:f>
        <x:v>1.0071333333333334</x:v>
      </x:c>
      <x:c r="L1075" t="str">
        <x:f>IF($A1075="","",IFERROR(INDEX(Assumptions!$O$5:$O$10,MATCH(1,(Assumptions!$P$5:$P$10=$B1075)*(Assumptions!$Q$5:$Q$10&lt;=$A1075)*(Assumptions!$R$5:$R$10&gt;=$A1075),0)),""))</x:f>
      </x:c>
      <x:c r="M1075" t="n">
        <x:f>--($A1075&lt;&gt;"")</x:f>
        <x:v>1</x:v>
      </x:c>
    </x:row>
    <x:row r="1076">
      <x:c r="A1076" s="10" t="n">
        <x:f>IF(Assumptions!$B$5+INT((ROW()-2)/Assumptions!$B$7)&gt;Assumptions!$B$6,"",Assumptions!$B$5+INT((ROW()-2)/Assumptions!$B$7))</x:f>
        <x:v>46237</x:v>
      </x:c>
      <x:c r="B1076" t="str">
        <x:f>IF($A1076="","",INDEX(Assumptions!$D$5:$D$12,MOD(ROW()-2,Assumptions!$B$7)+1))</x:f>
        <x:v>Yutani Ridge</x:v>
      </x:c>
      <x:c r="C1076" s="11" t="n">
        <x:f>IF($A1076="","",INDEX(Assumptions!$F$5:$F$12,MATCH($B1076,Assumptions!$D$5:$D$12,0)))</x:f>
        <x:v>1050</x:v>
      </x:c>
      <x:c r="D1076" s="11" t="n">
        <x:f>IF($A1076="","",INDEX(Assumptions!$G$5:$G$12,MATCH($B1076,Assumptions!$D$5:$D$12,0)))</x:f>
        <x:v>125</x:v>
      </x:c>
      <x:c r="E1076" s="11" t="n">
        <x:f>IF($A1076="","",INDEX(Assumptions!$M$5:$M$11,WEEKDAY($A1076,2)))</x:f>
        <x:v>1.03</x:v>
      </x:c>
      <x:c r="F1076" s="11" t="n">
        <x:f>IF($A1076="","",Assumptions!$B$15)</x:f>
        <x:v>0.35</x:v>
      </x:c>
      <x:c r="G1076" s="11" t="n">
        <x:f>IF($A1076="","",MAX(INDEX(Assumptions!$H$5:$H$12,MATCH($B1076,Assumptions!$D$5:$D$12,0)),MIN(INDEX(Assumptions!$I$5:$I$12,MATCH($B1076,Assumptions!$D$5:$D$12,0)),($C1076+$D1076*SQRT(-2*LN(RAND()))*COS(2*PI()*RAND()))*$E1076*$J1076*$K1076)))</x:f>
        <x:v>1060.6421628821897</x:v>
      </x:c>
      <x:c r="H1076" s="11" t="n">
        <x:f>IF($A1076="","",$G1076*$F1076+$C1076*(1-$F1076))</x:f>
        <x:v>1053.7247570087663</x:v>
      </x:c>
      <x:c r="I1076" s="11" t="n">
        <x:f>IF($A1076="","",AVERAGE($H1076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998.8481645236659</x:v>
      </x:c>
      <x:c r="J1076" s="12" t="n">
        <x:f>IF($A1076="","",1+SUMIFS(Assumptions!$S$5:$S$10,Assumptions!$P$5:$P$10,$B1076,Assumptions!$Q$5:$Q$10,"&lt;="&amp;$A1076,Assumptions!$R$5:$R$10,"&gt;="&amp;$A1076))</x:f>
        <x:v>1</x:v>
      </x:c>
      <x:c r="K1076" s="12" t="n">
        <x:f>IF($A1076="","",1+((($A1076-Assumptions!$B$5)/30)*INDEX(Assumptions!$J$5:$J$12,MATCH($B1076,Assumptions!$D$5:$D$12,0))))</x:f>
        <x:v>1.0178333333333334</x:v>
      </x:c>
      <x:c r="L1076" t="str">
        <x:f>IF($A1076="","",IFERROR(INDEX(Assumptions!$O$5:$O$10,MATCH(1,(Assumptions!$P$5:$P$10=$B1076)*(Assumptions!$Q$5:$Q$10&lt;=$A1076)*(Assumptions!$R$5:$R$10&gt;=$A1076),0)),""))</x:f>
      </x:c>
      <x:c r="M1076" t="n">
        <x:f>--($A1076&lt;&gt;"")</x:f>
        <x:v>1</x:v>
      </x:c>
    </x:row>
    <x:row r="1077">
      <x:c r="A1077" s="10" t="n">
        <x:f>IF(Assumptions!$B$5+INT((ROW()-2)/Assumptions!$B$7)&gt;Assumptions!$B$6,"",Assumptions!$B$5+INT((ROW()-2)/Assumptions!$B$7))</x:f>
        <x:v>46238</x:v>
      </x:c>
      <x:c r="B1077" t="str">
        <x:f>IF($A1077="","",INDEX(Assumptions!$D$5:$D$12,MOD(ROW()-2,Assumptions!$B$7)+1))</x:f>
        <x:v>Acheron Prime</x:v>
      </x:c>
      <x:c r="C1077" s="11" t="n">
        <x:f>IF($A1077="","",INDEX(Assumptions!$F$5:$F$12,MATCH($B1077,Assumptions!$D$5:$D$12,0)))</x:f>
        <x:v>1120</x:v>
      </x:c>
      <x:c r="D1077" s="11" t="n">
        <x:f>IF($A1077="","",INDEX(Assumptions!$G$5:$G$12,MATCH($B1077,Assumptions!$D$5:$D$12,0)))</x:f>
        <x:v>115</x:v>
      </x:c>
      <x:c r="E1077" s="11" t="n">
        <x:f>IF($A1077="","",INDEX(Assumptions!$M$5:$M$11,WEEKDAY($A1077,2)))</x:f>
        <x:v>1.02</x:v>
      </x:c>
      <x:c r="F1077" s="11" t="n">
        <x:f>IF($A1077="","",Assumptions!$B$15)</x:f>
        <x:v>0.35</x:v>
      </x:c>
      <x:c r="G1077" s="11" t="n">
        <x:f>IF($A1077="","",MAX(INDEX(Assumptions!$H$5:$H$12,MATCH($B1077,Assumptions!$D$5:$D$12,0)),MIN(INDEX(Assumptions!$I$5:$I$12,MATCH($B1077,Assumptions!$D$5:$D$12,0)),($C1077+$D1077*SQRT(-2*LN(RAND()))*COS(2*PI()*RAND()))*$E1077*$J1077*$K1077)))</x:f>
        <x:v>1171.6568740250907</x:v>
      </x:c>
      <x:c r="H1077" s="11" t="n">
        <x:f>IF($A1077="","",$G1077*$F1077+$C1077*(1-$F1077))</x:f>
        <x:v>1138.0799059087817</x:v>
      </x:c>
      <x:c r="I1077" s="11" t="n">
        <x:f>IF($A1077="","",AVERAGE($H1077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1105.439561174708</x:v>
      </x:c>
      <x:c r="J1077" s="12" t="n">
        <x:f>IF($A1077="","",1+SUMIFS(Assumptions!$S$5:$S$10,Assumptions!$P$5:$P$10,$B1077,Assumptions!$Q$5:$Q$10,"&lt;="&amp;$A1077,Assumptions!$R$5:$R$10,"&gt;="&amp;$A1077))</x:f>
        <x:v>1</x:v>
      </x:c>
      <x:c r="K1077" s="12" t="n">
        <x:f>IF($A1077="","",1+((($A1077-Assumptions!$B$5)/30)*INDEX(Assumptions!$J$5:$J$12,MATCH($B1077,Assumptions!$D$5:$D$12,0))))</x:f>
        <x:v>1.0143333333333333</x:v>
      </x:c>
      <x:c r="L1077" t="str">
        <x:f>IF($A1077="","",IFERROR(INDEX(Assumptions!$O$5:$O$10,MATCH(1,(Assumptions!$P$5:$P$10=$B1077)*(Assumptions!$Q$5:$Q$10&lt;=$A1077)*(Assumptions!$R$5:$R$10&gt;=$A1077),0)),""))</x:f>
      </x:c>
      <x:c r="M1077" t="n">
        <x:f>--($A1077&lt;&gt;"")</x:f>
        <x:v>1</x:v>
      </x:c>
    </x:row>
    <x:row r="1078">
      <x:c r="A1078" s="10" t="n">
        <x:f>IF(Assumptions!$B$5+INT((ROW()-2)/Assumptions!$B$7)&gt;Assumptions!$B$6,"",Assumptions!$B$5+INT((ROW()-2)/Assumptions!$B$7))</x:f>
        <x:v>46238</x:v>
      </x:c>
      <x:c r="B1078" t="str">
        <x:f>IF($A1078="","",INDEX(Assumptions!$D$5:$D$12,MOD(ROW()-2,Assumptions!$B$7)+1))</x:f>
        <x:v>LV-426 North</x:v>
      </x:c>
      <x:c r="C1078" s="11" t="n">
        <x:f>IF($A1078="","",INDEX(Assumptions!$F$5:$F$12,MATCH($B1078,Assumptions!$D$5:$D$12,0)))</x:f>
        <x:v>930</x:v>
      </x:c>
      <x:c r="D1078" s="11" t="n">
        <x:f>IF($A1078="","",INDEX(Assumptions!$G$5:$G$12,MATCH($B1078,Assumptions!$D$5:$D$12,0)))</x:f>
        <x:v>95</x:v>
      </x:c>
      <x:c r="E1078" s="11" t="n">
        <x:f>IF($A1078="","",INDEX(Assumptions!$M$5:$M$11,WEEKDAY($A1078,2)))</x:f>
        <x:v>1.02</x:v>
      </x:c>
      <x:c r="F1078" s="11" t="n">
        <x:f>IF($A1078="","",Assumptions!$B$15)</x:f>
        <x:v>0.35</x:v>
      </x:c>
      <x:c r="G1078" s="11" t="n">
        <x:f>IF($A1078="","",MAX(INDEX(Assumptions!$H$5:$H$12,MATCH($B1078,Assumptions!$D$5:$D$12,0)),MIN(INDEX(Assumptions!$I$5:$I$12,MATCH($B1078,Assumptions!$D$5:$D$12,0)),($C1078+$D1078*SQRT(-2*LN(RAND()))*COS(2*PI()*RAND()))*$E1078*$J1078*$K1078)))</x:f>
        <x:v>988.016005293899</x:v>
      </x:c>
      <x:c r="H1078" s="11" t="n">
        <x:f>IF($A1078="","",$G1078*$F1078+$C1078*(1-$F1078))</x:f>
        <x:v>950.3056018528646</x:v>
      </x:c>
      <x:c r="I1078" s="11" t="n">
        <x:f>IF($A1078="","",AVERAGE($H1078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907.1267158654639</x:v>
      </x:c>
      <x:c r="J1078" s="12" t="n">
        <x:f>IF($A1078="","",1+SUMIFS(Assumptions!$S$5:$S$10,Assumptions!$P$5:$P$10,$B1078,Assumptions!$Q$5:$Q$10,"&lt;="&amp;$A1078,Assumptions!$R$5:$R$10,"&gt;="&amp;$A1078))</x:f>
        <x:v>1</x:v>
      </x:c>
      <x:c r="K1078" s="12" t="n">
        <x:f>IF($A1078="","",1+((($A1078-Assumptions!$B$5)/30)*INDEX(Assumptions!$J$5:$J$12,MATCH($B1078,Assumptions!$D$5:$D$12,0))))</x:f>
        <x:v>0.9928333333333333</x:v>
      </x:c>
      <x:c r="L1078" t="str">
        <x:f>IF($A1078="","",IFERROR(INDEX(Assumptions!$O$5:$O$10,MATCH(1,(Assumptions!$P$5:$P$10=$B1078)*(Assumptions!$Q$5:$Q$10&lt;=$A1078)*(Assumptions!$R$5:$R$10&gt;=$A1078),0)),""))</x:f>
      </x:c>
      <x:c r="M1078" t="n">
        <x:f>--($A1078&lt;&gt;"")</x:f>
        <x:v>1</x:v>
      </x:c>
    </x:row>
    <x:row r="1079">
      <x:c r="A1079" s="10" t="n">
        <x:f>IF(Assumptions!$B$5+INT((ROW()-2)/Assumptions!$B$7)&gt;Assumptions!$B$6,"",Assumptions!$B$5+INT((ROW()-2)/Assumptions!$B$7))</x:f>
        <x:v>46238</x:v>
      </x:c>
      <x:c r="B1079" t="str">
        <x:f>IF($A1079="","",INDEX(Assumptions!$D$5:$D$12,MOD(ROW()-2,Assumptions!$B$7)+1))</x:f>
        <x:v>Nostromo Deep</x:v>
      </x:c>
      <x:c r="C1079" s="11" t="n">
        <x:f>IF($A1079="","",INDEX(Assumptions!$F$5:$F$12,MATCH($B1079,Assumptions!$D$5:$D$12,0)))</x:f>
        <x:v>1260</x:v>
      </x:c>
      <x:c r="D1079" s="11" t="n">
        <x:f>IF($A1079="","",INDEX(Assumptions!$G$5:$G$12,MATCH($B1079,Assumptions!$D$5:$D$12,0)))</x:f>
        <x:v>145</x:v>
      </x:c>
      <x:c r="E1079" s="11" t="n">
        <x:f>IF($A1079="","",INDEX(Assumptions!$M$5:$M$11,WEEKDAY($A1079,2)))</x:f>
        <x:v>1.02</x:v>
      </x:c>
      <x:c r="F1079" s="11" t="n">
        <x:f>IF($A1079="","",Assumptions!$B$15)</x:f>
        <x:v>0.35</x:v>
      </x:c>
      <x:c r="G1079" s="11" t="n">
        <x:f>IF($A1079="","",MAX(INDEX(Assumptions!$H$5:$H$12,MATCH($B1079,Assumptions!$D$5:$D$12,0)),MIN(INDEX(Assumptions!$I$5:$I$12,MATCH($B1079,Assumptions!$D$5:$D$12,0)),($C1079+$D1079*SQRT(-2*LN(RAND()))*COS(2*PI()*RAND()))*$E1079*$J1079*$K1079)))</x:f>
        <x:v>1425.1715636818244</x:v>
      </x:c>
      <x:c r="H1079" s="11" t="n">
        <x:f>IF($A1079="","",$G1079*$F1079+$C1079*(1-$F1079))</x:f>
        <x:v>1317.8100472886385</x:v>
      </x:c>
      <x:c r="I1079" s="11" t="n">
        <x:f>IF($A1079="","",AVERAGE($H1079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1280.4333251551623</x:v>
      </x:c>
      <x:c r="J1079" s="12" t="n">
        <x:f>IF($A1079="","",1+SUMIFS(Assumptions!$S$5:$S$10,Assumptions!$P$5:$P$10,$B1079,Assumptions!$Q$5:$Q$10,"&lt;="&amp;$A1079,Assumptions!$R$5:$R$10,"&gt;="&amp;$A1079))</x:f>
        <x:v>1</x:v>
      </x:c>
      <x:c r="K1079" s="12" t="n">
        <x:f>IF($A1079="","",1+((($A1079-Assumptions!$B$5)/30)*INDEX(Assumptions!$J$5:$J$12,MATCH($B1079,Assumptions!$D$5:$D$12,0))))</x:f>
        <x:v>1.0215</x:v>
      </x:c>
      <x:c r="L1079" t="str">
        <x:f>IF($A1079="","",IFERROR(INDEX(Assumptions!$O$5:$O$10,MATCH(1,(Assumptions!$P$5:$P$10=$B1079)*(Assumptions!$Q$5:$Q$10&lt;=$A1079)*(Assumptions!$R$5:$R$10&gt;=$A1079),0)),""))</x:f>
      </x:c>
      <x:c r="M1079" t="n">
        <x:f>--($A1079&lt;&gt;"")</x:f>
        <x:v>1</x:v>
      </x:c>
    </x:row>
    <x:row r="1080">
      <x:c r="A1080" s="10" t="n">
        <x:f>IF(Assumptions!$B$5+INT((ROW()-2)/Assumptions!$B$7)&gt;Assumptions!$B$6,"",Assumptions!$B$5+INT((ROW()-2)/Assumptions!$B$7))</x:f>
        <x:v>46238</x:v>
      </x:c>
      <x:c r="B1080" t="str">
        <x:f>IF($A1080="","",INDEX(Assumptions!$D$5:$D$12,MOD(ROW()-2,Assumptions!$B$7)+1))</x:f>
        <x:v>Hadley's Hope</x:v>
      </x:c>
      <x:c r="C1080" s="11" t="n">
        <x:f>IF($A1080="","",INDEX(Assumptions!$F$5:$F$12,MATCH($B1080,Assumptions!$D$5:$D$12,0)))</x:f>
        <x:v>845</x:v>
      </x:c>
      <x:c r="D1080" s="11" t="n">
        <x:f>IF($A1080="","",INDEX(Assumptions!$G$5:$G$12,MATCH($B1080,Assumptions!$D$5:$D$12,0)))</x:f>
        <x:v>80</x:v>
      </x:c>
      <x:c r="E1080" s="11" t="n">
        <x:f>IF($A1080="","",INDEX(Assumptions!$M$5:$M$11,WEEKDAY($A1080,2)))</x:f>
        <x:v>1.02</x:v>
      </x:c>
      <x:c r="F1080" s="11" t="n">
        <x:f>IF($A1080="","",Assumptions!$B$15)</x:f>
        <x:v>0.35</x:v>
      </x:c>
      <x:c r="G1080" s="11" t="n">
        <x:f>IF($A1080="","",MAX(INDEX(Assumptions!$H$5:$H$12,MATCH($B1080,Assumptions!$D$5:$D$12,0)),MIN(INDEX(Assumptions!$I$5:$I$12,MATCH($B1080,Assumptions!$D$5:$D$12,0)),($C1080+$D1080*SQRT(-2*LN(RAND()))*COS(2*PI()*RAND()))*$E1080*$J1080*$K1080)))</x:f>
        <x:v>956.314510036412</x:v>
      </x:c>
      <x:c r="H1080" s="11" t="n">
        <x:f>IF($A1080="","",$G1080*$F1080+$C1080*(1-$F1080))</x:f>
        <x:v>883.9600785127442</x:v>
      </x:c>
      <x:c r="I1080" s="11" t="n">
        <x:f>IF($A1080="","",AVERAGE($H1080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852.4218849156623</x:v>
      </x:c>
      <x:c r="J1080" s="12" t="n">
        <x:f>IF($A1080="","",1+SUMIFS(Assumptions!$S$5:$S$10,Assumptions!$P$5:$P$10,$B1080,Assumptions!$Q$5:$Q$10,"&lt;="&amp;$A1080,Assumptions!$R$5:$R$10,"&gt;="&amp;$A1080))</x:f>
        <x:v>1</x:v>
      </x:c>
      <x:c r="K1080" s="12" t="n">
        <x:f>IF($A1080="","",1+((($A1080-Assumptions!$B$5)/30)*INDEX(Assumptions!$J$5:$J$12,MATCH($B1080,Assumptions!$D$5:$D$12,0))))</x:f>
        <x:v>1.0071666666666668</x:v>
      </x:c>
      <x:c r="L1080" t="str">
        <x:f>IF($A1080="","",IFERROR(INDEX(Assumptions!$O$5:$O$10,MATCH(1,(Assumptions!$P$5:$P$10=$B1080)*(Assumptions!$Q$5:$Q$10&lt;=$A1080)*(Assumptions!$R$5:$R$10&gt;=$A1080),0)),""))</x:f>
      </x:c>
      <x:c r="M1080" t="n">
        <x:f>--($A1080&lt;&gt;"")</x:f>
        <x:v>1</x:v>
      </x:c>
    </x:row>
    <x:row r="1081">
      <x:c r="A1081" s="10" t="n">
        <x:f>IF(Assumptions!$B$5+INT((ROW()-2)/Assumptions!$B$7)&gt;Assumptions!$B$6,"",Assumptions!$B$5+INT((ROW()-2)/Assumptions!$B$7))</x:f>
        <x:v>46238</x:v>
      </x:c>
      <x:c r="B1081" t="str">
        <x:f>IF($A1081="","",INDEX(Assumptions!$D$5:$D$12,MOD(ROW()-2,Assumptions!$B$7)+1))</x:f>
        <x:v>Yutani Ridge</x:v>
      </x:c>
      <x:c r="C1081" s="11" t="n">
        <x:f>IF($A1081="","",INDEX(Assumptions!$F$5:$F$12,MATCH($B1081,Assumptions!$D$5:$D$12,0)))</x:f>
        <x:v>1050</x:v>
      </x:c>
      <x:c r="D1081" s="11" t="n">
        <x:f>IF($A1081="","",INDEX(Assumptions!$G$5:$G$12,MATCH($B1081,Assumptions!$D$5:$D$12,0)))</x:f>
        <x:v>125</x:v>
      </x:c>
      <x:c r="E1081" s="11" t="n">
        <x:f>IF($A1081="","",INDEX(Assumptions!$M$5:$M$11,WEEKDAY($A1081,2)))</x:f>
        <x:v>1.02</x:v>
      </x:c>
      <x:c r="F1081" s="11" t="n">
        <x:f>IF($A1081="","",Assumptions!$B$15)</x:f>
        <x:v>0.35</x:v>
      </x:c>
      <x:c r="G1081" s="11" t="n">
        <x:f>IF($A1081="","",MAX(INDEX(Assumptions!$H$5:$H$12,MATCH($B1081,Assumptions!$D$5:$D$12,0)),MIN(INDEX(Assumptions!$I$5:$I$12,MATCH($B1081,Assumptions!$D$5:$D$12,0)),($C1081+$D1081*SQRT(-2*LN(RAND()))*COS(2*PI()*RAND()))*$E1081*$J1081*$K1081)))</x:f>
        <x:v>1070.4082386992163</x:v>
      </x:c>
      <x:c r="H1081" s="11" t="n">
        <x:f>IF($A1081="","",$G1081*$F1081+$C1081*(1-$F1081))</x:f>
        <x:v>1057.1428835447257</x:v>
      </x:c>
      <x:c r="I1081" s="11" t="n">
        <x:f>IF($A1081="","",AVERAGE($H1081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1003.3849820705324</x:v>
      </x:c>
      <x:c r="J1081" s="12" t="n">
        <x:f>IF($A1081="","",1+SUMIFS(Assumptions!$S$5:$S$10,Assumptions!$P$5:$P$10,$B1081,Assumptions!$Q$5:$Q$10,"&lt;="&amp;$A1081,Assumptions!$R$5:$R$10,"&gt;="&amp;$A1081))</x:f>
        <x:v>1</x:v>
      </x:c>
      <x:c r="K1081" s="12" t="n">
        <x:f>IF($A1081="","",1+((($A1081-Assumptions!$B$5)/30)*INDEX(Assumptions!$J$5:$J$12,MATCH($B1081,Assumptions!$D$5:$D$12,0))))</x:f>
        <x:v>1.0179166666666666</x:v>
      </x:c>
      <x:c r="L1081" t="str">
        <x:f>IF($A1081="","",IFERROR(INDEX(Assumptions!$O$5:$O$10,MATCH(1,(Assumptions!$P$5:$P$10=$B1081)*(Assumptions!$Q$5:$Q$10&lt;=$A1081)*(Assumptions!$R$5:$R$10&gt;=$A1081),0)),""))</x:f>
      </x:c>
      <x:c r="M1081" t="n">
        <x:f>--($A1081&lt;&gt;"")</x:f>
        <x:v>1</x:v>
      </x:c>
    </x:row>
    <x:row r="1082">
      <x:c r="A1082" s="10" t="n">
        <x:f>IF(Assumptions!$B$5+INT((ROW()-2)/Assumptions!$B$7)&gt;Assumptions!$B$6,"",Assumptions!$B$5+INT((ROW()-2)/Assumptions!$B$7))</x:f>
        <x:v>46239</x:v>
      </x:c>
      <x:c r="B1082" t="str">
        <x:f>IF($A1082="","",INDEX(Assumptions!$D$5:$D$12,MOD(ROW()-2,Assumptions!$B$7)+1))</x:f>
        <x:v>Acheron Prime</x:v>
      </x:c>
      <x:c r="C1082" s="11" t="n">
        <x:f>IF($A1082="","",INDEX(Assumptions!$F$5:$F$12,MATCH($B1082,Assumptions!$D$5:$D$12,0)))</x:f>
        <x:v>1120</x:v>
      </x:c>
      <x:c r="D1082" s="11" t="n">
        <x:f>IF($A1082="","",INDEX(Assumptions!$G$5:$G$12,MATCH($B1082,Assumptions!$D$5:$D$12,0)))</x:f>
        <x:v>115</x:v>
      </x:c>
      <x:c r="E1082" s="11" t="n">
        <x:f>IF($A1082="","",INDEX(Assumptions!$M$5:$M$11,WEEKDAY($A1082,2)))</x:f>
        <x:v>1.01</x:v>
      </x:c>
      <x:c r="F1082" s="11" t="n">
        <x:f>IF($A1082="","",Assumptions!$B$15)</x:f>
        <x:v>0.35</x:v>
      </x:c>
      <x:c r="G1082" s="11" t="n">
        <x:f>IF($A1082="","",MAX(INDEX(Assumptions!$H$5:$H$12,MATCH($B1082,Assumptions!$D$5:$D$12,0)),MIN(INDEX(Assumptions!$I$5:$I$12,MATCH($B1082,Assumptions!$D$5:$D$12,0)),($C1082+$D1082*SQRT(-2*LN(RAND()))*COS(2*PI()*RAND()))*$E1082*$J1082*$K1082)))</x:f>
        <x:v>1288.2989808244656</x:v>
      </x:c>
      <x:c r="H1082" s="11" t="n">
        <x:f>IF($A1082="","",$G1082*$F1082+$C1082*(1-$F1082))</x:f>
        <x:v>1178.904643288563</x:v>
      </x:c>
      <x:c r="I1082" s="11" t="n">
        <x:f>IF($A1082="","",AVERAGE($H1082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1102.3683353529618</x:v>
      </x:c>
      <x:c r="J1082" s="12" t="n">
        <x:f>IF($A1082="","",1+SUMIFS(Assumptions!$S$5:$S$10,Assumptions!$P$5:$P$10,$B1082,Assumptions!$Q$5:$Q$10,"&lt;="&amp;$A1082,Assumptions!$R$5:$R$10,"&gt;="&amp;$A1082))</x:f>
        <x:v>1</x:v>
      </x:c>
      <x:c r="K1082" s="12" t="n">
        <x:f>IF($A1082="","",1+((($A1082-Assumptions!$B$5)/30)*INDEX(Assumptions!$J$5:$J$12,MATCH($B1082,Assumptions!$D$5:$D$12,0))))</x:f>
        <x:v>1.0144</x:v>
      </x:c>
      <x:c r="L1082" t="str">
        <x:f>IF($A1082="","",IFERROR(INDEX(Assumptions!$O$5:$O$10,MATCH(1,(Assumptions!$P$5:$P$10=$B1082)*(Assumptions!$Q$5:$Q$10&lt;=$A1082)*(Assumptions!$R$5:$R$10&gt;=$A1082),0)),""))</x:f>
      </x:c>
      <x:c r="M1082" t="n">
        <x:f>--($A1082&lt;&gt;"")</x:f>
        <x:v>1</x:v>
      </x:c>
    </x:row>
    <x:row r="1083">
      <x:c r="A1083" s="10" t="n">
        <x:f>IF(Assumptions!$B$5+INT((ROW()-2)/Assumptions!$B$7)&gt;Assumptions!$B$6,"",Assumptions!$B$5+INT((ROW()-2)/Assumptions!$B$7))</x:f>
        <x:v>46239</x:v>
      </x:c>
      <x:c r="B1083" t="str">
        <x:f>IF($A1083="","",INDEX(Assumptions!$D$5:$D$12,MOD(ROW()-2,Assumptions!$B$7)+1))</x:f>
        <x:v>LV-426 North</x:v>
      </x:c>
      <x:c r="C1083" s="11" t="n">
        <x:f>IF($A1083="","",INDEX(Assumptions!$F$5:$F$12,MATCH($B1083,Assumptions!$D$5:$D$12,0)))</x:f>
        <x:v>930</x:v>
      </x:c>
      <x:c r="D1083" s="11" t="n">
        <x:f>IF($A1083="","",INDEX(Assumptions!$G$5:$G$12,MATCH($B1083,Assumptions!$D$5:$D$12,0)))</x:f>
        <x:v>95</x:v>
      </x:c>
      <x:c r="E1083" s="11" t="n">
        <x:f>IF($A1083="","",INDEX(Assumptions!$M$5:$M$11,WEEKDAY($A1083,2)))</x:f>
        <x:v>1.01</x:v>
      </x:c>
      <x:c r="F1083" s="11" t="n">
        <x:f>IF($A1083="","",Assumptions!$B$15)</x:f>
        <x:v>0.35</x:v>
      </x:c>
      <x:c r="G1083" s="11" t="n">
        <x:f>IF($A1083="","",MAX(INDEX(Assumptions!$H$5:$H$12,MATCH($B1083,Assumptions!$D$5:$D$12,0)),MIN(INDEX(Assumptions!$I$5:$I$12,MATCH($B1083,Assumptions!$D$5:$D$12,0)),($C1083+$D1083*SQRT(-2*LN(RAND()))*COS(2*PI()*RAND()))*$E1083*$J1083*$K1083)))</x:f>
        <x:v>1052.5628948066071</x:v>
      </x:c>
      <x:c r="H1083" s="11" t="n">
        <x:f>IF($A1083="","",$G1083*$F1083+$C1083*(1-$F1083))</x:f>
        <x:v>972.8970131823125</x:v>
      </x:c>
      <x:c r="I1083" s="11" t="n">
        <x:f>IF($A1083="","",AVERAGE($H1083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912.9574821465707</x:v>
      </x:c>
      <x:c r="J1083" s="12" t="n">
        <x:f>IF($A1083="","",1+SUMIFS(Assumptions!$S$5:$S$10,Assumptions!$P$5:$P$10,$B1083,Assumptions!$Q$5:$Q$10,"&lt;="&amp;$A1083,Assumptions!$R$5:$R$10,"&gt;="&amp;$A1083))</x:f>
        <x:v>1</x:v>
      </x:c>
      <x:c r="K1083" s="12" t="n">
        <x:f>IF($A1083="","",1+((($A1083-Assumptions!$B$5)/30)*INDEX(Assumptions!$J$5:$J$12,MATCH($B1083,Assumptions!$D$5:$D$12,0))))</x:f>
        <x:v>0.9928</x:v>
      </x:c>
      <x:c r="L1083" t="str">
        <x:f>IF($A1083="","",IFERROR(INDEX(Assumptions!$O$5:$O$10,MATCH(1,(Assumptions!$P$5:$P$10=$B1083)*(Assumptions!$Q$5:$Q$10&lt;=$A1083)*(Assumptions!$R$5:$R$10&gt;=$A1083),0)),""))</x:f>
      </x:c>
      <x:c r="M1083" t="n">
        <x:f>--($A1083&lt;&gt;"")</x:f>
        <x:v>1</x:v>
      </x:c>
    </x:row>
    <x:row r="1084">
      <x:c r="A1084" s="10" t="n">
        <x:f>IF(Assumptions!$B$5+INT((ROW()-2)/Assumptions!$B$7)&gt;Assumptions!$B$6,"",Assumptions!$B$5+INT((ROW()-2)/Assumptions!$B$7))</x:f>
        <x:v>46239</x:v>
      </x:c>
      <x:c r="B1084" t="str">
        <x:f>IF($A1084="","",INDEX(Assumptions!$D$5:$D$12,MOD(ROW()-2,Assumptions!$B$7)+1))</x:f>
        <x:v>Nostromo Deep</x:v>
      </x:c>
      <x:c r="C1084" s="11" t="n">
        <x:f>IF($A1084="","",INDEX(Assumptions!$F$5:$F$12,MATCH($B1084,Assumptions!$D$5:$D$12,0)))</x:f>
        <x:v>1260</x:v>
      </x:c>
      <x:c r="D1084" s="11" t="n">
        <x:f>IF($A1084="","",INDEX(Assumptions!$G$5:$G$12,MATCH($B1084,Assumptions!$D$5:$D$12,0)))</x:f>
        <x:v>145</x:v>
      </x:c>
      <x:c r="E1084" s="11" t="n">
        <x:f>IF($A1084="","",INDEX(Assumptions!$M$5:$M$11,WEEKDAY($A1084,2)))</x:f>
        <x:v>1.01</x:v>
      </x:c>
      <x:c r="F1084" s="11" t="n">
        <x:f>IF($A1084="","",Assumptions!$B$15)</x:f>
        <x:v>0.35</x:v>
      </x:c>
      <x:c r="G1084" s="11" t="n">
        <x:f>IF($A1084="","",MAX(INDEX(Assumptions!$H$5:$H$12,MATCH($B1084,Assumptions!$D$5:$D$12,0)),MIN(INDEX(Assumptions!$I$5:$I$12,MATCH($B1084,Assumptions!$D$5:$D$12,0)),($C1084+$D1084*SQRT(-2*LN(RAND()))*COS(2*PI()*RAND()))*$E1084*$J1084*$K1084)))</x:f>
        <x:v>1221.0140634043196</x:v>
      </x:c>
      <x:c r="H1084" s="11" t="n">
        <x:f>IF($A1084="","",$G1084*$F1084+$C1084*(1-$F1084))</x:f>
        <x:v>1246.3549221915118</x:v>
      </x:c>
      <x:c r="I1084" s="11" t="n">
        <x:f>IF($A1084="","",AVERAGE($H1084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1265.457885661383</x:v>
      </x:c>
      <x:c r="J1084" s="12" t="n">
        <x:f>IF($A1084="","",1+SUMIFS(Assumptions!$S$5:$S$10,Assumptions!$P$5:$P$10,$B1084,Assumptions!$Q$5:$Q$10,"&lt;="&amp;$A1084,Assumptions!$R$5:$R$10,"&gt;="&amp;$A1084))</x:f>
        <x:v>1</x:v>
      </x:c>
      <x:c r="K1084" s="12" t="n">
        <x:f>IF($A1084="","",1+((($A1084-Assumptions!$B$5)/30)*INDEX(Assumptions!$J$5:$J$12,MATCH($B1084,Assumptions!$D$5:$D$12,0))))</x:f>
        <x:v>1.0216</x:v>
      </x:c>
      <x:c r="L1084" t="str">
        <x:f>IF($A1084="","",IFERROR(INDEX(Assumptions!$O$5:$O$10,MATCH(1,(Assumptions!$P$5:$P$10=$B1084)*(Assumptions!$Q$5:$Q$10&lt;=$A1084)*(Assumptions!$R$5:$R$10&gt;=$A1084),0)),""))</x:f>
      </x:c>
      <x:c r="M1084" t="n">
        <x:f>--($A1084&lt;&gt;"")</x:f>
        <x:v>1</x:v>
      </x:c>
    </x:row>
    <x:row r="1085">
      <x:c r="A1085" s="10" t="n">
        <x:f>IF(Assumptions!$B$5+INT((ROW()-2)/Assumptions!$B$7)&gt;Assumptions!$B$6,"",Assumptions!$B$5+INT((ROW()-2)/Assumptions!$B$7))</x:f>
        <x:v>46239</x:v>
      </x:c>
      <x:c r="B1085" t="str">
        <x:f>IF($A1085="","",INDEX(Assumptions!$D$5:$D$12,MOD(ROW()-2,Assumptions!$B$7)+1))</x:f>
        <x:v>Hadley's Hope</x:v>
      </x:c>
      <x:c r="C1085" s="11" t="n">
        <x:f>IF($A1085="","",INDEX(Assumptions!$F$5:$F$12,MATCH($B1085,Assumptions!$D$5:$D$12,0)))</x:f>
        <x:v>845</x:v>
      </x:c>
      <x:c r="D1085" s="11" t="n">
        <x:f>IF($A1085="","",INDEX(Assumptions!$G$5:$G$12,MATCH($B1085,Assumptions!$D$5:$D$12,0)))</x:f>
        <x:v>80</x:v>
      </x:c>
      <x:c r="E1085" s="11" t="n">
        <x:f>IF($A1085="","",INDEX(Assumptions!$M$5:$M$11,WEEKDAY($A1085,2)))</x:f>
        <x:v>1.01</x:v>
      </x:c>
      <x:c r="F1085" s="11" t="n">
        <x:f>IF($A1085="","",Assumptions!$B$15)</x:f>
        <x:v>0.35</x:v>
      </x:c>
      <x:c r="G1085" s="11" t="n">
        <x:f>IF($A1085="","",MAX(INDEX(Assumptions!$H$5:$H$12,MATCH($B1085,Assumptions!$D$5:$D$12,0)),MIN(INDEX(Assumptions!$I$5:$I$12,MATCH($B1085,Assumptions!$D$5:$D$12,0)),($C1085+$D1085*SQRT(-2*LN(RAND()))*COS(2*PI()*RAND()))*$E1085*$J1085*$K1085)))</x:f>
        <x:v>862.3344031540563</x:v>
      </x:c>
      <x:c r="H1085" s="11" t="n">
        <x:f>IF($A1085="","",$G1085*$F1085+$C1085*(1-$F1085))</x:f>
        <x:v>851.0670411039197</x:v>
      </x:c>
      <x:c r="I1085" s="11" t="n">
        <x:f>IF($A1085="","",AVERAGE($H1085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850.6998076818975</x:v>
      </x:c>
      <x:c r="J1085" s="12" t="n">
        <x:f>IF($A1085="","",1+SUMIFS(Assumptions!$S$5:$S$10,Assumptions!$P$5:$P$10,$B1085,Assumptions!$Q$5:$Q$10,"&lt;="&amp;$A1085,Assumptions!$R$5:$R$10,"&gt;="&amp;$A1085))</x:f>
        <x:v>1</x:v>
      </x:c>
      <x:c r="K1085" s="12" t="n">
        <x:f>IF($A1085="","",1+((($A1085-Assumptions!$B$5)/30)*INDEX(Assumptions!$J$5:$J$12,MATCH($B1085,Assumptions!$D$5:$D$12,0))))</x:f>
        <x:v>1.0072</x:v>
      </x:c>
      <x:c r="L1085" t="str">
        <x:f>IF($A1085="","",IFERROR(INDEX(Assumptions!$O$5:$O$10,MATCH(1,(Assumptions!$P$5:$P$10=$B1085)*(Assumptions!$Q$5:$Q$10&lt;=$A1085)*(Assumptions!$R$5:$R$10&gt;=$A1085),0)),""))</x:f>
      </x:c>
      <x:c r="M1085" t="n">
        <x:f>--($A1085&lt;&gt;"")</x:f>
        <x:v>1</x:v>
      </x:c>
    </x:row>
    <x:row r="1086">
      <x:c r="A1086" s="10" t="n">
        <x:f>IF(Assumptions!$B$5+INT((ROW()-2)/Assumptions!$B$7)&gt;Assumptions!$B$6,"",Assumptions!$B$5+INT((ROW()-2)/Assumptions!$B$7))</x:f>
        <x:v>46239</x:v>
      </x:c>
      <x:c r="B1086" t="str">
        <x:f>IF($A1086="","",INDEX(Assumptions!$D$5:$D$12,MOD(ROW()-2,Assumptions!$B$7)+1))</x:f>
        <x:v>Yutani Ridge</x:v>
      </x:c>
      <x:c r="C1086" s="11" t="n">
        <x:f>IF($A1086="","",INDEX(Assumptions!$F$5:$F$12,MATCH($B1086,Assumptions!$D$5:$D$12,0)))</x:f>
        <x:v>1050</x:v>
      </x:c>
      <x:c r="D1086" s="11" t="n">
        <x:f>IF($A1086="","",INDEX(Assumptions!$G$5:$G$12,MATCH($B1086,Assumptions!$D$5:$D$12,0)))</x:f>
        <x:v>125</x:v>
      </x:c>
      <x:c r="E1086" s="11" t="n">
        <x:f>IF($A1086="","",INDEX(Assumptions!$M$5:$M$11,WEEKDAY($A1086,2)))</x:f>
        <x:v>1.01</x:v>
      </x:c>
      <x:c r="F1086" s="11" t="n">
        <x:f>IF($A1086="","",Assumptions!$B$15)</x:f>
        <x:v>0.35</x:v>
      </x:c>
      <x:c r="G1086" s="11" t="n">
        <x:f>IF($A1086="","",MAX(INDEX(Assumptions!$H$5:$H$12,MATCH($B1086,Assumptions!$D$5:$D$12,0)),MIN(INDEX(Assumptions!$I$5:$I$12,MATCH($B1086,Assumptions!$D$5:$D$12,0)),($C1086+$D1086*SQRT(-2*LN(RAND()))*COS(2*PI()*RAND()))*$E1086*$J1086*$K1086)))</x:f>
        <x:v>1021.7911854418107</x:v>
      </x:c>
      <x:c r="H1086" s="11" t="n">
        <x:f>IF($A1086="","",$G1086*$F1086+$C1086*(1-$F1086))</x:f>
        <x:v>1040.1269149046338</x:v>
      </x:c>
      <x:c r="I1086" s="11" t="n">
        <x:f>IF($A1086="","",AVERAGE($H1086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1006.535354147601</x:v>
      </x:c>
      <x:c r="J1086" s="12" t="n">
        <x:f>IF($A1086="","",1+SUMIFS(Assumptions!$S$5:$S$10,Assumptions!$P$5:$P$10,$B1086,Assumptions!$Q$5:$Q$10,"&lt;="&amp;$A1086,Assumptions!$R$5:$R$10,"&gt;="&amp;$A1086))</x:f>
        <x:v>1</x:v>
      </x:c>
      <x:c r="K1086" s="12" t="n">
        <x:f>IF($A1086="","",1+((($A1086-Assumptions!$B$5)/30)*INDEX(Assumptions!$J$5:$J$12,MATCH($B1086,Assumptions!$D$5:$D$12,0))))</x:f>
        <x:v>1.018</x:v>
      </x:c>
      <x:c r="L1086" t="str">
        <x:f>IF($A1086="","",IFERROR(INDEX(Assumptions!$O$5:$O$10,MATCH(1,(Assumptions!$P$5:$P$10=$B1086)*(Assumptions!$Q$5:$Q$10&lt;=$A1086)*(Assumptions!$R$5:$R$10&gt;=$A1086),0)),""))</x:f>
      </x:c>
      <x:c r="M1086" t="n">
        <x:f>--($A1086&lt;&gt;"")</x:f>
        <x:v>1</x:v>
      </x:c>
    </x:row>
    <x:row r="1087">
      <x:c r="A1087" s="10" t="n">
        <x:f>IF(Assumptions!$B$5+INT((ROW()-2)/Assumptions!$B$7)&gt;Assumptions!$B$6,"",Assumptions!$B$5+INT((ROW()-2)/Assumptions!$B$7))</x:f>
        <x:v>46240</x:v>
      </x:c>
      <x:c r="B1087" t="str">
        <x:f>IF($A1087="","",INDEX(Assumptions!$D$5:$D$12,MOD(ROW()-2,Assumptions!$B$7)+1))</x:f>
        <x:v>Acheron Prime</x:v>
      </x:c>
      <x:c r="C1087" s="11" t="n">
        <x:f>IF($A1087="","",INDEX(Assumptions!$F$5:$F$12,MATCH($B1087,Assumptions!$D$5:$D$12,0)))</x:f>
        <x:v>1120</x:v>
      </x:c>
      <x:c r="D1087" s="11" t="n">
        <x:f>IF($A1087="","",INDEX(Assumptions!$G$5:$G$12,MATCH($B1087,Assumptions!$D$5:$D$12,0)))</x:f>
        <x:v>115</x:v>
      </x:c>
      <x:c r="E1087" s="11" t="n">
        <x:f>IF($A1087="","",INDEX(Assumptions!$M$5:$M$11,WEEKDAY($A1087,2)))</x:f>
        <x:v>1</x:v>
      </x:c>
      <x:c r="F1087" s="11" t="n">
        <x:f>IF($A1087="","",Assumptions!$B$15)</x:f>
        <x:v>0.35</x:v>
      </x:c>
      <x:c r="G1087" s="11" t="n">
        <x:f>IF($A1087="","",MAX(INDEX(Assumptions!$H$5:$H$12,MATCH($B1087,Assumptions!$D$5:$D$12,0)),MIN(INDEX(Assumptions!$I$5:$I$12,MATCH($B1087,Assumptions!$D$5:$D$12,0)),($C1087+$D1087*SQRT(-2*LN(RAND()))*COS(2*PI()*RAND()))*$E1087*$J1087*$K1087)))</x:f>
        <x:v>1278.831520947523</x:v>
      </x:c>
      <x:c r="H1087" s="11" t="n">
        <x:f>IF($A1087="","",$G1087*$F1087+$C1087*(1-$F1087))</x:f>
        <x:v>1175.591032331633</x:v>
      </x:c>
      <x:c r="I1087" s="11" t="n">
        <x:f>IF($A1087="","",AVERAGE($H1087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1112.858073942994</x:v>
      </x:c>
      <x:c r="J1087" s="12" t="n">
        <x:f>IF($A1087="","",1+SUMIFS(Assumptions!$S$5:$S$10,Assumptions!$P$5:$P$10,$B1087,Assumptions!$Q$5:$Q$10,"&lt;="&amp;$A1087,Assumptions!$R$5:$R$10,"&gt;="&amp;$A1087))</x:f>
        <x:v>1</x:v>
      </x:c>
      <x:c r="K1087" s="12" t="n">
        <x:f>IF($A1087="","",1+((($A1087-Assumptions!$B$5)/30)*INDEX(Assumptions!$J$5:$J$12,MATCH($B1087,Assumptions!$D$5:$D$12,0))))</x:f>
        <x:v>1.0144666666666666</x:v>
      </x:c>
      <x:c r="L1087" t="str">
        <x:f>IF($A1087="","",IFERROR(INDEX(Assumptions!$O$5:$O$10,MATCH(1,(Assumptions!$P$5:$P$10=$B1087)*(Assumptions!$Q$5:$Q$10&lt;=$A1087)*(Assumptions!$R$5:$R$10&gt;=$A1087),0)),""))</x:f>
      </x:c>
      <x:c r="M1087" t="n">
        <x:f>--($A1087&lt;&gt;"")</x:f>
        <x:v>1</x:v>
      </x:c>
    </x:row>
    <x:row r="1088">
      <x:c r="A1088" s="10" t="n">
        <x:f>IF(Assumptions!$B$5+INT((ROW()-2)/Assumptions!$B$7)&gt;Assumptions!$B$6,"",Assumptions!$B$5+INT((ROW()-2)/Assumptions!$B$7))</x:f>
        <x:v>46240</x:v>
      </x:c>
      <x:c r="B1088" t="str">
        <x:f>IF($A1088="","",INDEX(Assumptions!$D$5:$D$12,MOD(ROW()-2,Assumptions!$B$7)+1))</x:f>
        <x:v>LV-426 North</x:v>
      </x:c>
      <x:c r="C1088" s="11" t="n">
        <x:f>IF($A1088="","",INDEX(Assumptions!$F$5:$F$12,MATCH($B1088,Assumptions!$D$5:$D$12,0)))</x:f>
        <x:v>930</x:v>
      </x:c>
      <x:c r="D1088" s="11" t="n">
        <x:f>IF($A1088="","",INDEX(Assumptions!$G$5:$G$12,MATCH($B1088,Assumptions!$D$5:$D$12,0)))</x:f>
        <x:v>95</x:v>
      </x:c>
      <x:c r="E1088" s="11" t="n">
        <x:f>IF($A1088="","",INDEX(Assumptions!$M$5:$M$11,WEEKDAY($A1088,2)))</x:f>
        <x:v>1</x:v>
      </x:c>
      <x:c r="F1088" s="11" t="n">
        <x:f>IF($A1088="","",Assumptions!$B$15)</x:f>
        <x:v>0.35</x:v>
      </x:c>
      <x:c r="G1088" s="11" t="n">
        <x:f>IF($A1088="","",MAX(INDEX(Assumptions!$H$5:$H$12,MATCH($B1088,Assumptions!$D$5:$D$12,0)),MIN(INDEX(Assumptions!$I$5:$I$12,MATCH($B1088,Assumptions!$D$5:$D$12,0)),($C1088+$D1088*SQRT(-2*LN(RAND()))*COS(2*PI()*RAND()))*$E1088*$J1088*$K1088)))</x:f>
        <x:v>975.697034395643</x:v>
      </x:c>
      <x:c r="H1088" s="11" t="n">
        <x:f>IF($A1088="","",$G1088*$F1088+$C1088*(1-$F1088))</x:f>
        <x:v>945.993962038475</x:v>
      </x:c>
      <x:c r="I1088" s="11" t="n">
        <x:f>IF($A1088="","",AVERAGE($H1088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925.0651492152556</x:v>
      </x:c>
      <x:c r="J1088" s="12" t="n">
        <x:f>IF($A1088="","",1+SUMIFS(Assumptions!$S$5:$S$10,Assumptions!$P$5:$P$10,$B1088,Assumptions!$Q$5:$Q$10,"&lt;="&amp;$A1088,Assumptions!$R$5:$R$10,"&gt;="&amp;$A1088))</x:f>
        <x:v>1</x:v>
      </x:c>
      <x:c r="K1088" s="12" t="n">
        <x:f>IF($A1088="","",1+((($A1088-Assumptions!$B$5)/30)*INDEX(Assumptions!$J$5:$J$12,MATCH($B1088,Assumptions!$D$5:$D$12,0))))</x:f>
        <x:v>0.9927666666666667</x:v>
      </x:c>
      <x:c r="L1088" t="str">
        <x:f>IF($A1088="","",IFERROR(INDEX(Assumptions!$O$5:$O$10,MATCH(1,(Assumptions!$P$5:$P$10=$B1088)*(Assumptions!$Q$5:$Q$10&lt;=$A1088)*(Assumptions!$R$5:$R$10&gt;=$A1088),0)),""))</x:f>
      </x:c>
      <x:c r="M1088" t="n">
        <x:f>--($A1088&lt;&gt;"")</x:f>
        <x:v>1</x:v>
      </x:c>
    </x:row>
    <x:row r="1089">
      <x:c r="A1089" s="10" t="n">
        <x:f>IF(Assumptions!$B$5+INT((ROW()-2)/Assumptions!$B$7)&gt;Assumptions!$B$6,"",Assumptions!$B$5+INT((ROW()-2)/Assumptions!$B$7))</x:f>
        <x:v>46240</x:v>
      </x:c>
      <x:c r="B1089" t="str">
        <x:f>IF($A1089="","",INDEX(Assumptions!$D$5:$D$12,MOD(ROW()-2,Assumptions!$B$7)+1))</x:f>
        <x:v>Nostromo Deep</x:v>
      </x:c>
      <x:c r="C1089" s="11" t="n">
        <x:f>IF($A1089="","",INDEX(Assumptions!$F$5:$F$12,MATCH($B1089,Assumptions!$D$5:$D$12,0)))</x:f>
        <x:v>1260</x:v>
      </x:c>
      <x:c r="D1089" s="11" t="n">
        <x:f>IF($A1089="","",INDEX(Assumptions!$G$5:$G$12,MATCH($B1089,Assumptions!$D$5:$D$12,0)))</x:f>
        <x:v>145</x:v>
      </x:c>
      <x:c r="E1089" s="11" t="n">
        <x:f>IF($A1089="","",INDEX(Assumptions!$M$5:$M$11,WEEKDAY($A1089,2)))</x:f>
        <x:v>1</x:v>
      </x:c>
      <x:c r="F1089" s="11" t="n">
        <x:f>IF($A1089="","",Assumptions!$B$15)</x:f>
        <x:v>0.35</x:v>
      </x:c>
      <x:c r="G1089" s="11" t="n">
        <x:f>IF($A1089="","",MAX(INDEX(Assumptions!$H$5:$H$12,MATCH($B1089,Assumptions!$D$5:$D$12,0)),MIN(INDEX(Assumptions!$I$5:$I$12,MATCH($B1089,Assumptions!$D$5:$D$12,0)),($C1089+$D1089*SQRT(-2*LN(RAND()))*COS(2*PI()*RAND()))*$E1089*$J1089*$K1089)))</x:f>
        <x:v>1207.5901294146747</x:v>
      </x:c>
      <x:c r="H1089" s="11" t="n">
        <x:f>IF($A1089="","",$G1089*$F1089+$C1089*(1-$F1089))</x:f>
        <x:v>1241.656545295136</x:v>
      </x:c>
      <x:c r="I1089" s="11" t="n">
        <x:f>IF($A1089="","",AVERAGE($H1089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1263.7750457097125</x:v>
      </x:c>
      <x:c r="J1089" s="12" t="n">
        <x:f>IF($A1089="","",1+SUMIFS(Assumptions!$S$5:$S$10,Assumptions!$P$5:$P$10,$B1089,Assumptions!$Q$5:$Q$10,"&lt;="&amp;$A1089,Assumptions!$R$5:$R$10,"&gt;="&amp;$A1089))</x:f>
        <x:v>1</x:v>
      </x:c>
      <x:c r="K1089" s="12" t="n">
        <x:f>IF($A1089="","",1+((($A1089-Assumptions!$B$5)/30)*INDEX(Assumptions!$J$5:$J$12,MATCH($B1089,Assumptions!$D$5:$D$12,0))))</x:f>
        <x:v>1.0217</x:v>
      </x:c>
      <x:c r="L1089" t="str">
        <x:f>IF($A1089="","",IFERROR(INDEX(Assumptions!$O$5:$O$10,MATCH(1,(Assumptions!$P$5:$P$10=$B1089)*(Assumptions!$Q$5:$Q$10&lt;=$A1089)*(Assumptions!$R$5:$R$10&gt;=$A1089),0)),""))</x:f>
      </x:c>
      <x:c r="M1089" t="n">
        <x:f>--($A1089&lt;&gt;"")</x:f>
        <x:v>1</x:v>
      </x:c>
    </x:row>
    <x:row r="1090">
      <x:c r="A1090" s="10" t="n">
        <x:f>IF(Assumptions!$B$5+INT((ROW()-2)/Assumptions!$B$7)&gt;Assumptions!$B$6,"",Assumptions!$B$5+INT((ROW()-2)/Assumptions!$B$7))</x:f>
        <x:v>46240</x:v>
      </x:c>
      <x:c r="B1090" t="str">
        <x:f>IF($A1090="","",INDEX(Assumptions!$D$5:$D$12,MOD(ROW()-2,Assumptions!$B$7)+1))</x:f>
        <x:v>Hadley's Hope</x:v>
      </x:c>
      <x:c r="C1090" s="11" t="n">
        <x:f>IF($A1090="","",INDEX(Assumptions!$F$5:$F$12,MATCH($B1090,Assumptions!$D$5:$D$12,0)))</x:f>
        <x:v>845</x:v>
      </x:c>
      <x:c r="D1090" s="11" t="n">
        <x:f>IF($A1090="","",INDEX(Assumptions!$G$5:$G$12,MATCH($B1090,Assumptions!$D$5:$D$12,0)))</x:f>
        <x:v>80</x:v>
      </x:c>
      <x:c r="E1090" s="11" t="n">
        <x:f>IF($A1090="","",INDEX(Assumptions!$M$5:$M$11,WEEKDAY($A1090,2)))</x:f>
        <x:v>1</x:v>
      </x:c>
      <x:c r="F1090" s="11" t="n">
        <x:f>IF($A1090="","",Assumptions!$B$15)</x:f>
        <x:v>0.35</x:v>
      </x:c>
      <x:c r="G1090" s="11" t="n">
        <x:f>IF($A1090="","",MAX(INDEX(Assumptions!$H$5:$H$12,MATCH($B1090,Assumptions!$D$5:$D$12,0)),MIN(INDEX(Assumptions!$I$5:$I$12,MATCH($B1090,Assumptions!$D$5:$D$12,0)),($C1090+$D1090*SQRT(-2*LN(RAND()))*COS(2*PI()*RAND()))*$E1090*$J1090*$K1090)))</x:f>
        <x:v>728.4460236835574</x:v>
      </x:c>
      <x:c r="H1090" s="11" t="n">
        <x:f>IF($A1090="","",$G1090*$F1090+$C1090*(1-$F1090))</x:f>
        <x:v>804.2061082892451</x:v>
      </x:c>
      <x:c r="I1090" s="11" t="n">
        <x:f>IF($A1090="","",AVERAGE($H1090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843.5759310156952</x:v>
      </x:c>
      <x:c r="J1090" s="12" t="n">
        <x:f>IF($A1090="","",1+SUMIFS(Assumptions!$S$5:$S$10,Assumptions!$P$5:$P$10,$B1090,Assumptions!$Q$5:$Q$10,"&lt;="&amp;$A1090,Assumptions!$R$5:$R$10,"&gt;="&amp;$A1090))</x:f>
        <x:v>1</x:v>
      </x:c>
      <x:c r="K1090" s="12" t="n">
        <x:f>IF($A1090="","",1+((($A1090-Assumptions!$B$5)/30)*INDEX(Assumptions!$J$5:$J$12,MATCH($B1090,Assumptions!$D$5:$D$12,0))))</x:f>
        <x:v>1.0072333333333334</x:v>
      </x:c>
      <x:c r="L1090" t="str">
        <x:f>IF($A1090="","",IFERROR(INDEX(Assumptions!$O$5:$O$10,MATCH(1,(Assumptions!$P$5:$P$10=$B1090)*(Assumptions!$Q$5:$Q$10&lt;=$A1090)*(Assumptions!$R$5:$R$10&gt;=$A1090),0)),""))</x:f>
      </x:c>
      <x:c r="M1090" t="n">
        <x:f>--($A1090&lt;&gt;"")</x:f>
        <x:v>1</x:v>
      </x:c>
    </x:row>
    <x:row r="1091">
      <x:c r="A1091" s="10" t="n">
        <x:f>IF(Assumptions!$B$5+INT((ROW()-2)/Assumptions!$B$7)&gt;Assumptions!$B$6,"",Assumptions!$B$5+INT((ROW()-2)/Assumptions!$B$7))</x:f>
        <x:v>46240</x:v>
      </x:c>
      <x:c r="B1091" t="str">
        <x:f>IF($A1091="","",INDEX(Assumptions!$D$5:$D$12,MOD(ROW()-2,Assumptions!$B$7)+1))</x:f>
        <x:v>Yutani Ridge</x:v>
      </x:c>
      <x:c r="C1091" s="11" t="n">
        <x:f>IF($A1091="","",INDEX(Assumptions!$F$5:$F$12,MATCH($B1091,Assumptions!$D$5:$D$12,0)))</x:f>
        <x:v>1050</x:v>
      </x:c>
      <x:c r="D1091" s="11" t="n">
        <x:f>IF($A1091="","",INDEX(Assumptions!$G$5:$G$12,MATCH($B1091,Assumptions!$D$5:$D$12,0)))</x:f>
        <x:v>125</x:v>
      </x:c>
      <x:c r="E1091" s="11" t="n">
        <x:f>IF($A1091="","",INDEX(Assumptions!$M$5:$M$11,WEEKDAY($A1091,2)))</x:f>
        <x:v>1</x:v>
      </x:c>
      <x:c r="F1091" s="11" t="n">
        <x:f>IF($A1091="","",Assumptions!$B$15)</x:f>
        <x:v>0.35</x:v>
      </x:c>
      <x:c r="G1091" s="11" t="n">
        <x:f>IF($A1091="","",MAX(INDEX(Assumptions!$H$5:$H$12,MATCH($B1091,Assumptions!$D$5:$D$12,0)),MIN(INDEX(Assumptions!$I$5:$I$12,MATCH($B1091,Assumptions!$D$5:$D$12,0)),($C1091+$D1091*SQRT(-2*LN(RAND()))*COS(2*PI()*RAND()))*$E1091*$J1091*$K1091)))</x:f>
        <x:v>881.143868082677</x:v>
      </x:c>
      <x:c r="H1091" s="11" t="n">
        <x:f>IF($A1091="","",$G1091*$F1091+$C1091*(1-$F1091))</x:f>
        <x:v>990.9003538289369</x:v>
      </x:c>
      <x:c r="I1091" s="11" t="n">
        <x:f>IF($A1091="","",AVERAGE($H1091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998.5578198153069</x:v>
      </x:c>
      <x:c r="J1091" s="12" t="n">
        <x:f>IF($A1091="","",1+SUMIFS(Assumptions!$S$5:$S$10,Assumptions!$P$5:$P$10,$B1091,Assumptions!$Q$5:$Q$10,"&lt;="&amp;$A1091,Assumptions!$R$5:$R$10,"&gt;="&amp;$A1091))</x:f>
        <x:v>1</x:v>
      </x:c>
      <x:c r="K1091" s="12" t="n">
        <x:f>IF($A1091="","",1+((($A1091-Assumptions!$B$5)/30)*INDEX(Assumptions!$J$5:$J$12,MATCH($B1091,Assumptions!$D$5:$D$12,0))))</x:f>
        <x:v>1.0180833333333332</x:v>
      </x:c>
      <x:c r="L1091" t="str">
        <x:f>IF($A1091="","",IFERROR(INDEX(Assumptions!$O$5:$O$10,MATCH(1,(Assumptions!$P$5:$P$10=$B1091)*(Assumptions!$Q$5:$Q$10&lt;=$A1091)*(Assumptions!$R$5:$R$10&gt;=$A1091),0)),""))</x:f>
      </x:c>
      <x:c r="M1091" t="n">
        <x:f>--($A1091&lt;&gt;"")</x:f>
        <x:v>1</x:v>
      </x:c>
    </x:row>
    <x:row r="1092">
      <x:c r="A1092" s="10" t="n">
        <x:f>IF(Assumptions!$B$5+INT((ROW()-2)/Assumptions!$B$7)&gt;Assumptions!$B$6,"",Assumptions!$B$5+INT((ROW()-2)/Assumptions!$B$7))</x:f>
        <x:v>46241</x:v>
      </x:c>
      <x:c r="B1092" t="str">
        <x:f>IF($A1092="","",INDEX(Assumptions!$D$5:$D$12,MOD(ROW()-2,Assumptions!$B$7)+1))</x:f>
        <x:v>Acheron Prime</x:v>
      </x:c>
      <x:c r="C1092" s="11" t="n">
        <x:f>IF($A1092="","",INDEX(Assumptions!$F$5:$F$12,MATCH($B1092,Assumptions!$D$5:$D$12,0)))</x:f>
        <x:v>1120</x:v>
      </x:c>
      <x:c r="D1092" s="11" t="n">
        <x:f>IF($A1092="","",INDEX(Assumptions!$G$5:$G$12,MATCH($B1092,Assumptions!$D$5:$D$12,0)))</x:f>
        <x:v>115</x:v>
      </x:c>
      <x:c r="E1092" s="11" t="n">
        <x:f>IF($A1092="","",INDEX(Assumptions!$M$5:$M$11,WEEKDAY($A1092,2)))</x:f>
        <x:v>0.98</x:v>
      </x:c>
      <x:c r="F1092" s="11" t="n">
        <x:f>IF($A1092="","",Assumptions!$B$15)</x:f>
        <x:v>0.35</x:v>
      </x:c>
      <x:c r="G1092" s="11" t="n">
        <x:f>IF($A1092="","",MAX(INDEX(Assumptions!$H$5:$H$12,MATCH($B1092,Assumptions!$D$5:$D$12,0)),MIN(INDEX(Assumptions!$I$5:$I$12,MATCH($B1092,Assumptions!$D$5:$D$12,0)),($C1092+$D1092*SQRT(-2*LN(RAND()))*COS(2*PI()*RAND()))*$E1092*$J1092*$K1092)))</x:f>
        <x:v>1221.6809922493683</x:v>
      </x:c>
      <x:c r="H1092" s="11" t="n">
        <x:f>IF($A1092="","",$G1092*$F1092+$C1092*(1-$F1092))</x:f>
        <x:v>1155.5883472872788</x:v>
      </x:c>
      <x:c r="I1092" s="11" t="n">
        <x:f>IF($A1092="","",AVERAGE($H1092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1119.4420898671622</x:v>
      </x:c>
      <x:c r="J1092" s="12" t="n">
        <x:f>IF($A1092="","",1+SUMIFS(Assumptions!$S$5:$S$10,Assumptions!$P$5:$P$10,$B1092,Assumptions!$Q$5:$Q$10,"&lt;="&amp;$A1092,Assumptions!$R$5:$R$10,"&gt;="&amp;$A1092))</x:f>
        <x:v>1</x:v>
      </x:c>
      <x:c r="K1092" s="12" t="n">
        <x:f>IF($A1092="","",1+((($A1092-Assumptions!$B$5)/30)*INDEX(Assumptions!$J$5:$J$12,MATCH($B1092,Assumptions!$D$5:$D$12,0))))</x:f>
        <x:v>1.0145333333333333</x:v>
      </x:c>
      <x:c r="L1092" t="str">
        <x:f>IF($A1092="","",IFERROR(INDEX(Assumptions!$O$5:$O$10,MATCH(1,(Assumptions!$P$5:$P$10=$B1092)*(Assumptions!$Q$5:$Q$10&lt;=$A1092)*(Assumptions!$R$5:$R$10&gt;=$A1092),0)),""))</x:f>
      </x:c>
      <x:c r="M1092" t="n">
        <x:f>--($A1092&lt;&gt;"")</x:f>
        <x:v>1</x:v>
      </x:c>
    </x:row>
    <x:row r="1093">
      <x:c r="A1093" s="10" t="n">
        <x:f>IF(Assumptions!$B$5+INT((ROW()-2)/Assumptions!$B$7)&gt;Assumptions!$B$6,"",Assumptions!$B$5+INT((ROW()-2)/Assumptions!$B$7))</x:f>
        <x:v>46241</x:v>
      </x:c>
      <x:c r="B1093" t="str">
        <x:f>IF($A1093="","",INDEX(Assumptions!$D$5:$D$12,MOD(ROW()-2,Assumptions!$B$7)+1))</x:f>
        <x:v>LV-426 North</x:v>
      </x:c>
      <x:c r="C1093" s="11" t="n">
        <x:f>IF($A1093="","",INDEX(Assumptions!$F$5:$F$12,MATCH($B1093,Assumptions!$D$5:$D$12,0)))</x:f>
        <x:v>930</x:v>
      </x:c>
      <x:c r="D1093" s="11" t="n">
        <x:f>IF($A1093="","",INDEX(Assumptions!$G$5:$G$12,MATCH($B1093,Assumptions!$D$5:$D$12,0)))</x:f>
        <x:v>95</x:v>
      </x:c>
      <x:c r="E1093" s="11" t="n">
        <x:f>IF($A1093="","",INDEX(Assumptions!$M$5:$M$11,WEEKDAY($A1093,2)))</x:f>
        <x:v>0.98</x:v>
      </x:c>
      <x:c r="F1093" s="11" t="n">
        <x:f>IF($A1093="","",Assumptions!$B$15)</x:f>
        <x:v>0.35</x:v>
      </x:c>
      <x:c r="G1093" s="11" t="n">
        <x:f>IF($A1093="","",MAX(INDEX(Assumptions!$H$5:$H$12,MATCH($B1093,Assumptions!$D$5:$D$12,0)),MIN(INDEX(Assumptions!$I$5:$I$12,MATCH($B1093,Assumptions!$D$5:$D$12,0)),($C1093+$D1093*SQRT(-2*LN(RAND()))*COS(2*PI()*RAND()))*$E1093*$J1093*$K1093)))</x:f>
        <x:v>807.4123427854103</x:v>
      </x:c>
      <x:c r="H1093" s="11" t="n">
        <x:f>IF($A1093="","",$G1093*$F1093+$C1093*(1-$F1093))</x:f>
        <x:v>887.0943199748936</x:v>
      </x:c>
      <x:c r="I1093" s="11" t="n">
        <x:f>IF($A1093="","",AVERAGE($H1093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916.1841913321967</x:v>
      </x:c>
      <x:c r="J1093" s="12" t="n">
        <x:f>IF($A1093="","",1+SUMIFS(Assumptions!$S$5:$S$10,Assumptions!$P$5:$P$10,$B1093,Assumptions!$Q$5:$Q$10,"&lt;="&amp;$A1093,Assumptions!$R$5:$R$10,"&gt;="&amp;$A1093))</x:f>
        <x:v>1</x:v>
      </x:c>
      <x:c r="K1093" s="12" t="n">
        <x:f>IF($A1093="","",1+((($A1093-Assumptions!$B$5)/30)*INDEX(Assumptions!$J$5:$J$12,MATCH($B1093,Assumptions!$D$5:$D$12,0))))</x:f>
        <x:v>0.9927333333333334</x:v>
      </x:c>
      <x:c r="L1093" t="str">
        <x:f>IF($A1093="","",IFERROR(INDEX(Assumptions!$O$5:$O$10,MATCH(1,(Assumptions!$P$5:$P$10=$B1093)*(Assumptions!$Q$5:$Q$10&lt;=$A1093)*(Assumptions!$R$5:$R$10&gt;=$A1093),0)),""))</x:f>
      </x:c>
      <x:c r="M1093" t="n">
        <x:f>--($A1093&lt;&gt;"")</x:f>
        <x:v>1</x:v>
      </x:c>
    </x:row>
    <x:row r="1094">
      <x:c r="A1094" s="10" t="n">
        <x:f>IF(Assumptions!$B$5+INT((ROW()-2)/Assumptions!$B$7)&gt;Assumptions!$B$6,"",Assumptions!$B$5+INT((ROW()-2)/Assumptions!$B$7))</x:f>
        <x:v>46241</x:v>
      </x:c>
      <x:c r="B1094" t="str">
        <x:f>IF($A1094="","",INDEX(Assumptions!$D$5:$D$12,MOD(ROW()-2,Assumptions!$B$7)+1))</x:f>
        <x:v>Nostromo Deep</x:v>
      </x:c>
      <x:c r="C1094" s="11" t="n">
        <x:f>IF($A1094="","",INDEX(Assumptions!$F$5:$F$12,MATCH($B1094,Assumptions!$D$5:$D$12,0)))</x:f>
        <x:v>1260</x:v>
      </x:c>
      <x:c r="D1094" s="11" t="n">
        <x:f>IF($A1094="","",INDEX(Assumptions!$G$5:$G$12,MATCH($B1094,Assumptions!$D$5:$D$12,0)))</x:f>
        <x:v>145</x:v>
      </x:c>
      <x:c r="E1094" s="11" t="n">
        <x:f>IF($A1094="","",INDEX(Assumptions!$M$5:$M$11,WEEKDAY($A1094,2)))</x:f>
        <x:v>0.98</x:v>
      </x:c>
      <x:c r="F1094" s="11" t="n">
        <x:f>IF($A1094="","",Assumptions!$B$15)</x:f>
        <x:v>0.35</x:v>
      </x:c>
      <x:c r="G1094" s="11" t="n">
        <x:f>IF($A1094="","",MAX(INDEX(Assumptions!$H$5:$H$12,MATCH($B1094,Assumptions!$D$5:$D$12,0)),MIN(INDEX(Assumptions!$I$5:$I$12,MATCH($B1094,Assumptions!$D$5:$D$12,0)),($C1094+$D1094*SQRT(-2*LN(RAND()))*COS(2*PI()*RAND()))*$E1094*$J1094*$K1094)))</x:f>
        <x:v>1304.6300075352144</x:v>
      </x:c>
      <x:c r="H1094" s="11" t="n">
        <x:f>IF($A1094="","",$G1094*$F1094+$C1094*(1-$F1094))</x:f>
        <x:v>1275.620502637325</x:v>
      </x:c>
      <x:c r="I1094" s="11" t="n">
        <x:f>IF($A1094="","",AVERAGE($H1094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1251.7461721386262</x:v>
      </x:c>
      <x:c r="J1094" s="12" t="n">
        <x:f>IF($A1094="","",1+SUMIFS(Assumptions!$S$5:$S$10,Assumptions!$P$5:$P$10,$B1094,Assumptions!$Q$5:$Q$10,"&lt;="&amp;$A1094,Assumptions!$R$5:$R$10,"&gt;="&amp;$A1094))</x:f>
        <x:v>1</x:v>
      </x:c>
      <x:c r="K1094" s="12" t="n">
        <x:f>IF($A1094="","",1+((($A1094-Assumptions!$B$5)/30)*INDEX(Assumptions!$J$5:$J$12,MATCH($B1094,Assumptions!$D$5:$D$12,0))))</x:f>
        <x:v>1.0218</x:v>
      </x:c>
      <x:c r="L1094" t="str">
        <x:f>IF($A1094="","",IFERROR(INDEX(Assumptions!$O$5:$O$10,MATCH(1,(Assumptions!$P$5:$P$10=$B1094)*(Assumptions!$Q$5:$Q$10&lt;=$A1094)*(Assumptions!$R$5:$R$10&gt;=$A1094),0)),""))</x:f>
      </x:c>
      <x:c r="M1094" t="n">
        <x:f>--($A1094&lt;&gt;"")</x:f>
        <x:v>1</x:v>
      </x:c>
    </x:row>
    <x:row r="1095">
      <x:c r="A1095" s="10" t="n">
        <x:f>IF(Assumptions!$B$5+INT((ROW()-2)/Assumptions!$B$7)&gt;Assumptions!$B$6,"",Assumptions!$B$5+INT((ROW()-2)/Assumptions!$B$7))</x:f>
        <x:v>46241</x:v>
      </x:c>
      <x:c r="B1095" t="str">
        <x:f>IF($A1095="","",INDEX(Assumptions!$D$5:$D$12,MOD(ROW()-2,Assumptions!$B$7)+1))</x:f>
        <x:v>Hadley's Hope</x:v>
      </x:c>
      <x:c r="C1095" s="11" t="n">
        <x:f>IF($A1095="","",INDEX(Assumptions!$F$5:$F$12,MATCH($B1095,Assumptions!$D$5:$D$12,0)))</x:f>
        <x:v>845</x:v>
      </x:c>
      <x:c r="D1095" s="11" t="n">
        <x:f>IF($A1095="","",INDEX(Assumptions!$G$5:$G$12,MATCH($B1095,Assumptions!$D$5:$D$12,0)))</x:f>
        <x:v>80</x:v>
      </x:c>
      <x:c r="E1095" s="11" t="n">
        <x:f>IF($A1095="","",INDEX(Assumptions!$M$5:$M$11,WEEKDAY($A1095,2)))</x:f>
        <x:v>0.98</x:v>
      </x:c>
      <x:c r="F1095" s="11" t="n">
        <x:f>IF($A1095="","",Assumptions!$B$15)</x:f>
        <x:v>0.35</x:v>
      </x:c>
      <x:c r="G1095" s="11" t="n">
        <x:f>IF($A1095="","",MAX(INDEX(Assumptions!$H$5:$H$12,MATCH($B1095,Assumptions!$D$5:$D$12,0)),MIN(INDEX(Assumptions!$I$5:$I$12,MATCH($B1095,Assumptions!$D$5:$D$12,0)),($C1095+$D1095*SQRT(-2*LN(RAND()))*COS(2*PI()*RAND()))*$E1095*$J1095*$K1095)))</x:f>
        <x:v>816.6735432938258</x:v>
      </x:c>
      <x:c r="H1095" s="11" t="n">
        <x:f>IF($A1095="","",$G1095*$F1095+$C1095*(1-$F1095))</x:f>
        <x:v>835.085740152839</x:v>
      </x:c>
      <x:c r="I1095" s="11" t="n">
        <x:f>IF($A1095="","",AVERAGE($H1095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842.9756203509415</x:v>
      </x:c>
      <x:c r="J1095" s="12" t="n">
        <x:f>IF($A1095="","",1+SUMIFS(Assumptions!$S$5:$S$10,Assumptions!$P$5:$P$10,$B1095,Assumptions!$Q$5:$Q$10,"&lt;="&amp;$A1095,Assumptions!$R$5:$R$10,"&gt;="&amp;$A1095))</x:f>
        <x:v>1</x:v>
      </x:c>
      <x:c r="K1095" s="12" t="n">
        <x:f>IF($A1095="","",1+((($A1095-Assumptions!$B$5)/30)*INDEX(Assumptions!$J$5:$J$12,MATCH($B1095,Assumptions!$D$5:$D$12,0))))</x:f>
        <x:v>1.0072666666666668</x:v>
      </x:c>
      <x:c r="L1095" t="str">
        <x:f>IF($A1095="","",IFERROR(INDEX(Assumptions!$O$5:$O$10,MATCH(1,(Assumptions!$P$5:$P$10=$B1095)*(Assumptions!$Q$5:$Q$10&lt;=$A1095)*(Assumptions!$R$5:$R$10&gt;=$A1095),0)),""))</x:f>
      </x:c>
      <x:c r="M1095" t="n">
        <x:f>--($A1095&lt;&gt;"")</x:f>
        <x:v>1</x:v>
      </x:c>
    </x:row>
    <x:row r="1096">
      <x:c r="A1096" s="10" t="n">
        <x:f>IF(Assumptions!$B$5+INT((ROW()-2)/Assumptions!$B$7)&gt;Assumptions!$B$6,"",Assumptions!$B$5+INT((ROW()-2)/Assumptions!$B$7))</x:f>
        <x:v>46241</x:v>
      </x:c>
      <x:c r="B1096" t="str">
        <x:f>IF($A1096="","",INDEX(Assumptions!$D$5:$D$12,MOD(ROW()-2,Assumptions!$B$7)+1))</x:f>
        <x:v>Yutani Ridge</x:v>
      </x:c>
      <x:c r="C1096" s="11" t="n">
        <x:f>IF($A1096="","",INDEX(Assumptions!$F$5:$F$12,MATCH($B1096,Assumptions!$D$5:$D$12,0)))</x:f>
        <x:v>1050</x:v>
      </x:c>
      <x:c r="D1096" s="11" t="n">
        <x:f>IF($A1096="","",INDEX(Assumptions!$G$5:$G$12,MATCH($B1096,Assumptions!$D$5:$D$12,0)))</x:f>
        <x:v>125</x:v>
      </x:c>
      <x:c r="E1096" s="11" t="n">
        <x:f>IF($A1096="","",INDEX(Assumptions!$M$5:$M$11,WEEKDAY($A1096,2)))</x:f>
        <x:v>0.98</x:v>
      </x:c>
      <x:c r="F1096" s="11" t="n">
        <x:f>IF($A1096="","",Assumptions!$B$15)</x:f>
        <x:v>0.35</x:v>
      </x:c>
      <x:c r="G1096" s="11" t="n">
        <x:f>IF($A1096="","",MAX(INDEX(Assumptions!$H$5:$H$12,MATCH($B1096,Assumptions!$D$5:$D$12,0)),MIN(INDEX(Assumptions!$I$5:$I$12,MATCH($B1096,Assumptions!$D$5:$D$12,0)),($C1096+$D1096*SQRT(-2*LN(RAND()))*COS(2*PI()*RAND()))*$E1096*$J1096*$K1096)))</x:f>
        <x:v>1097.054527021816</x:v>
      </x:c>
      <x:c r="H1096" s="11" t="n">
        <x:f>IF($A1096="","",$G1096*$F1096+$C1096*(1-$F1096))</x:f>
        <x:v>1066.4690844576355</x:v>
      </x:c>
      <x:c r="I1096" s="11" t="n">
        <x:f>IF($A1096="","",AVERAGE($H1096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1017.0846863211908</x:v>
      </x:c>
      <x:c r="J1096" s="12" t="n">
        <x:f>IF($A1096="","",1+SUMIFS(Assumptions!$S$5:$S$10,Assumptions!$P$5:$P$10,$B1096,Assumptions!$Q$5:$Q$10,"&lt;="&amp;$A1096,Assumptions!$R$5:$R$10,"&gt;="&amp;$A1096))</x:f>
        <x:v>1</x:v>
      </x:c>
      <x:c r="K1096" s="12" t="n">
        <x:f>IF($A1096="","",1+((($A1096-Assumptions!$B$5)/30)*INDEX(Assumptions!$J$5:$J$12,MATCH($B1096,Assumptions!$D$5:$D$12,0))))</x:f>
        <x:v>1.0181666666666667</x:v>
      </x:c>
      <x:c r="L1096" t="str">
        <x:f>IF($A1096="","",IFERROR(INDEX(Assumptions!$O$5:$O$10,MATCH(1,(Assumptions!$P$5:$P$10=$B1096)*(Assumptions!$Q$5:$Q$10&lt;=$A1096)*(Assumptions!$R$5:$R$10&gt;=$A1096),0)),""))</x:f>
      </x:c>
      <x:c r="M1096" t="n">
        <x:f>--($A1096&lt;&gt;"")</x:f>
        <x:v>1</x:v>
      </x:c>
    </x:row>
    <x:row r="1097">
      <x:c r="A1097" s="10" t="n">
        <x:f>IF(Assumptions!$B$5+INT((ROW()-2)/Assumptions!$B$7)&gt;Assumptions!$B$6,"",Assumptions!$B$5+INT((ROW()-2)/Assumptions!$B$7))</x:f>
        <x:v>46242</x:v>
      </x:c>
      <x:c r="B1097" t="str">
        <x:f>IF($A1097="","",INDEX(Assumptions!$D$5:$D$12,MOD(ROW()-2,Assumptions!$B$7)+1))</x:f>
        <x:v>Acheron Prime</x:v>
      </x:c>
      <x:c r="C1097" s="11" t="n">
        <x:f>IF($A1097="","",INDEX(Assumptions!$F$5:$F$12,MATCH($B1097,Assumptions!$D$5:$D$12,0)))</x:f>
        <x:v>1120</x:v>
      </x:c>
      <x:c r="D1097" s="11" t="n">
        <x:f>IF($A1097="","",INDEX(Assumptions!$G$5:$G$12,MATCH($B1097,Assumptions!$D$5:$D$12,0)))</x:f>
        <x:v>115</x:v>
      </x:c>
      <x:c r="E1097" s="11" t="n">
        <x:f>IF($A1097="","",INDEX(Assumptions!$M$5:$M$11,WEEKDAY($A1097,2)))</x:f>
        <x:v>0.91</x:v>
      </x:c>
      <x:c r="F1097" s="11" t="n">
        <x:f>IF($A1097="","",Assumptions!$B$15)</x:f>
        <x:v>0.35</x:v>
      </x:c>
      <x:c r="G1097" s="11" t="n">
        <x:f>IF($A1097="","",MAX(INDEX(Assumptions!$H$5:$H$12,MATCH($B1097,Assumptions!$D$5:$D$12,0)),MIN(INDEX(Assumptions!$I$5:$I$12,MATCH($B1097,Assumptions!$D$5:$D$12,0)),($C1097+$D1097*SQRT(-2*LN(RAND()))*COS(2*PI()*RAND()))*$E1097*$J1097*$K1097)))</x:f>
        <x:v>954.852691246849</x:v>
      </x:c>
      <x:c r="H1097" s="11" t="n">
        <x:f>IF($A1097="","",$G1097*$F1097+$C1097*(1-$F1097))</x:f>
        <x:v>1062.198441936397</x:v>
      </x:c>
      <x:c r="I1097" s="11" t="n">
        <x:f>IF($A1097="","",AVERAGE($H1097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1119.5002490479667</x:v>
      </x:c>
      <x:c r="J1097" s="12" t="n">
        <x:f>IF($A1097="","",1+SUMIFS(Assumptions!$S$5:$S$10,Assumptions!$P$5:$P$10,$B1097,Assumptions!$Q$5:$Q$10,"&lt;="&amp;$A1097,Assumptions!$R$5:$R$10,"&gt;="&amp;$A1097))</x:f>
        <x:v>1</x:v>
      </x:c>
      <x:c r="K1097" s="12" t="n">
        <x:f>IF($A1097="","",1+((($A1097-Assumptions!$B$5)/30)*INDEX(Assumptions!$J$5:$J$12,MATCH($B1097,Assumptions!$D$5:$D$12,0))))</x:f>
        <x:v>1.0146</x:v>
      </x:c>
      <x:c r="L1097" t="str">
        <x:f>IF($A1097="","",IFERROR(INDEX(Assumptions!$O$5:$O$10,MATCH(1,(Assumptions!$P$5:$P$10=$B1097)*(Assumptions!$Q$5:$Q$10&lt;=$A1097)*(Assumptions!$R$5:$R$10&gt;=$A1097),0)),""))</x:f>
      </x:c>
      <x:c r="M1097" t="n">
        <x:f>--($A1097&lt;&gt;"")</x:f>
        <x:v>1</x:v>
      </x:c>
    </x:row>
    <x:row r="1098">
      <x:c r="A1098" s="10" t="n">
        <x:f>IF(Assumptions!$B$5+INT((ROW()-2)/Assumptions!$B$7)&gt;Assumptions!$B$6,"",Assumptions!$B$5+INT((ROW()-2)/Assumptions!$B$7))</x:f>
        <x:v>46242</x:v>
      </x:c>
      <x:c r="B1098" t="str">
        <x:f>IF($A1098="","",INDEX(Assumptions!$D$5:$D$12,MOD(ROW()-2,Assumptions!$B$7)+1))</x:f>
        <x:v>LV-426 North</x:v>
      </x:c>
      <x:c r="C1098" s="11" t="n">
        <x:f>IF($A1098="","",INDEX(Assumptions!$F$5:$F$12,MATCH($B1098,Assumptions!$D$5:$D$12,0)))</x:f>
        <x:v>930</x:v>
      </x:c>
      <x:c r="D1098" s="11" t="n">
        <x:f>IF($A1098="","",INDEX(Assumptions!$G$5:$G$12,MATCH($B1098,Assumptions!$D$5:$D$12,0)))</x:f>
        <x:v>95</x:v>
      </x:c>
      <x:c r="E1098" s="11" t="n">
        <x:f>IF($A1098="","",INDEX(Assumptions!$M$5:$M$11,WEEKDAY($A1098,2)))</x:f>
        <x:v>0.91</x:v>
      </x:c>
      <x:c r="F1098" s="11" t="n">
        <x:f>IF($A1098="","",Assumptions!$B$15)</x:f>
        <x:v>0.35</x:v>
      </x:c>
      <x:c r="G1098" s="11" t="n">
        <x:f>IF($A1098="","",MAX(INDEX(Assumptions!$H$5:$H$12,MATCH($B1098,Assumptions!$D$5:$D$12,0)),MIN(INDEX(Assumptions!$I$5:$I$12,MATCH($B1098,Assumptions!$D$5:$D$12,0)),($C1098+$D1098*SQRT(-2*LN(RAND()))*COS(2*PI()*RAND()))*$E1098*$J1098*$K1098)))</x:f>
        <x:v>740.207338180208</x:v>
      </x:c>
      <x:c r="H1098" s="11" t="n">
        <x:f>IF($A1098="","",$G1098*$F1098+$C1098*(1-$F1098))</x:f>
        <x:v>863.5725683630728</x:v>
      </x:c>
      <x:c r="I1098" s="11" t="n">
        <x:f>IF($A1098="","",AVERAGE($H1098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908.9309506812089</x:v>
      </x:c>
      <x:c r="J1098" s="12" t="n">
        <x:f>IF($A1098="","",1+SUMIFS(Assumptions!$S$5:$S$10,Assumptions!$P$5:$P$10,$B1098,Assumptions!$Q$5:$Q$10,"&lt;="&amp;$A1098,Assumptions!$R$5:$R$10,"&gt;="&amp;$A1098))</x:f>
        <x:v>1</x:v>
      </x:c>
      <x:c r="K1098" s="12" t="n">
        <x:f>IF($A1098="","",1+((($A1098-Assumptions!$B$5)/30)*INDEX(Assumptions!$J$5:$J$12,MATCH($B1098,Assumptions!$D$5:$D$12,0))))</x:f>
        <x:v>0.9927</x:v>
      </x:c>
      <x:c r="L1098" t="str">
        <x:f>IF($A1098="","",IFERROR(INDEX(Assumptions!$O$5:$O$10,MATCH(1,(Assumptions!$P$5:$P$10=$B1098)*(Assumptions!$Q$5:$Q$10&lt;=$A1098)*(Assumptions!$R$5:$R$10&gt;=$A1098),0)),""))</x:f>
      </x:c>
      <x:c r="M1098" t="n">
        <x:f>--($A1098&lt;&gt;"")</x:f>
        <x:v>1</x:v>
      </x:c>
    </x:row>
    <x:row r="1099">
      <x:c r="A1099" s="10" t="n">
        <x:f>IF(Assumptions!$B$5+INT((ROW()-2)/Assumptions!$B$7)&gt;Assumptions!$B$6,"",Assumptions!$B$5+INT((ROW()-2)/Assumptions!$B$7))</x:f>
        <x:v>46242</x:v>
      </x:c>
      <x:c r="B1099" t="str">
        <x:f>IF($A1099="","",INDEX(Assumptions!$D$5:$D$12,MOD(ROW()-2,Assumptions!$B$7)+1))</x:f>
        <x:v>Nostromo Deep</x:v>
      </x:c>
      <x:c r="C1099" s="11" t="n">
        <x:f>IF($A1099="","",INDEX(Assumptions!$F$5:$F$12,MATCH($B1099,Assumptions!$D$5:$D$12,0)))</x:f>
        <x:v>1260</x:v>
      </x:c>
      <x:c r="D1099" s="11" t="n">
        <x:f>IF($A1099="","",INDEX(Assumptions!$G$5:$G$12,MATCH($B1099,Assumptions!$D$5:$D$12,0)))</x:f>
        <x:v>145</x:v>
      </x:c>
      <x:c r="E1099" s="11" t="n">
        <x:f>IF($A1099="","",INDEX(Assumptions!$M$5:$M$11,WEEKDAY($A1099,2)))</x:f>
        <x:v>0.91</x:v>
      </x:c>
      <x:c r="F1099" s="11" t="n">
        <x:f>IF($A1099="","",Assumptions!$B$15)</x:f>
        <x:v>0.35</x:v>
      </x:c>
      <x:c r="G1099" s="11" t="n">
        <x:f>IF($A1099="","",MAX(INDEX(Assumptions!$H$5:$H$12,MATCH($B1099,Assumptions!$D$5:$D$12,0)),MIN(INDEX(Assumptions!$I$5:$I$12,MATCH($B1099,Assumptions!$D$5:$D$12,0)),($C1099+$D1099*SQRT(-2*LN(RAND()))*COS(2*PI()*RAND()))*$E1099*$J1099*$K1099)))</x:f>
        <x:v>1218.8988372461026</x:v>
      </x:c>
      <x:c r="H1099" s="11" t="n">
        <x:f>IF($A1099="","",$G1099*$F1099+$C1099*(1-$F1099))</x:f>
        <x:v>1245.6145930361358</x:v>
      </x:c>
      <x:c r="I1099" s="11" t="n">
        <x:f>IF($A1099="","",AVERAGE($H1099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1257.9752322816441</x:v>
      </x:c>
      <x:c r="J1099" s="12" t="n">
        <x:f>IF($A1099="","",1+SUMIFS(Assumptions!$S$5:$S$10,Assumptions!$P$5:$P$10,$B1099,Assumptions!$Q$5:$Q$10,"&lt;="&amp;$A1099,Assumptions!$R$5:$R$10,"&gt;="&amp;$A1099))</x:f>
        <x:v>1</x:v>
      </x:c>
      <x:c r="K1099" s="12" t="n">
        <x:f>IF($A1099="","",1+((($A1099-Assumptions!$B$5)/30)*INDEX(Assumptions!$J$5:$J$12,MATCH($B1099,Assumptions!$D$5:$D$12,0))))</x:f>
        <x:v>1.0219</x:v>
      </x:c>
      <x:c r="L1099" t="str">
        <x:f>IF($A1099="","",IFERROR(INDEX(Assumptions!$O$5:$O$10,MATCH(1,(Assumptions!$P$5:$P$10=$B1099)*(Assumptions!$Q$5:$Q$10&lt;=$A1099)*(Assumptions!$R$5:$R$10&gt;=$A1099),0)),""))</x:f>
      </x:c>
      <x:c r="M1099" t="n">
        <x:f>--($A1099&lt;&gt;"")</x:f>
        <x:v>1</x:v>
      </x:c>
    </x:row>
    <x:row r="1100">
      <x:c r="A1100" s="10" t="n">
        <x:f>IF(Assumptions!$B$5+INT((ROW()-2)/Assumptions!$B$7)&gt;Assumptions!$B$6,"",Assumptions!$B$5+INT((ROW()-2)/Assumptions!$B$7))</x:f>
        <x:v>46242</x:v>
      </x:c>
      <x:c r="B1100" t="str">
        <x:f>IF($A1100="","",INDEX(Assumptions!$D$5:$D$12,MOD(ROW()-2,Assumptions!$B$7)+1))</x:f>
        <x:v>Hadley's Hope</x:v>
      </x:c>
      <x:c r="C1100" s="11" t="n">
        <x:f>IF($A1100="","",INDEX(Assumptions!$F$5:$F$12,MATCH($B1100,Assumptions!$D$5:$D$12,0)))</x:f>
        <x:v>845</x:v>
      </x:c>
      <x:c r="D1100" s="11" t="n">
        <x:f>IF($A1100="","",INDEX(Assumptions!$G$5:$G$12,MATCH($B1100,Assumptions!$D$5:$D$12,0)))</x:f>
        <x:v>80</x:v>
      </x:c>
      <x:c r="E1100" s="11" t="n">
        <x:f>IF($A1100="","",INDEX(Assumptions!$M$5:$M$11,WEEKDAY($A1100,2)))</x:f>
        <x:v>0.91</x:v>
      </x:c>
      <x:c r="F1100" s="11" t="n">
        <x:f>IF($A1100="","",Assumptions!$B$15)</x:f>
        <x:v>0.35</x:v>
      </x:c>
      <x:c r="G1100" s="11" t="n">
        <x:f>IF($A1100="","",MAX(INDEX(Assumptions!$H$5:$H$12,MATCH($B1100,Assumptions!$D$5:$D$12,0)),MIN(INDEX(Assumptions!$I$5:$I$12,MATCH($B1100,Assumptions!$D$5:$D$12,0)),($C1100+$D1100*SQRT(-2*LN(RAND()))*COS(2*PI()*RAND()))*$E1100*$J1100*$K1100)))</x:f>
        <x:v>704.083627080762</x:v>
      </x:c>
      <x:c r="H1100" s="11" t="n">
        <x:f>IF($A1100="","",$G1100*$F1100+$C1100*(1-$F1100))</x:f>
        <x:v>795.6792694782666</x:v>
      </x:c>
      <x:c r="I1100" s="11" t="n">
        <x:f>IF($A1100="","",AVERAGE($H1100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837.4304924647466</x:v>
      </x:c>
      <x:c r="J1100" s="12" t="n">
        <x:f>IF($A1100="","",1+SUMIFS(Assumptions!$S$5:$S$10,Assumptions!$P$5:$P$10,$B1100,Assumptions!$Q$5:$Q$10,"&lt;="&amp;$A1100,Assumptions!$R$5:$R$10,"&gt;="&amp;$A1100))</x:f>
        <x:v>1</x:v>
      </x:c>
      <x:c r="K1100" s="12" t="n">
        <x:f>IF($A1100="","",1+((($A1100-Assumptions!$B$5)/30)*INDEX(Assumptions!$J$5:$J$12,MATCH($B1100,Assumptions!$D$5:$D$12,0))))</x:f>
        <x:v>1.0073</x:v>
      </x:c>
      <x:c r="L1100" t="str">
        <x:f>IF($A1100="","",IFERROR(INDEX(Assumptions!$O$5:$O$10,MATCH(1,(Assumptions!$P$5:$P$10=$B1100)*(Assumptions!$Q$5:$Q$10&lt;=$A1100)*(Assumptions!$R$5:$R$10&gt;=$A1100),0)),""))</x:f>
      </x:c>
      <x:c r="M1100" t="n">
        <x:f>--($A1100&lt;&gt;"")</x:f>
        <x:v>1</x:v>
      </x:c>
    </x:row>
    <x:row r="1101">
      <x:c r="A1101" s="10" t="n">
        <x:f>IF(Assumptions!$B$5+INT((ROW()-2)/Assumptions!$B$7)&gt;Assumptions!$B$6,"",Assumptions!$B$5+INT((ROW()-2)/Assumptions!$B$7))</x:f>
        <x:v>46242</x:v>
      </x:c>
      <x:c r="B1101" t="str">
        <x:f>IF($A1101="","",INDEX(Assumptions!$D$5:$D$12,MOD(ROW()-2,Assumptions!$B$7)+1))</x:f>
        <x:v>Yutani Ridge</x:v>
      </x:c>
      <x:c r="C1101" s="11" t="n">
        <x:f>IF($A1101="","",INDEX(Assumptions!$F$5:$F$12,MATCH($B1101,Assumptions!$D$5:$D$12,0)))</x:f>
        <x:v>1050</x:v>
      </x:c>
      <x:c r="D1101" s="11" t="n">
        <x:f>IF($A1101="","",INDEX(Assumptions!$G$5:$G$12,MATCH($B1101,Assumptions!$D$5:$D$12,0)))</x:f>
        <x:v>125</x:v>
      </x:c>
      <x:c r="E1101" s="11" t="n">
        <x:f>IF($A1101="","",INDEX(Assumptions!$M$5:$M$11,WEEKDAY($A1101,2)))</x:f>
        <x:v>0.91</x:v>
      </x:c>
      <x:c r="F1101" s="11" t="n">
        <x:f>IF($A1101="","",Assumptions!$B$15)</x:f>
        <x:v>0.35</x:v>
      </x:c>
      <x:c r="G1101" s="11" t="n">
        <x:f>IF($A1101="","",MAX(INDEX(Assumptions!$H$5:$H$12,MATCH($B1101,Assumptions!$D$5:$D$12,0)),MIN(INDEX(Assumptions!$I$5:$I$12,MATCH($B1101,Assumptions!$D$5:$D$12,0)),($C1101+$D1101*SQRT(-2*LN(RAND()))*COS(2*PI()*RAND()))*$E1101*$J1101*$K1101)))</x:f>
        <x:v>981.9438199261015</x:v>
      </x:c>
      <x:c r="H1101" s="11" t="n">
        <x:f>IF($A1101="","",$G1101*$F1101+$C1101*(1-$F1101))</x:f>
        <x:v>1026.1803369741356</x:v>
      </x:c>
      <x:c r="I1101" s="11" t="n">
        <x:f>IF($A1101="","",AVERAGE($H1101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1028.9422580507446</x:v>
      </x:c>
      <x:c r="J1101" s="12" t="n">
        <x:f>IF($A1101="","",1+SUMIFS(Assumptions!$S$5:$S$10,Assumptions!$P$5:$P$10,$B1101,Assumptions!$Q$5:$Q$10,"&lt;="&amp;$A1101,Assumptions!$R$5:$R$10,"&gt;="&amp;$A1101))</x:f>
        <x:v>1</x:v>
      </x:c>
      <x:c r="K1101" s="12" t="n">
        <x:f>IF($A1101="","",1+((($A1101-Assumptions!$B$5)/30)*INDEX(Assumptions!$J$5:$J$12,MATCH($B1101,Assumptions!$D$5:$D$12,0))))</x:f>
        <x:v>1.01825</x:v>
      </x:c>
      <x:c r="L1101" t="str">
        <x:f>IF($A1101="","",IFERROR(INDEX(Assumptions!$O$5:$O$10,MATCH(1,(Assumptions!$P$5:$P$10=$B1101)*(Assumptions!$Q$5:$Q$10&lt;=$A1101)*(Assumptions!$R$5:$R$10&gt;=$A1101),0)),""))</x:f>
      </x:c>
      <x:c r="M1101" t="n">
        <x:f>--($A1101&lt;&gt;"")</x:f>
        <x:v>1</x:v>
      </x:c>
    </x:row>
    <x:row r="1102">
      <x:c r="A1102" s="10" t="n">
        <x:f>IF(Assumptions!$B$5+INT((ROW()-2)/Assumptions!$B$7)&gt;Assumptions!$B$6,"",Assumptions!$B$5+INT((ROW()-2)/Assumptions!$B$7))</x:f>
        <x:v>46243</x:v>
      </x:c>
      <x:c r="B1102" t="str">
        <x:f>IF($A1102="","",INDEX(Assumptions!$D$5:$D$12,MOD(ROW()-2,Assumptions!$B$7)+1))</x:f>
        <x:v>Acheron Prime</x:v>
      </x:c>
      <x:c r="C1102" s="11" t="n">
        <x:f>IF($A1102="","",INDEX(Assumptions!$F$5:$F$12,MATCH($B1102,Assumptions!$D$5:$D$12,0)))</x:f>
        <x:v>1120</x:v>
      </x:c>
      <x:c r="D1102" s="11" t="n">
        <x:f>IF($A1102="","",INDEX(Assumptions!$G$5:$G$12,MATCH($B1102,Assumptions!$D$5:$D$12,0)))</x:f>
        <x:v>115</x:v>
      </x:c>
      <x:c r="E1102" s="11" t="n">
        <x:f>IF($A1102="","",INDEX(Assumptions!$M$5:$M$11,WEEKDAY($A1102,2)))</x:f>
        <x:v>0.87</x:v>
      </x:c>
      <x:c r="F1102" s="11" t="n">
        <x:f>IF($A1102="","",Assumptions!$B$15)</x:f>
        <x:v>0.35</x:v>
      </x:c>
      <x:c r="G1102" s="11" t="n">
        <x:f>IF($A1102="","",MAX(INDEX(Assumptions!$H$5:$H$12,MATCH($B1102,Assumptions!$D$5:$D$12,0)),MIN(INDEX(Assumptions!$I$5:$I$12,MATCH($B1102,Assumptions!$D$5:$D$12,0)),($C1102+$D1102*SQRT(-2*LN(RAND()))*COS(2*PI()*RAND()))*$E1102*$J1102*$K1102)))</x:f>
        <x:v>1196.9720182212911</x:v>
      </x:c>
      <x:c r="H1102" s="11" t="n">
        <x:f>IF($A1102="","",$G1102*$F1102+$C1102*(1-$F1102))</x:f>
        <x:v>1146.940206377452</x:v>
      </x:c>
      <x:c r="I1102" s="11" t="n">
        <x:f>IF($A1102="","",AVERAGE($H1102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1133.601309810248</x:v>
      </x:c>
      <x:c r="J1102" s="12" t="n">
        <x:f>IF($A1102="","",1+SUMIFS(Assumptions!$S$5:$S$10,Assumptions!$P$5:$P$10,$B1102,Assumptions!$Q$5:$Q$10,"&lt;="&amp;$A1102,Assumptions!$R$5:$R$10,"&gt;="&amp;$A1102))</x:f>
        <x:v>1</x:v>
      </x:c>
      <x:c r="K1102" s="12" t="n">
        <x:f>IF($A1102="","",1+((($A1102-Assumptions!$B$5)/30)*INDEX(Assumptions!$J$5:$J$12,MATCH($B1102,Assumptions!$D$5:$D$12,0))))</x:f>
        <x:v>1.0146666666666666</x:v>
      </x:c>
      <x:c r="L1102" t="str">
        <x:f>IF($A1102="","",IFERROR(INDEX(Assumptions!$O$5:$O$10,MATCH(1,(Assumptions!$P$5:$P$10=$B1102)*(Assumptions!$Q$5:$Q$10&lt;=$A1102)*(Assumptions!$R$5:$R$10&gt;=$A1102),0)),""))</x:f>
      </x:c>
      <x:c r="M1102" t="n">
        <x:f>--($A1102&lt;&gt;"")</x:f>
        <x:v>1</x:v>
      </x:c>
    </x:row>
    <x:row r="1103">
      <x:c r="A1103" s="10" t="n">
        <x:f>IF(Assumptions!$B$5+INT((ROW()-2)/Assumptions!$B$7)&gt;Assumptions!$B$6,"",Assumptions!$B$5+INT((ROW()-2)/Assumptions!$B$7))</x:f>
        <x:v>46243</x:v>
      </x:c>
      <x:c r="B1103" t="str">
        <x:f>IF($A1103="","",INDEX(Assumptions!$D$5:$D$12,MOD(ROW()-2,Assumptions!$B$7)+1))</x:f>
        <x:v>LV-426 North</x:v>
      </x:c>
      <x:c r="C1103" s="11" t="n">
        <x:f>IF($A1103="","",INDEX(Assumptions!$F$5:$F$12,MATCH($B1103,Assumptions!$D$5:$D$12,0)))</x:f>
        <x:v>930</x:v>
      </x:c>
      <x:c r="D1103" s="11" t="n">
        <x:f>IF($A1103="","",INDEX(Assumptions!$G$5:$G$12,MATCH($B1103,Assumptions!$D$5:$D$12,0)))</x:f>
        <x:v>95</x:v>
      </x:c>
      <x:c r="E1103" s="11" t="n">
        <x:f>IF($A1103="","",INDEX(Assumptions!$M$5:$M$11,WEEKDAY($A1103,2)))</x:f>
        <x:v>0.87</x:v>
      </x:c>
      <x:c r="F1103" s="11" t="n">
        <x:f>IF($A1103="","",Assumptions!$B$15)</x:f>
        <x:v>0.35</x:v>
      </x:c>
      <x:c r="G1103" s="11" t="n">
        <x:f>IF($A1103="","",MAX(INDEX(Assumptions!$H$5:$H$12,MATCH($B1103,Assumptions!$D$5:$D$12,0)),MIN(INDEX(Assumptions!$I$5:$I$12,MATCH($B1103,Assumptions!$D$5:$D$12,0)),($C1103+$D1103*SQRT(-2*LN(RAND()))*COS(2*PI()*RAND()))*$E1103*$J1103*$K1103)))</x:f>
        <x:v>771.53008943174</x:v>
      </x:c>
      <x:c r="H1103" s="11" t="n">
        <x:f>IF($A1103="","",$G1103*$F1103+$C1103*(1-$F1103))</x:f>
        <x:v>874.5355313011089</x:v>
      </x:c>
      <x:c r="I1103" s="11" t="n">
        <x:f>IF($A1103="","",AVERAGE($H1103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908.7466283891281</x:v>
      </x:c>
      <x:c r="J1103" s="12" t="n">
        <x:f>IF($A1103="","",1+SUMIFS(Assumptions!$S$5:$S$10,Assumptions!$P$5:$P$10,$B1103,Assumptions!$Q$5:$Q$10,"&lt;="&amp;$A1103,Assumptions!$R$5:$R$10,"&gt;="&amp;$A1103))</x:f>
        <x:v>1</x:v>
      </x:c>
      <x:c r="K1103" s="12" t="n">
        <x:f>IF($A1103="","",1+((($A1103-Assumptions!$B$5)/30)*INDEX(Assumptions!$J$5:$J$12,MATCH($B1103,Assumptions!$D$5:$D$12,0))))</x:f>
        <x:v>0.9926666666666667</x:v>
      </x:c>
      <x:c r="L1103" t="str">
        <x:f>IF($A1103="","",IFERROR(INDEX(Assumptions!$O$5:$O$10,MATCH(1,(Assumptions!$P$5:$P$10=$B1103)*(Assumptions!$Q$5:$Q$10&lt;=$A1103)*(Assumptions!$R$5:$R$10&gt;=$A1103),0)),""))</x:f>
      </x:c>
      <x:c r="M1103" t="n">
        <x:f>--($A1103&lt;&gt;"")</x:f>
        <x:v>1</x:v>
      </x:c>
    </x:row>
    <x:row r="1104">
      <x:c r="A1104" s="10" t="n">
        <x:f>IF(Assumptions!$B$5+INT((ROW()-2)/Assumptions!$B$7)&gt;Assumptions!$B$6,"",Assumptions!$B$5+INT((ROW()-2)/Assumptions!$B$7))</x:f>
        <x:v>46243</x:v>
      </x:c>
      <x:c r="B1104" t="str">
        <x:f>IF($A1104="","",INDEX(Assumptions!$D$5:$D$12,MOD(ROW()-2,Assumptions!$B$7)+1))</x:f>
        <x:v>Nostromo Deep</x:v>
      </x:c>
      <x:c r="C1104" s="11" t="n">
        <x:f>IF($A1104="","",INDEX(Assumptions!$F$5:$F$12,MATCH($B1104,Assumptions!$D$5:$D$12,0)))</x:f>
        <x:v>1260</x:v>
      </x:c>
      <x:c r="D1104" s="11" t="n">
        <x:f>IF($A1104="","",INDEX(Assumptions!$G$5:$G$12,MATCH($B1104,Assumptions!$D$5:$D$12,0)))</x:f>
        <x:v>145</x:v>
      </x:c>
      <x:c r="E1104" s="11" t="n">
        <x:f>IF($A1104="","",INDEX(Assumptions!$M$5:$M$11,WEEKDAY($A1104,2)))</x:f>
        <x:v>0.87</x:v>
      </x:c>
      <x:c r="F1104" s="11" t="n">
        <x:f>IF($A1104="","",Assumptions!$B$15)</x:f>
        <x:v>0.35</x:v>
      </x:c>
      <x:c r="G1104" s="11" t="n">
        <x:f>IF($A1104="","",MAX(INDEX(Assumptions!$H$5:$H$12,MATCH($B1104,Assumptions!$D$5:$D$12,0)),MIN(INDEX(Assumptions!$I$5:$I$12,MATCH($B1104,Assumptions!$D$5:$D$12,0)),($C1104+$D1104*SQRT(-2*LN(RAND()))*COS(2*PI()*RAND()))*$E1104*$J1104*$K1104)))</x:f>
        <x:v>1185.073113506953</x:v>
      </x:c>
      <x:c r="H1104" s="11" t="n">
        <x:f>IF($A1104="","",$G1104*$F1104+$C1104*(1-$F1104))</x:f>
        <x:v>1233.7755897274335</x:v>
      </x:c>
      <x:c r="I1104" s="11" t="n">
        <x:f>IF($A1104="","",AVERAGE($H1104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1260.4677316828377</x:v>
      </x:c>
      <x:c r="J1104" s="12" t="n">
        <x:f>IF($A1104="","",1+SUMIFS(Assumptions!$S$5:$S$10,Assumptions!$P$5:$P$10,$B1104,Assumptions!$Q$5:$Q$10,"&lt;="&amp;$A1104,Assumptions!$R$5:$R$10,"&gt;="&amp;$A1104))</x:f>
        <x:v>1</x:v>
      </x:c>
      <x:c r="K1104" s="12" t="n">
        <x:f>IF($A1104="","",1+((($A1104-Assumptions!$B$5)/30)*INDEX(Assumptions!$J$5:$J$12,MATCH($B1104,Assumptions!$D$5:$D$12,0))))</x:f>
        <x:v>1.022</x:v>
      </x:c>
      <x:c r="L1104" t="str">
        <x:f>IF($A1104="","",IFERROR(INDEX(Assumptions!$O$5:$O$10,MATCH(1,(Assumptions!$P$5:$P$10=$B1104)*(Assumptions!$Q$5:$Q$10&lt;=$A1104)*(Assumptions!$R$5:$R$10&gt;=$A1104),0)),""))</x:f>
      </x:c>
      <x:c r="M1104" t="n">
        <x:f>--($A1104&lt;&gt;"")</x:f>
        <x:v>1</x:v>
      </x:c>
    </x:row>
    <x:row r="1105">
      <x:c r="A1105" s="10" t="n">
        <x:f>IF(Assumptions!$B$5+INT((ROW()-2)/Assumptions!$B$7)&gt;Assumptions!$B$6,"",Assumptions!$B$5+INT((ROW()-2)/Assumptions!$B$7))</x:f>
        <x:v>46243</x:v>
      </x:c>
      <x:c r="B1105" t="str">
        <x:f>IF($A1105="","",INDEX(Assumptions!$D$5:$D$12,MOD(ROW()-2,Assumptions!$B$7)+1))</x:f>
        <x:v>Hadley's Hope</x:v>
      </x:c>
      <x:c r="C1105" s="11" t="n">
        <x:f>IF($A1105="","",INDEX(Assumptions!$F$5:$F$12,MATCH($B1105,Assumptions!$D$5:$D$12,0)))</x:f>
        <x:v>845</x:v>
      </x:c>
      <x:c r="D1105" s="11" t="n">
        <x:f>IF($A1105="","",INDEX(Assumptions!$G$5:$G$12,MATCH($B1105,Assumptions!$D$5:$D$12,0)))</x:f>
        <x:v>80</x:v>
      </x:c>
      <x:c r="E1105" s="11" t="n">
        <x:f>IF($A1105="","",INDEX(Assumptions!$M$5:$M$11,WEEKDAY($A1105,2)))</x:f>
        <x:v>0.87</x:v>
      </x:c>
      <x:c r="F1105" s="11" t="n">
        <x:f>IF($A1105="","",Assumptions!$B$15)</x:f>
        <x:v>0.35</x:v>
      </x:c>
      <x:c r="G1105" s="11" t="n">
        <x:f>IF($A1105="","",MAX(INDEX(Assumptions!$H$5:$H$12,MATCH($B1105,Assumptions!$D$5:$D$12,0)),MIN(INDEX(Assumptions!$I$5:$I$12,MATCH($B1105,Assumptions!$D$5:$D$12,0)),($C1105+$D1105*SQRT(-2*LN(RAND()))*COS(2*PI()*RAND()))*$E1105*$J1105*$K1105)))</x:f>
        <x:v>694.8490793870657</x:v>
      </x:c>
      <x:c r="H1105" s="11" t="n">
        <x:f>IF($A1105="","",$G1105*$F1105+$C1105*(1-$F1105))</x:f>
        <x:v>792.447177785473</x:v>
      </x:c>
      <x:c r="I1105" s="11" t="n">
        <x:f>IF($A1105="","",AVERAGE($H1105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837.8309752783481</x:v>
      </x:c>
      <x:c r="J1105" s="12" t="n">
        <x:f>IF($A1105="","",1+SUMIFS(Assumptions!$S$5:$S$10,Assumptions!$P$5:$P$10,$B1105,Assumptions!$Q$5:$Q$10,"&lt;="&amp;$A1105,Assumptions!$R$5:$R$10,"&gt;="&amp;$A1105))</x:f>
        <x:v>1</x:v>
      </x:c>
      <x:c r="K1105" s="12" t="n">
        <x:f>IF($A1105="","",1+((($A1105-Assumptions!$B$5)/30)*INDEX(Assumptions!$J$5:$J$12,MATCH($B1105,Assumptions!$D$5:$D$12,0))))</x:f>
        <x:v>1.0073333333333334</x:v>
      </x:c>
      <x:c r="L1105" t="str">
        <x:f>IF($A1105="","",IFERROR(INDEX(Assumptions!$O$5:$O$10,MATCH(1,(Assumptions!$P$5:$P$10=$B1105)*(Assumptions!$Q$5:$Q$10&lt;=$A1105)*(Assumptions!$R$5:$R$10&gt;=$A1105),0)),""))</x:f>
      </x:c>
      <x:c r="M1105" t="n">
        <x:f>--($A1105&lt;&gt;"")</x:f>
        <x:v>1</x:v>
      </x:c>
    </x:row>
    <x:row r="1106">
      <x:c r="A1106" s="10" t="n">
        <x:f>IF(Assumptions!$B$5+INT((ROW()-2)/Assumptions!$B$7)&gt;Assumptions!$B$6,"",Assumptions!$B$5+INT((ROW()-2)/Assumptions!$B$7))</x:f>
        <x:v>46243</x:v>
      </x:c>
      <x:c r="B1106" t="str">
        <x:f>IF($A1106="","",INDEX(Assumptions!$D$5:$D$12,MOD(ROW()-2,Assumptions!$B$7)+1))</x:f>
        <x:v>Yutani Ridge</x:v>
      </x:c>
      <x:c r="C1106" s="11" t="n">
        <x:f>IF($A1106="","",INDEX(Assumptions!$F$5:$F$12,MATCH($B1106,Assumptions!$D$5:$D$12,0)))</x:f>
        <x:v>1050</x:v>
      </x:c>
      <x:c r="D1106" s="11" t="n">
        <x:f>IF($A1106="","",INDEX(Assumptions!$G$5:$G$12,MATCH($B1106,Assumptions!$D$5:$D$12,0)))</x:f>
        <x:v>125</x:v>
      </x:c>
      <x:c r="E1106" s="11" t="n">
        <x:f>IF($A1106="","",INDEX(Assumptions!$M$5:$M$11,WEEKDAY($A1106,2)))</x:f>
        <x:v>0.87</x:v>
      </x:c>
      <x:c r="F1106" s="11" t="n">
        <x:f>IF($A1106="","",Assumptions!$B$15)</x:f>
        <x:v>0.35</x:v>
      </x:c>
      <x:c r="G1106" s="11" t="n">
        <x:f>IF($A1106="","",MAX(INDEX(Assumptions!$H$5:$H$12,MATCH($B1106,Assumptions!$D$5:$D$12,0)),MIN(INDEX(Assumptions!$I$5:$I$12,MATCH($B1106,Assumptions!$D$5:$D$12,0)),($C1106+$D1106*SQRT(-2*LN(RAND()))*COS(2*PI()*RAND()))*$E1106*$J1106*$K1106)))</x:f>
        <x:v>1025.4519745665516</x:v>
      </x:c>
      <x:c r="H1106" s="11" t="n">
        <x:f>IF($A1106="","",$G1106*$F1106+$C1106*(1-$F1106))</x:f>
        <x:v>1041.4081910982932</x:v>
      </x:c>
      <x:c r="I1106" s="11" t="n">
        <x:f>IF($A1106="","",AVERAGE($H1106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1039.4217888310181</x:v>
      </x:c>
      <x:c r="J1106" s="12" t="n">
        <x:f>IF($A1106="","",1+SUMIFS(Assumptions!$S$5:$S$10,Assumptions!$P$5:$P$10,$B1106,Assumptions!$Q$5:$Q$10,"&lt;="&amp;$A1106,Assumptions!$R$5:$R$10,"&gt;="&amp;$A1106))</x:f>
        <x:v>1</x:v>
      </x:c>
      <x:c r="K1106" s="12" t="n">
        <x:f>IF($A1106="","",1+((($A1106-Assumptions!$B$5)/30)*INDEX(Assumptions!$J$5:$J$12,MATCH($B1106,Assumptions!$D$5:$D$12,0))))</x:f>
        <x:v>1.0183333333333333</x:v>
      </x:c>
      <x:c r="L1106" t="str">
        <x:f>IF($A1106="","",IFERROR(INDEX(Assumptions!$O$5:$O$10,MATCH(1,(Assumptions!$P$5:$P$10=$B1106)*(Assumptions!$Q$5:$Q$10&lt;=$A1106)*(Assumptions!$R$5:$R$10&gt;=$A1106),0)),""))</x:f>
      </x:c>
      <x:c r="M1106" t="n">
        <x:f>--($A1106&lt;&gt;"")</x:f>
        <x:v>1</x:v>
      </x:c>
    </x:row>
    <x:row r="1107">
      <x:c r="A1107" s="10" t="n">
        <x:f>IF(Assumptions!$B$5+INT((ROW()-2)/Assumptions!$B$7)&gt;Assumptions!$B$6,"",Assumptions!$B$5+INT((ROW()-2)/Assumptions!$B$7))</x:f>
        <x:v>46244</x:v>
      </x:c>
      <x:c r="B1107" t="str">
        <x:f>IF($A1107="","",INDEX(Assumptions!$D$5:$D$12,MOD(ROW()-2,Assumptions!$B$7)+1))</x:f>
        <x:v>Acheron Prime</x:v>
      </x:c>
      <x:c r="C1107" s="11" t="n">
        <x:f>IF($A1107="","",INDEX(Assumptions!$F$5:$F$12,MATCH($B1107,Assumptions!$D$5:$D$12,0)))</x:f>
        <x:v>1120</x:v>
      </x:c>
      <x:c r="D1107" s="11" t="n">
        <x:f>IF($A1107="","",INDEX(Assumptions!$G$5:$G$12,MATCH($B1107,Assumptions!$D$5:$D$12,0)))</x:f>
        <x:v>115</x:v>
      </x:c>
      <x:c r="E1107" s="11" t="n">
        <x:f>IF($A1107="","",INDEX(Assumptions!$M$5:$M$11,WEEKDAY($A1107,2)))</x:f>
        <x:v>1.03</x:v>
      </x:c>
      <x:c r="F1107" s="11" t="n">
        <x:f>IF($A1107="","",Assumptions!$B$15)</x:f>
        <x:v>0.35</x:v>
      </x:c>
      <x:c r="G1107" s="11" t="n">
        <x:f>IF($A1107="","",MAX(INDEX(Assumptions!$H$5:$H$12,MATCH($B1107,Assumptions!$D$5:$D$12,0)),MIN(INDEX(Assumptions!$I$5:$I$12,MATCH($B1107,Assumptions!$D$5:$D$12,0)),($C1107+$D1107*SQRT(-2*LN(RAND()))*COS(2*PI()*RAND()))*$E1107*$J1107*$K1107)))</x:f>
        <x:v>1217.9754032844828</x:v>
      </x:c>
      <x:c r="H1107" s="11" t="n">
        <x:f>IF($A1107="","",$G1107*$F1107+$C1107*(1-$F1107))</x:f>
        <x:v>1154.2913911495689</x:v>
      </x:c>
      <x:c r="I1107" s="11" t="n">
        <x:f>IF($A1107="","",AVERAGE($H1107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1144.5134240399534</x:v>
      </x:c>
      <x:c r="J1107" s="12" t="n">
        <x:f>IF($A1107="","",1+SUMIFS(Assumptions!$S$5:$S$10,Assumptions!$P$5:$P$10,$B1107,Assumptions!$Q$5:$Q$10,"&lt;="&amp;$A1107,Assumptions!$R$5:$R$10,"&gt;="&amp;$A1107))</x:f>
        <x:v>1</x:v>
      </x:c>
      <x:c r="K1107" s="12" t="n">
        <x:f>IF($A1107="","",1+((($A1107-Assumptions!$B$5)/30)*INDEX(Assumptions!$J$5:$J$12,MATCH($B1107,Assumptions!$D$5:$D$12,0))))</x:f>
        <x:v>1.0147333333333333</x:v>
      </x:c>
      <x:c r="L1107" t="str">
        <x:f>IF($A1107="","",IFERROR(INDEX(Assumptions!$O$5:$O$10,MATCH(1,(Assumptions!$P$5:$P$10=$B1107)*(Assumptions!$Q$5:$Q$10&lt;=$A1107)*(Assumptions!$R$5:$R$10&gt;=$A1107),0)),""))</x:f>
      </x:c>
      <x:c r="M1107" t="n">
        <x:f>--($A1107&lt;&gt;"")</x:f>
        <x:v>1</x:v>
      </x:c>
    </x:row>
    <x:row r="1108">
      <x:c r="A1108" s="10" t="n">
        <x:f>IF(Assumptions!$B$5+INT((ROW()-2)/Assumptions!$B$7)&gt;Assumptions!$B$6,"",Assumptions!$B$5+INT((ROW()-2)/Assumptions!$B$7))</x:f>
        <x:v>46244</x:v>
      </x:c>
      <x:c r="B1108" t="str">
        <x:f>IF($A1108="","",INDEX(Assumptions!$D$5:$D$12,MOD(ROW()-2,Assumptions!$B$7)+1))</x:f>
        <x:v>LV-426 North</x:v>
      </x:c>
      <x:c r="C1108" s="11" t="n">
        <x:f>IF($A1108="","",INDEX(Assumptions!$F$5:$F$12,MATCH($B1108,Assumptions!$D$5:$D$12,0)))</x:f>
        <x:v>930</x:v>
      </x:c>
      <x:c r="D1108" s="11" t="n">
        <x:f>IF($A1108="","",INDEX(Assumptions!$G$5:$G$12,MATCH($B1108,Assumptions!$D$5:$D$12,0)))</x:f>
        <x:v>95</x:v>
      </x:c>
      <x:c r="E1108" s="11" t="n">
        <x:f>IF($A1108="","",INDEX(Assumptions!$M$5:$M$11,WEEKDAY($A1108,2)))</x:f>
        <x:v>1.03</x:v>
      </x:c>
      <x:c r="F1108" s="11" t="n">
        <x:f>IF($A1108="","",Assumptions!$B$15)</x:f>
        <x:v>0.35</x:v>
      </x:c>
      <x:c r="G1108" s="11" t="n">
        <x:f>IF($A1108="","",MAX(INDEX(Assumptions!$H$5:$H$12,MATCH($B1108,Assumptions!$D$5:$D$12,0)),MIN(INDEX(Assumptions!$I$5:$I$12,MATCH($B1108,Assumptions!$D$5:$D$12,0)),($C1108+$D1108*SQRT(-2*LN(RAND()))*COS(2*PI()*RAND()))*$E1108*$J1108*$K1108)))</x:f>
        <x:v>1099.9433858292298</x:v>
      </x:c>
      <x:c r="H1108" s="11" t="n">
        <x:f>IF($A1108="","",$G1108*$F1108+$C1108*(1-$F1108))</x:f>
        <x:v>989.4801850402305</x:v>
      </x:c>
      <x:c r="I1108" s="11" t="n">
        <x:f>IF($A1108="","",AVERAGE($H1108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926.2684545361369</x:v>
      </x:c>
      <x:c r="J1108" s="12" t="n">
        <x:f>IF($A1108="","",1+SUMIFS(Assumptions!$S$5:$S$10,Assumptions!$P$5:$P$10,$B1108,Assumptions!$Q$5:$Q$10,"&lt;="&amp;$A1108,Assumptions!$R$5:$R$10,"&gt;="&amp;$A1108))</x:f>
        <x:v>1</x:v>
      </x:c>
      <x:c r="K1108" s="12" t="n">
        <x:f>IF($A1108="","",1+((($A1108-Assumptions!$B$5)/30)*INDEX(Assumptions!$J$5:$J$12,MATCH($B1108,Assumptions!$D$5:$D$12,0))))</x:f>
        <x:v>0.9926333333333334</x:v>
      </x:c>
      <x:c r="L1108" t="str">
        <x:f>IF($A1108="","",IFERROR(INDEX(Assumptions!$O$5:$O$10,MATCH(1,(Assumptions!$P$5:$P$10=$B1108)*(Assumptions!$Q$5:$Q$10&lt;=$A1108)*(Assumptions!$R$5:$R$10&gt;=$A1108),0)),""))</x:f>
      </x:c>
      <x:c r="M1108" t="n">
        <x:f>--($A1108&lt;&gt;"")</x:f>
        <x:v>1</x:v>
      </x:c>
    </x:row>
    <x:row r="1109">
      <x:c r="A1109" s="10" t="n">
        <x:f>IF(Assumptions!$B$5+INT((ROW()-2)/Assumptions!$B$7)&gt;Assumptions!$B$6,"",Assumptions!$B$5+INT((ROW()-2)/Assumptions!$B$7))</x:f>
        <x:v>46244</x:v>
      </x:c>
      <x:c r="B1109" t="str">
        <x:f>IF($A1109="","",INDEX(Assumptions!$D$5:$D$12,MOD(ROW()-2,Assumptions!$B$7)+1))</x:f>
        <x:v>Nostromo Deep</x:v>
      </x:c>
      <x:c r="C1109" s="11" t="n">
        <x:f>IF($A1109="","",INDEX(Assumptions!$F$5:$F$12,MATCH($B1109,Assumptions!$D$5:$D$12,0)))</x:f>
        <x:v>1260</x:v>
      </x:c>
      <x:c r="D1109" s="11" t="n">
        <x:f>IF($A1109="","",INDEX(Assumptions!$G$5:$G$12,MATCH($B1109,Assumptions!$D$5:$D$12,0)))</x:f>
        <x:v>145</x:v>
      </x:c>
      <x:c r="E1109" s="11" t="n">
        <x:f>IF($A1109="","",INDEX(Assumptions!$M$5:$M$11,WEEKDAY($A1109,2)))</x:f>
        <x:v>1.03</x:v>
      </x:c>
      <x:c r="F1109" s="11" t="n">
        <x:f>IF($A1109="","",Assumptions!$B$15)</x:f>
        <x:v>0.35</x:v>
      </x:c>
      <x:c r="G1109" s="11" t="n">
        <x:f>IF($A1109="","",MAX(INDEX(Assumptions!$H$5:$H$12,MATCH($B1109,Assumptions!$D$5:$D$12,0)),MIN(INDEX(Assumptions!$I$5:$I$12,MATCH($B1109,Assumptions!$D$5:$D$12,0)),($C1109+$D1109*SQRT(-2*LN(RAND()))*COS(2*PI()*RAND()))*$E1109*$J1109*$K1109)))</x:f>
        <x:v>1476.3589911169756</x:v>
      </x:c>
      <x:c r="H1109" s="11" t="n">
        <x:f>IF($A1109="","",$G1109*$F1109+$C1109*(1-$F1109))</x:f>
        <x:v>1335.7256468909413</x:v>
      </x:c>
      <x:c r="I1109" s="11" t="n">
        <x:f>IF($A1109="","",AVERAGE($H1109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1270.9368352953031</x:v>
      </x:c>
      <x:c r="J1109" s="12" t="n">
        <x:f>IF($A1109="","",1+SUMIFS(Assumptions!$S$5:$S$10,Assumptions!$P$5:$P$10,$B1109,Assumptions!$Q$5:$Q$10,"&lt;="&amp;$A1109,Assumptions!$R$5:$R$10,"&gt;="&amp;$A1109))</x:f>
        <x:v>1</x:v>
      </x:c>
      <x:c r="K1109" s="12" t="n">
        <x:f>IF($A1109="","",1+((($A1109-Assumptions!$B$5)/30)*INDEX(Assumptions!$J$5:$J$12,MATCH($B1109,Assumptions!$D$5:$D$12,0))))</x:f>
        <x:v>1.0221</x:v>
      </x:c>
      <x:c r="L1109" t="str">
        <x:f>IF($A1109="","",IFERROR(INDEX(Assumptions!$O$5:$O$10,MATCH(1,(Assumptions!$P$5:$P$10=$B1109)*(Assumptions!$Q$5:$Q$10&lt;=$A1109)*(Assumptions!$R$5:$R$10&gt;=$A1109),0)),""))</x:f>
      </x:c>
      <x:c r="M1109" t="n">
        <x:f>--($A1109&lt;&gt;"")</x:f>
        <x:v>1</x:v>
      </x:c>
    </x:row>
    <x:row r="1110">
      <x:c r="A1110" s="10" t="n">
        <x:f>IF(Assumptions!$B$5+INT((ROW()-2)/Assumptions!$B$7)&gt;Assumptions!$B$6,"",Assumptions!$B$5+INT((ROW()-2)/Assumptions!$B$7))</x:f>
        <x:v>46244</x:v>
      </x:c>
      <x:c r="B1110" t="str">
        <x:f>IF($A1110="","",INDEX(Assumptions!$D$5:$D$12,MOD(ROW()-2,Assumptions!$B$7)+1))</x:f>
        <x:v>Hadley's Hope</x:v>
      </x:c>
      <x:c r="C1110" s="11" t="n">
        <x:f>IF($A1110="","",INDEX(Assumptions!$F$5:$F$12,MATCH($B1110,Assumptions!$D$5:$D$12,0)))</x:f>
        <x:v>845</x:v>
      </x:c>
      <x:c r="D1110" s="11" t="n">
        <x:f>IF($A1110="","",INDEX(Assumptions!$G$5:$G$12,MATCH($B1110,Assumptions!$D$5:$D$12,0)))</x:f>
        <x:v>80</x:v>
      </x:c>
      <x:c r="E1110" s="11" t="n">
        <x:f>IF($A1110="","",INDEX(Assumptions!$M$5:$M$11,WEEKDAY($A1110,2)))</x:f>
        <x:v>1.03</x:v>
      </x:c>
      <x:c r="F1110" s="11" t="n">
        <x:f>IF($A1110="","",Assumptions!$B$15)</x:f>
        <x:v>0.35</x:v>
      </x:c>
      <x:c r="G1110" s="11" t="n">
        <x:f>IF($A1110="","",MAX(INDEX(Assumptions!$H$5:$H$12,MATCH($B1110,Assumptions!$D$5:$D$12,0)),MIN(INDEX(Assumptions!$I$5:$I$12,MATCH($B1110,Assumptions!$D$5:$D$12,0)),($C1110+$D1110*SQRT(-2*LN(RAND()))*COS(2*PI()*RAND()))*$E1110*$J1110*$K1110)))</x:f>
        <x:v>762.2670353615057</x:v>
      </x:c>
      <x:c r="H1110" s="11" t="n">
        <x:f>IF($A1110="","",$G1110*$F1110+$C1110*(1-$F1110))</x:f>
        <x:v>816.043462376527</x:v>
      </x:c>
      <x:c r="I1110" s="11" t="n">
        <x:f>IF($A1110="","",AVERAGE($H1110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825.4984110998593</x:v>
      </x:c>
      <x:c r="J1110" s="12" t="n">
        <x:f>IF($A1110="","",1+SUMIFS(Assumptions!$S$5:$S$10,Assumptions!$P$5:$P$10,$B1110,Assumptions!$Q$5:$Q$10,"&lt;="&amp;$A1110,Assumptions!$R$5:$R$10,"&gt;="&amp;$A1110))</x:f>
        <x:v>1</x:v>
      </x:c>
      <x:c r="K1110" s="12" t="n">
        <x:f>IF($A1110="","",1+((($A1110-Assumptions!$B$5)/30)*INDEX(Assumptions!$J$5:$J$12,MATCH($B1110,Assumptions!$D$5:$D$12,0))))</x:f>
        <x:v>1.0073666666666667</x:v>
      </x:c>
      <x:c r="L1110" t="str">
        <x:f>IF($A1110="","",IFERROR(INDEX(Assumptions!$O$5:$O$10,MATCH(1,(Assumptions!$P$5:$P$10=$B1110)*(Assumptions!$Q$5:$Q$10&lt;=$A1110)*(Assumptions!$R$5:$R$10&gt;=$A1110),0)),""))</x:f>
      </x:c>
      <x:c r="M1110" t="n">
        <x:f>--($A1110&lt;&gt;"")</x:f>
        <x:v>1</x:v>
      </x:c>
    </x:row>
    <x:row r="1111">
      <x:c r="A1111" s="10" t="n">
        <x:f>IF(Assumptions!$B$5+INT((ROW()-2)/Assumptions!$B$7)&gt;Assumptions!$B$6,"",Assumptions!$B$5+INT((ROW()-2)/Assumptions!$B$7))</x:f>
        <x:v>46244</x:v>
      </x:c>
      <x:c r="B1111" t="str">
        <x:f>IF($A1111="","",INDEX(Assumptions!$D$5:$D$12,MOD(ROW()-2,Assumptions!$B$7)+1))</x:f>
        <x:v>Yutani Ridge</x:v>
      </x:c>
      <x:c r="C1111" s="11" t="n">
        <x:f>IF($A1111="","",INDEX(Assumptions!$F$5:$F$12,MATCH($B1111,Assumptions!$D$5:$D$12,0)))</x:f>
        <x:v>1050</x:v>
      </x:c>
      <x:c r="D1111" s="11" t="n">
        <x:f>IF($A1111="","",INDEX(Assumptions!$G$5:$G$12,MATCH($B1111,Assumptions!$D$5:$D$12,0)))</x:f>
        <x:v>125</x:v>
      </x:c>
      <x:c r="E1111" s="11" t="n">
        <x:f>IF($A1111="","",INDEX(Assumptions!$M$5:$M$11,WEEKDAY($A1111,2)))</x:f>
        <x:v>1.03</x:v>
      </x:c>
      <x:c r="F1111" s="11" t="n">
        <x:f>IF($A1111="","",Assumptions!$B$15)</x:f>
        <x:v>0.35</x:v>
      </x:c>
      <x:c r="G1111" s="11" t="n">
        <x:f>IF($A1111="","",MAX(INDEX(Assumptions!$H$5:$H$12,MATCH($B1111,Assumptions!$D$5:$D$12,0)),MIN(INDEX(Assumptions!$I$5:$I$12,MATCH($B1111,Assumptions!$D$5:$D$12,0)),($C1111+$D1111*SQRT(-2*LN(RAND()))*COS(2*PI()*RAND()))*$E1111*$J1111*$K1111)))</x:f>
        <x:v>880.6077035641334</x:v>
      </x:c>
      <x:c r="H1111" s="11" t="n">
        <x:f>IF($A1111="","",$G1111*$F1111+$C1111*(1-$F1111))</x:f>
        <x:v>990.7126962474467</x:v>
      </x:c>
      <x:c r="I1111" s="11" t="n">
        <x:f>IF($A1111="","",AVERAGE($H1111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1030.4200658651155</x:v>
      </x:c>
      <x:c r="J1111" s="12" t="n">
        <x:f>IF($A1111="","",1+SUMIFS(Assumptions!$S$5:$S$10,Assumptions!$P$5:$P$10,$B1111,Assumptions!$Q$5:$Q$10,"&lt;="&amp;$A1111,Assumptions!$R$5:$R$10,"&gt;="&amp;$A1111))</x:f>
        <x:v>1</x:v>
      </x:c>
      <x:c r="K1111" s="12" t="n">
        <x:f>IF($A1111="","",1+((($A1111-Assumptions!$B$5)/30)*INDEX(Assumptions!$J$5:$J$12,MATCH($B1111,Assumptions!$D$5:$D$12,0))))</x:f>
        <x:v>1.0184166666666667</x:v>
      </x:c>
      <x:c r="L1111" t="str">
        <x:f>IF($A1111="","",IFERROR(INDEX(Assumptions!$O$5:$O$10,MATCH(1,(Assumptions!$P$5:$P$10=$B1111)*(Assumptions!$Q$5:$Q$10&lt;=$A1111)*(Assumptions!$R$5:$R$10&gt;=$A1111),0)),""))</x:f>
      </x:c>
      <x:c r="M1111" t="n">
        <x:f>--($A1111&lt;&gt;"")</x:f>
        <x:v>1</x:v>
      </x:c>
    </x:row>
    <x:row r="1112">
      <x:c r="A1112" s="10" t="n">
        <x:f>IF(Assumptions!$B$5+INT((ROW()-2)/Assumptions!$B$7)&gt;Assumptions!$B$6,"",Assumptions!$B$5+INT((ROW()-2)/Assumptions!$B$7))</x:f>
        <x:v>46245</x:v>
      </x:c>
      <x:c r="B1112" t="str">
        <x:f>IF($A1112="","",INDEX(Assumptions!$D$5:$D$12,MOD(ROW()-2,Assumptions!$B$7)+1))</x:f>
        <x:v>Acheron Prime</x:v>
      </x:c>
      <x:c r="C1112" s="11" t="n">
        <x:f>IF($A1112="","",INDEX(Assumptions!$F$5:$F$12,MATCH($B1112,Assumptions!$D$5:$D$12,0)))</x:f>
        <x:v>1120</x:v>
      </x:c>
      <x:c r="D1112" s="11" t="n">
        <x:f>IF($A1112="","",INDEX(Assumptions!$G$5:$G$12,MATCH($B1112,Assumptions!$D$5:$D$12,0)))</x:f>
        <x:v>115</x:v>
      </x:c>
      <x:c r="E1112" s="11" t="n">
        <x:f>IF($A1112="","",INDEX(Assumptions!$M$5:$M$11,WEEKDAY($A1112,2)))</x:f>
        <x:v>1.02</x:v>
      </x:c>
      <x:c r="F1112" s="11" t="n">
        <x:f>IF($A1112="","",Assumptions!$B$15)</x:f>
        <x:v>0.35</x:v>
      </x:c>
      <x:c r="G1112" s="11" t="n">
        <x:f>IF($A1112="","",MAX(INDEX(Assumptions!$H$5:$H$12,MATCH($B1112,Assumptions!$D$5:$D$12,0)),MIN(INDEX(Assumptions!$I$5:$I$12,MATCH($B1112,Assumptions!$D$5:$D$12,0)),($C1112+$D1112*SQRT(-2*LN(RAND()))*COS(2*PI()*RAND()))*$E1112*$J1112*$K1112)))</x:f>
        <x:v>1177.8669037184122</x:v>
      </x:c>
      <x:c r="H1112" s="11" t="n">
        <x:f>IF($A1112="","",$G1112*$F1112+$C1112*(1-$F1112))</x:f>
        <x:v>1140.2534163014443</x:v>
      </x:c>
      <x:c r="I1112" s="11" t="n">
        <x:f>IF($A1112="","",AVERAGE($H1112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1144.8239255246194</x:v>
      </x:c>
      <x:c r="J1112" s="12" t="n">
        <x:f>IF($A1112="","",1+SUMIFS(Assumptions!$S$5:$S$10,Assumptions!$P$5:$P$10,$B1112,Assumptions!$Q$5:$Q$10,"&lt;="&amp;$A1112,Assumptions!$R$5:$R$10,"&gt;="&amp;$A1112))</x:f>
        <x:v>1</x:v>
      </x:c>
      <x:c r="K1112" s="12" t="n">
        <x:f>IF($A1112="","",1+((($A1112-Assumptions!$B$5)/30)*INDEX(Assumptions!$J$5:$J$12,MATCH($B1112,Assumptions!$D$5:$D$12,0))))</x:f>
        <x:v>1.0148</x:v>
      </x:c>
      <x:c r="L1112" t="str">
        <x:f>IF($A1112="","",IFERROR(INDEX(Assumptions!$O$5:$O$10,MATCH(1,(Assumptions!$P$5:$P$10=$B1112)*(Assumptions!$Q$5:$Q$10&lt;=$A1112)*(Assumptions!$R$5:$R$10&gt;=$A1112),0)),""))</x:f>
      </x:c>
      <x:c r="M1112" t="n">
        <x:f>--($A1112&lt;&gt;"")</x:f>
        <x:v>1</x:v>
      </x:c>
    </x:row>
    <x:row r="1113">
      <x:c r="A1113" s="10" t="n">
        <x:f>IF(Assumptions!$B$5+INT((ROW()-2)/Assumptions!$B$7)&gt;Assumptions!$B$6,"",Assumptions!$B$5+INT((ROW()-2)/Assumptions!$B$7))</x:f>
        <x:v>46245</x:v>
      </x:c>
      <x:c r="B1113" t="str">
        <x:f>IF($A1113="","",INDEX(Assumptions!$D$5:$D$12,MOD(ROW()-2,Assumptions!$B$7)+1))</x:f>
        <x:v>LV-426 North</x:v>
      </x:c>
      <x:c r="C1113" s="11" t="n">
        <x:f>IF($A1113="","",INDEX(Assumptions!$F$5:$F$12,MATCH($B1113,Assumptions!$D$5:$D$12,0)))</x:f>
        <x:v>930</x:v>
      </x:c>
      <x:c r="D1113" s="11" t="n">
        <x:f>IF($A1113="","",INDEX(Assumptions!$G$5:$G$12,MATCH($B1113,Assumptions!$D$5:$D$12,0)))</x:f>
        <x:v>95</x:v>
      </x:c>
      <x:c r="E1113" s="11" t="n">
        <x:f>IF($A1113="","",INDEX(Assumptions!$M$5:$M$11,WEEKDAY($A1113,2)))</x:f>
        <x:v>1.02</x:v>
      </x:c>
      <x:c r="F1113" s="11" t="n">
        <x:f>IF($A1113="","",Assumptions!$B$15)</x:f>
        <x:v>0.35</x:v>
      </x:c>
      <x:c r="G1113" s="11" t="n">
        <x:f>IF($A1113="","",MAX(INDEX(Assumptions!$H$5:$H$12,MATCH($B1113,Assumptions!$D$5:$D$12,0)),MIN(INDEX(Assumptions!$I$5:$I$12,MATCH($B1113,Assumptions!$D$5:$D$12,0)),($C1113+$D1113*SQRT(-2*LN(RAND()))*COS(2*PI()*RAND()))*$E1113*$J1113*$K1113)))</x:f>
        <x:v>936.6327426876985</x:v>
      </x:c>
      <x:c r="H1113" s="11" t="n">
        <x:f>IF($A1113="","",$G1113*$F1113+$C1113*(1-$F1113))</x:f>
        <x:v>932.3214599406945</x:v>
      </x:c>
      <x:c r="I1113" s="11" t="n">
        <x:f>IF($A1113="","",AVERAGE($H1113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923.6992914058268</x:v>
      </x:c>
      <x:c r="J1113" s="12" t="n">
        <x:f>IF($A1113="","",1+SUMIFS(Assumptions!$S$5:$S$10,Assumptions!$P$5:$P$10,$B1113,Assumptions!$Q$5:$Q$10,"&lt;="&amp;$A1113,Assumptions!$R$5:$R$10,"&gt;="&amp;$A1113))</x:f>
        <x:v>1</x:v>
      </x:c>
      <x:c r="K1113" s="12" t="n">
        <x:f>IF($A1113="","",1+((($A1113-Assumptions!$B$5)/30)*INDEX(Assumptions!$J$5:$J$12,MATCH($B1113,Assumptions!$D$5:$D$12,0))))</x:f>
        <x:v>0.9926</x:v>
      </x:c>
      <x:c r="L1113" t="str">
        <x:f>IF($A1113="","",IFERROR(INDEX(Assumptions!$O$5:$O$10,MATCH(1,(Assumptions!$P$5:$P$10=$B1113)*(Assumptions!$Q$5:$Q$10&lt;=$A1113)*(Assumptions!$R$5:$R$10&gt;=$A1113),0)),""))</x:f>
      </x:c>
      <x:c r="M1113" t="n">
        <x:f>--($A1113&lt;&gt;"")</x:f>
        <x:v>1</x:v>
      </x:c>
    </x:row>
    <x:row r="1114">
      <x:c r="A1114" s="10" t="n">
        <x:f>IF(Assumptions!$B$5+INT((ROW()-2)/Assumptions!$B$7)&gt;Assumptions!$B$6,"",Assumptions!$B$5+INT((ROW()-2)/Assumptions!$B$7))</x:f>
        <x:v>46245</x:v>
      </x:c>
      <x:c r="B1114" t="str">
        <x:f>IF($A1114="","",INDEX(Assumptions!$D$5:$D$12,MOD(ROW()-2,Assumptions!$B$7)+1))</x:f>
        <x:v>Nostromo Deep</x:v>
      </x:c>
      <x:c r="C1114" s="11" t="n">
        <x:f>IF($A1114="","",INDEX(Assumptions!$F$5:$F$12,MATCH($B1114,Assumptions!$D$5:$D$12,0)))</x:f>
        <x:v>1260</x:v>
      </x:c>
      <x:c r="D1114" s="11" t="n">
        <x:f>IF($A1114="","",INDEX(Assumptions!$G$5:$G$12,MATCH($B1114,Assumptions!$D$5:$D$12,0)))</x:f>
        <x:v>145</x:v>
      </x:c>
      <x:c r="E1114" s="11" t="n">
        <x:f>IF($A1114="","",INDEX(Assumptions!$M$5:$M$11,WEEKDAY($A1114,2)))</x:f>
        <x:v>1.02</x:v>
      </x:c>
      <x:c r="F1114" s="11" t="n">
        <x:f>IF($A1114="","",Assumptions!$B$15)</x:f>
        <x:v>0.35</x:v>
      </x:c>
      <x:c r="G1114" s="11" t="n">
        <x:f>IF($A1114="","",MAX(INDEX(Assumptions!$H$5:$H$12,MATCH($B1114,Assumptions!$D$5:$D$12,0)),MIN(INDEX(Assumptions!$I$5:$I$12,MATCH($B1114,Assumptions!$D$5:$D$12,0)),($C1114+$D1114*SQRT(-2*LN(RAND()))*COS(2*PI()*RAND()))*$E1114*$J1114*$K1114)))</x:f>
        <x:v>1136.2262475006721</x:v>
      </x:c>
      <x:c r="H1114" s="11" t="n">
        <x:f>IF($A1114="","",$G1114*$F1114+$C1114*(1-$F1114))</x:f>
        <x:v>1216.6791866252352</x:v>
      </x:c>
      <x:c r="I1114" s="11" t="n">
        <x:f>IF($A1114="","",AVERAGE($H1114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1256.4895694862457</x:v>
      </x:c>
      <x:c r="J1114" s="12" t="n">
        <x:f>IF($A1114="","",1+SUMIFS(Assumptions!$S$5:$S$10,Assumptions!$P$5:$P$10,$B1114,Assumptions!$Q$5:$Q$10,"&lt;="&amp;$A1114,Assumptions!$R$5:$R$10,"&gt;="&amp;$A1114))</x:f>
        <x:v>1</x:v>
      </x:c>
      <x:c r="K1114" s="12" t="n">
        <x:f>IF($A1114="","",1+((($A1114-Assumptions!$B$5)/30)*INDEX(Assumptions!$J$5:$J$12,MATCH($B1114,Assumptions!$D$5:$D$12,0))))</x:f>
        <x:v>1.0222</x:v>
      </x:c>
      <x:c r="L1114" t="str">
        <x:f>IF($A1114="","",IFERROR(INDEX(Assumptions!$O$5:$O$10,MATCH(1,(Assumptions!$P$5:$P$10=$B1114)*(Assumptions!$Q$5:$Q$10&lt;=$A1114)*(Assumptions!$R$5:$R$10&gt;=$A1114),0)),""))</x:f>
      </x:c>
      <x:c r="M1114" t="n">
        <x:f>--($A1114&lt;&gt;"")</x:f>
        <x:v>1</x:v>
      </x:c>
    </x:row>
    <x:row r="1115">
      <x:c r="A1115" s="10" t="n">
        <x:f>IF(Assumptions!$B$5+INT((ROW()-2)/Assumptions!$B$7)&gt;Assumptions!$B$6,"",Assumptions!$B$5+INT((ROW()-2)/Assumptions!$B$7))</x:f>
        <x:v>46245</x:v>
      </x:c>
      <x:c r="B1115" t="str">
        <x:f>IF($A1115="","",INDEX(Assumptions!$D$5:$D$12,MOD(ROW()-2,Assumptions!$B$7)+1))</x:f>
        <x:v>Hadley's Hope</x:v>
      </x:c>
      <x:c r="C1115" s="11" t="n">
        <x:f>IF($A1115="","",INDEX(Assumptions!$F$5:$F$12,MATCH($B1115,Assumptions!$D$5:$D$12,0)))</x:f>
        <x:v>845</x:v>
      </x:c>
      <x:c r="D1115" s="11" t="n">
        <x:f>IF($A1115="","",INDEX(Assumptions!$G$5:$G$12,MATCH($B1115,Assumptions!$D$5:$D$12,0)))</x:f>
        <x:v>80</x:v>
      </x:c>
      <x:c r="E1115" s="11" t="n">
        <x:f>IF($A1115="","",INDEX(Assumptions!$M$5:$M$11,WEEKDAY($A1115,2)))</x:f>
        <x:v>1.02</x:v>
      </x:c>
      <x:c r="F1115" s="11" t="n">
        <x:f>IF($A1115="","",Assumptions!$B$15)</x:f>
        <x:v>0.35</x:v>
      </x:c>
      <x:c r="G1115" s="11" t="n">
        <x:f>IF($A1115="","",MAX(INDEX(Assumptions!$H$5:$H$12,MATCH($B1115,Assumptions!$D$5:$D$12,0)),MIN(INDEX(Assumptions!$I$5:$I$12,MATCH($B1115,Assumptions!$D$5:$D$12,0)),($C1115+$D1115*SQRT(-2*LN(RAND()))*COS(2*PI()*RAND()))*$E1115*$J1115*$K1115)))</x:f>
        <x:v>856.7701423323077</x:v>
      </x:c>
      <x:c r="H1115" s="11" t="n">
        <x:f>IF($A1115="","",$G1115*$F1115+$C1115*(1-$F1115))</x:f>
        <x:v>849.1195498163077</x:v>
      </x:c>
      <x:c r="I1115" s="11" t="n">
        <x:f>IF($A1115="","",AVERAGE($H1115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820.521192714654</x:v>
      </x:c>
      <x:c r="J1115" s="12" t="n">
        <x:f>IF($A1115="","",1+SUMIFS(Assumptions!$S$5:$S$10,Assumptions!$P$5:$P$10,$B1115,Assumptions!$Q$5:$Q$10,"&lt;="&amp;$A1115,Assumptions!$R$5:$R$10,"&gt;="&amp;$A1115))</x:f>
        <x:v>1</x:v>
      </x:c>
      <x:c r="K1115" s="12" t="n">
        <x:f>IF($A1115="","",1+((($A1115-Assumptions!$B$5)/30)*INDEX(Assumptions!$J$5:$J$12,MATCH($B1115,Assumptions!$D$5:$D$12,0))))</x:f>
        <x:v>1.0074</x:v>
      </x:c>
      <x:c r="L1115" t="str">
        <x:f>IF($A1115="","",IFERROR(INDEX(Assumptions!$O$5:$O$10,MATCH(1,(Assumptions!$P$5:$P$10=$B1115)*(Assumptions!$Q$5:$Q$10&lt;=$A1115)*(Assumptions!$R$5:$R$10&gt;=$A1115),0)),""))</x:f>
      </x:c>
      <x:c r="M1115" t="n">
        <x:f>--($A1115&lt;&gt;"")</x:f>
        <x:v>1</x:v>
      </x:c>
    </x:row>
    <x:row r="1116">
      <x:c r="A1116" s="10" t="n">
        <x:f>IF(Assumptions!$B$5+INT((ROW()-2)/Assumptions!$B$7)&gt;Assumptions!$B$6,"",Assumptions!$B$5+INT((ROW()-2)/Assumptions!$B$7))</x:f>
        <x:v>46245</x:v>
      </x:c>
      <x:c r="B1116" t="str">
        <x:f>IF($A1116="","",INDEX(Assumptions!$D$5:$D$12,MOD(ROW()-2,Assumptions!$B$7)+1))</x:f>
        <x:v>Yutani Ridge</x:v>
      </x:c>
      <x:c r="C1116" s="11" t="n">
        <x:f>IF($A1116="","",INDEX(Assumptions!$F$5:$F$12,MATCH($B1116,Assumptions!$D$5:$D$12,0)))</x:f>
        <x:v>1050</x:v>
      </x:c>
      <x:c r="D1116" s="11" t="n">
        <x:f>IF($A1116="","",INDEX(Assumptions!$G$5:$G$12,MATCH($B1116,Assumptions!$D$5:$D$12,0)))</x:f>
        <x:v>125</x:v>
      </x:c>
      <x:c r="E1116" s="11" t="n">
        <x:f>IF($A1116="","",INDEX(Assumptions!$M$5:$M$11,WEEKDAY($A1116,2)))</x:f>
        <x:v>1.02</x:v>
      </x:c>
      <x:c r="F1116" s="11" t="n">
        <x:f>IF($A1116="","",Assumptions!$B$15)</x:f>
        <x:v>0.35</x:v>
      </x:c>
      <x:c r="G1116" s="11" t="n">
        <x:f>IF($A1116="","",MAX(INDEX(Assumptions!$H$5:$H$12,MATCH($B1116,Assumptions!$D$5:$D$12,0)),MIN(INDEX(Assumptions!$I$5:$I$12,MATCH($B1116,Assumptions!$D$5:$D$12,0)),($C1116+$D1116*SQRT(-2*LN(RAND()))*COS(2*PI()*RAND()))*$E1116*$J1116*$K1116)))</x:f>
        <x:v>1187.273301499811</x:v>
      </x:c>
      <x:c r="H1116" s="11" t="n">
        <x:f>IF($A1116="","",$G1116*$F1116+$C1116*(1-$F1116))</x:f>
        <x:v>1098.0456555249339</x:v>
      </x:c>
      <x:c r="I1116" s="11" t="n">
        <x:f>IF($A1116="","",AVERAGE($H1116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1036.2633190051451</x:v>
      </x:c>
      <x:c r="J1116" s="12" t="n">
        <x:f>IF($A1116="","",1+SUMIFS(Assumptions!$S$5:$S$10,Assumptions!$P$5:$P$10,$B1116,Assumptions!$Q$5:$Q$10,"&lt;="&amp;$A1116,Assumptions!$R$5:$R$10,"&gt;="&amp;$A1116))</x:f>
        <x:v>1</x:v>
      </x:c>
      <x:c r="K1116" s="12" t="n">
        <x:f>IF($A1116="","",1+((($A1116-Assumptions!$B$5)/30)*INDEX(Assumptions!$J$5:$J$12,MATCH($B1116,Assumptions!$D$5:$D$12,0))))</x:f>
        <x:v>1.0185</x:v>
      </x:c>
      <x:c r="L1116" t="str">
        <x:f>IF($A1116="","",IFERROR(INDEX(Assumptions!$O$5:$O$10,MATCH(1,(Assumptions!$P$5:$P$10=$B1116)*(Assumptions!$Q$5:$Q$10&lt;=$A1116)*(Assumptions!$R$5:$R$10&gt;=$A1116),0)),""))</x:f>
      </x:c>
      <x:c r="M1116" t="n">
        <x:f>--($A1116&lt;&gt;"")</x:f>
        <x:v>1</x:v>
      </x:c>
    </x:row>
    <x:row r="1117">
      <x:c r="A1117" s="10" t="n">
        <x:f>IF(Assumptions!$B$5+INT((ROW()-2)/Assumptions!$B$7)&gt;Assumptions!$B$6,"",Assumptions!$B$5+INT((ROW()-2)/Assumptions!$B$7))</x:f>
        <x:v>46246</x:v>
      </x:c>
      <x:c r="B1117" t="str">
        <x:f>IF($A1117="","",INDEX(Assumptions!$D$5:$D$12,MOD(ROW()-2,Assumptions!$B$7)+1))</x:f>
        <x:v>Acheron Prime</x:v>
      </x:c>
      <x:c r="C1117" s="11" t="n">
        <x:f>IF($A1117="","",INDEX(Assumptions!$F$5:$F$12,MATCH($B1117,Assumptions!$D$5:$D$12,0)))</x:f>
        <x:v>1120</x:v>
      </x:c>
      <x:c r="D1117" s="11" t="n">
        <x:f>IF($A1117="","",INDEX(Assumptions!$G$5:$G$12,MATCH($B1117,Assumptions!$D$5:$D$12,0)))</x:f>
        <x:v>115</x:v>
      </x:c>
      <x:c r="E1117" s="11" t="n">
        <x:f>IF($A1117="","",INDEX(Assumptions!$M$5:$M$11,WEEKDAY($A1117,2)))</x:f>
        <x:v>1.01</x:v>
      </x:c>
      <x:c r="F1117" s="11" t="n">
        <x:f>IF($A1117="","",Assumptions!$B$15)</x:f>
        <x:v>0.35</x:v>
      </x:c>
      <x:c r="G1117" s="11" t="n">
        <x:f>IF($A1117="","",MAX(INDEX(Assumptions!$H$5:$H$12,MATCH($B1117,Assumptions!$D$5:$D$12,0)),MIN(INDEX(Assumptions!$I$5:$I$12,MATCH($B1117,Assumptions!$D$5:$D$12,0)),($C1117+$D1117*SQRT(-2*LN(RAND()))*COS(2*PI()*RAND()))*$E1117*$J1117*$K1117)))</x:f>
        <x:v>1378.2138178705477</x:v>
      </x:c>
      <x:c r="H1117" s="11" t="n">
        <x:f>IF($A1117="","",$G1117*$F1117+$C1117*(1-$F1117))</x:f>
        <x:v>1210.3748362546917</x:v>
      </x:c>
      <x:c r="I1117" s="11" t="n">
        <x:f>IF($A1117="","",AVERAGE($H1117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1149.3196673769237</x:v>
      </x:c>
      <x:c r="J1117" s="12" t="n">
        <x:f>IF($A1117="","",1+SUMIFS(Assumptions!$S$5:$S$10,Assumptions!$P$5:$P$10,$B1117,Assumptions!$Q$5:$Q$10,"&lt;="&amp;$A1117,Assumptions!$R$5:$R$10,"&gt;="&amp;$A1117))</x:f>
        <x:v>1</x:v>
      </x:c>
      <x:c r="K1117" s="12" t="n">
        <x:f>IF($A1117="","",1+((($A1117-Assumptions!$B$5)/30)*INDEX(Assumptions!$J$5:$J$12,MATCH($B1117,Assumptions!$D$5:$D$12,0))))</x:f>
        <x:v>1.0148666666666666</x:v>
      </x:c>
      <x:c r="L1117" t="str">
        <x:f>IF($A1117="","",IFERROR(INDEX(Assumptions!$O$5:$O$10,MATCH(1,(Assumptions!$P$5:$P$10=$B1117)*(Assumptions!$Q$5:$Q$10&lt;=$A1117)*(Assumptions!$R$5:$R$10&gt;=$A1117),0)),""))</x:f>
      </x:c>
      <x:c r="M1117" t="n">
        <x:f>--($A1117&lt;&gt;"")</x:f>
        <x:v>1</x:v>
      </x:c>
    </x:row>
    <x:row r="1118">
      <x:c r="A1118" s="10" t="n">
        <x:f>IF(Assumptions!$B$5+INT((ROW()-2)/Assumptions!$B$7)&gt;Assumptions!$B$6,"",Assumptions!$B$5+INT((ROW()-2)/Assumptions!$B$7))</x:f>
        <x:v>46246</x:v>
      </x:c>
      <x:c r="B1118" t="str">
        <x:f>IF($A1118="","",INDEX(Assumptions!$D$5:$D$12,MOD(ROW()-2,Assumptions!$B$7)+1))</x:f>
        <x:v>LV-426 North</x:v>
      </x:c>
      <x:c r="C1118" s="11" t="n">
        <x:f>IF($A1118="","",INDEX(Assumptions!$F$5:$F$12,MATCH($B1118,Assumptions!$D$5:$D$12,0)))</x:f>
        <x:v>930</x:v>
      </x:c>
      <x:c r="D1118" s="11" t="n">
        <x:f>IF($A1118="","",INDEX(Assumptions!$G$5:$G$12,MATCH($B1118,Assumptions!$D$5:$D$12,0)))</x:f>
        <x:v>95</x:v>
      </x:c>
      <x:c r="E1118" s="11" t="n">
        <x:f>IF($A1118="","",INDEX(Assumptions!$M$5:$M$11,WEEKDAY($A1118,2)))</x:f>
        <x:v>1.01</x:v>
      </x:c>
      <x:c r="F1118" s="11" t="n">
        <x:f>IF($A1118="","",Assumptions!$B$15)</x:f>
        <x:v>0.35</x:v>
      </x:c>
      <x:c r="G1118" s="11" t="n">
        <x:f>IF($A1118="","",MAX(INDEX(Assumptions!$H$5:$H$12,MATCH($B1118,Assumptions!$D$5:$D$12,0)),MIN(INDEX(Assumptions!$I$5:$I$12,MATCH($B1118,Assumptions!$D$5:$D$12,0)),($C1118+$D1118*SQRT(-2*LN(RAND()))*COS(2*PI()*RAND()))*$E1118*$J1118*$K1118)))</x:f>
        <x:v>909.2311384651584</x:v>
      </x:c>
      <x:c r="H1118" s="11" t="n">
        <x:f>IF($A1118="","",$G1118*$F1118+$C1118*(1-$F1118))</x:f>
        <x:v>922.7308984628055</x:v>
      </x:c>
      <x:c r="I1118" s="11" t="n">
        <x:f>IF($A1118="","",AVERAGE($H1118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916.5327035887543</x:v>
      </x:c>
      <x:c r="J1118" s="12" t="n">
        <x:f>IF($A1118="","",1+SUMIFS(Assumptions!$S$5:$S$10,Assumptions!$P$5:$P$10,$B1118,Assumptions!$Q$5:$Q$10,"&lt;="&amp;$A1118,Assumptions!$R$5:$R$10,"&gt;="&amp;$A1118))</x:f>
        <x:v>1</x:v>
      </x:c>
      <x:c r="K1118" s="12" t="n">
        <x:f>IF($A1118="","",1+((($A1118-Assumptions!$B$5)/30)*INDEX(Assumptions!$J$5:$J$12,MATCH($B1118,Assumptions!$D$5:$D$12,0))))</x:f>
        <x:v>0.9925666666666667</x:v>
      </x:c>
      <x:c r="L1118" t="str">
        <x:f>IF($A1118="","",IFERROR(INDEX(Assumptions!$O$5:$O$10,MATCH(1,(Assumptions!$P$5:$P$10=$B1118)*(Assumptions!$Q$5:$Q$10&lt;=$A1118)*(Assumptions!$R$5:$R$10&gt;=$A1118),0)),""))</x:f>
      </x:c>
      <x:c r="M1118" t="n">
        <x:f>--($A1118&lt;&gt;"")</x:f>
        <x:v>1</x:v>
      </x:c>
    </x:row>
    <x:row r="1119">
      <x:c r="A1119" s="10" t="n">
        <x:f>IF(Assumptions!$B$5+INT((ROW()-2)/Assumptions!$B$7)&gt;Assumptions!$B$6,"",Assumptions!$B$5+INT((ROW()-2)/Assumptions!$B$7))</x:f>
        <x:v>46246</x:v>
      </x:c>
      <x:c r="B1119" t="str">
        <x:f>IF($A1119="","",INDEX(Assumptions!$D$5:$D$12,MOD(ROW()-2,Assumptions!$B$7)+1))</x:f>
        <x:v>Nostromo Deep</x:v>
      </x:c>
      <x:c r="C1119" s="11" t="n">
        <x:f>IF($A1119="","",INDEX(Assumptions!$F$5:$F$12,MATCH($B1119,Assumptions!$D$5:$D$12,0)))</x:f>
        <x:v>1260</x:v>
      </x:c>
      <x:c r="D1119" s="11" t="n">
        <x:f>IF($A1119="","",INDEX(Assumptions!$G$5:$G$12,MATCH($B1119,Assumptions!$D$5:$D$12,0)))</x:f>
        <x:v>145</x:v>
      </x:c>
      <x:c r="E1119" s="11" t="n">
        <x:f>IF($A1119="","",INDEX(Assumptions!$M$5:$M$11,WEEKDAY($A1119,2)))</x:f>
        <x:v>1.01</x:v>
      </x:c>
      <x:c r="F1119" s="11" t="n">
        <x:f>IF($A1119="","",Assumptions!$B$15)</x:f>
        <x:v>0.35</x:v>
      </x:c>
      <x:c r="G1119" s="11" t="n">
        <x:f>IF($A1119="","",MAX(INDEX(Assumptions!$H$5:$H$12,MATCH($B1119,Assumptions!$D$5:$D$12,0)),MIN(INDEX(Assumptions!$I$5:$I$12,MATCH($B1119,Assumptions!$D$5:$D$12,0)),($C1119+$D1119*SQRT(-2*LN(RAND()))*COS(2*PI()*RAND()))*$E1119*$J1119*$K1119)))</x:f>
        <x:v>1422.6585043706566</x:v>
      </x:c>
      <x:c r="H1119" s="11" t="n">
        <x:f>IF($A1119="","",$G1119*$F1119+$C1119*(1-$F1119))</x:f>
        <x:v>1316.9304765297297</x:v>
      </x:c>
      <x:c r="I1119" s="11" t="n">
        <x:f>IF($A1119="","",AVERAGE($H1119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1266.5717915345624</x:v>
      </x:c>
      <x:c r="J1119" s="12" t="n">
        <x:f>IF($A1119="","",1+SUMIFS(Assumptions!$S$5:$S$10,Assumptions!$P$5:$P$10,$B1119,Assumptions!$Q$5:$Q$10,"&lt;="&amp;$A1119,Assumptions!$R$5:$R$10,"&gt;="&amp;$A1119))</x:f>
        <x:v>1</x:v>
      </x:c>
      <x:c r="K1119" s="12" t="n">
        <x:f>IF($A1119="","",1+((($A1119-Assumptions!$B$5)/30)*INDEX(Assumptions!$J$5:$J$12,MATCH($B1119,Assumptions!$D$5:$D$12,0))))</x:f>
        <x:v>1.0223</x:v>
      </x:c>
      <x:c r="L1119" t="str">
        <x:f>IF($A1119="","",IFERROR(INDEX(Assumptions!$O$5:$O$10,MATCH(1,(Assumptions!$P$5:$P$10=$B1119)*(Assumptions!$Q$5:$Q$10&lt;=$A1119)*(Assumptions!$R$5:$R$10&gt;=$A1119),0)),""))</x:f>
      </x:c>
      <x:c r="M1119" t="n">
        <x:f>--($A1119&lt;&gt;"")</x:f>
        <x:v>1</x:v>
      </x:c>
    </x:row>
    <x:row r="1120">
      <x:c r="A1120" s="10" t="n">
        <x:f>IF(Assumptions!$B$5+INT((ROW()-2)/Assumptions!$B$7)&gt;Assumptions!$B$6,"",Assumptions!$B$5+INT((ROW()-2)/Assumptions!$B$7))</x:f>
        <x:v>46246</x:v>
      </x:c>
      <x:c r="B1120" t="str">
        <x:f>IF($A1120="","",INDEX(Assumptions!$D$5:$D$12,MOD(ROW()-2,Assumptions!$B$7)+1))</x:f>
        <x:v>Hadley's Hope</x:v>
      </x:c>
      <x:c r="C1120" s="11" t="n">
        <x:f>IF($A1120="","",INDEX(Assumptions!$F$5:$F$12,MATCH($B1120,Assumptions!$D$5:$D$12,0)))</x:f>
        <x:v>845</x:v>
      </x:c>
      <x:c r="D1120" s="11" t="n">
        <x:f>IF($A1120="","",INDEX(Assumptions!$G$5:$G$12,MATCH($B1120,Assumptions!$D$5:$D$12,0)))</x:f>
        <x:v>80</x:v>
      </x:c>
      <x:c r="E1120" s="11" t="n">
        <x:f>IF($A1120="","",INDEX(Assumptions!$M$5:$M$11,WEEKDAY($A1120,2)))</x:f>
        <x:v>1.01</x:v>
      </x:c>
      <x:c r="F1120" s="11" t="n">
        <x:f>IF($A1120="","",Assumptions!$B$15)</x:f>
        <x:v>0.35</x:v>
      </x:c>
      <x:c r="G1120" s="11" t="n">
        <x:f>IF($A1120="","",MAX(INDEX(Assumptions!$H$5:$H$12,MATCH($B1120,Assumptions!$D$5:$D$12,0)),MIN(INDEX(Assumptions!$I$5:$I$12,MATCH($B1120,Assumptions!$D$5:$D$12,0)),($C1120+$D1120*SQRT(-2*LN(RAND()))*COS(2*PI()*RAND()))*$E1120*$J1120*$K1120)))</x:f>
        <x:v>843.9529402816362</x:v>
      </x:c>
      <x:c r="H1120" s="11" t="n">
        <x:f>IF($A1120="","",$G1120*$F1120+$C1120*(1-$F1120))</x:f>
        <x:v>844.6335290985726</x:v>
      </x:c>
      <x:c r="I1120" s="11" t="n">
        <x:f>IF($A1120="","",AVERAGE($H1120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819.602119571033</x:v>
      </x:c>
      <x:c r="J1120" s="12" t="n">
        <x:f>IF($A1120="","",1+SUMIFS(Assumptions!$S$5:$S$10,Assumptions!$P$5:$P$10,$B1120,Assumptions!$Q$5:$Q$10,"&lt;="&amp;$A1120,Assumptions!$R$5:$R$10,"&gt;="&amp;$A1120))</x:f>
        <x:v>1</x:v>
      </x:c>
      <x:c r="K1120" s="12" t="n">
        <x:f>IF($A1120="","",1+((($A1120-Assumptions!$B$5)/30)*INDEX(Assumptions!$J$5:$J$12,MATCH($B1120,Assumptions!$D$5:$D$12,0))))</x:f>
        <x:v>1.0074333333333334</x:v>
      </x:c>
      <x:c r="L1120" t="str">
        <x:f>IF($A1120="","",IFERROR(INDEX(Assumptions!$O$5:$O$10,MATCH(1,(Assumptions!$P$5:$P$10=$B1120)*(Assumptions!$Q$5:$Q$10&lt;=$A1120)*(Assumptions!$R$5:$R$10&gt;=$A1120),0)),""))</x:f>
      </x:c>
      <x:c r="M1120" t="n">
        <x:f>--($A1120&lt;&gt;"")</x:f>
        <x:v>1</x:v>
      </x:c>
    </x:row>
    <x:row r="1121">
      <x:c r="A1121" s="10" t="n">
        <x:f>IF(Assumptions!$B$5+INT((ROW()-2)/Assumptions!$B$7)&gt;Assumptions!$B$6,"",Assumptions!$B$5+INT((ROW()-2)/Assumptions!$B$7))</x:f>
        <x:v>46246</x:v>
      </x:c>
      <x:c r="B1121" t="str">
        <x:f>IF($A1121="","",INDEX(Assumptions!$D$5:$D$12,MOD(ROW()-2,Assumptions!$B$7)+1))</x:f>
        <x:v>Yutani Ridge</x:v>
      </x:c>
      <x:c r="C1121" s="11" t="n">
        <x:f>IF($A1121="","",INDEX(Assumptions!$F$5:$F$12,MATCH($B1121,Assumptions!$D$5:$D$12,0)))</x:f>
        <x:v>1050</x:v>
      </x:c>
      <x:c r="D1121" s="11" t="n">
        <x:f>IF($A1121="","",INDEX(Assumptions!$G$5:$G$12,MATCH($B1121,Assumptions!$D$5:$D$12,0)))</x:f>
        <x:v>125</x:v>
      </x:c>
      <x:c r="E1121" s="11" t="n">
        <x:f>IF($A1121="","",INDEX(Assumptions!$M$5:$M$11,WEEKDAY($A1121,2)))</x:f>
        <x:v>1.01</x:v>
      </x:c>
      <x:c r="F1121" s="11" t="n">
        <x:f>IF($A1121="","",Assumptions!$B$15)</x:f>
        <x:v>0.35</x:v>
      </x:c>
      <x:c r="G1121" s="11" t="n">
        <x:f>IF($A1121="","",MAX(INDEX(Assumptions!$H$5:$H$12,MATCH($B1121,Assumptions!$D$5:$D$12,0)),MIN(INDEX(Assumptions!$I$5:$I$12,MATCH($B1121,Assumptions!$D$5:$D$12,0)),($C1121+$D1121*SQRT(-2*LN(RAND()))*COS(2*PI()*RAND()))*$E1121*$J1121*$K1121)))</x:f>
        <x:v>1167.0637801919413</x:v>
      </x:c>
      <x:c r="H1121" s="11" t="n">
        <x:f>IF($A1121="","",$G1121*$F1121+$C1121*(1-$F1121))</x:f>
        <x:v>1090.9723230671793</x:v>
      </x:c>
      <x:c r="I1121" s="11" t="n">
        <x:f>IF($A1121="","",AVERAGE($H1121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1043.5269487426517</x:v>
      </x:c>
      <x:c r="J1121" s="12" t="n">
        <x:f>IF($A1121="","",1+SUMIFS(Assumptions!$S$5:$S$10,Assumptions!$P$5:$P$10,$B1121,Assumptions!$Q$5:$Q$10,"&lt;="&amp;$A1121,Assumptions!$R$5:$R$10,"&gt;="&amp;$A1121))</x:f>
        <x:v>1</x:v>
      </x:c>
      <x:c r="K1121" s="12" t="n">
        <x:f>IF($A1121="","",1+((($A1121-Assumptions!$B$5)/30)*INDEX(Assumptions!$J$5:$J$12,MATCH($B1121,Assumptions!$D$5:$D$12,0))))</x:f>
        <x:v>1.0185833333333334</x:v>
      </x:c>
      <x:c r="L1121" t="str">
        <x:f>IF($A1121="","",IFERROR(INDEX(Assumptions!$O$5:$O$10,MATCH(1,(Assumptions!$P$5:$P$10=$B1121)*(Assumptions!$Q$5:$Q$10&lt;=$A1121)*(Assumptions!$R$5:$R$10&gt;=$A1121),0)),""))</x:f>
      </x:c>
      <x:c r="M1121" t="n">
        <x:f>--($A1121&lt;&gt;"")</x:f>
        <x:v>1</x:v>
      </x:c>
    </x:row>
    <x:row r="1122">
      <x:c r="A1122" s="10" t="n">
        <x:f>IF(Assumptions!$B$5+INT((ROW()-2)/Assumptions!$B$7)&gt;Assumptions!$B$6,"",Assumptions!$B$5+INT((ROW()-2)/Assumptions!$B$7))</x:f>
        <x:v>46247</x:v>
      </x:c>
      <x:c r="B1122" t="str">
        <x:f>IF($A1122="","",INDEX(Assumptions!$D$5:$D$12,MOD(ROW()-2,Assumptions!$B$7)+1))</x:f>
        <x:v>Acheron Prime</x:v>
      </x:c>
      <x:c r="C1122" s="11" t="n">
        <x:f>IF($A1122="","",INDEX(Assumptions!$F$5:$F$12,MATCH($B1122,Assumptions!$D$5:$D$12,0)))</x:f>
        <x:v>1120</x:v>
      </x:c>
      <x:c r="D1122" s="11" t="n">
        <x:f>IF($A1122="","",INDEX(Assumptions!$G$5:$G$12,MATCH($B1122,Assumptions!$D$5:$D$12,0)))</x:f>
        <x:v>115</x:v>
      </x:c>
      <x:c r="E1122" s="11" t="n">
        <x:f>IF($A1122="","",INDEX(Assumptions!$M$5:$M$11,WEEKDAY($A1122,2)))</x:f>
        <x:v>1</x:v>
      </x:c>
      <x:c r="F1122" s="11" t="n">
        <x:f>IF($A1122="","",Assumptions!$B$15)</x:f>
        <x:v>0.35</x:v>
      </x:c>
      <x:c r="G1122" s="11" t="n">
        <x:f>IF($A1122="","",MAX(INDEX(Assumptions!$H$5:$H$12,MATCH($B1122,Assumptions!$D$5:$D$12,0)),MIN(INDEX(Assumptions!$I$5:$I$12,MATCH($B1122,Assumptions!$D$5:$D$12,0)),($C1122+$D1122*SQRT(-2*LN(RAND()))*COS(2*PI()*RAND()))*$E1122*$J1122*$K1122)))</x:f>
        <x:v>1301.7797227156188</x:v>
      </x:c>
      <x:c r="H1122" s="11" t="n">
        <x:f>IF($A1122="","",$G1122*$F1122+$C1122*(1-$F1122))</x:f>
        <x:v>1183.6229029504666</x:v>
      </x:c>
      <x:c r="I1122" s="11" t="n">
        <x:f>IF($A1122="","",AVERAGE($H1122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1150.4670774653284</x:v>
      </x:c>
      <x:c r="J1122" s="12" t="n">
        <x:f>IF($A1122="","",1+SUMIFS(Assumptions!$S$5:$S$10,Assumptions!$P$5:$P$10,$B1122,Assumptions!$Q$5:$Q$10,"&lt;="&amp;$A1122,Assumptions!$R$5:$R$10,"&gt;="&amp;$A1122))</x:f>
        <x:v>1</x:v>
      </x:c>
      <x:c r="K1122" s="12" t="n">
        <x:f>IF($A1122="","",1+((($A1122-Assumptions!$B$5)/30)*INDEX(Assumptions!$J$5:$J$12,MATCH($B1122,Assumptions!$D$5:$D$12,0))))</x:f>
        <x:v>1.0149333333333332</x:v>
      </x:c>
      <x:c r="L1122" t="str">
        <x:f>IF($A1122="","",IFERROR(INDEX(Assumptions!$O$5:$O$10,MATCH(1,(Assumptions!$P$5:$P$10=$B1122)*(Assumptions!$Q$5:$Q$10&lt;=$A1122)*(Assumptions!$R$5:$R$10&gt;=$A1122),0)),""))</x:f>
      </x:c>
      <x:c r="M1122" t="n">
        <x:f>--($A1122&lt;&gt;"")</x:f>
        <x:v>1</x:v>
      </x:c>
    </x:row>
    <x:row r="1123">
      <x:c r="A1123" s="10" t="n">
        <x:f>IF(Assumptions!$B$5+INT((ROW()-2)/Assumptions!$B$7)&gt;Assumptions!$B$6,"",Assumptions!$B$5+INT((ROW()-2)/Assumptions!$B$7))</x:f>
        <x:v>46247</x:v>
      </x:c>
      <x:c r="B1123" t="str">
        <x:f>IF($A1123="","",INDEX(Assumptions!$D$5:$D$12,MOD(ROW()-2,Assumptions!$B$7)+1))</x:f>
        <x:v>LV-426 North</x:v>
      </x:c>
      <x:c r="C1123" s="11" t="n">
        <x:f>IF($A1123="","",INDEX(Assumptions!$F$5:$F$12,MATCH($B1123,Assumptions!$D$5:$D$12,0)))</x:f>
        <x:v>930</x:v>
      </x:c>
      <x:c r="D1123" s="11" t="n">
        <x:f>IF($A1123="","",INDEX(Assumptions!$G$5:$G$12,MATCH($B1123,Assumptions!$D$5:$D$12,0)))</x:f>
        <x:v>95</x:v>
      </x:c>
      <x:c r="E1123" s="11" t="n">
        <x:f>IF($A1123="","",INDEX(Assumptions!$M$5:$M$11,WEEKDAY($A1123,2)))</x:f>
        <x:v>1</x:v>
      </x:c>
      <x:c r="F1123" s="11" t="n">
        <x:f>IF($A1123="","",Assumptions!$B$15)</x:f>
        <x:v>0.35</x:v>
      </x:c>
      <x:c r="G1123" s="11" t="n">
        <x:f>IF($A1123="","",MAX(INDEX(Assumptions!$H$5:$H$12,MATCH($B1123,Assumptions!$D$5:$D$12,0)),MIN(INDEX(Assumptions!$I$5:$I$12,MATCH($B1123,Assumptions!$D$5:$D$12,0)),($C1123+$D1123*SQRT(-2*LN(RAND()))*COS(2*PI()*RAND()))*$E1123*$J1123*$K1123)))</x:f>
        <x:v>926.7282622529093</x:v>
      </x:c>
      <x:c r="H1123" s="11" t="n">
        <x:f>IF($A1123="","",$G1123*$F1123+$C1123*(1-$F1123))</x:f>
        <x:v>928.8548917885182</x:v>
      </x:c>
      <x:c r="I1123" s="11" t="n">
        <x:f>IF($A1123="","",AVERAGE($H1123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914.0842649816177</x:v>
      </x:c>
      <x:c r="J1123" s="12" t="n">
        <x:f>IF($A1123="","",1+SUMIFS(Assumptions!$S$5:$S$10,Assumptions!$P$5:$P$10,$B1123,Assumptions!$Q$5:$Q$10,"&lt;="&amp;$A1123,Assumptions!$R$5:$R$10,"&gt;="&amp;$A1123))</x:f>
        <x:v>1</x:v>
      </x:c>
      <x:c r="K1123" s="12" t="n">
        <x:f>IF($A1123="","",1+((($A1123-Assumptions!$B$5)/30)*INDEX(Assumptions!$J$5:$J$12,MATCH($B1123,Assumptions!$D$5:$D$12,0))))</x:f>
        <x:v>0.9925333333333334</x:v>
      </x:c>
      <x:c r="L1123" t="str">
        <x:f>IF($A1123="","",IFERROR(INDEX(Assumptions!$O$5:$O$10,MATCH(1,(Assumptions!$P$5:$P$10=$B1123)*(Assumptions!$Q$5:$Q$10&lt;=$A1123)*(Assumptions!$R$5:$R$10&gt;=$A1123),0)),""))</x:f>
      </x:c>
      <x:c r="M1123" t="n">
        <x:f>--($A1123&lt;&gt;"")</x:f>
        <x:v>1</x:v>
      </x:c>
    </x:row>
    <x:row r="1124">
      <x:c r="A1124" s="10" t="n">
        <x:f>IF(Assumptions!$B$5+INT((ROW()-2)/Assumptions!$B$7)&gt;Assumptions!$B$6,"",Assumptions!$B$5+INT((ROW()-2)/Assumptions!$B$7))</x:f>
        <x:v>46247</x:v>
      </x:c>
      <x:c r="B1124" t="str">
        <x:f>IF($A1124="","",INDEX(Assumptions!$D$5:$D$12,MOD(ROW()-2,Assumptions!$B$7)+1))</x:f>
        <x:v>Nostromo Deep</x:v>
      </x:c>
      <x:c r="C1124" s="11" t="n">
        <x:f>IF($A1124="","",INDEX(Assumptions!$F$5:$F$12,MATCH($B1124,Assumptions!$D$5:$D$12,0)))</x:f>
        <x:v>1260</x:v>
      </x:c>
      <x:c r="D1124" s="11" t="n">
        <x:f>IF($A1124="","",INDEX(Assumptions!$G$5:$G$12,MATCH($B1124,Assumptions!$D$5:$D$12,0)))</x:f>
        <x:v>145</x:v>
      </x:c>
      <x:c r="E1124" s="11" t="n">
        <x:f>IF($A1124="","",INDEX(Assumptions!$M$5:$M$11,WEEKDAY($A1124,2)))</x:f>
        <x:v>1</x:v>
      </x:c>
      <x:c r="F1124" s="11" t="n">
        <x:f>IF($A1124="","",Assumptions!$B$15)</x:f>
        <x:v>0.35</x:v>
      </x:c>
      <x:c r="G1124" s="11" t="n">
        <x:f>IF($A1124="","",MAX(INDEX(Assumptions!$H$5:$H$12,MATCH($B1124,Assumptions!$D$5:$D$12,0)),MIN(INDEX(Assumptions!$I$5:$I$12,MATCH($B1124,Assumptions!$D$5:$D$12,0)),($C1124+$D1124*SQRT(-2*LN(RAND()))*COS(2*PI()*RAND()))*$E1124*$J1124*$K1124)))</x:f>
        <x:v>1201.2573013817118</x:v>
      </x:c>
      <x:c r="H1124" s="11" t="n">
        <x:f>IF($A1124="","",$G1124*$F1124+$C1124*(1-$F1124))</x:f>
        <x:v>1239.440055483599</x:v>
      </x:c>
      <x:c r="I1124" s="11" t="n">
        <x:f>IF($A1124="","",AVERAGE($H1124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1266.2551501329142</x:v>
      </x:c>
      <x:c r="J1124" s="12" t="n">
        <x:f>IF($A1124="","",1+SUMIFS(Assumptions!$S$5:$S$10,Assumptions!$P$5:$P$10,$B1124,Assumptions!$Q$5:$Q$10,"&lt;="&amp;$A1124,Assumptions!$R$5:$R$10,"&gt;="&amp;$A1124))</x:f>
        <x:v>1</x:v>
      </x:c>
      <x:c r="K1124" s="12" t="n">
        <x:f>IF($A1124="","",1+((($A1124-Assumptions!$B$5)/30)*INDEX(Assumptions!$J$5:$J$12,MATCH($B1124,Assumptions!$D$5:$D$12,0))))</x:f>
        <x:v>1.0224</x:v>
      </x:c>
      <x:c r="L1124" t="str">
        <x:f>IF($A1124="","",IFERROR(INDEX(Assumptions!$O$5:$O$10,MATCH(1,(Assumptions!$P$5:$P$10=$B1124)*(Assumptions!$Q$5:$Q$10&lt;=$A1124)*(Assumptions!$R$5:$R$10&gt;=$A1124),0)),""))</x:f>
      </x:c>
      <x:c r="M1124" t="n">
        <x:f>--($A1124&lt;&gt;"")</x:f>
        <x:v>1</x:v>
      </x:c>
    </x:row>
    <x:row r="1125">
      <x:c r="A1125" s="10" t="n">
        <x:f>IF(Assumptions!$B$5+INT((ROW()-2)/Assumptions!$B$7)&gt;Assumptions!$B$6,"",Assumptions!$B$5+INT((ROW()-2)/Assumptions!$B$7))</x:f>
        <x:v>46247</x:v>
      </x:c>
      <x:c r="B1125" t="str">
        <x:f>IF($A1125="","",INDEX(Assumptions!$D$5:$D$12,MOD(ROW()-2,Assumptions!$B$7)+1))</x:f>
        <x:v>Hadley's Hope</x:v>
      </x:c>
      <x:c r="C1125" s="11" t="n">
        <x:f>IF($A1125="","",INDEX(Assumptions!$F$5:$F$12,MATCH($B1125,Assumptions!$D$5:$D$12,0)))</x:f>
        <x:v>845</x:v>
      </x:c>
      <x:c r="D1125" s="11" t="n">
        <x:f>IF($A1125="","",INDEX(Assumptions!$G$5:$G$12,MATCH($B1125,Assumptions!$D$5:$D$12,0)))</x:f>
        <x:v>80</x:v>
      </x:c>
      <x:c r="E1125" s="11" t="n">
        <x:f>IF($A1125="","",INDEX(Assumptions!$M$5:$M$11,WEEKDAY($A1125,2)))</x:f>
        <x:v>1</x:v>
      </x:c>
      <x:c r="F1125" s="11" t="n">
        <x:f>IF($A1125="","",Assumptions!$B$15)</x:f>
        <x:v>0.35</x:v>
      </x:c>
      <x:c r="G1125" s="11" t="n">
        <x:f>IF($A1125="","",MAX(INDEX(Assumptions!$H$5:$H$12,MATCH($B1125,Assumptions!$D$5:$D$12,0)),MIN(INDEX(Assumptions!$I$5:$I$12,MATCH($B1125,Assumptions!$D$5:$D$12,0)),($C1125+$D1125*SQRT(-2*LN(RAND()))*COS(2*PI()*RAND()))*$E1125*$J1125*$K1125)))</x:f>
        <x:v>774.7462472974502</x:v>
      </x:c>
      <x:c r="H1125" s="11" t="n">
        <x:f>IF($A1125="","",$G1125*$F1125+$C1125*(1-$F1125))</x:f>
        <x:v>820.4111865541075</x:v>
      </x:c>
      <x:c r="I1125" s="11" t="n">
        <x:f>IF($A1125="","",AVERAGE($H1125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821.9171307517275</x:v>
      </x:c>
      <x:c r="J1125" s="12" t="n">
        <x:f>IF($A1125="","",1+SUMIFS(Assumptions!$S$5:$S$10,Assumptions!$P$5:$P$10,$B1125,Assumptions!$Q$5:$Q$10,"&lt;="&amp;$A1125,Assumptions!$R$5:$R$10,"&gt;="&amp;$A1125))</x:f>
        <x:v>1</x:v>
      </x:c>
      <x:c r="K1125" s="12" t="n">
        <x:f>IF($A1125="","",1+((($A1125-Assumptions!$B$5)/30)*INDEX(Assumptions!$J$5:$J$12,MATCH($B1125,Assumptions!$D$5:$D$12,0))))</x:f>
        <x:v>1.0074666666666667</x:v>
      </x:c>
      <x:c r="L1125" t="str">
        <x:f>IF($A1125="","",IFERROR(INDEX(Assumptions!$O$5:$O$10,MATCH(1,(Assumptions!$P$5:$P$10=$B1125)*(Assumptions!$Q$5:$Q$10&lt;=$A1125)*(Assumptions!$R$5:$R$10&gt;=$A1125),0)),""))</x:f>
      </x:c>
      <x:c r="M1125" t="n">
        <x:f>--($A1125&lt;&gt;"")</x:f>
        <x:v>1</x:v>
      </x:c>
    </x:row>
    <x:row r="1126">
      <x:c r="A1126" s="10" t="n">
        <x:f>IF(Assumptions!$B$5+INT((ROW()-2)/Assumptions!$B$7)&gt;Assumptions!$B$6,"",Assumptions!$B$5+INT((ROW()-2)/Assumptions!$B$7))</x:f>
        <x:v>46247</x:v>
      </x:c>
      <x:c r="B1126" t="str">
        <x:f>IF($A1126="","",INDEX(Assumptions!$D$5:$D$12,MOD(ROW()-2,Assumptions!$B$7)+1))</x:f>
        <x:v>Yutani Ridge</x:v>
      </x:c>
      <x:c r="C1126" s="11" t="n">
        <x:f>IF($A1126="","",INDEX(Assumptions!$F$5:$F$12,MATCH($B1126,Assumptions!$D$5:$D$12,0)))</x:f>
        <x:v>1050</x:v>
      </x:c>
      <x:c r="D1126" s="11" t="n">
        <x:f>IF($A1126="","",INDEX(Assumptions!$G$5:$G$12,MATCH($B1126,Assumptions!$D$5:$D$12,0)))</x:f>
        <x:v>125</x:v>
      </x:c>
      <x:c r="E1126" s="11" t="n">
        <x:f>IF($A1126="","",INDEX(Assumptions!$M$5:$M$11,WEEKDAY($A1126,2)))</x:f>
        <x:v>1</x:v>
      </x:c>
      <x:c r="F1126" s="11" t="n">
        <x:f>IF($A1126="","",Assumptions!$B$15)</x:f>
        <x:v>0.35</x:v>
      </x:c>
      <x:c r="G1126" s="11" t="n">
        <x:f>IF($A1126="","",MAX(INDEX(Assumptions!$H$5:$H$12,MATCH($B1126,Assumptions!$D$5:$D$12,0)),MIN(INDEX(Assumptions!$I$5:$I$12,MATCH($B1126,Assumptions!$D$5:$D$12,0)),($C1126+$D1126*SQRT(-2*LN(RAND()))*COS(2*PI()*RAND()))*$E1126*$J1126*$K1126)))</x:f>
        <x:v>1286.1622248438152</x:v>
      </x:c>
      <x:c r="H1126" s="11" t="n">
        <x:f>IF($A1126="","",$G1126*$F1126+$C1126*(1-$F1126))</x:f>
        <x:v>1132.6567786953353</x:v>
      </x:c>
      <x:c r="I1126" s="11" t="n">
        <x:f>IF($A1126="","",AVERAGE($H1126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1063.7778665807084</x:v>
      </x:c>
      <x:c r="J1126" s="12" t="n">
        <x:f>IF($A1126="","",1+SUMIFS(Assumptions!$S$5:$S$10,Assumptions!$P$5:$P$10,$B1126,Assumptions!$Q$5:$Q$10,"&lt;="&amp;$A1126,Assumptions!$R$5:$R$10,"&gt;="&amp;$A1126))</x:f>
        <x:v>1</x:v>
      </x:c>
      <x:c r="K1126" s="12" t="n">
        <x:f>IF($A1126="","",1+((($A1126-Assumptions!$B$5)/30)*INDEX(Assumptions!$J$5:$J$12,MATCH($B1126,Assumptions!$D$5:$D$12,0))))</x:f>
        <x:v>1.0186666666666666</x:v>
      </x:c>
      <x:c r="L1126" t="str">
        <x:f>IF($A1126="","",IFERROR(INDEX(Assumptions!$O$5:$O$10,MATCH(1,(Assumptions!$P$5:$P$10=$B1126)*(Assumptions!$Q$5:$Q$10&lt;=$A1126)*(Assumptions!$R$5:$R$10&gt;=$A1126),0)),""))</x:f>
      </x:c>
      <x:c r="M1126" t="n">
        <x:f>--($A1126&lt;&gt;"")</x:f>
        <x:v>1</x:v>
      </x:c>
    </x:row>
    <x:row r="1127">
      <x:c r="A1127" s="10" t="n">
        <x:f>IF(Assumptions!$B$5+INT((ROW()-2)/Assumptions!$B$7)&gt;Assumptions!$B$6,"",Assumptions!$B$5+INT((ROW()-2)/Assumptions!$B$7))</x:f>
        <x:v>46248</x:v>
      </x:c>
      <x:c r="B1127" t="str">
        <x:f>IF($A1127="","",INDEX(Assumptions!$D$5:$D$12,MOD(ROW()-2,Assumptions!$B$7)+1))</x:f>
        <x:v>Acheron Prime</x:v>
      </x:c>
      <x:c r="C1127" s="11" t="n">
        <x:f>IF($A1127="","",INDEX(Assumptions!$F$5:$F$12,MATCH($B1127,Assumptions!$D$5:$D$12,0)))</x:f>
        <x:v>1120</x:v>
      </x:c>
      <x:c r="D1127" s="11" t="n">
        <x:f>IF($A1127="","",INDEX(Assumptions!$G$5:$G$12,MATCH($B1127,Assumptions!$D$5:$D$12,0)))</x:f>
        <x:v>115</x:v>
      </x:c>
      <x:c r="E1127" s="11" t="n">
        <x:f>IF($A1127="","",INDEX(Assumptions!$M$5:$M$11,WEEKDAY($A1127,2)))</x:f>
        <x:v>0.98</x:v>
      </x:c>
      <x:c r="F1127" s="11" t="n">
        <x:f>IF($A1127="","",Assumptions!$B$15)</x:f>
        <x:v>0.35</x:v>
      </x:c>
      <x:c r="G1127" s="11" t="n">
        <x:f>IF($A1127="","",MAX(INDEX(Assumptions!$H$5:$H$12,MATCH($B1127,Assumptions!$D$5:$D$12,0)),MIN(INDEX(Assumptions!$I$5:$I$12,MATCH($B1127,Assumptions!$D$5:$D$12,0)),($C1127+$D1127*SQRT(-2*LN(RAND()))*COS(2*PI()*RAND()))*$E1127*$J1127*$K1127)))</x:f>
        <x:v>1090.1851011252918</x:v>
      </x:c>
      <x:c r="H1127" s="11" t="n">
        <x:f>IF($A1127="","",$G1127*$F1127+$C1127*(1-$F1127))</x:f>
        <x:v>1109.5647853938522</x:v>
      </x:c>
      <x:c r="I1127" s="11" t="n">
        <x:f>IF($A1127="","",AVERAGE($H1127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1143.8922829091248</x:v>
      </x:c>
      <x:c r="J1127" s="12" t="n">
        <x:f>IF($A1127="","",1+SUMIFS(Assumptions!$S$5:$S$10,Assumptions!$P$5:$P$10,$B1127,Assumptions!$Q$5:$Q$10,"&lt;="&amp;$A1127,Assumptions!$R$5:$R$10,"&gt;="&amp;$A1127))</x:f>
        <x:v>1</x:v>
      </x:c>
      <x:c r="K1127" s="12" t="n">
        <x:f>IF($A1127="","",1+((($A1127-Assumptions!$B$5)/30)*INDEX(Assumptions!$J$5:$J$12,MATCH($B1127,Assumptions!$D$5:$D$12,0))))</x:f>
        <x:v>1.015</x:v>
      </x:c>
      <x:c r="L1127" t="str">
        <x:f>IF($A1127="","",IFERROR(INDEX(Assumptions!$O$5:$O$10,MATCH(1,(Assumptions!$P$5:$P$10=$B1127)*(Assumptions!$Q$5:$Q$10&lt;=$A1127)*(Assumptions!$R$5:$R$10&gt;=$A1127),0)),""))</x:f>
      </x:c>
      <x:c r="M1127" t="n">
        <x:f>--($A1127&lt;&gt;"")</x:f>
        <x:v>1</x:v>
      </x:c>
    </x:row>
    <x:row r="1128">
      <x:c r="A1128" s="10" t="n">
        <x:f>IF(Assumptions!$B$5+INT((ROW()-2)/Assumptions!$B$7)&gt;Assumptions!$B$6,"",Assumptions!$B$5+INT((ROW()-2)/Assumptions!$B$7))</x:f>
        <x:v>46248</x:v>
      </x:c>
      <x:c r="B1128" t="str">
        <x:f>IF($A1128="","",INDEX(Assumptions!$D$5:$D$12,MOD(ROW()-2,Assumptions!$B$7)+1))</x:f>
        <x:v>LV-426 North</x:v>
      </x:c>
      <x:c r="C1128" s="11" t="n">
        <x:f>IF($A1128="","",INDEX(Assumptions!$F$5:$F$12,MATCH($B1128,Assumptions!$D$5:$D$12,0)))</x:f>
        <x:v>930</x:v>
      </x:c>
      <x:c r="D1128" s="11" t="n">
        <x:f>IF($A1128="","",INDEX(Assumptions!$G$5:$G$12,MATCH($B1128,Assumptions!$D$5:$D$12,0)))</x:f>
        <x:v>95</x:v>
      </x:c>
      <x:c r="E1128" s="11" t="n">
        <x:f>IF($A1128="","",INDEX(Assumptions!$M$5:$M$11,WEEKDAY($A1128,2)))</x:f>
        <x:v>0.98</x:v>
      </x:c>
      <x:c r="F1128" s="11" t="n">
        <x:f>IF($A1128="","",Assumptions!$B$15)</x:f>
        <x:v>0.35</x:v>
      </x:c>
      <x:c r="G1128" s="11" t="n">
        <x:f>IF($A1128="","",MAX(INDEX(Assumptions!$H$5:$H$12,MATCH($B1128,Assumptions!$D$5:$D$12,0)),MIN(INDEX(Assumptions!$I$5:$I$12,MATCH($B1128,Assumptions!$D$5:$D$12,0)),($C1128+$D1128*SQRT(-2*LN(RAND()))*COS(2*PI()*RAND()))*$E1128*$J1128*$K1128)))</x:f>
        <x:v>1053.219910254095</x:v>
      </x:c>
      <x:c r="H1128" s="11" t="n">
        <x:f>IF($A1128="","",$G1128*$F1128+$C1128*(1-$F1128))</x:f>
        <x:v>973.1269685889333</x:v>
      </x:c>
      <x:c r="I1128" s="11" t="n">
        <x:f>IF($A1128="","",AVERAGE($H1128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926.374643355052</x:v>
      </x:c>
      <x:c r="J1128" s="12" t="n">
        <x:f>IF($A1128="","",1+SUMIFS(Assumptions!$S$5:$S$10,Assumptions!$P$5:$P$10,$B1128,Assumptions!$Q$5:$Q$10,"&lt;="&amp;$A1128,Assumptions!$R$5:$R$10,"&gt;="&amp;$A1128))</x:f>
        <x:v>1</x:v>
      </x:c>
      <x:c r="K1128" s="12" t="n">
        <x:f>IF($A1128="","",1+((($A1128-Assumptions!$B$5)/30)*INDEX(Assumptions!$J$5:$J$12,MATCH($B1128,Assumptions!$D$5:$D$12,0))))</x:f>
        <x:v>0.9925</x:v>
      </x:c>
      <x:c r="L1128" t="str">
        <x:f>IF($A1128="","",IFERROR(INDEX(Assumptions!$O$5:$O$10,MATCH(1,(Assumptions!$P$5:$P$10=$B1128)*(Assumptions!$Q$5:$Q$10&lt;=$A1128)*(Assumptions!$R$5:$R$10&gt;=$A1128),0)),""))</x:f>
      </x:c>
      <x:c r="M1128" t="n">
        <x:f>--($A1128&lt;&gt;"")</x:f>
        <x:v>1</x:v>
      </x:c>
    </x:row>
    <x:row r="1129">
      <x:c r="A1129" s="10" t="n">
        <x:f>IF(Assumptions!$B$5+INT((ROW()-2)/Assumptions!$B$7)&gt;Assumptions!$B$6,"",Assumptions!$B$5+INT((ROW()-2)/Assumptions!$B$7))</x:f>
        <x:v>46248</x:v>
      </x:c>
      <x:c r="B1129" t="str">
        <x:f>IF($A1129="","",INDEX(Assumptions!$D$5:$D$12,MOD(ROW()-2,Assumptions!$B$7)+1))</x:f>
        <x:v>Nostromo Deep</x:v>
      </x:c>
      <x:c r="C1129" s="11" t="n">
        <x:f>IF($A1129="","",INDEX(Assumptions!$F$5:$F$12,MATCH($B1129,Assumptions!$D$5:$D$12,0)))</x:f>
        <x:v>1260</x:v>
      </x:c>
      <x:c r="D1129" s="11" t="n">
        <x:f>IF($A1129="","",INDEX(Assumptions!$G$5:$G$12,MATCH($B1129,Assumptions!$D$5:$D$12,0)))</x:f>
        <x:v>145</x:v>
      </x:c>
      <x:c r="E1129" s="11" t="n">
        <x:f>IF($A1129="","",INDEX(Assumptions!$M$5:$M$11,WEEKDAY($A1129,2)))</x:f>
        <x:v>0.98</x:v>
      </x:c>
      <x:c r="F1129" s="11" t="n">
        <x:f>IF($A1129="","",Assumptions!$B$15)</x:f>
        <x:v>0.35</x:v>
      </x:c>
      <x:c r="G1129" s="11" t="n">
        <x:f>IF($A1129="","",MAX(INDEX(Assumptions!$H$5:$H$12,MATCH($B1129,Assumptions!$D$5:$D$12,0)),MIN(INDEX(Assumptions!$I$5:$I$12,MATCH($B1129,Assumptions!$D$5:$D$12,0)),($C1129+$D1129*SQRT(-2*LN(RAND()))*COS(2*PI()*RAND()))*$E1129*$J1129*$K1129)))</x:f>
        <x:v>1472.2834394918839</x:v>
      </x:c>
      <x:c r="H1129" s="11" t="n">
        <x:f>IF($A1129="","",$G1129*$F1129+$C1129*(1-$F1129))</x:f>
        <x:v>1334.2992038221594</x:v>
      </x:c>
      <x:c r="I1129" s="11" t="n">
        <x:f>IF($A1129="","",AVERAGE($H1129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1274.6378217307479</x:v>
      </x:c>
      <x:c r="J1129" s="12" t="n">
        <x:f>IF($A1129="","",1+SUMIFS(Assumptions!$S$5:$S$10,Assumptions!$P$5:$P$10,$B1129,Assumptions!$Q$5:$Q$10,"&lt;="&amp;$A1129,Assumptions!$R$5:$R$10,"&gt;="&amp;$A1129))</x:f>
        <x:v>1</x:v>
      </x:c>
      <x:c r="K1129" s="12" t="n">
        <x:f>IF($A1129="","",1+((($A1129-Assumptions!$B$5)/30)*INDEX(Assumptions!$J$5:$J$12,MATCH($B1129,Assumptions!$D$5:$D$12,0))))</x:f>
        <x:v>1.0225</x:v>
      </x:c>
      <x:c r="L1129" t="str">
        <x:f>IF($A1129="","",IFERROR(INDEX(Assumptions!$O$5:$O$10,MATCH(1,(Assumptions!$P$5:$P$10=$B1129)*(Assumptions!$Q$5:$Q$10&lt;=$A1129)*(Assumptions!$R$5:$R$10&gt;=$A1129),0)),""))</x:f>
      </x:c>
      <x:c r="M1129" t="n">
        <x:f>--($A1129&lt;&gt;"")</x:f>
        <x:v>1</x:v>
      </x:c>
    </x:row>
    <x:row r="1130">
      <x:c r="A1130" s="10" t="n">
        <x:f>IF(Assumptions!$B$5+INT((ROW()-2)/Assumptions!$B$7)&gt;Assumptions!$B$6,"",Assumptions!$B$5+INT((ROW()-2)/Assumptions!$B$7))</x:f>
        <x:v>46248</x:v>
      </x:c>
      <x:c r="B1130" t="str">
        <x:f>IF($A1130="","",INDEX(Assumptions!$D$5:$D$12,MOD(ROW()-2,Assumptions!$B$7)+1))</x:f>
        <x:v>Hadley's Hope</x:v>
      </x:c>
      <x:c r="C1130" s="11" t="n">
        <x:f>IF($A1130="","",INDEX(Assumptions!$F$5:$F$12,MATCH($B1130,Assumptions!$D$5:$D$12,0)))</x:f>
        <x:v>845</x:v>
      </x:c>
      <x:c r="D1130" s="11" t="n">
        <x:f>IF($A1130="","",INDEX(Assumptions!$G$5:$G$12,MATCH($B1130,Assumptions!$D$5:$D$12,0)))</x:f>
        <x:v>80</x:v>
      </x:c>
      <x:c r="E1130" s="11" t="n">
        <x:f>IF($A1130="","",INDEX(Assumptions!$M$5:$M$11,WEEKDAY($A1130,2)))</x:f>
        <x:v>0.98</x:v>
      </x:c>
      <x:c r="F1130" s="11" t="n">
        <x:f>IF($A1130="","",Assumptions!$B$15)</x:f>
        <x:v>0.35</x:v>
      </x:c>
      <x:c r="G1130" s="11" t="n">
        <x:f>IF($A1130="","",MAX(INDEX(Assumptions!$H$5:$H$12,MATCH($B1130,Assumptions!$D$5:$D$12,0)),MIN(INDEX(Assumptions!$I$5:$I$12,MATCH($B1130,Assumptions!$D$5:$D$12,0)),($C1130+$D1130*SQRT(-2*LN(RAND()))*COS(2*PI()*RAND()))*$E1130*$J1130*$K1130)))</x:f>
        <x:v>874.6488910444812</x:v>
      </x:c>
      <x:c r="H1130" s="11" t="n">
        <x:f>IF($A1130="","",$G1130*$F1130+$C1130*(1-$F1130))</x:f>
        <x:v>855.3771118655684</x:v>
      </x:c>
      <x:c r="I1130" s="11" t="n">
        <x:f>IF($A1130="","",AVERAGE($H1130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824.8158981392605</x:v>
      </x:c>
      <x:c r="J1130" s="12" t="n">
        <x:f>IF($A1130="","",1+SUMIFS(Assumptions!$S$5:$S$10,Assumptions!$P$5:$P$10,$B1130,Assumptions!$Q$5:$Q$10,"&lt;="&amp;$A1130,Assumptions!$R$5:$R$10,"&gt;="&amp;$A1130))</x:f>
        <x:v>1</x:v>
      </x:c>
      <x:c r="K1130" s="12" t="n">
        <x:f>IF($A1130="","",1+((($A1130-Assumptions!$B$5)/30)*INDEX(Assumptions!$J$5:$J$12,MATCH($B1130,Assumptions!$D$5:$D$12,0))))</x:f>
        <x:v>1.0075</x:v>
      </x:c>
      <x:c r="L1130" t="str">
        <x:f>IF($A1130="","",IFERROR(INDEX(Assumptions!$O$5:$O$10,MATCH(1,(Assumptions!$P$5:$P$10=$B1130)*(Assumptions!$Q$5:$Q$10&lt;=$A1130)*(Assumptions!$R$5:$R$10&gt;=$A1130),0)),""))</x:f>
      </x:c>
      <x:c r="M1130" t="n">
        <x:f>--($A1130&lt;&gt;"")</x:f>
        <x:v>1</x:v>
      </x:c>
    </x:row>
    <x:row r="1131">
      <x:c r="A1131" s="10" t="n">
        <x:f>IF(Assumptions!$B$5+INT((ROW()-2)/Assumptions!$B$7)&gt;Assumptions!$B$6,"",Assumptions!$B$5+INT((ROW()-2)/Assumptions!$B$7))</x:f>
        <x:v>46248</x:v>
      </x:c>
      <x:c r="B1131" t="str">
        <x:f>IF($A1131="","",INDEX(Assumptions!$D$5:$D$12,MOD(ROW()-2,Assumptions!$B$7)+1))</x:f>
        <x:v>Yutani Ridge</x:v>
      </x:c>
      <x:c r="C1131" s="11" t="n">
        <x:f>IF($A1131="","",INDEX(Assumptions!$F$5:$F$12,MATCH($B1131,Assumptions!$D$5:$D$12,0)))</x:f>
        <x:v>1050</x:v>
      </x:c>
      <x:c r="D1131" s="11" t="n">
        <x:f>IF($A1131="","",INDEX(Assumptions!$G$5:$G$12,MATCH($B1131,Assumptions!$D$5:$D$12,0)))</x:f>
        <x:v>125</x:v>
      </x:c>
      <x:c r="E1131" s="11" t="n">
        <x:f>IF($A1131="","",INDEX(Assumptions!$M$5:$M$11,WEEKDAY($A1131,2)))</x:f>
        <x:v>0.98</x:v>
      </x:c>
      <x:c r="F1131" s="11" t="n">
        <x:f>IF($A1131="","",Assumptions!$B$15)</x:f>
        <x:v>0.35</x:v>
      </x:c>
      <x:c r="G1131" s="11" t="n">
        <x:f>IF($A1131="","",MAX(INDEX(Assumptions!$H$5:$H$12,MATCH($B1131,Assumptions!$D$5:$D$12,0)),MIN(INDEX(Assumptions!$I$5:$I$12,MATCH($B1131,Assumptions!$D$5:$D$12,0)),($C1131+$D1131*SQRT(-2*LN(RAND()))*COS(2*PI()*RAND()))*$E1131*$J1131*$K1131)))</x:f>
        <x:v>1225.811102776499</x:v>
      </x:c>
      <x:c r="H1131" s="11" t="n">
        <x:f>IF($A1131="","",$G1131*$F1131+$C1131*(1-$F1131))</x:f>
        <x:v>1111.5338859717747</x:v>
      </x:c>
      <x:c r="I1131" s="11" t="n">
        <x:f>IF($A1131="","",AVERAGE($H1131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1070.2156953684428</x:v>
      </x:c>
      <x:c r="J1131" s="12" t="n">
        <x:f>IF($A1131="","",1+SUMIFS(Assumptions!$S$5:$S$10,Assumptions!$P$5:$P$10,$B1131,Assumptions!$Q$5:$Q$10,"&lt;="&amp;$A1131,Assumptions!$R$5:$R$10,"&gt;="&amp;$A1131))</x:f>
        <x:v>1</x:v>
      </x:c>
      <x:c r="K1131" s="12" t="n">
        <x:f>IF($A1131="","",1+((($A1131-Assumptions!$B$5)/30)*INDEX(Assumptions!$J$5:$J$12,MATCH($B1131,Assumptions!$D$5:$D$12,0))))</x:f>
        <x:v>1.01875</x:v>
      </x:c>
      <x:c r="L1131" t="str">
        <x:f>IF($A1131="","",IFERROR(INDEX(Assumptions!$O$5:$O$10,MATCH(1,(Assumptions!$P$5:$P$10=$B1131)*(Assumptions!$Q$5:$Q$10&lt;=$A1131)*(Assumptions!$R$5:$R$10&gt;=$A1131),0)),""))</x:f>
      </x:c>
      <x:c r="M1131" t="n">
        <x:f>--($A1131&lt;&gt;"")</x:f>
        <x:v>1</x:v>
      </x:c>
    </x:row>
    <x:row r="1132">
      <x:c r="A1132" s="10" t="n">
        <x:f>IF(Assumptions!$B$5+INT((ROW()-2)/Assumptions!$B$7)&gt;Assumptions!$B$6,"",Assumptions!$B$5+INT((ROW()-2)/Assumptions!$B$7))</x:f>
        <x:v>46249</x:v>
      </x:c>
      <x:c r="B1132" t="str">
        <x:f>IF($A1132="","",INDEX(Assumptions!$D$5:$D$12,MOD(ROW()-2,Assumptions!$B$7)+1))</x:f>
        <x:v>Acheron Prime</x:v>
      </x:c>
      <x:c r="C1132" s="11" t="n">
        <x:f>IF($A1132="","",INDEX(Assumptions!$F$5:$F$12,MATCH($B1132,Assumptions!$D$5:$D$12,0)))</x:f>
        <x:v>1120</x:v>
      </x:c>
      <x:c r="D1132" s="11" t="n">
        <x:f>IF($A1132="","",INDEX(Assumptions!$G$5:$G$12,MATCH($B1132,Assumptions!$D$5:$D$12,0)))</x:f>
        <x:v>115</x:v>
      </x:c>
      <x:c r="E1132" s="11" t="n">
        <x:f>IF($A1132="","",INDEX(Assumptions!$M$5:$M$11,WEEKDAY($A1132,2)))</x:f>
        <x:v>0.91</x:v>
      </x:c>
      <x:c r="F1132" s="11" t="n">
        <x:f>IF($A1132="","",Assumptions!$B$15)</x:f>
        <x:v>0.35</x:v>
      </x:c>
      <x:c r="G1132" s="11" t="n">
        <x:f>IF($A1132="","",MAX(INDEX(Assumptions!$H$5:$H$12,MATCH($B1132,Assumptions!$D$5:$D$12,0)),MIN(INDEX(Assumptions!$I$5:$I$12,MATCH($B1132,Assumptions!$D$5:$D$12,0)),($C1132+$D1132*SQRT(-2*LN(RAND()))*COS(2*PI()*RAND()))*$E1132*$J1132*$K1132)))</x:f>
        <x:v>1046.2664132946077</x:v>
      </x:c>
      <x:c r="H1132" s="11" t="n">
        <x:f>IF($A1132="","",$G1132*$F1132+$C1132*(1-$F1132))</x:f>
        <x:v>1094.1932446531127</x:v>
      </x:c>
      <x:c r="I1132" s="11" t="n">
        <x:f>IF($A1132="","",AVERAGE($H1132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1148.4629690115125</x:v>
      </x:c>
      <x:c r="J1132" s="12" t="n">
        <x:f>IF($A1132="","",1+SUMIFS(Assumptions!$S$5:$S$10,Assumptions!$P$5:$P$10,$B1132,Assumptions!$Q$5:$Q$10,"&lt;="&amp;$A1132,Assumptions!$R$5:$R$10,"&gt;="&amp;$A1132))</x:f>
        <x:v>1</x:v>
      </x:c>
      <x:c r="K1132" s="12" t="n">
        <x:f>IF($A1132="","",1+((($A1132-Assumptions!$B$5)/30)*INDEX(Assumptions!$J$5:$J$12,MATCH($B1132,Assumptions!$D$5:$D$12,0))))</x:f>
        <x:v>1.0150666666666666</x:v>
      </x:c>
      <x:c r="L1132" t="str">
        <x:f>IF($A1132="","",IFERROR(INDEX(Assumptions!$O$5:$O$10,MATCH(1,(Assumptions!$P$5:$P$10=$B1132)*(Assumptions!$Q$5:$Q$10&lt;=$A1132)*(Assumptions!$R$5:$R$10&gt;=$A1132),0)),""))</x:f>
      </x:c>
      <x:c r="M1132" t="n">
        <x:f>--($A1132&lt;&gt;"")</x:f>
        <x:v>1</x:v>
      </x:c>
    </x:row>
    <x:row r="1133">
      <x:c r="A1133" s="10" t="n">
        <x:f>IF(Assumptions!$B$5+INT((ROW()-2)/Assumptions!$B$7)&gt;Assumptions!$B$6,"",Assumptions!$B$5+INT((ROW()-2)/Assumptions!$B$7))</x:f>
        <x:v>46249</x:v>
      </x:c>
      <x:c r="B1133" t="str">
        <x:f>IF($A1133="","",INDEX(Assumptions!$D$5:$D$12,MOD(ROW()-2,Assumptions!$B$7)+1))</x:f>
        <x:v>LV-426 North</x:v>
      </x:c>
      <x:c r="C1133" s="11" t="n">
        <x:f>IF($A1133="","",INDEX(Assumptions!$F$5:$F$12,MATCH($B1133,Assumptions!$D$5:$D$12,0)))</x:f>
        <x:v>930</x:v>
      </x:c>
      <x:c r="D1133" s="11" t="n">
        <x:f>IF($A1133="","",INDEX(Assumptions!$G$5:$G$12,MATCH($B1133,Assumptions!$D$5:$D$12,0)))</x:f>
        <x:v>95</x:v>
      </x:c>
      <x:c r="E1133" s="11" t="n">
        <x:f>IF($A1133="","",INDEX(Assumptions!$M$5:$M$11,WEEKDAY($A1133,2)))</x:f>
        <x:v>0.91</x:v>
      </x:c>
      <x:c r="F1133" s="11" t="n">
        <x:f>IF($A1133="","",Assumptions!$B$15)</x:f>
        <x:v>0.35</x:v>
      </x:c>
      <x:c r="G1133" s="11" t="n">
        <x:f>IF($A1133="","",MAX(INDEX(Assumptions!$H$5:$H$12,MATCH($B1133,Assumptions!$D$5:$D$12,0)),MIN(INDEX(Assumptions!$I$5:$I$12,MATCH($B1133,Assumptions!$D$5:$D$12,0)),($C1133+$D1133*SQRT(-2*LN(RAND()))*COS(2*PI()*RAND()))*$E1133*$J1133*$K1133)))</x:f>
        <x:v>807.5946431183894</x:v>
      </x:c>
      <x:c r="H1133" s="11" t="n">
        <x:f>IF($A1133="","",$G1133*$F1133+$C1133*(1-$F1133))</x:f>
        <x:v>887.1581250914362</x:v>
      </x:c>
      <x:c r="I1133" s="11" t="n">
        <x:f>IF($A1133="","",AVERAGE($H1133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929.7440086019611</x:v>
      </x:c>
      <x:c r="J1133" s="12" t="n">
        <x:f>IF($A1133="","",1+SUMIFS(Assumptions!$S$5:$S$10,Assumptions!$P$5:$P$10,$B1133,Assumptions!$Q$5:$Q$10,"&lt;="&amp;$A1133,Assumptions!$R$5:$R$10,"&gt;="&amp;$A1133))</x:f>
        <x:v>1</x:v>
      </x:c>
      <x:c r="K1133" s="12" t="n">
        <x:f>IF($A1133="","",1+((($A1133-Assumptions!$B$5)/30)*INDEX(Assumptions!$J$5:$J$12,MATCH($B1133,Assumptions!$D$5:$D$12,0))))</x:f>
        <x:v>0.9924666666666667</x:v>
      </x:c>
      <x:c r="L1133" t="str">
        <x:f>IF($A1133="","",IFERROR(INDEX(Assumptions!$O$5:$O$10,MATCH(1,(Assumptions!$P$5:$P$10=$B1133)*(Assumptions!$Q$5:$Q$10&lt;=$A1133)*(Assumptions!$R$5:$R$10&gt;=$A1133),0)),""))</x:f>
      </x:c>
      <x:c r="M1133" t="n">
        <x:f>--($A1133&lt;&gt;"")</x:f>
        <x:v>1</x:v>
      </x:c>
    </x:row>
    <x:row r="1134">
      <x:c r="A1134" s="10" t="n">
        <x:f>IF(Assumptions!$B$5+INT((ROW()-2)/Assumptions!$B$7)&gt;Assumptions!$B$6,"",Assumptions!$B$5+INT((ROW()-2)/Assumptions!$B$7))</x:f>
        <x:v>46249</x:v>
      </x:c>
      <x:c r="B1134" t="str">
        <x:f>IF($A1134="","",INDEX(Assumptions!$D$5:$D$12,MOD(ROW()-2,Assumptions!$B$7)+1))</x:f>
        <x:v>Nostromo Deep</x:v>
      </x:c>
      <x:c r="C1134" s="11" t="n">
        <x:f>IF($A1134="","",INDEX(Assumptions!$F$5:$F$12,MATCH($B1134,Assumptions!$D$5:$D$12,0)))</x:f>
        <x:v>1260</x:v>
      </x:c>
      <x:c r="D1134" s="11" t="n">
        <x:f>IF($A1134="","",INDEX(Assumptions!$G$5:$G$12,MATCH($B1134,Assumptions!$D$5:$D$12,0)))</x:f>
        <x:v>145</x:v>
      </x:c>
      <x:c r="E1134" s="11" t="n">
        <x:f>IF($A1134="","",INDEX(Assumptions!$M$5:$M$11,WEEKDAY($A1134,2)))</x:f>
        <x:v>0.91</x:v>
      </x:c>
      <x:c r="F1134" s="11" t="n">
        <x:f>IF($A1134="","",Assumptions!$B$15)</x:f>
        <x:v>0.35</x:v>
      </x:c>
      <x:c r="G1134" s="11" t="n">
        <x:f>IF($A1134="","",MAX(INDEX(Assumptions!$H$5:$H$12,MATCH($B1134,Assumptions!$D$5:$D$12,0)),MIN(INDEX(Assumptions!$I$5:$I$12,MATCH($B1134,Assumptions!$D$5:$D$12,0)),($C1134+$D1134*SQRT(-2*LN(RAND()))*COS(2*PI()*RAND()))*$E1134*$J1134*$K1134)))</x:f>
        <x:v>1084.7798010263705</x:v>
      </x:c>
      <x:c r="H1134" s="11" t="n">
        <x:f>IF($A1134="","",$G1134*$F1134+$C1134*(1-$F1134))</x:f>
        <x:v>1198.6729303592297</x:v>
      </x:c>
      <x:c r="I1134" s="11" t="n">
        <x:f>IF($A1134="","",AVERAGE($H1134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1267.931869919761</x:v>
      </x:c>
      <x:c r="J1134" s="12" t="n">
        <x:f>IF($A1134="","",1+SUMIFS(Assumptions!$S$5:$S$10,Assumptions!$P$5:$P$10,$B1134,Assumptions!$Q$5:$Q$10,"&lt;="&amp;$A1134,Assumptions!$R$5:$R$10,"&gt;="&amp;$A1134))</x:f>
        <x:v>1</x:v>
      </x:c>
      <x:c r="K1134" s="12" t="n">
        <x:f>IF($A1134="","",1+((($A1134-Assumptions!$B$5)/30)*INDEX(Assumptions!$J$5:$J$12,MATCH($B1134,Assumptions!$D$5:$D$12,0))))</x:f>
        <x:v>1.0226</x:v>
      </x:c>
      <x:c r="L1134" t="str">
        <x:f>IF($A1134="","",IFERROR(INDEX(Assumptions!$O$5:$O$10,MATCH(1,(Assumptions!$P$5:$P$10=$B1134)*(Assumptions!$Q$5:$Q$10&lt;=$A1134)*(Assumptions!$R$5:$R$10&gt;=$A1134),0)),""))</x:f>
      </x:c>
      <x:c r="M1134" t="n">
        <x:f>--($A1134&lt;&gt;"")</x:f>
        <x:v>1</x:v>
      </x:c>
    </x:row>
    <x:row r="1135">
      <x:c r="A1135" s="10" t="n">
        <x:f>IF(Assumptions!$B$5+INT((ROW()-2)/Assumptions!$B$7)&gt;Assumptions!$B$6,"",Assumptions!$B$5+INT((ROW()-2)/Assumptions!$B$7))</x:f>
        <x:v>46249</x:v>
      </x:c>
      <x:c r="B1135" t="str">
        <x:f>IF($A1135="","",INDEX(Assumptions!$D$5:$D$12,MOD(ROW()-2,Assumptions!$B$7)+1))</x:f>
        <x:v>Hadley's Hope</x:v>
      </x:c>
      <x:c r="C1135" s="11" t="n">
        <x:f>IF($A1135="","",INDEX(Assumptions!$F$5:$F$12,MATCH($B1135,Assumptions!$D$5:$D$12,0)))</x:f>
        <x:v>845</x:v>
      </x:c>
      <x:c r="D1135" s="11" t="n">
        <x:f>IF($A1135="","",INDEX(Assumptions!$G$5:$G$12,MATCH($B1135,Assumptions!$D$5:$D$12,0)))</x:f>
        <x:v>80</x:v>
      </x:c>
      <x:c r="E1135" s="11" t="n">
        <x:f>IF($A1135="","",INDEX(Assumptions!$M$5:$M$11,WEEKDAY($A1135,2)))</x:f>
        <x:v>0.91</x:v>
      </x:c>
      <x:c r="F1135" s="11" t="n">
        <x:f>IF($A1135="","",Assumptions!$B$15)</x:f>
        <x:v>0.35</x:v>
      </x:c>
      <x:c r="G1135" s="11" t="n">
        <x:f>IF($A1135="","",MAX(INDEX(Assumptions!$H$5:$H$12,MATCH($B1135,Assumptions!$D$5:$D$12,0)),MIN(INDEX(Assumptions!$I$5:$I$12,MATCH($B1135,Assumptions!$D$5:$D$12,0)),($C1135+$D1135*SQRT(-2*LN(RAND()))*COS(2*PI()*RAND()))*$E1135*$J1135*$K1135)))</x:f>
        <x:v>788.2859350810738</x:v>
      </x:c>
      <x:c r="H1135" s="11" t="n">
        <x:f>IF($A1135="","",$G1135*$F1135+$C1135*(1-$F1135))</x:f>
        <x:v>825.1500772783759</x:v>
      </x:c>
      <x:c r="I1135" s="11" t="n">
        <x:f>IF($A1135="","",AVERAGE($H1135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829.026013539276</x:v>
      </x:c>
      <x:c r="J1135" s="12" t="n">
        <x:f>IF($A1135="","",1+SUMIFS(Assumptions!$S$5:$S$10,Assumptions!$P$5:$P$10,$B1135,Assumptions!$Q$5:$Q$10,"&lt;="&amp;$A1135,Assumptions!$R$5:$R$10,"&gt;="&amp;$A1135))</x:f>
        <x:v>1</x:v>
      </x:c>
      <x:c r="K1135" s="12" t="n">
        <x:f>IF($A1135="","",1+((($A1135-Assumptions!$B$5)/30)*INDEX(Assumptions!$J$5:$J$12,MATCH($B1135,Assumptions!$D$5:$D$12,0))))</x:f>
        <x:v>1.0075333333333334</x:v>
      </x:c>
      <x:c r="L1135" t="str">
        <x:f>IF($A1135="","",IFERROR(INDEX(Assumptions!$O$5:$O$10,MATCH(1,(Assumptions!$P$5:$P$10=$B1135)*(Assumptions!$Q$5:$Q$10&lt;=$A1135)*(Assumptions!$R$5:$R$10&gt;=$A1135),0)),""))</x:f>
      </x:c>
      <x:c r="M1135" t="n">
        <x:f>--($A1135&lt;&gt;"")</x:f>
        <x:v>1</x:v>
      </x:c>
    </x:row>
    <x:row r="1136">
      <x:c r="A1136" s="10" t="n">
        <x:f>IF(Assumptions!$B$5+INT((ROW()-2)/Assumptions!$B$7)&gt;Assumptions!$B$6,"",Assumptions!$B$5+INT((ROW()-2)/Assumptions!$B$7))</x:f>
        <x:v>46249</x:v>
      </x:c>
      <x:c r="B1136" t="str">
        <x:f>IF($A1136="","",INDEX(Assumptions!$D$5:$D$12,MOD(ROW()-2,Assumptions!$B$7)+1))</x:f>
        <x:v>Yutani Ridge</x:v>
      </x:c>
      <x:c r="C1136" s="11" t="n">
        <x:f>IF($A1136="","",INDEX(Assumptions!$F$5:$F$12,MATCH($B1136,Assumptions!$D$5:$D$12,0)))</x:f>
        <x:v>1050</x:v>
      </x:c>
      <x:c r="D1136" s="11" t="n">
        <x:f>IF($A1136="","",INDEX(Assumptions!$G$5:$G$12,MATCH($B1136,Assumptions!$D$5:$D$12,0)))</x:f>
        <x:v>125</x:v>
      </x:c>
      <x:c r="E1136" s="11" t="n">
        <x:f>IF($A1136="","",INDEX(Assumptions!$M$5:$M$11,WEEKDAY($A1136,2)))</x:f>
        <x:v>0.91</x:v>
      </x:c>
      <x:c r="F1136" s="11" t="n">
        <x:f>IF($A1136="","",Assumptions!$B$15)</x:f>
        <x:v>0.35</x:v>
      </x:c>
      <x:c r="G1136" s="11" t="n">
        <x:f>IF($A1136="","",MAX(INDEX(Assumptions!$H$5:$H$12,MATCH($B1136,Assumptions!$D$5:$D$12,0)),MIN(INDEX(Assumptions!$I$5:$I$12,MATCH($B1136,Assumptions!$D$5:$D$12,0)),($C1136+$D1136*SQRT(-2*LN(RAND()))*COS(2*PI()*RAND()))*$E1136*$J1136*$K1136)))</x:f>
        <x:v>1306.4057490802847</x:v>
      </x:c>
      <x:c r="H1136" s="11" t="n">
        <x:f>IF($A1136="","",$G1136*$F1136+$C1136*(1-$F1136))</x:f>
        <x:v>1139.7420121780997</x:v>
      </x:c>
      <x:c r="I1136" s="11" t="n">
        <x:f>IF($A1136="","",AVERAGE($H1136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1086.4387918261518</x:v>
      </x:c>
      <x:c r="J1136" s="12" t="n">
        <x:f>IF($A1136="","",1+SUMIFS(Assumptions!$S$5:$S$10,Assumptions!$P$5:$P$10,$B1136,Assumptions!$Q$5:$Q$10,"&lt;="&amp;$A1136,Assumptions!$R$5:$R$10,"&gt;="&amp;$A1136))</x:f>
        <x:v>1.22</x:v>
      </x:c>
      <x:c r="K1136" s="12" t="n">
        <x:f>IF($A1136="","",1+((($A1136-Assumptions!$B$5)/30)*INDEX(Assumptions!$J$5:$J$12,MATCH($B1136,Assumptions!$D$5:$D$12,0))))</x:f>
        <x:v>1.0188333333333333</x:v>
      </x:c>
      <x:c r="L1136" t="str">
        <x:f>IF($A1136="","",IFERROR(INDEX(Assumptions!$O$5:$O$10,MATCH(1,(Assumptions!$P$5:$P$10=$B1136)*(Assumptions!$Q$5:$Q$10&lt;=$A1136)*(Assumptions!$R$5:$R$10&gt;=$A1136),0)),""))</x:f>
        <x:v>Equipment upgrade</x:v>
      </x:c>
      <x:c r="M1136" t="n">
        <x:f>--($A1136&lt;&gt;"")</x:f>
        <x:v>1</x:v>
      </x:c>
    </x:row>
    <x:row r="1137">
      <x:c r="A1137" s="10" t="n">
        <x:f>IF(Assumptions!$B$5+INT((ROW()-2)/Assumptions!$B$7)&gt;Assumptions!$B$6,"",Assumptions!$B$5+INT((ROW()-2)/Assumptions!$B$7))</x:f>
        <x:v>46250</x:v>
      </x:c>
      <x:c r="B1137" t="str">
        <x:f>IF($A1137="","",INDEX(Assumptions!$D$5:$D$12,MOD(ROW()-2,Assumptions!$B$7)+1))</x:f>
        <x:v>Acheron Prime</x:v>
      </x:c>
      <x:c r="C1137" s="11" t="n">
        <x:f>IF($A1137="","",INDEX(Assumptions!$F$5:$F$12,MATCH($B1137,Assumptions!$D$5:$D$12,0)))</x:f>
        <x:v>1120</x:v>
      </x:c>
      <x:c r="D1137" s="11" t="n">
        <x:f>IF($A1137="","",INDEX(Assumptions!$G$5:$G$12,MATCH($B1137,Assumptions!$D$5:$D$12,0)))</x:f>
        <x:v>115</x:v>
      </x:c>
      <x:c r="E1137" s="11" t="n">
        <x:f>IF($A1137="","",INDEX(Assumptions!$M$5:$M$11,WEEKDAY($A1137,2)))</x:f>
        <x:v>0.87</x:v>
      </x:c>
      <x:c r="F1137" s="11" t="n">
        <x:f>IF($A1137="","",Assumptions!$B$15)</x:f>
        <x:v>0.35</x:v>
      </x:c>
      <x:c r="G1137" s="11" t="n">
        <x:f>IF($A1137="","",MAX(INDEX(Assumptions!$H$5:$H$12,MATCH($B1137,Assumptions!$D$5:$D$12,0)),MIN(INDEX(Assumptions!$I$5:$I$12,MATCH($B1137,Assumptions!$D$5:$D$12,0)),($C1137+$D1137*SQRT(-2*LN(RAND()))*COS(2*PI()*RAND()))*$E1137*$J1137*$K1137)))</x:f>
        <x:v>1121.0234281041242</x:v>
      </x:c>
      <x:c r="H1137" s="11" t="n">
        <x:f>IF($A1137="","",$G1137*$F1137+$C1137*(1-$F1137))</x:f>
        <x:v>1120.3581998364434</x:v>
      </x:c>
      <x:c r="I1137" s="11" t="n">
        <x:f>IF($A1137="","",AVERAGE($H1137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1144.6655395056544</x:v>
      </x:c>
      <x:c r="J1137" s="12" t="n">
        <x:f>IF($A1137="","",1+SUMIFS(Assumptions!$S$5:$S$10,Assumptions!$P$5:$P$10,$B1137,Assumptions!$Q$5:$Q$10,"&lt;="&amp;$A1137,Assumptions!$R$5:$R$10,"&gt;="&amp;$A1137))</x:f>
        <x:v>1</x:v>
      </x:c>
      <x:c r="K1137" s="12" t="n">
        <x:f>IF($A1137="","",1+((($A1137-Assumptions!$B$5)/30)*INDEX(Assumptions!$J$5:$J$12,MATCH($B1137,Assumptions!$D$5:$D$12,0))))</x:f>
        <x:v>1.0151333333333334</x:v>
      </x:c>
      <x:c r="L1137" t="str">
        <x:f>IF($A1137="","",IFERROR(INDEX(Assumptions!$O$5:$O$10,MATCH(1,(Assumptions!$P$5:$P$10=$B1137)*(Assumptions!$Q$5:$Q$10&lt;=$A1137)*(Assumptions!$R$5:$R$10&gt;=$A1137),0)),""))</x:f>
      </x:c>
      <x:c r="M1137" t="n">
        <x:f>--($A1137&lt;&gt;"")</x:f>
        <x:v>1</x:v>
      </x:c>
    </x:row>
    <x:row r="1138">
      <x:c r="A1138" s="10" t="n">
        <x:f>IF(Assumptions!$B$5+INT((ROW()-2)/Assumptions!$B$7)&gt;Assumptions!$B$6,"",Assumptions!$B$5+INT((ROW()-2)/Assumptions!$B$7))</x:f>
        <x:v>46250</x:v>
      </x:c>
      <x:c r="B1138" t="str">
        <x:f>IF($A1138="","",INDEX(Assumptions!$D$5:$D$12,MOD(ROW()-2,Assumptions!$B$7)+1))</x:f>
        <x:v>LV-426 North</x:v>
      </x:c>
      <x:c r="C1138" s="11" t="n">
        <x:f>IF($A1138="","",INDEX(Assumptions!$F$5:$F$12,MATCH($B1138,Assumptions!$D$5:$D$12,0)))</x:f>
        <x:v>930</x:v>
      </x:c>
      <x:c r="D1138" s="11" t="n">
        <x:f>IF($A1138="","",INDEX(Assumptions!$G$5:$G$12,MATCH($B1138,Assumptions!$D$5:$D$12,0)))</x:f>
        <x:v>95</x:v>
      </x:c>
      <x:c r="E1138" s="11" t="n">
        <x:f>IF($A1138="","",INDEX(Assumptions!$M$5:$M$11,WEEKDAY($A1138,2)))</x:f>
        <x:v>0.87</x:v>
      </x:c>
      <x:c r="F1138" s="11" t="n">
        <x:f>IF($A1138="","",Assumptions!$B$15)</x:f>
        <x:v>0.35</x:v>
      </x:c>
      <x:c r="G1138" s="11" t="n">
        <x:f>IF($A1138="","",MAX(INDEX(Assumptions!$H$5:$H$12,MATCH($B1138,Assumptions!$D$5:$D$12,0)),MIN(INDEX(Assumptions!$I$5:$I$12,MATCH($B1138,Assumptions!$D$5:$D$12,0)),($C1138+$D1138*SQRT(-2*LN(RAND()))*COS(2*PI()*RAND()))*$E1138*$J1138*$K1138)))</x:f>
        <x:v>859.6057895726248</x:v>
      </x:c>
      <x:c r="H1138" s="11" t="n">
        <x:f>IF($A1138="","",$G1138*$F1138+$C1138*(1-$F1138))</x:f>
        <x:v>905.3620263504187</x:v>
      </x:c>
      <x:c r="I1138" s="11" t="n">
        <x:f>IF($A1138="","",AVERAGE($H1138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934.1477936090052</x:v>
      </x:c>
      <x:c r="J1138" s="12" t="n">
        <x:f>IF($A1138="","",1+SUMIFS(Assumptions!$S$5:$S$10,Assumptions!$P$5:$P$10,$B1138,Assumptions!$Q$5:$Q$10,"&lt;="&amp;$A1138,Assumptions!$R$5:$R$10,"&gt;="&amp;$A1138))</x:f>
        <x:v>1</x:v>
      </x:c>
      <x:c r="K1138" s="12" t="n">
        <x:f>IF($A1138="","",1+((($A1138-Assumptions!$B$5)/30)*INDEX(Assumptions!$J$5:$J$12,MATCH($B1138,Assumptions!$D$5:$D$12,0))))</x:f>
        <x:v>0.9924333333333333</x:v>
      </x:c>
      <x:c r="L1138" t="str">
        <x:f>IF($A1138="","",IFERROR(INDEX(Assumptions!$O$5:$O$10,MATCH(1,(Assumptions!$P$5:$P$10=$B1138)*(Assumptions!$Q$5:$Q$10&lt;=$A1138)*(Assumptions!$R$5:$R$10&gt;=$A1138),0)),""))</x:f>
      </x:c>
      <x:c r="M1138" t="n">
        <x:f>--($A1138&lt;&gt;"")</x:f>
        <x:v>1</x:v>
      </x:c>
    </x:row>
    <x:row r="1139">
      <x:c r="A1139" s="10" t="n">
        <x:f>IF(Assumptions!$B$5+INT((ROW()-2)/Assumptions!$B$7)&gt;Assumptions!$B$6,"",Assumptions!$B$5+INT((ROW()-2)/Assumptions!$B$7))</x:f>
        <x:v>46250</x:v>
      </x:c>
      <x:c r="B1139" t="str">
        <x:f>IF($A1139="","",INDEX(Assumptions!$D$5:$D$12,MOD(ROW()-2,Assumptions!$B$7)+1))</x:f>
        <x:v>Nostromo Deep</x:v>
      </x:c>
      <x:c r="C1139" s="11" t="n">
        <x:f>IF($A1139="","",INDEX(Assumptions!$F$5:$F$12,MATCH($B1139,Assumptions!$D$5:$D$12,0)))</x:f>
        <x:v>1260</x:v>
      </x:c>
      <x:c r="D1139" s="11" t="n">
        <x:f>IF($A1139="","",INDEX(Assumptions!$G$5:$G$12,MATCH($B1139,Assumptions!$D$5:$D$12,0)))</x:f>
        <x:v>145</x:v>
      </x:c>
      <x:c r="E1139" s="11" t="n">
        <x:f>IF($A1139="","",INDEX(Assumptions!$M$5:$M$11,WEEKDAY($A1139,2)))</x:f>
        <x:v>0.87</x:v>
      </x:c>
      <x:c r="F1139" s="11" t="n">
        <x:f>IF($A1139="","",Assumptions!$B$15)</x:f>
        <x:v>0.35</x:v>
      </x:c>
      <x:c r="G1139" s="11" t="n">
        <x:f>IF($A1139="","",MAX(INDEX(Assumptions!$H$5:$H$12,MATCH($B1139,Assumptions!$D$5:$D$12,0)),MIN(INDEX(Assumptions!$I$5:$I$12,MATCH($B1139,Assumptions!$D$5:$D$12,0)),($C1139+$D1139*SQRT(-2*LN(RAND()))*COS(2*PI()*RAND()))*$E1139*$J1139*$K1139)))</x:f>
        <x:v>1336.7681353271676</x:v>
      </x:c>
      <x:c r="H1139" s="11" t="n">
        <x:f>IF($A1139="","",$G1139*$F1139+$C1139*(1-$F1139))</x:f>
        <x:v>1286.8688473645086</x:v>
      </x:c>
      <x:c r="I1139" s="11" t="n">
        <x:f>IF($A1139="","",AVERAGE($H1139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1275.516621010772</x:v>
      </x:c>
      <x:c r="J1139" s="12" t="n">
        <x:f>IF($A1139="","",1+SUMIFS(Assumptions!$S$5:$S$10,Assumptions!$P$5:$P$10,$B1139,Assumptions!$Q$5:$Q$10,"&lt;="&amp;$A1139,Assumptions!$R$5:$R$10,"&gt;="&amp;$A1139))</x:f>
        <x:v>1</x:v>
      </x:c>
      <x:c r="K1139" s="12" t="n">
        <x:f>IF($A1139="","",1+((($A1139-Assumptions!$B$5)/30)*INDEX(Assumptions!$J$5:$J$12,MATCH($B1139,Assumptions!$D$5:$D$12,0))))</x:f>
        <x:v>1.0227</x:v>
      </x:c>
      <x:c r="L1139" t="str">
        <x:f>IF($A1139="","",IFERROR(INDEX(Assumptions!$O$5:$O$10,MATCH(1,(Assumptions!$P$5:$P$10=$B1139)*(Assumptions!$Q$5:$Q$10&lt;=$A1139)*(Assumptions!$R$5:$R$10&gt;=$A1139),0)),""))</x:f>
      </x:c>
      <x:c r="M1139" t="n">
        <x:f>--($A1139&lt;&gt;"")</x:f>
        <x:v>1</x:v>
      </x:c>
    </x:row>
    <x:row r="1140">
      <x:c r="A1140" s="10" t="n">
        <x:f>IF(Assumptions!$B$5+INT((ROW()-2)/Assumptions!$B$7)&gt;Assumptions!$B$6,"",Assumptions!$B$5+INT((ROW()-2)/Assumptions!$B$7))</x:f>
        <x:v>46250</x:v>
      </x:c>
      <x:c r="B1140" t="str">
        <x:f>IF($A1140="","",INDEX(Assumptions!$D$5:$D$12,MOD(ROW()-2,Assumptions!$B$7)+1))</x:f>
        <x:v>Hadley's Hope</x:v>
      </x:c>
      <x:c r="C1140" s="11" t="n">
        <x:f>IF($A1140="","",INDEX(Assumptions!$F$5:$F$12,MATCH($B1140,Assumptions!$D$5:$D$12,0)))</x:f>
        <x:v>845</x:v>
      </x:c>
      <x:c r="D1140" s="11" t="n">
        <x:f>IF($A1140="","",INDEX(Assumptions!$G$5:$G$12,MATCH($B1140,Assumptions!$D$5:$D$12,0)))</x:f>
        <x:v>80</x:v>
      </x:c>
      <x:c r="E1140" s="11" t="n">
        <x:f>IF($A1140="","",INDEX(Assumptions!$M$5:$M$11,WEEKDAY($A1140,2)))</x:f>
        <x:v>0.87</x:v>
      </x:c>
      <x:c r="F1140" s="11" t="n">
        <x:f>IF($A1140="","",Assumptions!$B$15)</x:f>
        <x:v>0.35</x:v>
      </x:c>
      <x:c r="G1140" s="11" t="n">
        <x:f>IF($A1140="","",MAX(INDEX(Assumptions!$H$5:$H$12,MATCH($B1140,Assumptions!$D$5:$D$12,0)),MIN(INDEX(Assumptions!$I$5:$I$12,MATCH($B1140,Assumptions!$D$5:$D$12,0)),($C1140+$D1140*SQRT(-2*LN(RAND()))*COS(2*PI()*RAND()))*$E1140*$J1140*$K1140)))</x:f>
        <x:v>781.0598410932963</x:v>
      </x:c>
      <x:c r="H1140" s="11" t="n">
        <x:f>IF($A1140="","",$G1140*$F1140+$C1140*(1-$F1140))</x:f>
        <x:v>822.6209443826538</x:v>
      </x:c>
      <x:c r="I1140" s="11" t="n">
        <x:f>IF($A1140="","",AVERAGE($H1140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833.3365516245876</x:v>
      </x:c>
      <x:c r="J1140" s="12" t="n">
        <x:f>IF($A1140="","",1+SUMIFS(Assumptions!$S$5:$S$10,Assumptions!$P$5:$P$10,$B1140,Assumptions!$Q$5:$Q$10,"&lt;="&amp;$A1140,Assumptions!$R$5:$R$10,"&gt;="&amp;$A1140))</x:f>
        <x:v>1</x:v>
      </x:c>
      <x:c r="K1140" s="12" t="n">
        <x:f>IF($A1140="","",1+((($A1140-Assumptions!$B$5)/30)*INDEX(Assumptions!$J$5:$J$12,MATCH($B1140,Assumptions!$D$5:$D$12,0))))</x:f>
        <x:v>1.0075666666666667</x:v>
      </x:c>
      <x:c r="L1140" t="str">
        <x:f>IF($A1140="","",IFERROR(INDEX(Assumptions!$O$5:$O$10,MATCH(1,(Assumptions!$P$5:$P$10=$B1140)*(Assumptions!$Q$5:$Q$10&lt;=$A1140)*(Assumptions!$R$5:$R$10&gt;=$A1140),0)),""))</x:f>
      </x:c>
      <x:c r="M1140" t="n">
        <x:f>--($A1140&lt;&gt;"")</x:f>
        <x:v>1</x:v>
      </x:c>
    </x:row>
    <x:row r="1141">
      <x:c r="A1141" s="10" t="n">
        <x:f>IF(Assumptions!$B$5+INT((ROW()-2)/Assumptions!$B$7)&gt;Assumptions!$B$6,"",Assumptions!$B$5+INT((ROW()-2)/Assumptions!$B$7))</x:f>
        <x:v>46250</x:v>
      </x:c>
      <x:c r="B1141" t="str">
        <x:f>IF($A1141="","",INDEX(Assumptions!$D$5:$D$12,MOD(ROW()-2,Assumptions!$B$7)+1))</x:f>
        <x:v>Yutani Ridge</x:v>
      </x:c>
      <x:c r="C1141" s="11" t="n">
        <x:f>IF($A1141="","",INDEX(Assumptions!$F$5:$F$12,MATCH($B1141,Assumptions!$D$5:$D$12,0)))</x:f>
        <x:v>1050</x:v>
      </x:c>
      <x:c r="D1141" s="11" t="n">
        <x:f>IF($A1141="","",INDEX(Assumptions!$G$5:$G$12,MATCH($B1141,Assumptions!$D$5:$D$12,0)))</x:f>
        <x:v>125</x:v>
      </x:c>
      <x:c r="E1141" s="11" t="n">
        <x:f>IF($A1141="","",INDEX(Assumptions!$M$5:$M$11,WEEKDAY($A1141,2)))</x:f>
        <x:v>0.87</x:v>
      </x:c>
      <x:c r="F1141" s="11" t="n">
        <x:f>IF($A1141="","",Assumptions!$B$15)</x:f>
        <x:v>0.35</x:v>
      </x:c>
      <x:c r="G1141" s="11" t="n">
        <x:f>IF($A1141="","",MAX(INDEX(Assumptions!$H$5:$H$12,MATCH($B1141,Assumptions!$D$5:$D$12,0)),MIN(INDEX(Assumptions!$I$5:$I$12,MATCH($B1141,Assumptions!$D$5:$D$12,0)),($C1141+$D1141*SQRT(-2*LN(RAND()))*COS(2*PI()*RAND()))*$E1141*$J1141*$K1141)))</x:f>
        <x:v>990.1476351810917</x:v>
      </x:c>
      <x:c r="H1141" s="11" t="n">
        <x:f>IF($A1141="","",$G1141*$F1141+$C1141*(1-$F1141))</x:f>
        <x:v>1029.0516723133821</x:v>
      </x:c>
      <x:c r="I1141" s="11" t="n">
        <x:f>IF($A1141="","",AVERAGE($H1141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1084.6735748568788</x:v>
      </x:c>
      <x:c r="J1141" s="12" t="n">
        <x:f>IF($A1141="","",1+SUMIFS(Assumptions!$S$5:$S$10,Assumptions!$P$5:$P$10,$B1141,Assumptions!$Q$5:$Q$10,"&lt;="&amp;$A1141,Assumptions!$R$5:$R$10,"&gt;="&amp;$A1141))</x:f>
        <x:v>1.22</x:v>
      </x:c>
      <x:c r="K1141" s="12" t="n">
        <x:f>IF($A1141="","",1+((($A1141-Assumptions!$B$5)/30)*INDEX(Assumptions!$J$5:$J$12,MATCH($B1141,Assumptions!$D$5:$D$12,0))))</x:f>
        <x:v>1.0189166666666667</x:v>
      </x:c>
      <x:c r="L1141" t="str">
        <x:f>IF($A1141="","",IFERROR(INDEX(Assumptions!$O$5:$O$10,MATCH(1,(Assumptions!$P$5:$P$10=$B1141)*(Assumptions!$Q$5:$Q$10&lt;=$A1141)*(Assumptions!$R$5:$R$10&gt;=$A1141),0)),""))</x:f>
        <x:v>Equipment upgrade</x:v>
      </x:c>
      <x:c r="M1141" t="n">
        <x:f>--($A1141&lt;&gt;"")</x:f>
        <x:v>1</x:v>
      </x:c>
    </x:row>
    <x:row r="1142">
      <x:c r="A1142" s="10" t="n">
        <x:f>IF(Assumptions!$B$5+INT((ROW()-2)/Assumptions!$B$7)&gt;Assumptions!$B$6,"",Assumptions!$B$5+INT((ROW()-2)/Assumptions!$B$7))</x:f>
        <x:v>46251</x:v>
      </x:c>
      <x:c r="B1142" t="str">
        <x:f>IF($A1142="","",INDEX(Assumptions!$D$5:$D$12,MOD(ROW()-2,Assumptions!$B$7)+1))</x:f>
        <x:v>Acheron Prime</x:v>
      </x:c>
      <x:c r="C1142" s="11" t="n">
        <x:f>IF($A1142="","",INDEX(Assumptions!$F$5:$F$12,MATCH($B1142,Assumptions!$D$5:$D$12,0)))</x:f>
        <x:v>1120</x:v>
      </x:c>
      <x:c r="D1142" s="11" t="n">
        <x:f>IF($A1142="","",INDEX(Assumptions!$G$5:$G$12,MATCH($B1142,Assumptions!$D$5:$D$12,0)))</x:f>
        <x:v>115</x:v>
      </x:c>
      <x:c r="E1142" s="11" t="n">
        <x:f>IF($A1142="","",INDEX(Assumptions!$M$5:$M$11,WEEKDAY($A1142,2)))</x:f>
        <x:v>1.03</x:v>
      </x:c>
      <x:c r="F1142" s="11" t="n">
        <x:f>IF($A1142="","",Assumptions!$B$15)</x:f>
        <x:v>0.35</x:v>
      </x:c>
      <x:c r="G1142" s="11" t="n">
        <x:f>IF($A1142="","",MAX(INDEX(Assumptions!$H$5:$H$12,MATCH($B1142,Assumptions!$D$5:$D$12,0)),MIN(INDEX(Assumptions!$I$5:$I$12,MATCH($B1142,Assumptions!$D$5:$D$12,0)),($C1142+$D1142*SQRT(-2*LN(RAND()))*COS(2*PI()*RAND()))*$E1142*$J1142*$K1142)))</x:f>
        <x:v>1361.6575364960042</x:v>
      </x:c>
      <x:c r="H1142" s="11" t="n">
        <x:f>IF($A1142="","",$G1142*$F1142+$C1142*(1-$F1142))</x:f>
        <x:v>1204.5801377736016</x:v>
      </x:c>
      <x:c r="I1142" s="11" t="n">
        <x:f>IF($A1142="","",AVERAGE($H1142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1151.8496461662305</x:v>
      </x:c>
      <x:c r="J1142" s="12" t="n">
        <x:f>IF($A1142="","",1+SUMIFS(Assumptions!$S$5:$S$10,Assumptions!$P$5:$P$10,$B1142,Assumptions!$Q$5:$Q$10,"&lt;="&amp;$A1142,Assumptions!$R$5:$R$10,"&gt;="&amp;$A1142))</x:f>
        <x:v>1</x:v>
      </x:c>
      <x:c r="K1142" s="12" t="n">
        <x:f>IF($A1142="","",1+((($A1142-Assumptions!$B$5)/30)*INDEX(Assumptions!$J$5:$J$12,MATCH($B1142,Assumptions!$D$5:$D$12,0))))</x:f>
        <x:v>1.0152</x:v>
      </x:c>
      <x:c r="L1142" t="str">
        <x:f>IF($A1142="","",IFERROR(INDEX(Assumptions!$O$5:$O$10,MATCH(1,(Assumptions!$P$5:$P$10=$B1142)*(Assumptions!$Q$5:$Q$10&lt;=$A1142)*(Assumptions!$R$5:$R$10&gt;=$A1142),0)),""))</x:f>
      </x:c>
      <x:c r="M1142" t="n">
        <x:f>--($A1142&lt;&gt;"")</x:f>
        <x:v>1</x:v>
      </x:c>
    </x:row>
    <x:row r="1143">
      <x:c r="A1143" s="10" t="n">
        <x:f>IF(Assumptions!$B$5+INT((ROW()-2)/Assumptions!$B$7)&gt;Assumptions!$B$6,"",Assumptions!$B$5+INT((ROW()-2)/Assumptions!$B$7))</x:f>
        <x:v>46251</x:v>
      </x:c>
      <x:c r="B1143" t="str">
        <x:f>IF($A1143="","",INDEX(Assumptions!$D$5:$D$12,MOD(ROW()-2,Assumptions!$B$7)+1))</x:f>
        <x:v>LV-426 North</x:v>
      </x:c>
      <x:c r="C1143" s="11" t="n">
        <x:f>IF($A1143="","",INDEX(Assumptions!$F$5:$F$12,MATCH($B1143,Assumptions!$D$5:$D$12,0)))</x:f>
        <x:v>930</x:v>
      </x:c>
      <x:c r="D1143" s="11" t="n">
        <x:f>IF($A1143="","",INDEX(Assumptions!$G$5:$G$12,MATCH($B1143,Assumptions!$D$5:$D$12,0)))</x:f>
        <x:v>95</x:v>
      </x:c>
      <x:c r="E1143" s="11" t="n">
        <x:f>IF($A1143="","",INDEX(Assumptions!$M$5:$M$11,WEEKDAY($A1143,2)))</x:f>
        <x:v>1.03</x:v>
      </x:c>
      <x:c r="F1143" s="11" t="n">
        <x:f>IF($A1143="","",Assumptions!$B$15)</x:f>
        <x:v>0.35</x:v>
      </x:c>
      <x:c r="G1143" s="11" t="n">
        <x:f>IF($A1143="","",MAX(INDEX(Assumptions!$H$5:$H$12,MATCH($B1143,Assumptions!$D$5:$D$12,0)),MIN(INDEX(Assumptions!$I$5:$I$12,MATCH($B1143,Assumptions!$D$5:$D$12,0)),($C1143+$D1143*SQRT(-2*LN(RAND()))*COS(2*PI()*RAND()))*$E1143*$J1143*$K1143)))</x:f>
        <x:v>974.0024451614689</x:v>
      </x:c>
      <x:c r="H1143" s="11" t="n">
        <x:f>IF($A1143="","",$G1143*$F1143+$C1143*(1-$F1143))</x:f>
        <x:v>945.4008558065141</x:v>
      </x:c>
      <x:c r="I1143" s="11" t="n">
        <x:f>IF($A1143="","",AVERAGE($H1143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927.8507465756172</x:v>
      </x:c>
      <x:c r="J1143" s="12" t="n">
        <x:f>IF($A1143="","",1+SUMIFS(Assumptions!$S$5:$S$10,Assumptions!$P$5:$P$10,$B1143,Assumptions!$Q$5:$Q$10,"&lt;="&amp;$A1143,Assumptions!$R$5:$R$10,"&gt;="&amp;$A1143))</x:f>
        <x:v>1</x:v>
      </x:c>
      <x:c r="K1143" s="12" t="n">
        <x:f>IF($A1143="","",1+((($A1143-Assumptions!$B$5)/30)*INDEX(Assumptions!$J$5:$J$12,MATCH($B1143,Assumptions!$D$5:$D$12,0))))</x:f>
        <x:v>0.9924</x:v>
      </x:c>
      <x:c r="L1143" t="str">
        <x:f>IF($A1143="","",IFERROR(INDEX(Assumptions!$O$5:$O$10,MATCH(1,(Assumptions!$P$5:$P$10=$B1143)*(Assumptions!$Q$5:$Q$10&lt;=$A1143)*(Assumptions!$R$5:$R$10&gt;=$A1143),0)),""))</x:f>
      </x:c>
      <x:c r="M1143" t="n">
        <x:f>--($A1143&lt;&gt;"")</x:f>
        <x:v>1</x:v>
      </x:c>
    </x:row>
    <x:row r="1144">
      <x:c r="A1144" s="10" t="n">
        <x:f>IF(Assumptions!$B$5+INT((ROW()-2)/Assumptions!$B$7)&gt;Assumptions!$B$6,"",Assumptions!$B$5+INT((ROW()-2)/Assumptions!$B$7))</x:f>
        <x:v>46251</x:v>
      </x:c>
      <x:c r="B1144" t="str">
        <x:f>IF($A1144="","",INDEX(Assumptions!$D$5:$D$12,MOD(ROW()-2,Assumptions!$B$7)+1))</x:f>
        <x:v>Nostromo Deep</x:v>
      </x:c>
      <x:c r="C1144" s="11" t="n">
        <x:f>IF($A1144="","",INDEX(Assumptions!$F$5:$F$12,MATCH($B1144,Assumptions!$D$5:$D$12,0)))</x:f>
        <x:v>1260</x:v>
      </x:c>
      <x:c r="D1144" s="11" t="n">
        <x:f>IF($A1144="","",INDEX(Assumptions!$G$5:$G$12,MATCH($B1144,Assumptions!$D$5:$D$12,0)))</x:f>
        <x:v>145</x:v>
      </x:c>
      <x:c r="E1144" s="11" t="n">
        <x:f>IF($A1144="","",INDEX(Assumptions!$M$5:$M$11,WEEKDAY($A1144,2)))</x:f>
        <x:v>1.03</x:v>
      </x:c>
      <x:c r="F1144" s="11" t="n">
        <x:f>IF($A1144="","",Assumptions!$B$15)</x:f>
        <x:v>0.35</x:v>
      </x:c>
      <x:c r="G1144" s="11" t="n">
        <x:f>IF($A1144="","",MAX(INDEX(Assumptions!$H$5:$H$12,MATCH($B1144,Assumptions!$D$5:$D$12,0)),MIN(INDEX(Assumptions!$I$5:$I$12,MATCH($B1144,Assumptions!$D$5:$D$12,0)),($C1144+$D1144*SQRT(-2*LN(RAND()))*COS(2*PI()*RAND()))*$E1144*$J1144*$K1144)))</x:f>
        <x:v>1662.8527397513285</x:v>
      </x:c>
      <x:c r="H1144" s="11" t="n">
        <x:f>IF($A1144="","",$G1144*$F1144+$C1144*(1-$F1144))</x:f>
        <x:v>1400.998458912965</x:v>
      </x:c>
      <x:c r="I1144" s="11" t="n">
        <x:f>IF($A1144="","",AVERAGE($H1144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1284.8413084424897</x:v>
      </x:c>
      <x:c r="J1144" s="12" t="n">
        <x:f>IF($A1144="","",1+SUMIFS(Assumptions!$S$5:$S$10,Assumptions!$P$5:$P$10,$B1144,Assumptions!$Q$5:$Q$10,"&lt;="&amp;$A1144,Assumptions!$R$5:$R$10,"&gt;="&amp;$A1144))</x:f>
        <x:v>1</x:v>
      </x:c>
      <x:c r="K1144" s="12" t="n">
        <x:f>IF($A1144="","",1+((($A1144-Assumptions!$B$5)/30)*INDEX(Assumptions!$J$5:$J$12,MATCH($B1144,Assumptions!$D$5:$D$12,0))))</x:f>
        <x:v>1.0228</x:v>
      </x:c>
      <x:c r="L1144" t="str">
        <x:f>IF($A1144="","",IFERROR(INDEX(Assumptions!$O$5:$O$10,MATCH(1,(Assumptions!$P$5:$P$10=$B1144)*(Assumptions!$Q$5:$Q$10&lt;=$A1144)*(Assumptions!$R$5:$R$10&gt;=$A1144),0)),""))</x:f>
      </x:c>
      <x:c r="M1144" t="n">
        <x:f>--($A1144&lt;&gt;"")</x:f>
        <x:v>1</x:v>
      </x:c>
    </x:row>
    <x:row r="1145">
      <x:c r="A1145" s="10" t="n">
        <x:f>IF(Assumptions!$B$5+INT((ROW()-2)/Assumptions!$B$7)&gt;Assumptions!$B$6,"",Assumptions!$B$5+INT((ROW()-2)/Assumptions!$B$7))</x:f>
        <x:v>46251</x:v>
      </x:c>
      <x:c r="B1145" t="str">
        <x:f>IF($A1145="","",INDEX(Assumptions!$D$5:$D$12,MOD(ROW()-2,Assumptions!$B$7)+1))</x:f>
        <x:v>Hadley's Hope</x:v>
      </x:c>
      <x:c r="C1145" s="11" t="n">
        <x:f>IF($A1145="","",INDEX(Assumptions!$F$5:$F$12,MATCH($B1145,Assumptions!$D$5:$D$12,0)))</x:f>
        <x:v>845</x:v>
      </x:c>
      <x:c r="D1145" s="11" t="n">
        <x:f>IF($A1145="","",INDEX(Assumptions!$G$5:$G$12,MATCH($B1145,Assumptions!$D$5:$D$12,0)))</x:f>
        <x:v>80</x:v>
      </x:c>
      <x:c r="E1145" s="11" t="n">
        <x:f>IF($A1145="","",INDEX(Assumptions!$M$5:$M$11,WEEKDAY($A1145,2)))</x:f>
        <x:v>1.03</x:v>
      </x:c>
      <x:c r="F1145" s="11" t="n">
        <x:f>IF($A1145="","",Assumptions!$B$15)</x:f>
        <x:v>0.35</x:v>
      </x:c>
      <x:c r="G1145" s="11" t="n">
        <x:f>IF($A1145="","",MAX(INDEX(Assumptions!$H$5:$H$12,MATCH($B1145,Assumptions!$D$5:$D$12,0)),MIN(INDEX(Assumptions!$I$5:$I$12,MATCH($B1145,Assumptions!$D$5:$D$12,0)),($C1145+$D1145*SQRT(-2*LN(RAND()))*COS(2*PI()*RAND()))*$E1145*$J1145*$K1145)))</x:f>
        <x:v>913.484461803962</x:v>
      </x:c>
      <x:c r="H1145" s="11" t="n">
        <x:f>IF($A1145="","",$G1145*$F1145+$C1145*(1-$F1145))</x:f>
        <x:v>868.9695616313867</x:v>
      </x:c>
      <x:c r="I1145" s="11" t="n">
        <x:f>IF($A1145="","",AVERAGE($H1145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840.8974229467103</x:v>
      </x:c>
      <x:c r="J1145" s="12" t="n">
        <x:f>IF($A1145="","",1+SUMIFS(Assumptions!$S$5:$S$10,Assumptions!$P$5:$P$10,$B1145,Assumptions!$Q$5:$Q$10,"&lt;="&amp;$A1145,Assumptions!$R$5:$R$10,"&gt;="&amp;$A1145))</x:f>
        <x:v>1</x:v>
      </x:c>
      <x:c r="K1145" s="12" t="n">
        <x:f>IF($A1145="","",1+((($A1145-Assumptions!$B$5)/30)*INDEX(Assumptions!$J$5:$J$12,MATCH($B1145,Assumptions!$D$5:$D$12,0))))</x:f>
        <x:v>1.0076</x:v>
      </x:c>
      <x:c r="L1145" t="str">
        <x:f>IF($A1145="","",IFERROR(INDEX(Assumptions!$O$5:$O$10,MATCH(1,(Assumptions!$P$5:$P$10=$B1145)*(Assumptions!$Q$5:$Q$10&lt;=$A1145)*(Assumptions!$R$5:$R$10&gt;=$A1145),0)),""))</x:f>
      </x:c>
      <x:c r="M1145" t="n">
        <x:f>--($A1145&lt;&gt;"")</x:f>
        <x:v>1</x:v>
      </x:c>
    </x:row>
    <x:row r="1146">
      <x:c r="A1146" s="10" t="n">
        <x:f>IF(Assumptions!$B$5+INT((ROW()-2)/Assumptions!$B$7)&gt;Assumptions!$B$6,"",Assumptions!$B$5+INT((ROW()-2)/Assumptions!$B$7))</x:f>
        <x:v>46251</x:v>
      </x:c>
      <x:c r="B1146" t="str">
        <x:f>IF($A1146="","",INDEX(Assumptions!$D$5:$D$12,MOD(ROW()-2,Assumptions!$B$7)+1))</x:f>
        <x:v>Yutani Ridge</x:v>
      </x:c>
      <x:c r="C1146" s="11" t="n">
        <x:f>IF($A1146="","",INDEX(Assumptions!$F$5:$F$12,MATCH($B1146,Assumptions!$D$5:$D$12,0)))</x:f>
        <x:v>1050</x:v>
      </x:c>
      <x:c r="D1146" s="11" t="n">
        <x:f>IF($A1146="","",INDEX(Assumptions!$G$5:$G$12,MATCH($B1146,Assumptions!$D$5:$D$12,0)))</x:f>
        <x:v>125</x:v>
      </x:c>
      <x:c r="E1146" s="11" t="n">
        <x:f>IF($A1146="","",INDEX(Assumptions!$M$5:$M$11,WEEKDAY($A1146,2)))</x:f>
        <x:v>1.03</x:v>
      </x:c>
      <x:c r="F1146" s="11" t="n">
        <x:f>IF($A1146="","",Assumptions!$B$15)</x:f>
        <x:v>0.35</x:v>
      </x:c>
      <x:c r="G1146" s="11" t="n">
        <x:f>IF($A1146="","",MAX(INDEX(Assumptions!$H$5:$H$12,MATCH($B1146,Assumptions!$D$5:$D$12,0)),MIN(INDEX(Assumptions!$I$5:$I$12,MATCH($B1146,Assumptions!$D$5:$D$12,0)),($C1146+$D1146*SQRT(-2*LN(RAND()))*COS(2*PI()*RAND()))*$E1146*$J1146*$K1146)))</x:f>
        <x:v>1281.2081157647442</x:v>
      </x:c>
      <x:c r="H1146" s="11" t="n">
        <x:f>IF($A1146="","",$G1146*$F1146+$C1146*(1-$F1146))</x:f>
        <x:v>1130.9228405176605</x:v>
      </x:c>
      <x:c r="I1146" s="11" t="n">
        <x:f>IF($A1146="","",AVERAGE($H1146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1104.7035954669093</x:v>
      </x:c>
      <x:c r="J1146" s="12" t="n">
        <x:f>IF($A1146="","",1+SUMIFS(Assumptions!$S$5:$S$10,Assumptions!$P$5:$P$10,$B1146,Assumptions!$Q$5:$Q$10,"&lt;="&amp;$A1146,Assumptions!$R$5:$R$10,"&gt;="&amp;$A1146))</x:f>
        <x:v>1.22</x:v>
      </x:c>
      <x:c r="K1146" s="12" t="n">
        <x:f>IF($A1146="","",1+((($A1146-Assumptions!$B$5)/30)*INDEX(Assumptions!$J$5:$J$12,MATCH($B1146,Assumptions!$D$5:$D$12,0))))</x:f>
        <x:v>1.019</x:v>
      </x:c>
      <x:c r="L1146" t="str">
        <x:f>IF($A1146="","",IFERROR(INDEX(Assumptions!$O$5:$O$10,MATCH(1,(Assumptions!$P$5:$P$10=$B1146)*(Assumptions!$Q$5:$Q$10&lt;=$A1146)*(Assumptions!$R$5:$R$10&gt;=$A1146),0)),""))</x:f>
        <x:v>Equipment upgrade</x:v>
      </x:c>
      <x:c r="M1146" t="n">
        <x:f>--($A1146&lt;&gt;"")</x:f>
        <x:v>1</x:v>
      </x:c>
    </x:row>
    <x:row r="1147">
      <x:c r="A1147" s="10" t="n">
        <x:f>IF(Assumptions!$B$5+INT((ROW()-2)/Assumptions!$B$7)&gt;Assumptions!$B$6,"",Assumptions!$B$5+INT((ROW()-2)/Assumptions!$B$7))</x:f>
        <x:v>46252</x:v>
      </x:c>
      <x:c r="B1147" t="str">
        <x:f>IF($A1147="","",INDEX(Assumptions!$D$5:$D$12,MOD(ROW()-2,Assumptions!$B$7)+1))</x:f>
        <x:v>Acheron Prime</x:v>
      </x:c>
      <x:c r="C1147" s="11" t="n">
        <x:f>IF($A1147="","",INDEX(Assumptions!$F$5:$F$12,MATCH($B1147,Assumptions!$D$5:$D$12,0)))</x:f>
        <x:v>1120</x:v>
      </x:c>
      <x:c r="D1147" s="11" t="n">
        <x:f>IF($A1147="","",INDEX(Assumptions!$G$5:$G$12,MATCH($B1147,Assumptions!$D$5:$D$12,0)))</x:f>
        <x:v>115</x:v>
      </x:c>
      <x:c r="E1147" s="11" t="n">
        <x:f>IF($A1147="","",INDEX(Assumptions!$M$5:$M$11,WEEKDAY($A1147,2)))</x:f>
        <x:v>1.02</x:v>
      </x:c>
      <x:c r="F1147" s="11" t="n">
        <x:f>IF($A1147="","",Assumptions!$B$15)</x:f>
        <x:v>0.35</x:v>
      </x:c>
      <x:c r="G1147" s="11" t="n">
        <x:f>IF($A1147="","",MAX(INDEX(Assumptions!$H$5:$H$12,MATCH($B1147,Assumptions!$D$5:$D$12,0)),MIN(INDEX(Assumptions!$I$5:$I$12,MATCH($B1147,Assumptions!$D$5:$D$12,0)),($C1147+$D1147*SQRT(-2*LN(RAND()))*COS(2*PI()*RAND()))*$E1147*$J1147*$K1147)))</x:f>
        <x:v>1248.4549592082421</x:v>
      </x:c>
      <x:c r="H1147" s="11" t="n">
        <x:f>IF($A1147="","",$G1147*$F1147+$C1147*(1-$F1147))</x:f>
        <x:v>1164.9592357228848</x:v>
      </x:c>
      <x:c r="I1147" s="11" t="n">
        <x:f>IF($A1147="","",AVERAGE($H1147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1155.379048940722</x:v>
      </x:c>
      <x:c r="J1147" s="12" t="n">
        <x:f>IF($A1147="","",1+SUMIFS(Assumptions!$S$5:$S$10,Assumptions!$P$5:$P$10,$B1147,Assumptions!$Q$5:$Q$10,"&lt;="&amp;$A1147,Assumptions!$R$5:$R$10,"&gt;="&amp;$A1147))</x:f>
        <x:v>1</x:v>
      </x:c>
      <x:c r="K1147" s="12" t="n">
        <x:f>IF($A1147="","",1+((($A1147-Assumptions!$B$5)/30)*INDEX(Assumptions!$J$5:$J$12,MATCH($B1147,Assumptions!$D$5:$D$12,0))))</x:f>
        <x:v>1.0152666666666668</x:v>
      </x:c>
      <x:c r="L1147" t="str">
        <x:f>IF($A1147="","",IFERROR(INDEX(Assumptions!$O$5:$O$10,MATCH(1,(Assumptions!$P$5:$P$10=$B1147)*(Assumptions!$Q$5:$Q$10&lt;=$A1147)*(Assumptions!$R$5:$R$10&gt;=$A1147),0)),""))</x:f>
      </x:c>
      <x:c r="M1147" t="n">
        <x:f>--($A1147&lt;&gt;"")</x:f>
        <x:v>1</x:v>
      </x:c>
    </x:row>
    <x:row r="1148">
      <x:c r="A1148" s="10" t="n">
        <x:f>IF(Assumptions!$B$5+INT((ROW()-2)/Assumptions!$B$7)&gt;Assumptions!$B$6,"",Assumptions!$B$5+INT((ROW()-2)/Assumptions!$B$7))</x:f>
        <x:v>46252</x:v>
      </x:c>
      <x:c r="B1148" t="str">
        <x:f>IF($A1148="","",INDEX(Assumptions!$D$5:$D$12,MOD(ROW()-2,Assumptions!$B$7)+1))</x:f>
        <x:v>LV-426 North</x:v>
      </x:c>
      <x:c r="C1148" s="11" t="n">
        <x:f>IF($A1148="","",INDEX(Assumptions!$F$5:$F$12,MATCH($B1148,Assumptions!$D$5:$D$12,0)))</x:f>
        <x:v>930</x:v>
      </x:c>
      <x:c r="D1148" s="11" t="n">
        <x:f>IF($A1148="","",INDEX(Assumptions!$G$5:$G$12,MATCH($B1148,Assumptions!$D$5:$D$12,0)))</x:f>
        <x:v>95</x:v>
      </x:c>
      <x:c r="E1148" s="11" t="n">
        <x:f>IF($A1148="","",INDEX(Assumptions!$M$5:$M$11,WEEKDAY($A1148,2)))</x:f>
        <x:v>1.02</x:v>
      </x:c>
      <x:c r="F1148" s="11" t="n">
        <x:f>IF($A1148="","",Assumptions!$B$15)</x:f>
        <x:v>0.35</x:v>
      </x:c>
      <x:c r="G1148" s="11" t="n">
        <x:f>IF($A1148="","",MAX(INDEX(Assumptions!$H$5:$H$12,MATCH($B1148,Assumptions!$D$5:$D$12,0)),MIN(INDEX(Assumptions!$I$5:$I$12,MATCH($B1148,Assumptions!$D$5:$D$12,0)),($C1148+$D1148*SQRT(-2*LN(RAND()))*COS(2*PI()*RAND()))*$E1148*$J1148*$K1148)))</x:f>
        <x:v>787.2801004851539</x:v>
      </x:c>
      <x:c r="H1148" s="11" t="n">
        <x:f>IF($A1148="","",$G1148*$F1148+$C1148*(1-$F1148))</x:f>
        <x:v>880.0480351698038</x:v>
      </x:c>
      <x:c r="I1148" s="11" t="n">
        <x:f>IF($A1148="","",AVERAGE($H1148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920.3831144654899</x:v>
      </x:c>
      <x:c r="J1148" s="12" t="n">
        <x:f>IF($A1148="","",1+SUMIFS(Assumptions!$S$5:$S$10,Assumptions!$P$5:$P$10,$B1148,Assumptions!$Q$5:$Q$10,"&lt;="&amp;$A1148,Assumptions!$R$5:$R$10,"&gt;="&amp;$A1148))</x:f>
        <x:v>1</x:v>
      </x:c>
      <x:c r="K1148" s="12" t="n">
        <x:f>IF($A1148="","",1+((($A1148-Assumptions!$B$5)/30)*INDEX(Assumptions!$J$5:$J$12,MATCH($B1148,Assumptions!$D$5:$D$12,0))))</x:f>
        <x:v>0.9923666666666666</x:v>
      </x:c>
      <x:c r="L1148" t="str">
        <x:f>IF($A1148="","",IFERROR(INDEX(Assumptions!$O$5:$O$10,MATCH(1,(Assumptions!$P$5:$P$10=$B1148)*(Assumptions!$Q$5:$Q$10&lt;=$A1148)*(Assumptions!$R$5:$R$10&gt;=$A1148),0)),""))</x:f>
      </x:c>
      <x:c r="M1148" t="n">
        <x:f>--($A1148&lt;&gt;"")</x:f>
        <x:v>1</x:v>
      </x:c>
    </x:row>
    <x:row r="1149">
      <x:c r="A1149" s="10" t="n">
        <x:f>IF(Assumptions!$B$5+INT((ROW()-2)/Assumptions!$B$7)&gt;Assumptions!$B$6,"",Assumptions!$B$5+INT((ROW()-2)/Assumptions!$B$7))</x:f>
        <x:v>46252</x:v>
      </x:c>
      <x:c r="B1149" t="str">
        <x:f>IF($A1149="","",INDEX(Assumptions!$D$5:$D$12,MOD(ROW()-2,Assumptions!$B$7)+1))</x:f>
        <x:v>Nostromo Deep</x:v>
      </x:c>
      <x:c r="C1149" s="11" t="n">
        <x:f>IF($A1149="","",INDEX(Assumptions!$F$5:$F$12,MATCH($B1149,Assumptions!$D$5:$D$12,0)))</x:f>
        <x:v>1260</x:v>
      </x:c>
      <x:c r="D1149" s="11" t="n">
        <x:f>IF($A1149="","",INDEX(Assumptions!$G$5:$G$12,MATCH($B1149,Assumptions!$D$5:$D$12,0)))</x:f>
        <x:v>145</x:v>
      </x:c>
      <x:c r="E1149" s="11" t="n">
        <x:f>IF($A1149="","",INDEX(Assumptions!$M$5:$M$11,WEEKDAY($A1149,2)))</x:f>
        <x:v>1.02</x:v>
      </x:c>
      <x:c r="F1149" s="11" t="n">
        <x:f>IF($A1149="","",Assumptions!$B$15)</x:f>
        <x:v>0.35</x:v>
      </x:c>
      <x:c r="G1149" s="11" t="n">
        <x:f>IF($A1149="","",MAX(INDEX(Assumptions!$H$5:$H$12,MATCH($B1149,Assumptions!$D$5:$D$12,0)),MIN(INDEX(Assumptions!$I$5:$I$12,MATCH($B1149,Assumptions!$D$5:$D$12,0)),($C1149+$D1149*SQRT(-2*LN(RAND()))*COS(2*PI()*RAND()))*$E1149*$J1149*$K1149)))</x:f>
        <x:v>1238.729252352124</x:v>
      </x:c>
      <x:c r="H1149" s="11" t="n">
        <x:f>IF($A1149="","",$G1149*$F1149+$C1149*(1-$F1149))</x:f>
        <x:v>1252.5552383232434</x:v>
      </x:c>
      <x:c r="I1149" s="11" t="n">
        <x:f>IF($A1149="","",AVERAGE($H1149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1289.966458685062</x:v>
      </x:c>
      <x:c r="J1149" s="12" t="n">
        <x:f>IF($A1149="","",1+SUMIFS(Assumptions!$S$5:$S$10,Assumptions!$P$5:$P$10,$B1149,Assumptions!$Q$5:$Q$10,"&lt;="&amp;$A1149,Assumptions!$R$5:$R$10,"&gt;="&amp;$A1149))</x:f>
        <x:v>1</x:v>
      </x:c>
      <x:c r="K1149" s="12" t="n">
        <x:f>IF($A1149="","",1+((($A1149-Assumptions!$B$5)/30)*INDEX(Assumptions!$J$5:$J$12,MATCH($B1149,Assumptions!$D$5:$D$12,0))))</x:f>
        <x:v>1.0229</x:v>
      </x:c>
      <x:c r="L1149" t="str">
        <x:f>IF($A1149="","",IFERROR(INDEX(Assumptions!$O$5:$O$10,MATCH(1,(Assumptions!$P$5:$P$10=$B1149)*(Assumptions!$Q$5:$Q$10&lt;=$A1149)*(Assumptions!$R$5:$R$10&gt;=$A1149),0)),""))</x:f>
      </x:c>
      <x:c r="M1149" t="n">
        <x:f>--($A1149&lt;&gt;"")</x:f>
        <x:v>1</x:v>
      </x:c>
    </x:row>
    <x:row r="1150">
      <x:c r="A1150" s="10" t="n">
        <x:f>IF(Assumptions!$B$5+INT((ROW()-2)/Assumptions!$B$7)&gt;Assumptions!$B$6,"",Assumptions!$B$5+INT((ROW()-2)/Assumptions!$B$7))</x:f>
        <x:v>46252</x:v>
      </x:c>
      <x:c r="B1150" t="str">
        <x:f>IF($A1150="","",INDEX(Assumptions!$D$5:$D$12,MOD(ROW()-2,Assumptions!$B$7)+1))</x:f>
        <x:v>Hadley's Hope</x:v>
      </x:c>
      <x:c r="C1150" s="11" t="n">
        <x:f>IF($A1150="","",INDEX(Assumptions!$F$5:$F$12,MATCH($B1150,Assumptions!$D$5:$D$12,0)))</x:f>
        <x:v>845</x:v>
      </x:c>
      <x:c r="D1150" s="11" t="n">
        <x:f>IF($A1150="","",INDEX(Assumptions!$G$5:$G$12,MATCH($B1150,Assumptions!$D$5:$D$12,0)))</x:f>
        <x:v>80</x:v>
      </x:c>
      <x:c r="E1150" s="11" t="n">
        <x:f>IF($A1150="","",INDEX(Assumptions!$M$5:$M$11,WEEKDAY($A1150,2)))</x:f>
        <x:v>1.02</x:v>
      </x:c>
      <x:c r="F1150" s="11" t="n">
        <x:f>IF($A1150="","",Assumptions!$B$15)</x:f>
        <x:v>0.35</x:v>
      </x:c>
      <x:c r="G1150" s="11" t="n">
        <x:f>IF($A1150="","",MAX(INDEX(Assumptions!$H$5:$H$12,MATCH($B1150,Assumptions!$D$5:$D$12,0)),MIN(INDEX(Assumptions!$I$5:$I$12,MATCH($B1150,Assumptions!$D$5:$D$12,0)),($C1150+$D1150*SQRT(-2*LN(RAND()))*COS(2*PI()*RAND()))*$E1150*$J1150*$K1150)))</x:f>
        <x:v>935.4374737793524</x:v>
      </x:c>
      <x:c r="H1150" s="11" t="n">
        <x:f>IF($A1150="","",$G1150*$F1150+$C1150*(1-$F1150))</x:f>
        <x:v>876.6531158227733</x:v>
      </x:c>
      <x:c r="I1150" s="11" t="n">
        <x:f>IF($A1150="","",AVERAGE($H1150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844.8307895190626</x:v>
      </x:c>
      <x:c r="J1150" s="12" t="n">
        <x:f>IF($A1150="","",1+SUMIFS(Assumptions!$S$5:$S$10,Assumptions!$P$5:$P$10,$B1150,Assumptions!$Q$5:$Q$10,"&lt;="&amp;$A1150,Assumptions!$R$5:$R$10,"&gt;="&amp;$A1150))</x:f>
        <x:v>1</x:v>
      </x:c>
      <x:c r="K1150" s="12" t="n">
        <x:f>IF($A1150="","",1+((($A1150-Assumptions!$B$5)/30)*INDEX(Assumptions!$J$5:$J$12,MATCH($B1150,Assumptions!$D$5:$D$12,0))))</x:f>
        <x:v>1.0076333333333334</x:v>
      </x:c>
      <x:c r="L1150" t="str">
        <x:f>IF($A1150="","",IFERROR(INDEX(Assumptions!$O$5:$O$10,MATCH(1,(Assumptions!$P$5:$P$10=$B1150)*(Assumptions!$Q$5:$Q$10&lt;=$A1150)*(Assumptions!$R$5:$R$10&gt;=$A1150),0)),""))</x:f>
      </x:c>
      <x:c r="M1150" t="n">
        <x:f>--($A1150&lt;&gt;"")</x:f>
        <x:v>1</x:v>
      </x:c>
    </x:row>
    <x:row r="1151">
      <x:c r="A1151" s="10" t="n">
        <x:f>IF(Assumptions!$B$5+INT((ROW()-2)/Assumptions!$B$7)&gt;Assumptions!$B$6,"",Assumptions!$B$5+INT((ROW()-2)/Assumptions!$B$7))</x:f>
        <x:v>46252</x:v>
      </x:c>
      <x:c r="B1151" t="str">
        <x:f>IF($A1151="","",INDEX(Assumptions!$D$5:$D$12,MOD(ROW()-2,Assumptions!$B$7)+1))</x:f>
        <x:v>Yutani Ridge</x:v>
      </x:c>
      <x:c r="C1151" s="11" t="n">
        <x:f>IF($A1151="","",INDEX(Assumptions!$F$5:$F$12,MATCH($B1151,Assumptions!$D$5:$D$12,0)))</x:f>
        <x:v>1050</x:v>
      </x:c>
      <x:c r="D1151" s="11" t="n">
        <x:f>IF($A1151="","",INDEX(Assumptions!$G$5:$G$12,MATCH($B1151,Assumptions!$D$5:$D$12,0)))</x:f>
        <x:v>125</x:v>
      </x:c>
      <x:c r="E1151" s="11" t="n">
        <x:f>IF($A1151="","",INDEX(Assumptions!$M$5:$M$11,WEEKDAY($A1151,2)))</x:f>
        <x:v>1.02</x:v>
      </x:c>
      <x:c r="F1151" s="11" t="n">
        <x:f>IF($A1151="","",Assumptions!$B$15)</x:f>
        <x:v>0.35</x:v>
      </x:c>
      <x:c r="G1151" s="11" t="n">
        <x:f>IF($A1151="","",MAX(INDEX(Assumptions!$H$5:$H$12,MATCH($B1151,Assumptions!$D$5:$D$12,0)),MIN(INDEX(Assumptions!$I$5:$I$12,MATCH($B1151,Assumptions!$D$5:$D$12,0)),($C1151+$D1151*SQRT(-2*LN(RAND()))*COS(2*PI()*RAND()))*$E1151*$J1151*$K1151)))</x:f>
        <x:v>1278.5932197880174</x:v>
      </x:c>
      <x:c r="H1151" s="11" t="n">
        <x:f>IF($A1151="","",$G1151*$F1151+$C1151*(1-$F1151))</x:f>
        <x:v>1130.007626925806</x:v>
      </x:c>
      <x:c r="I1151" s="11" t="n">
        <x:f>IF($A1151="","",AVERAGE($H1151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1109.2695913813197</x:v>
      </x:c>
      <x:c r="J1151" s="12" t="n">
        <x:f>IF($A1151="","",1+SUMIFS(Assumptions!$S$5:$S$10,Assumptions!$P$5:$P$10,$B1151,Assumptions!$Q$5:$Q$10,"&lt;="&amp;$A1151,Assumptions!$R$5:$R$10,"&gt;="&amp;$A1151))</x:f>
        <x:v>1.22</x:v>
      </x:c>
      <x:c r="K1151" s="12" t="n">
        <x:f>IF($A1151="","",1+((($A1151-Assumptions!$B$5)/30)*INDEX(Assumptions!$J$5:$J$12,MATCH($B1151,Assumptions!$D$5:$D$12,0))))</x:f>
        <x:v>1.0190833333333333</x:v>
      </x:c>
      <x:c r="L1151" t="str">
        <x:f>IF($A1151="","",IFERROR(INDEX(Assumptions!$O$5:$O$10,MATCH(1,(Assumptions!$P$5:$P$10=$B1151)*(Assumptions!$Q$5:$Q$10&lt;=$A1151)*(Assumptions!$R$5:$R$10&gt;=$A1151),0)),""))</x:f>
        <x:v>Equipment upgrade</x:v>
      </x:c>
      <x:c r="M1151" t="n">
        <x:f>--($A1151&lt;&gt;"")</x:f>
        <x:v>1</x:v>
      </x:c>
    </x:row>
    <x:row r="1152">
      <x:c r="A1152" s="10" t="n">
        <x:f>IF(Assumptions!$B$5+INT((ROW()-2)/Assumptions!$B$7)&gt;Assumptions!$B$6,"",Assumptions!$B$5+INT((ROW()-2)/Assumptions!$B$7))</x:f>
        <x:v>46253</x:v>
      </x:c>
      <x:c r="B1152" t="str">
        <x:f>IF($A1152="","",INDEX(Assumptions!$D$5:$D$12,MOD(ROW()-2,Assumptions!$B$7)+1))</x:f>
        <x:v>Acheron Prime</x:v>
      </x:c>
      <x:c r="C1152" s="11" t="n">
        <x:f>IF($A1152="","",INDEX(Assumptions!$F$5:$F$12,MATCH($B1152,Assumptions!$D$5:$D$12,0)))</x:f>
        <x:v>1120</x:v>
      </x:c>
      <x:c r="D1152" s="11" t="n">
        <x:f>IF($A1152="","",INDEX(Assumptions!$G$5:$G$12,MATCH($B1152,Assumptions!$D$5:$D$12,0)))</x:f>
        <x:v>115</x:v>
      </x:c>
      <x:c r="E1152" s="11" t="n">
        <x:f>IF($A1152="","",INDEX(Assumptions!$M$5:$M$11,WEEKDAY($A1152,2)))</x:f>
        <x:v>1.01</x:v>
      </x:c>
      <x:c r="F1152" s="11" t="n">
        <x:f>IF($A1152="","",Assumptions!$B$15)</x:f>
        <x:v>0.35</x:v>
      </x:c>
      <x:c r="G1152" s="11" t="n">
        <x:f>IF($A1152="","",MAX(INDEX(Assumptions!$H$5:$H$12,MATCH($B1152,Assumptions!$D$5:$D$12,0)),MIN(INDEX(Assumptions!$I$5:$I$12,MATCH($B1152,Assumptions!$D$5:$D$12,0)),($C1152+$D1152*SQRT(-2*LN(RAND()))*COS(2*PI()*RAND()))*$E1152*$J1152*$K1152)))</x:f>
        <x:v>1059.604627327459</x:v>
      </x:c>
      <x:c r="H1152" s="11" t="n">
        <x:f>IF($A1152="","",$G1152*$F1152+$C1152*(1-$F1152))</x:f>
        <x:v>1098.8616195646107</x:v>
      </x:c>
      <x:c r="I1152" s="11" t="n">
        <x:f>IF($A1152="","",AVERAGE($H1152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1139.4485894135673</x:v>
      </x:c>
      <x:c r="J1152" s="12" t="n">
        <x:f>IF($A1152="","",1+SUMIFS(Assumptions!$S$5:$S$10,Assumptions!$P$5:$P$10,$B1152,Assumptions!$Q$5:$Q$10,"&lt;="&amp;$A1152,Assumptions!$R$5:$R$10,"&gt;="&amp;$A1152))</x:f>
        <x:v>1</x:v>
      </x:c>
      <x:c r="K1152" s="12" t="n">
        <x:f>IF($A1152="","",1+((($A1152-Assumptions!$B$5)/30)*INDEX(Assumptions!$J$5:$J$12,MATCH($B1152,Assumptions!$D$5:$D$12,0))))</x:f>
        <x:v>1.0153333333333334</x:v>
      </x:c>
      <x:c r="L1152" t="str">
        <x:f>IF($A1152="","",IFERROR(INDEX(Assumptions!$O$5:$O$10,MATCH(1,(Assumptions!$P$5:$P$10=$B1152)*(Assumptions!$Q$5:$Q$10&lt;=$A1152)*(Assumptions!$R$5:$R$10&gt;=$A1152),0)),""))</x:f>
      </x:c>
      <x:c r="M1152" t="n">
        <x:f>--($A1152&lt;&gt;"")</x:f>
        <x:v>1</x:v>
      </x:c>
    </x:row>
    <x:row r="1153">
      <x:c r="A1153" s="10" t="n">
        <x:f>IF(Assumptions!$B$5+INT((ROW()-2)/Assumptions!$B$7)&gt;Assumptions!$B$6,"",Assumptions!$B$5+INT((ROW()-2)/Assumptions!$B$7))</x:f>
        <x:v>46253</x:v>
      </x:c>
      <x:c r="B1153" t="str">
        <x:f>IF($A1153="","",INDEX(Assumptions!$D$5:$D$12,MOD(ROW()-2,Assumptions!$B$7)+1))</x:f>
        <x:v>LV-426 North</x:v>
      </x:c>
      <x:c r="C1153" s="11" t="n">
        <x:f>IF($A1153="","",INDEX(Assumptions!$F$5:$F$12,MATCH($B1153,Assumptions!$D$5:$D$12,0)))</x:f>
        <x:v>930</x:v>
      </x:c>
      <x:c r="D1153" s="11" t="n">
        <x:f>IF($A1153="","",INDEX(Assumptions!$G$5:$G$12,MATCH($B1153,Assumptions!$D$5:$D$12,0)))</x:f>
        <x:v>95</x:v>
      </x:c>
      <x:c r="E1153" s="11" t="n">
        <x:f>IF($A1153="","",INDEX(Assumptions!$M$5:$M$11,WEEKDAY($A1153,2)))</x:f>
        <x:v>1.01</x:v>
      </x:c>
      <x:c r="F1153" s="11" t="n">
        <x:f>IF($A1153="","",Assumptions!$B$15)</x:f>
        <x:v>0.35</x:v>
      </x:c>
      <x:c r="G1153" s="11" t="n">
        <x:f>IF($A1153="","",MAX(INDEX(Assumptions!$H$5:$H$12,MATCH($B1153,Assumptions!$D$5:$D$12,0)),MIN(INDEX(Assumptions!$I$5:$I$12,MATCH($B1153,Assumptions!$D$5:$D$12,0)),($C1153+$D1153*SQRT(-2*LN(RAND()))*COS(2*PI()*RAND()))*$E1153*$J1153*$K1153)))</x:f>
        <x:v>779.7285150470693</x:v>
      </x:c>
      <x:c r="H1153" s="11" t="n">
        <x:f>IF($A1153="","",$G1153*$F1153+$C1153*(1-$F1153))</x:f>
        <x:v>877.4049802664742</x:v>
      </x:c>
      <x:c r="I1153" s="11" t="n">
        <x:f>IF($A1153="","",AVERAGE($H1153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913.9079832945855</x:v>
      </x:c>
      <x:c r="J1153" s="12" t="n">
        <x:f>IF($A1153="","",1+SUMIFS(Assumptions!$S$5:$S$10,Assumptions!$P$5:$P$10,$B1153,Assumptions!$Q$5:$Q$10,"&lt;="&amp;$A1153,Assumptions!$R$5:$R$10,"&gt;="&amp;$A1153))</x:f>
        <x:v>1</x:v>
      </x:c>
      <x:c r="K1153" s="12" t="n">
        <x:f>IF($A1153="","",1+((($A1153-Assumptions!$B$5)/30)*INDEX(Assumptions!$J$5:$J$12,MATCH($B1153,Assumptions!$D$5:$D$12,0))))</x:f>
        <x:v>0.9923333333333333</x:v>
      </x:c>
      <x:c r="L1153" t="str">
        <x:f>IF($A1153="","",IFERROR(INDEX(Assumptions!$O$5:$O$10,MATCH(1,(Assumptions!$P$5:$P$10=$B1153)*(Assumptions!$Q$5:$Q$10&lt;=$A1153)*(Assumptions!$R$5:$R$10&gt;=$A1153),0)),""))</x:f>
      </x:c>
      <x:c r="M1153" t="n">
        <x:f>--($A1153&lt;&gt;"")</x:f>
        <x:v>1</x:v>
      </x:c>
    </x:row>
    <x:row r="1154">
      <x:c r="A1154" s="10" t="n">
        <x:f>IF(Assumptions!$B$5+INT((ROW()-2)/Assumptions!$B$7)&gt;Assumptions!$B$6,"",Assumptions!$B$5+INT((ROW()-2)/Assumptions!$B$7))</x:f>
        <x:v>46253</x:v>
      </x:c>
      <x:c r="B1154" t="str">
        <x:f>IF($A1154="","",INDEX(Assumptions!$D$5:$D$12,MOD(ROW()-2,Assumptions!$B$7)+1))</x:f>
        <x:v>Nostromo Deep</x:v>
      </x:c>
      <x:c r="C1154" s="11" t="n">
        <x:f>IF($A1154="","",INDEX(Assumptions!$F$5:$F$12,MATCH($B1154,Assumptions!$D$5:$D$12,0)))</x:f>
        <x:v>1260</x:v>
      </x:c>
      <x:c r="D1154" s="11" t="n">
        <x:f>IF($A1154="","",INDEX(Assumptions!$G$5:$G$12,MATCH($B1154,Assumptions!$D$5:$D$12,0)))</x:f>
        <x:v>145</x:v>
      </x:c>
      <x:c r="E1154" s="11" t="n">
        <x:f>IF($A1154="","",INDEX(Assumptions!$M$5:$M$11,WEEKDAY($A1154,2)))</x:f>
        <x:v>1.01</x:v>
      </x:c>
      <x:c r="F1154" s="11" t="n">
        <x:f>IF($A1154="","",Assumptions!$B$15)</x:f>
        <x:v>0.35</x:v>
      </x:c>
      <x:c r="G1154" s="11" t="n">
        <x:f>IF($A1154="","",MAX(INDEX(Assumptions!$H$5:$H$12,MATCH($B1154,Assumptions!$D$5:$D$12,0)),MIN(INDEX(Assumptions!$I$5:$I$12,MATCH($B1154,Assumptions!$D$5:$D$12,0)),($C1154+$D1154*SQRT(-2*LN(RAND()))*COS(2*PI()*RAND()))*$E1154*$J1154*$K1154)))</x:f>
        <x:v>1314.0881017350662</x:v>
      </x:c>
      <x:c r="H1154" s="11" t="n">
        <x:f>IF($A1154="","",$G1154*$F1154+$C1154*(1-$F1154))</x:f>
        <x:v>1278.9308356072731</x:v>
      </x:c>
      <x:c r="I1154" s="11" t="n">
        <x:f>IF($A1154="","",AVERAGE($H1154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1284.5379385532826</x:v>
      </x:c>
      <x:c r="J1154" s="12" t="n">
        <x:f>IF($A1154="","",1+SUMIFS(Assumptions!$S$5:$S$10,Assumptions!$P$5:$P$10,$B1154,Assumptions!$Q$5:$Q$10,"&lt;="&amp;$A1154,Assumptions!$R$5:$R$10,"&gt;="&amp;$A1154))</x:f>
        <x:v>1</x:v>
      </x:c>
      <x:c r="K1154" s="12" t="n">
        <x:f>IF($A1154="","",1+((($A1154-Assumptions!$B$5)/30)*INDEX(Assumptions!$J$5:$J$12,MATCH($B1154,Assumptions!$D$5:$D$12,0))))</x:f>
        <x:v>1.023</x:v>
      </x:c>
      <x:c r="L1154" t="str">
        <x:f>IF($A1154="","",IFERROR(INDEX(Assumptions!$O$5:$O$10,MATCH(1,(Assumptions!$P$5:$P$10=$B1154)*(Assumptions!$Q$5:$Q$10&lt;=$A1154)*(Assumptions!$R$5:$R$10&gt;=$A1154),0)),""))</x:f>
      </x:c>
      <x:c r="M1154" t="n">
        <x:f>--($A1154&lt;&gt;"")</x:f>
        <x:v>1</x:v>
      </x:c>
    </x:row>
    <x:row r="1155">
      <x:c r="A1155" s="10" t="n">
        <x:f>IF(Assumptions!$B$5+INT((ROW()-2)/Assumptions!$B$7)&gt;Assumptions!$B$6,"",Assumptions!$B$5+INT((ROW()-2)/Assumptions!$B$7))</x:f>
        <x:v>46253</x:v>
      </x:c>
      <x:c r="B1155" t="str">
        <x:f>IF($A1155="","",INDEX(Assumptions!$D$5:$D$12,MOD(ROW()-2,Assumptions!$B$7)+1))</x:f>
        <x:v>Hadley's Hope</x:v>
      </x:c>
      <x:c r="C1155" s="11" t="n">
        <x:f>IF($A1155="","",INDEX(Assumptions!$F$5:$F$12,MATCH($B1155,Assumptions!$D$5:$D$12,0)))</x:f>
        <x:v>845</x:v>
      </x:c>
      <x:c r="D1155" s="11" t="n">
        <x:f>IF($A1155="","",INDEX(Assumptions!$G$5:$G$12,MATCH($B1155,Assumptions!$D$5:$D$12,0)))</x:f>
        <x:v>80</x:v>
      </x:c>
      <x:c r="E1155" s="11" t="n">
        <x:f>IF($A1155="","",INDEX(Assumptions!$M$5:$M$11,WEEKDAY($A1155,2)))</x:f>
        <x:v>1.01</x:v>
      </x:c>
      <x:c r="F1155" s="11" t="n">
        <x:f>IF($A1155="","",Assumptions!$B$15)</x:f>
        <x:v>0.35</x:v>
      </x:c>
      <x:c r="G1155" s="11" t="n">
        <x:f>IF($A1155="","",MAX(INDEX(Assumptions!$H$5:$H$12,MATCH($B1155,Assumptions!$D$5:$D$12,0)),MIN(INDEX(Assumptions!$I$5:$I$12,MATCH($B1155,Assumptions!$D$5:$D$12,0)),($C1155+$D1155*SQRT(-2*LN(RAND()))*COS(2*PI()*RAND()))*$E1155*$J1155*$K1155)))</x:f>
        <x:v>904.3693006187051</x:v>
      </x:c>
      <x:c r="H1155" s="11" t="n">
        <x:f>IF($A1155="","",$G1155*$F1155+$C1155*(1-$F1155))</x:f>
        <x:v>865.7792552165467</x:v>
      </x:c>
      <x:c r="I1155" s="11" t="n">
        <x:f>IF($A1155="","",AVERAGE($H1155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847.851607535916</x:v>
      </x:c>
      <x:c r="J1155" s="12" t="n">
        <x:f>IF($A1155="","",1+SUMIFS(Assumptions!$S$5:$S$10,Assumptions!$P$5:$P$10,$B1155,Assumptions!$Q$5:$Q$10,"&lt;="&amp;$A1155,Assumptions!$R$5:$R$10,"&gt;="&amp;$A1155))</x:f>
        <x:v>1</x:v>
      </x:c>
      <x:c r="K1155" s="12" t="n">
        <x:f>IF($A1155="","",1+((($A1155-Assumptions!$B$5)/30)*INDEX(Assumptions!$J$5:$J$12,MATCH($B1155,Assumptions!$D$5:$D$12,0))))</x:f>
        <x:v>1.0076666666666667</x:v>
      </x:c>
      <x:c r="L1155" t="str">
        <x:f>IF($A1155="","",IFERROR(INDEX(Assumptions!$O$5:$O$10,MATCH(1,(Assumptions!$P$5:$P$10=$B1155)*(Assumptions!$Q$5:$Q$10&lt;=$A1155)*(Assumptions!$R$5:$R$10&gt;=$A1155),0)),""))</x:f>
      </x:c>
      <x:c r="M1155" t="n">
        <x:f>--($A1155&lt;&gt;"")</x:f>
        <x:v>1</x:v>
      </x:c>
    </x:row>
    <x:row r="1156">
      <x:c r="A1156" s="10" t="n">
        <x:f>IF(Assumptions!$B$5+INT((ROW()-2)/Assumptions!$B$7)&gt;Assumptions!$B$6,"",Assumptions!$B$5+INT((ROW()-2)/Assumptions!$B$7))</x:f>
        <x:v>46253</x:v>
      </x:c>
      <x:c r="B1156" t="str">
        <x:f>IF($A1156="","",INDEX(Assumptions!$D$5:$D$12,MOD(ROW()-2,Assumptions!$B$7)+1))</x:f>
        <x:v>Yutani Ridge</x:v>
      </x:c>
      <x:c r="C1156" s="11" t="n">
        <x:f>IF($A1156="","",INDEX(Assumptions!$F$5:$F$12,MATCH($B1156,Assumptions!$D$5:$D$12,0)))</x:f>
        <x:v>1050</x:v>
      </x:c>
      <x:c r="D1156" s="11" t="n">
        <x:f>IF($A1156="","",INDEX(Assumptions!$G$5:$G$12,MATCH($B1156,Assumptions!$D$5:$D$12,0)))</x:f>
        <x:v>125</x:v>
      </x:c>
      <x:c r="E1156" s="11" t="n">
        <x:f>IF($A1156="","",INDEX(Assumptions!$M$5:$M$11,WEEKDAY($A1156,2)))</x:f>
        <x:v>1.01</x:v>
      </x:c>
      <x:c r="F1156" s="11" t="n">
        <x:f>IF($A1156="","",Assumptions!$B$15)</x:f>
        <x:v>0.35</x:v>
      </x:c>
      <x:c r="G1156" s="11" t="n">
        <x:f>IF($A1156="","",MAX(INDEX(Assumptions!$H$5:$H$12,MATCH($B1156,Assumptions!$D$5:$D$12,0)),MIN(INDEX(Assumptions!$I$5:$I$12,MATCH($B1156,Assumptions!$D$5:$D$12,0)),($C1156+$D1156*SQRT(-2*LN(RAND()))*COS(2*PI()*RAND()))*$E1156*$J1156*$K1156)))</x:f>
        <x:v>1179.3560845001543</x:v>
      </x:c>
      <x:c r="H1156" s="11" t="n">
        <x:f>IF($A1156="","",$G1156*$F1156+$C1156*(1-$F1156))</x:f>
        <x:v>1095.274629575054</x:v>
      </x:c>
      <x:c r="I1156" s="11" t="n">
        <x:f>IF($A1156="","",AVERAGE($H1156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1109.8842065967303</x:v>
      </x:c>
      <x:c r="J1156" s="12" t="n">
        <x:f>IF($A1156="","",1+SUMIFS(Assumptions!$S$5:$S$10,Assumptions!$P$5:$P$10,$B1156,Assumptions!$Q$5:$Q$10,"&lt;="&amp;$A1156,Assumptions!$R$5:$R$10,"&gt;="&amp;$A1156))</x:f>
        <x:v>1.22</x:v>
      </x:c>
      <x:c r="K1156" s="12" t="n">
        <x:f>IF($A1156="","",1+((($A1156-Assumptions!$B$5)/30)*INDEX(Assumptions!$J$5:$J$12,MATCH($B1156,Assumptions!$D$5:$D$12,0))))</x:f>
        <x:v>1.0191666666666668</x:v>
      </x:c>
      <x:c r="L1156" t="str">
        <x:f>IF($A1156="","",IFERROR(INDEX(Assumptions!$O$5:$O$10,MATCH(1,(Assumptions!$P$5:$P$10=$B1156)*(Assumptions!$Q$5:$Q$10&lt;=$A1156)*(Assumptions!$R$5:$R$10&gt;=$A1156),0)),""))</x:f>
        <x:v>Equipment upgrade</x:v>
      </x:c>
      <x:c r="M1156" t="n">
        <x:f>--($A1156&lt;&gt;"")</x:f>
        <x:v>1</x:v>
      </x:c>
    </x:row>
    <x:row r="1157">
      <x:c r="A1157" s="10" t="n">
        <x:f>IF(Assumptions!$B$5+INT((ROW()-2)/Assumptions!$B$7)&gt;Assumptions!$B$6,"",Assumptions!$B$5+INT((ROW()-2)/Assumptions!$B$7))</x:f>
        <x:v>46254</x:v>
      </x:c>
      <x:c r="B1157" t="str">
        <x:f>IF($A1157="","",INDEX(Assumptions!$D$5:$D$12,MOD(ROW()-2,Assumptions!$B$7)+1))</x:f>
        <x:v>Acheron Prime</x:v>
      </x:c>
      <x:c r="C1157" s="11" t="n">
        <x:f>IF($A1157="","",INDEX(Assumptions!$F$5:$F$12,MATCH($B1157,Assumptions!$D$5:$D$12,0)))</x:f>
        <x:v>1120</x:v>
      </x:c>
      <x:c r="D1157" s="11" t="n">
        <x:f>IF($A1157="","",INDEX(Assumptions!$G$5:$G$12,MATCH($B1157,Assumptions!$D$5:$D$12,0)))</x:f>
        <x:v>115</x:v>
      </x:c>
      <x:c r="E1157" s="11" t="n">
        <x:f>IF($A1157="","",INDEX(Assumptions!$M$5:$M$11,WEEKDAY($A1157,2)))</x:f>
        <x:v>1</x:v>
      </x:c>
      <x:c r="F1157" s="11" t="n">
        <x:f>IF($A1157="","",Assumptions!$B$15)</x:f>
        <x:v>0.35</x:v>
      </x:c>
      <x:c r="G1157" s="11" t="n">
        <x:f>IF($A1157="","",MAX(INDEX(Assumptions!$H$5:$H$12,MATCH($B1157,Assumptions!$D$5:$D$12,0)),MIN(INDEX(Assumptions!$I$5:$I$12,MATCH($B1157,Assumptions!$D$5:$D$12,0)),($C1157+$D1157*SQRT(-2*LN(RAND()))*COS(2*PI()*RAND()))*$E1157*$J1157*$K1157)))</x:f>
        <x:v>1156.5833660902301</x:v>
      </x:c>
      <x:c r="H1157" s="11" t="n">
        <x:f>IF($A1157="","",$G1157*$F1157+$C1157*(1-$F1157))</x:f>
        <x:v>1132.8041781315806</x:v>
      </x:c>
      <x:c r="I1157" s="11" t="n">
        <x:f>IF($A1157="","",AVERAGE($H1157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1132.188771582298</x:v>
      </x:c>
      <x:c r="J1157" s="12" t="n">
        <x:f>IF($A1157="","",1+SUMIFS(Assumptions!$S$5:$S$10,Assumptions!$P$5:$P$10,$B1157,Assumptions!$Q$5:$Q$10,"&lt;="&amp;$A1157,Assumptions!$R$5:$R$10,"&gt;="&amp;$A1157))</x:f>
        <x:v>1</x:v>
      </x:c>
      <x:c r="K1157" s="12" t="n">
        <x:f>IF($A1157="","",1+((($A1157-Assumptions!$B$5)/30)*INDEX(Assumptions!$J$5:$J$12,MATCH($B1157,Assumptions!$D$5:$D$12,0))))</x:f>
        <x:v>1.0154</x:v>
      </x:c>
      <x:c r="L1157" t="str">
        <x:f>IF($A1157="","",IFERROR(INDEX(Assumptions!$O$5:$O$10,MATCH(1,(Assumptions!$P$5:$P$10=$B1157)*(Assumptions!$Q$5:$Q$10&lt;=$A1157)*(Assumptions!$R$5:$R$10&gt;=$A1157),0)),""))</x:f>
      </x:c>
      <x:c r="M1157" t="n">
        <x:f>--($A1157&lt;&gt;"")</x:f>
        <x:v>1</x:v>
      </x:c>
    </x:row>
    <x:row r="1158">
      <x:c r="A1158" s="10" t="n">
        <x:f>IF(Assumptions!$B$5+INT((ROW()-2)/Assumptions!$B$7)&gt;Assumptions!$B$6,"",Assumptions!$B$5+INT((ROW()-2)/Assumptions!$B$7))</x:f>
        <x:v>46254</x:v>
      </x:c>
      <x:c r="B1158" t="str">
        <x:f>IF($A1158="","",INDEX(Assumptions!$D$5:$D$12,MOD(ROW()-2,Assumptions!$B$7)+1))</x:f>
        <x:v>LV-426 North</x:v>
      </x:c>
      <x:c r="C1158" s="11" t="n">
        <x:f>IF($A1158="","",INDEX(Assumptions!$F$5:$F$12,MATCH($B1158,Assumptions!$D$5:$D$12,0)))</x:f>
        <x:v>930</x:v>
      </x:c>
      <x:c r="D1158" s="11" t="n">
        <x:f>IF($A1158="","",INDEX(Assumptions!$G$5:$G$12,MATCH($B1158,Assumptions!$D$5:$D$12,0)))</x:f>
        <x:v>95</x:v>
      </x:c>
      <x:c r="E1158" s="11" t="n">
        <x:f>IF($A1158="","",INDEX(Assumptions!$M$5:$M$11,WEEKDAY($A1158,2)))</x:f>
        <x:v>1</x:v>
      </x:c>
      <x:c r="F1158" s="11" t="n">
        <x:f>IF($A1158="","",Assumptions!$B$15)</x:f>
        <x:v>0.35</x:v>
      </x:c>
      <x:c r="G1158" s="11" t="n">
        <x:f>IF($A1158="","",MAX(INDEX(Assumptions!$H$5:$H$12,MATCH($B1158,Assumptions!$D$5:$D$12,0)),MIN(INDEX(Assumptions!$I$5:$I$12,MATCH($B1158,Assumptions!$D$5:$D$12,0)),($C1158+$D1158*SQRT(-2*LN(RAND()))*COS(2*PI()*RAND()))*$E1158*$J1158*$K1158)))</x:f>
        <x:v>941.7649408254417</x:v>
      </x:c>
      <x:c r="H1158" s="11" t="n">
        <x:f>IF($A1158="","",$G1158*$F1158+$C1158*(1-$F1158))</x:f>
        <x:v>934.1177292889046</x:v>
      </x:c>
      <x:c r="I1158" s="11" t="n">
        <x:f>IF($A1158="","",AVERAGE($H1158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914.6598172232121</x:v>
      </x:c>
      <x:c r="J1158" s="12" t="n">
        <x:f>IF($A1158="","",1+SUMIFS(Assumptions!$S$5:$S$10,Assumptions!$P$5:$P$10,$B1158,Assumptions!$Q$5:$Q$10,"&lt;="&amp;$A1158,Assumptions!$R$5:$R$10,"&gt;="&amp;$A1158))</x:f>
        <x:v>1</x:v>
      </x:c>
      <x:c r="K1158" s="12" t="n">
        <x:f>IF($A1158="","",1+((($A1158-Assumptions!$B$5)/30)*INDEX(Assumptions!$J$5:$J$12,MATCH($B1158,Assumptions!$D$5:$D$12,0))))</x:f>
        <x:v>0.9923</x:v>
      </x:c>
      <x:c r="L1158" t="str">
        <x:f>IF($A1158="","",IFERROR(INDEX(Assumptions!$O$5:$O$10,MATCH(1,(Assumptions!$P$5:$P$10=$B1158)*(Assumptions!$Q$5:$Q$10&lt;=$A1158)*(Assumptions!$R$5:$R$10&gt;=$A1158),0)),""))</x:f>
      </x:c>
      <x:c r="M1158" t="n">
        <x:f>--($A1158&lt;&gt;"")</x:f>
        <x:v>1</x:v>
      </x:c>
    </x:row>
    <x:row r="1159">
      <x:c r="A1159" s="10" t="n">
        <x:f>IF(Assumptions!$B$5+INT((ROW()-2)/Assumptions!$B$7)&gt;Assumptions!$B$6,"",Assumptions!$B$5+INT((ROW()-2)/Assumptions!$B$7))</x:f>
        <x:v>46254</x:v>
      </x:c>
      <x:c r="B1159" t="str">
        <x:f>IF($A1159="","",INDEX(Assumptions!$D$5:$D$12,MOD(ROW()-2,Assumptions!$B$7)+1))</x:f>
        <x:v>Nostromo Deep</x:v>
      </x:c>
      <x:c r="C1159" s="11" t="n">
        <x:f>IF($A1159="","",INDEX(Assumptions!$F$5:$F$12,MATCH($B1159,Assumptions!$D$5:$D$12,0)))</x:f>
        <x:v>1260</x:v>
      </x:c>
      <x:c r="D1159" s="11" t="n">
        <x:f>IF($A1159="","",INDEX(Assumptions!$G$5:$G$12,MATCH($B1159,Assumptions!$D$5:$D$12,0)))</x:f>
        <x:v>145</x:v>
      </x:c>
      <x:c r="E1159" s="11" t="n">
        <x:f>IF($A1159="","",INDEX(Assumptions!$M$5:$M$11,WEEKDAY($A1159,2)))</x:f>
        <x:v>1</x:v>
      </x:c>
      <x:c r="F1159" s="11" t="n">
        <x:f>IF($A1159="","",Assumptions!$B$15)</x:f>
        <x:v>0.35</x:v>
      </x:c>
      <x:c r="G1159" s="11" t="n">
        <x:f>IF($A1159="","",MAX(INDEX(Assumptions!$H$5:$H$12,MATCH($B1159,Assumptions!$D$5:$D$12,0)),MIN(INDEX(Assumptions!$I$5:$I$12,MATCH($B1159,Assumptions!$D$5:$D$12,0)),($C1159+$D1159*SQRT(-2*LN(RAND()))*COS(2*PI()*RAND()))*$E1159*$J1159*$K1159)))</x:f>
        <x:v>1532.325765839308</x:v>
      </x:c>
      <x:c r="H1159" s="11" t="n">
        <x:f>IF($A1159="","",$G1159*$F1159+$C1159*(1-$F1159))</x:f>
        <x:v>1355.3140180437576</x:v>
      </x:c>
      <x:c r="I1159" s="11" t="n">
        <x:f>IF($A1159="","",AVERAGE($H1159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1301.0913617761623</x:v>
      </x:c>
      <x:c r="J1159" s="12" t="n">
        <x:f>IF($A1159="","",1+SUMIFS(Assumptions!$S$5:$S$10,Assumptions!$P$5:$P$10,$B1159,Assumptions!$Q$5:$Q$10,"&lt;="&amp;$A1159,Assumptions!$R$5:$R$10,"&gt;="&amp;$A1159))</x:f>
        <x:v>1</x:v>
      </x:c>
      <x:c r="K1159" s="12" t="n">
        <x:f>IF($A1159="","",1+((($A1159-Assumptions!$B$5)/30)*INDEX(Assumptions!$J$5:$J$12,MATCH($B1159,Assumptions!$D$5:$D$12,0))))</x:f>
        <x:v>1.0231</x:v>
      </x:c>
      <x:c r="L1159" t="str">
        <x:f>IF($A1159="","",IFERROR(INDEX(Assumptions!$O$5:$O$10,MATCH(1,(Assumptions!$P$5:$P$10=$B1159)*(Assumptions!$Q$5:$Q$10&lt;=$A1159)*(Assumptions!$R$5:$R$10&gt;=$A1159),0)),""))</x:f>
      </x:c>
      <x:c r="M1159" t="n">
        <x:f>--($A1159&lt;&gt;"")</x:f>
        <x:v>1</x:v>
      </x:c>
    </x:row>
    <x:row r="1160">
      <x:c r="A1160" s="10" t="n">
        <x:f>IF(Assumptions!$B$5+INT((ROW()-2)/Assumptions!$B$7)&gt;Assumptions!$B$6,"",Assumptions!$B$5+INT((ROW()-2)/Assumptions!$B$7))</x:f>
        <x:v>46254</x:v>
      </x:c>
      <x:c r="B1160" t="str">
        <x:f>IF($A1160="","",INDEX(Assumptions!$D$5:$D$12,MOD(ROW()-2,Assumptions!$B$7)+1))</x:f>
        <x:v>Hadley's Hope</x:v>
      </x:c>
      <x:c r="C1160" s="11" t="n">
        <x:f>IF($A1160="","",INDEX(Assumptions!$F$5:$F$12,MATCH($B1160,Assumptions!$D$5:$D$12,0)))</x:f>
        <x:v>845</x:v>
      </x:c>
      <x:c r="D1160" s="11" t="n">
        <x:f>IF($A1160="","",INDEX(Assumptions!$G$5:$G$12,MATCH($B1160,Assumptions!$D$5:$D$12,0)))</x:f>
        <x:v>80</x:v>
      </x:c>
      <x:c r="E1160" s="11" t="n">
        <x:f>IF($A1160="","",INDEX(Assumptions!$M$5:$M$11,WEEKDAY($A1160,2)))</x:f>
        <x:v>1</x:v>
      </x:c>
      <x:c r="F1160" s="11" t="n">
        <x:f>IF($A1160="","",Assumptions!$B$15)</x:f>
        <x:v>0.35</x:v>
      </x:c>
      <x:c r="G1160" s="11" t="n">
        <x:f>IF($A1160="","",MAX(INDEX(Assumptions!$H$5:$H$12,MATCH($B1160,Assumptions!$D$5:$D$12,0)),MIN(INDEX(Assumptions!$I$5:$I$12,MATCH($B1160,Assumptions!$D$5:$D$12,0)),($C1160+$D1160*SQRT(-2*LN(RAND()))*COS(2*PI()*RAND()))*$E1160*$J1160*$K1160)))</x:f>
        <x:v>863.7923254772319</x:v>
      </x:c>
      <x:c r="H1160" s="11" t="n">
        <x:f>IF($A1160="","",$G1160*$F1160+$C1160*(1-$F1160))</x:f>
        <x:v>851.5773139170311</x:v>
      </x:c>
      <x:c r="I1160" s="11" t="n">
        <x:f>IF($A1160="","",AVERAGE($H1160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852.3039114449051</x:v>
      </x:c>
      <x:c r="J1160" s="12" t="n">
        <x:f>IF($A1160="","",1+SUMIFS(Assumptions!$S$5:$S$10,Assumptions!$P$5:$P$10,$B1160,Assumptions!$Q$5:$Q$10,"&lt;="&amp;$A1160,Assumptions!$R$5:$R$10,"&gt;="&amp;$A1160))</x:f>
        <x:v>1</x:v>
      </x:c>
      <x:c r="K1160" s="12" t="n">
        <x:f>IF($A1160="","",1+((($A1160-Assumptions!$B$5)/30)*INDEX(Assumptions!$J$5:$J$12,MATCH($B1160,Assumptions!$D$5:$D$12,0))))</x:f>
        <x:v>1.0077</x:v>
      </x:c>
      <x:c r="L1160" t="str">
        <x:f>IF($A1160="","",IFERROR(INDEX(Assumptions!$O$5:$O$10,MATCH(1,(Assumptions!$P$5:$P$10=$B1160)*(Assumptions!$Q$5:$Q$10&lt;=$A1160)*(Assumptions!$R$5:$R$10&gt;=$A1160),0)),""))</x:f>
      </x:c>
      <x:c r="M1160" t="n">
        <x:f>--($A1160&lt;&gt;"")</x:f>
        <x:v>1</x:v>
      </x:c>
    </x:row>
    <x:row r="1161">
      <x:c r="A1161" s="10" t="n">
        <x:f>IF(Assumptions!$B$5+INT((ROW()-2)/Assumptions!$B$7)&gt;Assumptions!$B$6,"",Assumptions!$B$5+INT((ROW()-2)/Assumptions!$B$7))</x:f>
        <x:v>46254</x:v>
      </x:c>
      <x:c r="B1161" t="str">
        <x:f>IF($A1161="","",INDEX(Assumptions!$D$5:$D$12,MOD(ROW()-2,Assumptions!$B$7)+1))</x:f>
        <x:v>Yutani Ridge</x:v>
      </x:c>
      <x:c r="C1161" s="11" t="n">
        <x:f>IF($A1161="","",INDEX(Assumptions!$F$5:$F$12,MATCH($B1161,Assumptions!$D$5:$D$12,0)))</x:f>
        <x:v>1050</x:v>
      </x:c>
      <x:c r="D1161" s="11" t="n">
        <x:f>IF($A1161="","",INDEX(Assumptions!$G$5:$G$12,MATCH($B1161,Assumptions!$D$5:$D$12,0)))</x:f>
        <x:v>125</x:v>
      </x:c>
      <x:c r="E1161" s="11" t="n">
        <x:f>IF($A1161="","",INDEX(Assumptions!$M$5:$M$11,WEEKDAY($A1161,2)))</x:f>
        <x:v>1</x:v>
      </x:c>
      <x:c r="F1161" s="11" t="n">
        <x:f>IF($A1161="","",Assumptions!$B$15)</x:f>
        <x:v>0.35</x:v>
      </x:c>
      <x:c r="G1161" s="11" t="n">
        <x:f>IF($A1161="","",MAX(INDEX(Assumptions!$H$5:$H$12,MATCH($B1161,Assumptions!$D$5:$D$12,0)),MIN(INDEX(Assumptions!$I$5:$I$12,MATCH($B1161,Assumptions!$D$5:$D$12,0)),($C1161+$D1161*SQRT(-2*LN(RAND()))*COS(2*PI()*RAND()))*$E1161*$J1161*$K1161)))</x:f>
        <x:v>1368.3942154427812</x:v>
      </x:c>
      <x:c r="H1161" s="11" t="n">
        <x:f>IF($A1161="","",$G1161*$F1161+$C1161*(1-$F1161))</x:f>
        <x:v>1161.4379754049733</x:v>
      </x:c>
      <x:c r="I1161" s="11" t="n">
        <x:f>IF($A1161="","",AVERAGE($H1161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1113.9958061266786</x:v>
      </x:c>
      <x:c r="J1161" s="12" t="n">
        <x:f>IF($A1161="","",1+SUMIFS(Assumptions!$S$5:$S$10,Assumptions!$P$5:$P$10,$B1161,Assumptions!$Q$5:$Q$10,"&lt;="&amp;$A1161,Assumptions!$R$5:$R$10,"&gt;="&amp;$A1161))</x:f>
        <x:v>1.22</x:v>
      </x:c>
      <x:c r="K1161" s="12" t="n">
        <x:f>IF($A1161="","",1+((($A1161-Assumptions!$B$5)/30)*INDEX(Assumptions!$J$5:$J$12,MATCH($B1161,Assumptions!$D$5:$D$12,0))))</x:f>
        <x:v>1.01925</x:v>
      </x:c>
      <x:c r="L1161" t="str">
        <x:f>IF($A1161="","",IFERROR(INDEX(Assumptions!$O$5:$O$10,MATCH(1,(Assumptions!$P$5:$P$10=$B1161)*(Assumptions!$Q$5:$Q$10&lt;=$A1161)*(Assumptions!$R$5:$R$10&gt;=$A1161),0)),""))</x:f>
        <x:v>Equipment upgrade</x:v>
      </x:c>
      <x:c r="M1161" t="n">
        <x:f>--($A1161&lt;&gt;"")</x:f>
        <x:v>1</x:v>
      </x:c>
    </x:row>
    <x:row r="1162">
      <x:c r="A1162" s="10" t="n">
        <x:f>IF(Assumptions!$B$5+INT((ROW()-2)/Assumptions!$B$7)&gt;Assumptions!$B$6,"",Assumptions!$B$5+INT((ROW()-2)/Assumptions!$B$7))</x:f>
        <x:v>46255</x:v>
      </x:c>
      <x:c r="B1162" t="str">
        <x:f>IF($A1162="","",INDEX(Assumptions!$D$5:$D$12,MOD(ROW()-2,Assumptions!$B$7)+1))</x:f>
        <x:v>Acheron Prime</x:v>
      </x:c>
      <x:c r="C1162" s="11" t="n">
        <x:f>IF($A1162="","",INDEX(Assumptions!$F$5:$F$12,MATCH($B1162,Assumptions!$D$5:$D$12,0)))</x:f>
        <x:v>1120</x:v>
      </x:c>
      <x:c r="D1162" s="11" t="n">
        <x:f>IF($A1162="","",INDEX(Assumptions!$G$5:$G$12,MATCH($B1162,Assumptions!$D$5:$D$12,0)))</x:f>
        <x:v>115</x:v>
      </x:c>
      <x:c r="E1162" s="11" t="n">
        <x:f>IF($A1162="","",INDEX(Assumptions!$M$5:$M$11,WEEKDAY($A1162,2)))</x:f>
        <x:v>0.98</x:v>
      </x:c>
      <x:c r="F1162" s="11" t="n">
        <x:f>IF($A1162="","",Assumptions!$B$15)</x:f>
        <x:v>0.35</x:v>
      </x:c>
      <x:c r="G1162" s="11" t="n">
        <x:f>IF($A1162="","",MAX(INDEX(Assumptions!$H$5:$H$12,MATCH($B1162,Assumptions!$D$5:$D$12,0)),MIN(INDEX(Assumptions!$I$5:$I$12,MATCH($B1162,Assumptions!$D$5:$D$12,0)),($C1162+$D1162*SQRT(-2*LN(RAND()))*COS(2*PI()*RAND()))*$E1162*$J1162*$K1162)))</x:f>
        <x:v>1131.3704376250912</x:v>
      </x:c>
      <x:c r="H1162" s="11" t="n">
        <x:f>IF($A1162="","",$G1162*$F1162+$C1162*(1-$F1162))</x:f>
        <x:v>1123.9796531687819</x:v>
      </x:c>
      <x:c r="I1162" s="11" t="n">
        <x:f>IF($A1162="","",AVERAGE($H1162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1134.248038407288</x:v>
      </x:c>
      <x:c r="J1162" s="12" t="n">
        <x:f>IF($A1162="","",1+SUMIFS(Assumptions!$S$5:$S$10,Assumptions!$P$5:$P$10,$B1162,Assumptions!$Q$5:$Q$10,"&lt;="&amp;$A1162,Assumptions!$R$5:$R$10,"&gt;="&amp;$A1162))</x:f>
        <x:v>1</x:v>
      </x:c>
      <x:c r="K1162" s="12" t="n">
        <x:f>IF($A1162="","",1+((($A1162-Assumptions!$B$5)/30)*INDEX(Assumptions!$J$5:$J$12,MATCH($B1162,Assumptions!$D$5:$D$12,0))))</x:f>
        <x:v>1.0154666666666667</x:v>
      </x:c>
      <x:c r="L1162" t="str">
        <x:f>IF($A1162="","",IFERROR(INDEX(Assumptions!$O$5:$O$10,MATCH(1,(Assumptions!$P$5:$P$10=$B1162)*(Assumptions!$Q$5:$Q$10&lt;=$A1162)*(Assumptions!$R$5:$R$10&gt;=$A1162),0)),""))</x:f>
      </x:c>
      <x:c r="M1162" t="n">
        <x:f>--($A1162&lt;&gt;"")</x:f>
        <x:v>1</x:v>
      </x:c>
    </x:row>
    <x:row r="1163">
      <x:c r="A1163" s="10" t="n">
        <x:f>IF(Assumptions!$B$5+INT((ROW()-2)/Assumptions!$B$7)&gt;Assumptions!$B$6,"",Assumptions!$B$5+INT((ROW()-2)/Assumptions!$B$7))</x:f>
        <x:v>46255</x:v>
      </x:c>
      <x:c r="B1163" t="str">
        <x:f>IF($A1163="","",INDEX(Assumptions!$D$5:$D$12,MOD(ROW()-2,Assumptions!$B$7)+1))</x:f>
        <x:v>LV-426 North</x:v>
      </x:c>
      <x:c r="C1163" s="11" t="n">
        <x:f>IF($A1163="","",INDEX(Assumptions!$F$5:$F$12,MATCH($B1163,Assumptions!$D$5:$D$12,0)))</x:f>
        <x:v>930</x:v>
      </x:c>
      <x:c r="D1163" s="11" t="n">
        <x:f>IF($A1163="","",INDEX(Assumptions!$G$5:$G$12,MATCH($B1163,Assumptions!$D$5:$D$12,0)))</x:f>
        <x:v>95</x:v>
      </x:c>
      <x:c r="E1163" s="11" t="n">
        <x:f>IF($A1163="","",INDEX(Assumptions!$M$5:$M$11,WEEKDAY($A1163,2)))</x:f>
        <x:v>0.98</x:v>
      </x:c>
      <x:c r="F1163" s="11" t="n">
        <x:f>IF($A1163="","",Assumptions!$B$15)</x:f>
        <x:v>0.35</x:v>
      </x:c>
      <x:c r="G1163" s="11" t="n">
        <x:f>IF($A1163="","",MAX(INDEX(Assumptions!$H$5:$H$12,MATCH($B1163,Assumptions!$D$5:$D$12,0)),MIN(INDEX(Assumptions!$I$5:$I$12,MATCH($B1163,Assumptions!$D$5:$D$12,0)),($C1163+$D1163*SQRT(-2*LN(RAND()))*COS(2*PI()*RAND()))*$E1163*$J1163*$K1163)))</x:f>
        <x:v>791.0669363732652</x:v>
      </x:c>
      <x:c r="H1163" s="11" t="n">
        <x:f>IF($A1163="","",$G1163*$F1163+$C1163*(1-$F1163))</x:f>
        <x:v>881.3734277306428</x:v>
      </x:c>
      <x:c r="I1163" s="11" t="n">
        <x:f>IF($A1163="","",AVERAGE($H1163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901.5521685291706</x:v>
      </x:c>
      <x:c r="J1163" s="12" t="n">
        <x:f>IF($A1163="","",1+SUMIFS(Assumptions!$S$5:$S$10,Assumptions!$P$5:$P$10,$B1163,Assumptions!$Q$5:$Q$10,"&lt;="&amp;$A1163,Assumptions!$R$5:$R$10,"&gt;="&amp;$A1163))</x:f>
        <x:v>1</x:v>
      </x:c>
      <x:c r="K1163" s="12" t="n">
        <x:f>IF($A1163="","",1+((($A1163-Assumptions!$B$5)/30)*INDEX(Assumptions!$J$5:$J$12,MATCH($B1163,Assumptions!$D$5:$D$12,0))))</x:f>
        <x:v>0.9922666666666666</x:v>
      </x:c>
      <x:c r="L1163" t="str">
        <x:f>IF($A1163="","",IFERROR(INDEX(Assumptions!$O$5:$O$10,MATCH(1,(Assumptions!$P$5:$P$10=$B1163)*(Assumptions!$Q$5:$Q$10&lt;=$A1163)*(Assumptions!$R$5:$R$10&gt;=$A1163),0)),""))</x:f>
      </x:c>
      <x:c r="M1163" t="n">
        <x:f>--($A1163&lt;&gt;"")</x:f>
        <x:v>1</x:v>
      </x:c>
    </x:row>
    <x:row r="1164">
      <x:c r="A1164" s="10" t="n">
        <x:f>IF(Assumptions!$B$5+INT((ROW()-2)/Assumptions!$B$7)&gt;Assumptions!$B$6,"",Assumptions!$B$5+INT((ROW()-2)/Assumptions!$B$7))</x:f>
        <x:v>46255</x:v>
      </x:c>
      <x:c r="B1164" t="str">
        <x:f>IF($A1164="","",INDEX(Assumptions!$D$5:$D$12,MOD(ROW()-2,Assumptions!$B$7)+1))</x:f>
        <x:v>Nostromo Deep</x:v>
      </x:c>
      <x:c r="C1164" s="11" t="n">
        <x:f>IF($A1164="","",INDEX(Assumptions!$F$5:$F$12,MATCH($B1164,Assumptions!$D$5:$D$12,0)))</x:f>
        <x:v>1260</x:v>
      </x:c>
      <x:c r="D1164" s="11" t="n">
        <x:f>IF($A1164="","",INDEX(Assumptions!$G$5:$G$12,MATCH($B1164,Assumptions!$D$5:$D$12,0)))</x:f>
        <x:v>145</x:v>
      </x:c>
      <x:c r="E1164" s="11" t="n">
        <x:f>IF($A1164="","",INDEX(Assumptions!$M$5:$M$11,WEEKDAY($A1164,2)))</x:f>
        <x:v>0.98</x:v>
      </x:c>
      <x:c r="F1164" s="11" t="n">
        <x:f>IF($A1164="","",Assumptions!$B$15)</x:f>
        <x:v>0.35</x:v>
      </x:c>
      <x:c r="G1164" s="11" t="n">
        <x:f>IF($A1164="","",MAX(INDEX(Assumptions!$H$5:$H$12,MATCH($B1164,Assumptions!$D$5:$D$12,0)),MIN(INDEX(Assumptions!$I$5:$I$12,MATCH($B1164,Assumptions!$D$5:$D$12,0)),($C1164+$D1164*SQRT(-2*LN(RAND()))*COS(2*PI()*RAND()))*$E1164*$J1164*$K1164)))</x:f>
        <x:v>1334.7530793490273</x:v>
      </x:c>
      <x:c r="H1164" s="11" t="n">
        <x:f>IF($A1164="","",$G1164*$F1164+$C1164*(1-$F1164))</x:f>
        <x:v>1286.1635777721594</x:v>
      </x:c>
      <x:c r="I1164" s="11" t="n">
        <x:f>IF($A1164="","",AVERAGE($H1164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1294.2148437690196</x:v>
      </x:c>
      <x:c r="J1164" s="12" t="n">
        <x:f>IF($A1164="","",1+SUMIFS(Assumptions!$S$5:$S$10,Assumptions!$P$5:$P$10,$B1164,Assumptions!$Q$5:$Q$10,"&lt;="&amp;$A1164,Assumptions!$R$5:$R$10,"&gt;="&amp;$A1164))</x:f>
        <x:v>1</x:v>
      </x:c>
      <x:c r="K1164" s="12" t="n">
        <x:f>IF($A1164="","",1+((($A1164-Assumptions!$B$5)/30)*INDEX(Assumptions!$J$5:$J$12,MATCH($B1164,Assumptions!$D$5:$D$12,0))))</x:f>
        <x:v>1.0232</x:v>
      </x:c>
      <x:c r="L1164" t="str">
        <x:f>IF($A1164="","",IFERROR(INDEX(Assumptions!$O$5:$O$10,MATCH(1,(Assumptions!$P$5:$P$10=$B1164)*(Assumptions!$Q$5:$Q$10&lt;=$A1164)*(Assumptions!$R$5:$R$10&gt;=$A1164),0)),""))</x:f>
      </x:c>
      <x:c r="M1164" t="n">
        <x:f>--($A1164&lt;&gt;"")</x:f>
        <x:v>1</x:v>
      </x:c>
    </x:row>
    <x:row r="1165">
      <x:c r="A1165" s="10" t="n">
        <x:f>IF(Assumptions!$B$5+INT((ROW()-2)/Assumptions!$B$7)&gt;Assumptions!$B$6,"",Assumptions!$B$5+INT((ROW()-2)/Assumptions!$B$7))</x:f>
        <x:v>46255</x:v>
      </x:c>
      <x:c r="B1165" t="str">
        <x:f>IF($A1165="","",INDEX(Assumptions!$D$5:$D$12,MOD(ROW()-2,Assumptions!$B$7)+1))</x:f>
        <x:v>Hadley's Hope</x:v>
      </x:c>
      <x:c r="C1165" s="11" t="n">
        <x:f>IF($A1165="","",INDEX(Assumptions!$F$5:$F$12,MATCH($B1165,Assumptions!$D$5:$D$12,0)))</x:f>
        <x:v>845</x:v>
      </x:c>
      <x:c r="D1165" s="11" t="n">
        <x:f>IF($A1165="","",INDEX(Assumptions!$G$5:$G$12,MATCH($B1165,Assumptions!$D$5:$D$12,0)))</x:f>
        <x:v>80</x:v>
      </x:c>
      <x:c r="E1165" s="11" t="n">
        <x:f>IF($A1165="","",INDEX(Assumptions!$M$5:$M$11,WEEKDAY($A1165,2)))</x:f>
        <x:v>0.98</x:v>
      </x:c>
      <x:c r="F1165" s="11" t="n">
        <x:f>IF($A1165="","",Assumptions!$B$15)</x:f>
        <x:v>0.35</x:v>
      </x:c>
      <x:c r="G1165" s="11" t="n">
        <x:f>IF($A1165="","",MAX(INDEX(Assumptions!$H$5:$H$12,MATCH($B1165,Assumptions!$D$5:$D$12,0)),MIN(INDEX(Assumptions!$I$5:$I$12,MATCH($B1165,Assumptions!$D$5:$D$12,0)),($C1165+$D1165*SQRT(-2*LN(RAND()))*COS(2*PI()*RAND()))*$E1165*$J1165*$K1165)))</x:f>
        <x:v>811.768958581527</x:v>
      </x:c>
      <x:c r="H1165" s="11" t="n">
        <x:f>IF($A1165="","",$G1165*$F1165+$C1165*(1-$F1165))</x:f>
        <x:v>833.3691355035344</x:v>
      </x:c>
      <x:c r="I1165" s="11" t="n">
        <x:f>IF($A1165="","",AVERAGE($H1165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849.1599148217574</x:v>
      </x:c>
      <x:c r="J1165" s="12" t="n">
        <x:f>IF($A1165="","",1+SUMIFS(Assumptions!$S$5:$S$10,Assumptions!$P$5:$P$10,$B1165,Assumptions!$Q$5:$Q$10,"&lt;="&amp;$A1165,Assumptions!$R$5:$R$10,"&gt;="&amp;$A1165))</x:f>
        <x:v>1</x:v>
      </x:c>
      <x:c r="K1165" s="12" t="n">
        <x:f>IF($A1165="","",1+((($A1165-Assumptions!$B$5)/30)*INDEX(Assumptions!$J$5:$J$12,MATCH($B1165,Assumptions!$D$5:$D$12,0))))</x:f>
        <x:v>1.0077333333333334</x:v>
      </x:c>
      <x:c r="L1165" t="str">
        <x:f>IF($A1165="","",IFERROR(INDEX(Assumptions!$O$5:$O$10,MATCH(1,(Assumptions!$P$5:$P$10=$B1165)*(Assumptions!$Q$5:$Q$10&lt;=$A1165)*(Assumptions!$R$5:$R$10&gt;=$A1165),0)),""))</x:f>
      </x:c>
      <x:c r="M1165" t="n">
        <x:f>--($A1165&lt;&gt;"")</x:f>
        <x:v>1</x:v>
      </x:c>
    </x:row>
    <x:row r="1166">
      <x:c r="A1166" s="10" t="n">
        <x:f>IF(Assumptions!$B$5+INT((ROW()-2)/Assumptions!$B$7)&gt;Assumptions!$B$6,"",Assumptions!$B$5+INT((ROW()-2)/Assumptions!$B$7))</x:f>
        <x:v>46255</x:v>
      </x:c>
      <x:c r="B1166" t="str">
        <x:f>IF($A1166="","",INDEX(Assumptions!$D$5:$D$12,MOD(ROW()-2,Assumptions!$B$7)+1))</x:f>
        <x:v>Yutani Ridge</x:v>
      </x:c>
      <x:c r="C1166" s="11" t="n">
        <x:f>IF($A1166="","",INDEX(Assumptions!$F$5:$F$12,MATCH($B1166,Assumptions!$D$5:$D$12,0)))</x:f>
        <x:v>1050</x:v>
      </x:c>
      <x:c r="D1166" s="11" t="n">
        <x:f>IF($A1166="","",INDEX(Assumptions!$G$5:$G$12,MATCH($B1166,Assumptions!$D$5:$D$12,0)))</x:f>
        <x:v>125</x:v>
      </x:c>
      <x:c r="E1166" s="11" t="n">
        <x:f>IF($A1166="","",INDEX(Assumptions!$M$5:$M$11,WEEKDAY($A1166,2)))</x:f>
        <x:v>0.98</x:v>
      </x:c>
      <x:c r="F1166" s="11" t="n">
        <x:f>IF($A1166="","",Assumptions!$B$15)</x:f>
        <x:v>0.35</x:v>
      </x:c>
      <x:c r="G1166" s="11" t="n">
        <x:f>IF($A1166="","",MAX(INDEX(Assumptions!$H$5:$H$12,MATCH($B1166,Assumptions!$D$5:$D$12,0)),MIN(INDEX(Assumptions!$I$5:$I$12,MATCH($B1166,Assumptions!$D$5:$D$12,0)),($C1166+$D1166*SQRT(-2*LN(RAND()))*COS(2*PI()*RAND()))*$E1166*$J1166*$K1166)))</x:f>
        <x:v>1101.8681000752456</x:v>
      </x:c>
      <x:c r="H1166" s="11" t="n">
        <x:f>IF($A1166="","",$G1166*$F1166+$C1166*(1-$F1166))</x:f>
        <x:v>1068.1538350263359</x:v>
      </x:c>
      <x:c r="I1166" s="11" t="n">
        <x:f>IF($A1166="","",AVERAGE($H1166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1107.7986559916158</x:v>
      </x:c>
      <x:c r="J1166" s="12" t="n">
        <x:f>IF($A1166="","",1+SUMIFS(Assumptions!$S$5:$S$10,Assumptions!$P$5:$P$10,$B1166,Assumptions!$Q$5:$Q$10,"&lt;="&amp;$A1166,Assumptions!$R$5:$R$10,"&gt;="&amp;$A1166))</x:f>
        <x:v>1.22</x:v>
      </x:c>
      <x:c r="K1166" s="12" t="n">
        <x:f>IF($A1166="","",1+((($A1166-Assumptions!$B$5)/30)*INDEX(Assumptions!$J$5:$J$12,MATCH($B1166,Assumptions!$D$5:$D$12,0))))</x:f>
        <x:v>1.0193333333333334</x:v>
      </x:c>
      <x:c r="L1166" t="str">
        <x:f>IF($A1166="","",IFERROR(INDEX(Assumptions!$O$5:$O$10,MATCH(1,(Assumptions!$P$5:$P$10=$B1166)*(Assumptions!$Q$5:$Q$10&lt;=$A1166)*(Assumptions!$R$5:$R$10&gt;=$A1166),0)),""))</x:f>
        <x:v>Equipment upgrade</x:v>
      </x:c>
      <x:c r="M1166" t="n">
        <x:f>--($A1166&lt;&gt;"")</x:f>
        <x:v>1</x:v>
      </x:c>
    </x:row>
    <x:row r="1167">
      <x:c r="A1167" s="10" t="n">
        <x:f>IF(Assumptions!$B$5+INT((ROW()-2)/Assumptions!$B$7)&gt;Assumptions!$B$6,"",Assumptions!$B$5+INT((ROW()-2)/Assumptions!$B$7))</x:f>
        <x:v>46256</x:v>
      </x:c>
      <x:c r="B1167" t="str">
        <x:f>IF($A1167="","",INDEX(Assumptions!$D$5:$D$12,MOD(ROW()-2,Assumptions!$B$7)+1))</x:f>
        <x:v>Acheron Prime</x:v>
      </x:c>
      <x:c r="C1167" s="11" t="n">
        <x:f>IF($A1167="","",INDEX(Assumptions!$F$5:$F$12,MATCH($B1167,Assumptions!$D$5:$D$12,0)))</x:f>
        <x:v>1120</x:v>
      </x:c>
      <x:c r="D1167" s="11" t="n">
        <x:f>IF($A1167="","",INDEX(Assumptions!$G$5:$G$12,MATCH($B1167,Assumptions!$D$5:$D$12,0)))</x:f>
        <x:v>115</x:v>
      </x:c>
      <x:c r="E1167" s="11" t="n">
        <x:f>IF($A1167="","",INDEX(Assumptions!$M$5:$M$11,WEEKDAY($A1167,2)))</x:f>
        <x:v>0.91</x:v>
      </x:c>
      <x:c r="F1167" s="11" t="n">
        <x:f>IF($A1167="","",Assumptions!$B$15)</x:f>
        <x:v>0.35</x:v>
      </x:c>
      <x:c r="G1167" s="11" t="n">
        <x:f>IF($A1167="","",MAX(INDEX(Assumptions!$H$5:$H$12,MATCH($B1167,Assumptions!$D$5:$D$12,0)),MIN(INDEX(Assumptions!$I$5:$I$12,MATCH($B1167,Assumptions!$D$5:$D$12,0)),($C1167+$D1167*SQRT(-2*LN(RAND()))*COS(2*PI()*RAND()))*$E1167*$J1167*$K1167)))</x:f>
        <x:v>1125.0536524522472</x:v>
      </x:c>
      <x:c r="H1167" s="11" t="n">
        <x:f>IF($A1167="","",$G1167*$F1167+$C1167*(1-$F1167))</x:f>
        <x:v>1121.7687783582865</x:v>
      </x:c>
      <x:c r="I1167" s="11" t="n">
        <x:f>IF($A1167="","",AVERAGE($H1167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1138.1874003651699</x:v>
      </x:c>
      <x:c r="J1167" s="12" t="n">
        <x:f>IF($A1167="","",1+SUMIFS(Assumptions!$S$5:$S$10,Assumptions!$P$5:$P$10,$B1167,Assumptions!$Q$5:$Q$10,"&lt;="&amp;$A1167,Assumptions!$R$5:$R$10,"&gt;="&amp;$A1167))</x:f>
        <x:v>1</x:v>
      </x:c>
      <x:c r="K1167" s="12" t="n">
        <x:f>IF($A1167="","",1+((($A1167-Assumptions!$B$5)/30)*INDEX(Assumptions!$J$5:$J$12,MATCH($B1167,Assumptions!$D$5:$D$12,0))))</x:f>
        <x:v>1.0155333333333334</x:v>
      </x:c>
      <x:c r="L1167" t="str">
        <x:f>IF($A1167="","",IFERROR(INDEX(Assumptions!$O$5:$O$10,MATCH(1,(Assumptions!$P$5:$P$10=$B1167)*(Assumptions!$Q$5:$Q$10&lt;=$A1167)*(Assumptions!$R$5:$R$10&gt;=$A1167),0)),""))</x:f>
      </x:c>
      <x:c r="M1167" t="n">
        <x:f>--($A1167&lt;&gt;"")</x:f>
        <x:v>1</x:v>
      </x:c>
    </x:row>
    <x:row r="1168">
      <x:c r="A1168" s="10" t="n">
        <x:f>IF(Assumptions!$B$5+INT((ROW()-2)/Assumptions!$B$7)&gt;Assumptions!$B$6,"",Assumptions!$B$5+INT((ROW()-2)/Assumptions!$B$7))</x:f>
        <x:v>46256</x:v>
      </x:c>
      <x:c r="B1168" t="str">
        <x:f>IF($A1168="","",INDEX(Assumptions!$D$5:$D$12,MOD(ROW()-2,Assumptions!$B$7)+1))</x:f>
        <x:v>LV-426 North</x:v>
      </x:c>
      <x:c r="C1168" s="11" t="n">
        <x:f>IF($A1168="","",INDEX(Assumptions!$F$5:$F$12,MATCH($B1168,Assumptions!$D$5:$D$12,0)))</x:f>
        <x:v>930</x:v>
      </x:c>
      <x:c r="D1168" s="11" t="n">
        <x:f>IF($A1168="","",INDEX(Assumptions!$G$5:$G$12,MATCH($B1168,Assumptions!$D$5:$D$12,0)))</x:f>
        <x:v>95</x:v>
      </x:c>
      <x:c r="E1168" s="11" t="n">
        <x:f>IF($A1168="","",INDEX(Assumptions!$M$5:$M$11,WEEKDAY($A1168,2)))</x:f>
        <x:v>0.91</x:v>
      </x:c>
      <x:c r="F1168" s="11" t="n">
        <x:f>IF($A1168="","",Assumptions!$B$15)</x:f>
        <x:v>0.35</x:v>
      </x:c>
      <x:c r="G1168" s="11" t="n">
        <x:f>IF($A1168="","",MAX(INDEX(Assumptions!$H$5:$H$12,MATCH($B1168,Assumptions!$D$5:$D$12,0)),MIN(INDEX(Assumptions!$I$5:$I$12,MATCH($B1168,Assumptions!$D$5:$D$12,0)),($C1168+$D1168*SQRT(-2*LN(RAND()))*COS(2*PI()*RAND()))*$E1168*$J1168*$K1168)))</x:f>
        <x:v>874.4272740165345</x:v>
      </x:c>
      <x:c r="H1168" s="11" t="n">
        <x:f>IF($A1168="","",$G1168*$F1168+$C1168*(1-$F1168))</x:f>
        <x:v>910.549545905787</x:v>
      </x:c>
      <x:c r="I1168" s="11" t="n">
        <x:f>IF($A1168="","",AVERAGE($H1168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904.8938000740781</x:v>
      </x:c>
      <x:c r="J1168" s="12" t="n">
        <x:f>IF($A1168="","",1+SUMIFS(Assumptions!$S$5:$S$10,Assumptions!$P$5:$P$10,$B1168,Assumptions!$Q$5:$Q$10,"&lt;="&amp;$A1168,Assumptions!$R$5:$R$10,"&gt;="&amp;$A1168))</x:f>
        <x:v>1</x:v>
      </x:c>
      <x:c r="K1168" s="12" t="n">
        <x:f>IF($A1168="","",1+((($A1168-Assumptions!$B$5)/30)*INDEX(Assumptions!$J$5:$J$12,MATCH($B1168,Assumptions!$D$5:$D$12,0))))</x:f>
        <x:v>0.9922333333333333</x:v>
      </x:c>
      <x:c r="L1168" t="str">
        <x:f>IF($A1168="","",IFERROR(INDEX(Assumptions!$O$5:$O$10,MATCH(1,(Assumptions!$P$5:$P$10=$B1168)*(Assumptions!$Q$5:$Q$10&lt;=$A1168)*(Assumptions!$R$5:$R$10&gt;=$A1168),0)),""))</x:f>
      </x:c>
      <x:c r="M1168" t="n">
        <x:f>--($A1168&lt;&gt;"")</x:f>
        <x:v>1</x:v>
      </x:c>
    </x:row>
    <x:row r="1169">
      <x:c r="A1169" s="10" t="n">
        <x:f>IF(Assumptions!$B$5+INT((ROW()-2)/Assumptions!$B$7)&gt;Assumptions!$B$6,"",Assumptions!$B$5+INT((ROW()-2)/Assumptions!$B$7))</x:f>
        <x:v>46256</x:v>
      </x:c>
      <x:c r="B1169" t="str">
        <x:f>IF($A1169="","",INDEX(Assumptions!$D$5:$D$12,MOD(ROW()-2,Assumptions!$B$7)+1))</x:f>
        <x:v>Nostromo Deep</x:v>
      </x:c>
      <x:c r="C1169" s="11" t="n">
        <x:f>IF($A1169="","",INDEX(Assumptions!$F$5:$F$12,MATCH($B1169,Assumptions!$D$5:$D$12,0)))</x:f>
        <x:v>1260</x:v>
      </x:c>
      <x:c r="D1169" s="11" t="n">
        <x:f>IF($A1169="","",INDEX(Assumptions!$G$5:$G$12,MATCH($B1169,Assumptions!$D$5:$D$12,0)))</x:f>
        <x:v>145</x:v>
      </x:c>
      <x:c r="E1169" s="11" t="n">
        <x:f>IF($A1169="","",INDEX(Assumptions!$M$5:$M$11,WEEKDAY($A1169,2)))</x:f>
        <x:v>0.91</x:v>
      </x:c>
      <x:c r="F1169" s="11" t="n">
        <x:f>IF($A1169="","",Assumptions!$B$15)</x:f>
        <x:v>0.35</x:v>
      </x:c>
      <x:c r="G1169" s="11" t="n">
        <x:f>IF($A1169="","",MAX(INDEX(Assumptions!$H$5:$H$12,MATCH($B1169,Assumptions!$D$5:$D$12,0)),MIN(INDEX(Assumptions!$I$5:$I$12,MATCH($B1169,Assumptions!$D$5:$D$12,0)),($C1169+$D1169*SQRT(-2*LN(RAND()))*COS(2*PI()*RAND()))*$E1169*$J1169*$K1169)))</x:f>
        <x:v>1273.7680956629747</x:v>
      </x:c>
      <x:c r="H1169" s="11" t="n">
        <x:f>IF($A1169="","",$G1169*$F1169+$C1169*(1-$F1169))</x:f>
        <x:v>1264.818833482041</x:v>
      </x:c>
      <x:c r="I1169" s="11" t="n">
        <x:f>IF($A1169="","",AVERAGE($H1169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1303.6642585008499</x:v>
      </x:c>
      <x:c r="J1169" s="12" t="n">
        <x:f>IF($A1169="","",1+SUMIFS(Assumptions!$S$5:$S$10,Assumptions!$P$5:$P$10,$B1169,Assumptions!$Q$5:$Q$10,"&lt;="&amp;$A1169,Assumptions!$R$5:$R$10,"&gt;="&amp;$A1169))</x:f>
        <x:v>1</x:v>
      </x:c>
      <x:c r="K1169" s="12" t="n">
        <x:f>IF($A1169="","",1+((($A1169-Assumptions!$B$5)/30)*INDEX(Assumptions!$J$5:$J$12,MATCH($B1169,Assumptions!$D$5:$D$12,0))))</x:f>
        <x:v>1.0233</x:v>
      </x:c>
      <x:c r="L1169" t="str">
        <x:f>IF($A1169="","",IFERROR(INDEX(Assumptions!$O$5:$O$10,MATCH(1,(Assumptions!$P$5:$P$10=$B1169)*(Assumptions!$Q$5:$Q$10&lt;=$A1169)*(Assumptions!$R$5:$R$10&gt;=$A1169),0)),""))</x:f>
      </x:c>
      <x:c r="M1169" t="n">
        <x:f>--($A1169&lt;&gt;"")</x:f>
        <x:v>1</x:v>
      </x:c>
    </x:row>
    <x:row r="1170">
      <x:c r="A1170" s="10" t="n">
        <x:f>IF(Assumptions!$B$5+INT((ROW()-2)/Assumptions!$B$7)&gt;Assumptions!$B$6,"",Assumptions!$B$5+INT((ROW()-2)/Assumptions!$B$7))</x:f>
        <x:v>46256</x:v>
      </x:c>
      <x:c r="B1170" t="str">
        <x:f>IF($A1170="","",INDEX(Assumptions!$D$5:$D$12,MOD(ROW()-2,Assumptions!$B$7)+1))</x:f>
        <x:v>Hadley's Hope</x:v>
      </x:c>
      <x:c r="C1170" s="11" t="n">
        <x:f>IF($A1170="","",INDEX(Assumptions!$F$5:$F$12,MATCH($B1170,Assumptions!$D$5:$D$12,0)))</x:f>
        <x:v>845</x:v>
      </x:c>
      <x:c r="D1170" s="11" t="n">
        <x:f>IF($A1170="","",INDEX(Assumptions!$G$5:$G$12,MATCH($B1170,Assumptions!$D$5:$D$12,0)))</x:f>
        <x:v>80</x:v>
      </x:c>
      <x:c r="E1170" s="11" t="n">
        <x:f>IF($A1170="","",INDEX(Assumptions!$M$5:$M$11,WEEKDAY($A1170,2)))</x:f>
        <x:v>0.91</x:v>
      </x:c>
      <x:c r="F1170" s="11" t="n">
        <x:f>IF($A1170="","",Assumptions!$B$15)</x:f>
        <x:v>0.35</x:v>
      </x:c>
      <x:c r="G1170" s="11" t="n">
        <x:f>IF($A1170="","",MAX(INDEX(Assumptions!$H$5:$H$12,MATCH($B1170,Assumptions!$D$5:$D$12,0)),MIN(INDEX(Assumptions!$I$5:$I$12,MATCH($B1170,Assumptions!$D$5:$D$12,0)),($C1170+$D1170*SQRT(-2*LN(RAND()))*COS(2*PI()*RAND()))*$E1170*$J1170*$K1170)))</x:f>
        <x:v>705.6027758318129</x:v>
      </x:c>
      <x:c r="H1170" s="11" t="n">
        <x:f>IF($A1170="","",$G1170*$F1170+$C1170*(1-$F1170))</x:f>
        <x:v>796.2109715411345</x:v>
      </x:c>
      <x:c r="I1170" s="11" t="n">
        <x:f>IF($A1170="","",AVERAGE($H1170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845.0257568592943</x:v>
      </x:c>
      <x:c r="J1170" s="12" t="n">
        <x:f>IF($A1170="","",1+SUMIFS(Assumptions!$S$5:$S$10,Assumptions!$P$5:$P$10,$B1170,Assumptions!$Q$5:$Q$10,"&lt;="&amp;$A1170,Assumptions!$R$5:$R$10,"&gt;="&amp;$A1170))</x:f>
        <x:v>1</x:v>
      </x:c>
      <x:c r="K1170" s="12" t="n">
        <x:f>IF($A1170="","",1+((($A1170-Assumptions!$B$5)/30)*INDEX(Assumptions!$J$5:$J$12,MATCH($B1170,Assumptions!$D$5:$D$12,0))))</x:f>
        <x:v>1.0077666666666667</x:v>
      </x:c>
      <x:c r="L1170" t="str">
        <x:f>IF($A1170="","",IFERROR(INDEX(Assumptions!$O$5:$O$10,MATCH(1,(Assumptions!$P$5:$P$10=$B1170)*(Assumptions!$Q$5:$Q$10&lt;=$A1170)*(Assumptions!$R$5:$R$10&gt;=$A1170),0)),""))</x:f>
      </x:c>
      <x:c r="M1170" t="n">
        <x:f>--($A1170&lt;&gt;"")</x:f>
        <x:v>1</x:v>
      </x:c>
    </x:row>
    <x:row r="1171">
      <x:c r="A1171" s="10" t="n">
        <x:f>IF(Assumptions!$B$5+INT((ROW()-2)/Assumptions!$B$7)&gt;Assumptions!$B$6,"",Assumptions!$B$5+INT((ROW()-2)/Assumptions!$B$7))</x:f>
        <x:v>46256</x:v>
      </x:c>
      <x:c r="B1171" t="str">
        <x:f>IF($A1171="","",INDEX(Assumptions!$D$5:$D$12,MOD(ROW()-2,Assumptions!$B$7)+1))</x:f>
        <x:v>Yutani Ridge</x:v>
      </x:c>
      <x:c r="C1171" s="11" t="n">
        <x:f>IF($A1171="","",INDEX(Assumptions!$F$5:$F$12,MATCH($B1171,Assumptions!$D$5:$D$12,0)))</x:f>
        <x:v>1050</x:v>
      </x:c>
      <x:c r="D1171" s="11" t="n">
        <x:f>IF($A1171="","",INDEX(Assumptions!$G$5:$G$12,MATCH($B1171,Assumptions!$D$5:$D$12,0)))</x:f>
        <x:v>125</x:v>
      </x:c>
      <x:c r="E1171" s="11" t="n">
        <x:f>IF($A1171="","",INDEX(Assumptions!$M$5:$M$11,WEEKDAY($A1171,2)))</x:f>
        <x:v>0.91</x:v>
      </x:c>
      <x:c r="F1171" s="11" t="n">
        <x:f>IF($A1171="","",Assumptions!$B$15)</x:f>
        <x:v>0.35</x:v>
      </x:c>
      <x:c r="G1171" s="11" t="n">
        <x:f>IF($A1171="","",MAX(INDEX(Assumptions!$H$5:$H$12,MATCH($B1171,Assumptions!$D$5:$D$12,0)),MIN(INDEX(Assumptions!$I$5:$I$12,MATCH($B1171,Assumptions!$D$5:$D$12,0)),($C1171+$D1171*SQRT(-2*LN(RAND()))*COS(2*PI()*RAND()))*$E1171*$J1171*$K1171)))</x:f>
        <x:v>1339.590053750278</x:v>
      </x:c>
      <x:c r="H1171" s="11" t="n">
        <x:f>IF($A1171="","",$G1171*$F1171+$C1171*(1-$F1171))</x:f>
        <x:v>1151.3565188125972</x:v>
      </x:c>
      <x:c r="I1171" s="11" t="n">
        <x:f>IF($A1171="","",AVERAGE($H1171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1109.4578712251155</x:v>
      </x:c>
      <x:c r="J1171" s="12" t="n">
        <x:f>IF($A1171="","",1+SUMIFS(Assumptions!$S$5:$S$10,Assumptions!$P$5:$P$10,$B1171,Assumptions!$Q$5:$Q$10,"&lt;="&amp;$A1171,Assumptions!$R$5:$R$10,"&gt;="&amp;$A1171))</x:f>
        <x:v>1.22</x:v>
      </x:c>
      <x:c r="K1171" s="12" t="n">
        <x:f>IF($A1171="","",1+((($A1171-Assumptions!$B$5)/30)*INDEX(Assumptions!$J$5:$J$12,MATCH($B1171,Assumptions!$D$5:$D$12,0))))</x:f>
        <x:v>1.0194166666666666</x:v>
      </x:c>
      <x:c r="L1171" t="str">
        <x:f>IF($A1171="","",IFERROR(INDEX(Assumptions!$O$5:$O$10,MATCH(1,(Assumptions!$P$5:$P$10=$B1171)*(Assumptions!$Q$5:$Q$10&lt;=$A1171)*(Assumptions!$R$5:$R$10&gt;=$A1171),0)),""))</x:f>
        <x:v>Equipment upgrade</x:v>
      </x:c>
      <x:c r="M1171" t="n">
        <x:f>--($A1171&lt;&gt;"")</x:f>
        <x:v>1</x:v>
      </x:c>
    </x:row>
    <x:row r="1172">
      <x:c r="A1172" s="10" t="n">
        <x:f>IF(Assumptions!$B$5+INT((ROW()-2)/Assumptions!$B$7)&gt;Assumptions!$B$6,"",Assumptions!$B$5+INT((ROW()-2)/Assumptions!$B$7))</x:f>
        <x:v>46257</x:v>
      </x:c>
      <x:c r="B1172" t="str">
        <x:f>IF($A1172="","",INDEX(Assumptions!$D$5:$D$12,MOD(ROW()-2,Assumptions!$B$7)+1))</x:f>
        <x:v>Acheron Prime</x:v>
      </x:c>
      <x:c r="C1172" s="11" t="n">
        <x:f>IF($A1172="","",INDEX(Assumptions!$F$5:$F$12,MATCH($B1172,Assumptions!$D$5:$D$12,0)))</x:f>
        <x:v>1120</x:v>
      </x:c>
      <x:c r="D1172" s="11" t="n">
        <x:f>IF($A1172="","",INDEX(Assumptions!$G$5:$G$12,MATCH($B1172,Assumptions!$D$5:$D$12,0)))</x:f>
        <x:v>115</x:v>
      </x:c>
      <x:c r="E1172" s="11" t="n">
        <x:f>IF($A1172="","",INDEX(Assumptions!$M$5:$M$11,WEEKDAY($A1172,2)))</x:f>
        <x:v>0.87</x:v>
      </x:c>
      <x:c r="F1172" s="11" t="n">
        <x:f>IF($A1172="","",Assumptions!$B$15)</x:f>
        <x:v>0.35</x:v>
      </x:c>
      <x:c r="G1172" s="11" t="n">
        <x:f>IF($A1172="","",MAX(INDEX(Assumptions!$H$5:$H$12,MATCH($B1172,Assumptions!$D$5:$D$12,0)),MIN(INDEX(Assumptions!$I$5:$I$12,MATCH($B1172,Assumptions!$D$5:$D$12,0)),($C1172+$D1172*SQRT(-2*LN(RAND()))*COS(2*PI()*RAND()))*$E1172*$J1172*$K1172)))</x:f>
        <x:v>968.2170355811174</x:v>
      </x:c>
      <x:c r="H1172" s="11" t="n">
        <x:f>IF($A1172="","",$G1172*$F1172+$C1172*(1-$F1172))</x:f>
        <x:v>1066.8759624533911</x:v>
      </x:c>
      <x:c r="I1172" s="11" t="n">
        <x:f>IF($A1172="","",AVERAGE($H1172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1130.5470807390195</x:v>
      </x:c>
      <x:c r="J1172" s="12" t="n">
        <x:f>IF($A1172="","",1+SUMIFS(Assumptions!$S$5:$S$10,Assumptions!$P$5:$P$10,$B1172,Assumptions!$Q$5:$Q$10,"&lt;="&amp;$A1172,Assumptions!$R$5:$R$10,"&gt;="&amp;$A1172))</x:f>
        <x:v>1</x:v>
      </x:c>
      <x:c r="K1172" s="12" t="n">
        <x:f>IF($A1172="","",1+((($A1172-Assumptions!$B$5)/30)*INDEX(Assumptions!$J$5:$J$12,MATCH($B1172,Assumptions!$D$5:$D$12,0))))</x:f>
        <x:v>1.0156</x:v>
      </x:c>
      <x:c r="L1172" t="str">
        <x:f>IF($A1172="","",IFERROR(INDEX(Assumptions!$O$5:$O$10,MATCH(1,(Assumptions!$P$5:$P$10=$B1172)*(Assumptions!$Q$5:$Q$10&lt;=$A1172)*(Assumptions!$R$5:$R$10&gt;=$A1172),0)),""))</x:f>
      </x:c>
      <x:c r="M1172" t="n">
        <x:f>--($A1172&lt;&gt;"")</x:f>
        <x:v>1</x:v>
      </x:c>
    </x:row>
    <x:row r="1173">
      <x:c r="A1173" s="10" t="n">
        <x:f>IF(Assumptions!$B$5+INT((ROW()-2)/Assumptions!$B$7)&gt;Assumptions!$B$6,"",Assumptions!$B$5+INT((ROW()-2)/Assumptions!$B$7))</x:f>
        <x:v>46257</x:v>
      </x:c>
      <x:c r="B1173" t="str">
        <x:f>IF($A1173="","",INDEX(Assumptions!$D$5:$D$12,MOD(ROW()-2,Assumptions!$B$7)+1))</x:f>
        <x:v>LV-426 North</x:v>
      </x:c>
      <x:c r="C1173" s="11" t="n">
        <x:f>IF($A1173="","",INDEX(Assumptions!$F$5:$F$12,MATCH($B1173,Assumptions!$D$5:$D$12,0)))</x:f>
        <x:v>930</x:v>
      </x:c>
      <x:c r="D1173" s="11" t="n">
        <x:f>IF($A1173="","",INDEX(Assumptions!$G$5:$G$12,MATCH($B1173,Assumptions!$D$5:$D$12,0)))</x:f>
        <x:v>95</x:v>
      </x:c>
      <x:c r="E1173" s="11" t="n">
        <x:f>IF($A1173="","",INDEX(Assumptions!$M$5:$M$11,WEEKDAY($A1173,2)))</x:f>
        <x:v>0.87</x:v>
      </x:c>
      <x:c r="F1173" s="11" t="n">
        <x:f>IF($A1173="","",Assumptions!$B$15)</x:f>
        <x:v>0.35</x:v>
      </x:c>
      <x:c r="G1173" s="11" t="n">
        <x:f>IF($A1173="","",MAX(INDEX(Assumptions!$H$5:$H$12,MATCH($B1173,Assumptions!$D$5:$D$12,0)),MIN(INDEX(Assumptions!$I$5:$I$12,MATCH($B1173,Assumptions!$D$5:$D$12,0)),($C1173+$D1173*SQRT(-2*LN(RAND()))*COS(2*PI()*RAND()))*$E1173*$J1173*$K1173)))</x:f>
        <x:v>941.4354971023183</x:v>
      </x:c>
      <x:c r="H1173" s="11" t="n">
        <x:f>IF($A1173="","",$G1173*$F1173+$C1173*(1-$F1173))</x:f>
        <x:v>934.0024239858114</x:v>
      </x:c>
      <x:c r="I1173" s="11" t="n">
        <x:f>IF($A1173="","",AVERAGE($H1173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908.9852854505625</x:v>
      </x:c>
      <x:c r="J1173" s="12" t="n">
        <x:f>IF($A1173="","",1+SUMIFS(Assumptions!$S$5:$S$10,Assumptions!$P$5:$P$10,$B1173,Assumptions!$Q$5:$Q$10,"&lt;="&amp;$A1173,Assumptions!$R$5:$R$10,"&gt;="&amp;$A1173))</x:f>
        <x:v>1</x:v>
      </x:c>
      <x:c r="K1173" s="12" t="n">
        <x:f>IF($A1173="","",1+((($A1173-Assumptions!$B$5)/30)*INDEX(Assumptions!$J$5:$J$12,MATCH($B1173,Assumptions!$D$5:$D$12,0))))</x:f>
        <x:v>0.9922</x:v>
      </x:c>
      <x:c r="L1173" t="str">
        <x:f>IF($A1173="","",IFERROR(INDEX(Assumptions!$O$5:$O$10,MATCH(1,(Assumptions!$P$5:$P$10=$B1173)*(Assumptions!$Q$5:$Q$10&lt;=$A1173)*(Assumptions!$R$5:$R$10&gt;=$A1173),0)),""))</x:f>
      </x:c>
      <x:c r="M1173" t="n">
        <x:f>--($A1173&lt;&gt;"")</x:f>
        <x:v>1</x:v>
      </x:c>
    </x:row>
    <x:row r="1174">
      <x:c r="A1174" s="10" t="n">
        <x:f>IF(Assumptions!$B$5+INT((ROW()-2)/Assumptions!$B$7)&gt;Assumptions!$B$6,"",Assumptions!$B$5+INT((ROW()-2)/Assumptions!$B$7))</x:f>
        <x:v>46257</x:v>
      </x:c>
      <x:c r="B1174" t="str">
        <x:f>IF($A1174="","",INDEX(Assumptions!$D$5:$D$12,MOD(ROW()-2,Assumptions!$B$7)+1))</x:f>
        <x:v>Nostromo Deep</x:v>
      </x:c>
      <x:c r="C1174" s="11" t="n">
        <x:f>IF($A1174="","",INDEX(Assumptions!$F$5:$F$12,MATCH($B1174,Assumptions!$D$5:$D$12,0)))</x:f>
        <x:v>1260</x:v>
      </x:c>
      <x:c r="D1174" s="11" t="n">
        <x:f>IF($A1174="","",INDEX(Assumptions!$G$5:$G$12,MATCH($B1174,Assumptions!$D$5:$D$12,0)))</x:f>
        <x:v>145</x:v>
      </x:c>
      <x:c r="E1174" s="11" t="n">
        <x:f>IF($A1174="","",INDEX(Assumptions!$M$5:$M$11,WEEKDAY($A1174,2)))</x:f>
        <x:v>0.87</x:v>
      </x:c>
      <x:c r="F1174" s="11" t="n">
        <x:f>IF($A1174="","",Assumptions!$B$15)</x:f>
        <x:v>0.35</x:v>
      </x:c>
      <x:c r="G1174" s="11" t="n">
        <x:f>IF($A1174="","",MAX(INDEX(Assumptions!$H$5:$H$12,MATCH($B1174,Assumptions!$D$5:$D$12,0)),MIN(INDEX(Assumptions!$I$5:$I$12,MATCH($B1174,Assumptions!$D$5:$D$12,0)),($C1174+$D1174*SQRT(-2*LN(RAND()))*COS(2*PI()*RAND()))*$E1174*$J1174*$K1174)))</x:f>
        <x:v>1188.9562902318876</x:v>
      </x:c>
      <x:c r="H1174" s="11" t="n">
        <x:f>IF($A1174="","",$G1174*$F1174+$C1174*(1-$F1174))</x:f>
        <x:v>1235.1347015811607</x:v>
      </x:c>
      <x:c r="I1174" s="11" t="n">
        <x:f>IF($A1174="","",AVERAGE($H1174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1296.273666246086</x:v>
      </x:c>
      <x:c r="J1174" s="12" t="n">
        <x:f>IF($A1174="","",1+SUMIFS(Assumptions!$S$5:$S$10,Assumptions!$P$5:$P$10,$B1174,Assumptions!$Q$5:$Q$10,"&lt;="&amp;$A1174,Assumptions!$R$5:$R$10,"&gt;="&amp;$A1174))</x:f>
        <x:v>1</x:v>
      </x:c>
      <x:c r="K1174" s="12" t="n">
        <x:f>IF($A1174="","",1+((($A1174-Assumptions!$B$5)/30)*INDEX(Assumptions!$J$5:$J$12,MATCH($B1174,Assumptions!$D$5:$D$12,0))))</x:f>
        <x:v>1.0234</x:v>
      </x:c>
      <x:c r="L1174" t="str">
        <x:f>IF($A1174="","",IFERROR(INDEX(Assumptions!$O$5:$O$10,MATCH(1,(Assumptions!$P$5:$P$10=$B1174)*(Assumptions!$Q$5:$Q$10&lt;=$A1174)*(Assumptions!$R$5:$R$10&gt;=$A1174),0)),""))</x:f>
      </x:c>
      <x:c r="M1174" t="n">
        <x:f>--($A1174&lt;&gt;"")</x:f>
        <x:v>1</x:v>
      </x:c>
    </x:row>
    <x:row r="1175">
      <x:c r="A1175" s="10" t="n">
        <x:f>IF(Assumptions!$B$5+INT((ROW()-2)/Assumptions!$B$7)&gt;Assumptions!$B$6,"",Assumptions!$B$5+INT((ROW()-2)/Assumptions!$B$7))</x:f>
        <x:v>46257</x:v>
      </x:c>
      <x:c r="B1175" t="str">
        <x:f>IF($A1175="","",INDEX(Assumptions!$D$5:$D$12,MOD(ROW()-2,Assumptions!$B$7)+1))</x:f>
        <x:v>Hadley's Hope</x:v>
      </x:c>
      <x:c r="C1175" s="11" t="n">
        <x:f>IF($A1175="","",INDEX(Assumptions!$F$5:$F$12,MATCH($B1175,Assumptions!$D$5:$D$12,0)))</x:f>
        <x:v>845</x:v>
      </x:c>
      <x:c r="D1175" s="11" t="n">
        <x:f>IF($A1175="","",INDEX(Assumptions!$G$5:$G$12,MATCH($B1175,Assumptions!$D$5:$D$12,0)))</x:f>
        <x:v>80</x:v>
      </x:c>
      <x:c r="E1175" s="11" t="n">
        <x:f>IF($A1175="","",INDEX(Assumptions!$M$5:$M$11,WEEKDAY($A1175,2)))</x:f>
        <x:v>0.87</x:v>
      </x:c>
      <x:c r="F1175" s="11" t="n">
        <x:f>IF($A1175="","",Assumptions!$B$15)</x:f>
        <x:v>0.35</x:v>
      </x:c>
      <x:c r="G1175" s="11" t="n">
        <x:f>IF($A1175="","",MAX(INDEX(Assumptions!$H$5:$H$12,MATCH($B1175,Assumptions!$D$5:$D$12,0)),MIN(INDEX(Assumptions!$I$5:$I$12,MATCH($B1175,Assumptions!$D$5:$D$12,0)),($C1175+$D1175*SQRT(-2*LN(RAND()))*COS(2*PI()*RAND()))*$E1175*$J1175*$K1175)))</x:f>
        <x:v>761.8164526412527</x:v>
      </x:c>
      <x:c r="H1175" s="11" t="n">
        <x:f>IF($A1175="","",$G1175*$F1175+$C1175*(1-$F1175))</x:f>
        <x:v>815.8857584244384</x:v>
      </x:c>
      <x:c r="I1175" s="11" t="n">
        <x:f>IF($A1175="","",AVERAGE($H1175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844.0635874366923</x:v>
      </x:c>
      <x:c r="J1175" s="12" t="n">
        <x:f>IF($A1175="","",1+SUMIFS(Assumptions!$S$5:$S$10,Assumptions!$P$5:$P$10,$B1175,Assumptions!$Q$5:$Q$10,"&lt;="&amp;$A1175,Assumptions!$R$5:$R$10,"&gt;="&amp;$A1175))</x:f>
        <x:v>1</x:v>
      </x:c>
      <x:c r="K1175" s="12" t="n">
        <x:f>IF($A1175="","",1+((($A1175-Assumptions!$B$5)/30)*INDEX(Assumptions!$J$5:$J$12,MATCH($B1175,Assumptions!$D$5:$D$12,0))))</x:f>
        <x:v>1.0078</x:v>
      </x:c>
      <x:c r="L1175" t="str">
        <x:f>IF($A1175="","",IFERROR(INDEX(Assumptions!$O$5:$O$10,MATCH(1,(Assumptions!$P$5:$P$10=$B1175)*(Assumptions!$Q$5:$Q$10&lt;=$A1175)*(Assumptions!$R$5:$R$10&gt;=$A1175),0)),""))</x:f>
      </x:c>
      <x:c r="M1175" t="n">
        <x:f>--($A1175&lt;&gt;"")</x:f>
        <x:v>1</x:v>
      </x:c>
    </x:row>
    <x:row r="1176">
      <x:c r="A1176" s="10" t="n">
        <x:f>IF(Assumptions!$B$5+INT((ROW()-2)/Assumptions!$B$7)&gt;Assumptions!$B$6,"",Assumptions!$B$5+INT((ROW()-2)/Assumptions!$B$7))</x:f>
        <x:v>46257</x:v>
      </x:c>
      <x:c r="B1176" t="str">
        <x:f>IF($A1176="","",INDEX(Assumptions!$D$5:$D$12,MOD(ROW()-2,Assumptions!$B$7)+1))</x:f>
        <x:v>Yutani Ridge</x:v>
      </x:c>
      <x:c r="C1176" s="11" t="n">
        <x:f>IF($A1176="","",INDEX(Assumptions!$F$5:$F$12,MATCH($B1176,Assumptions!$D$5:$D$12,0)))</x:f>
        <x:v>1050</x:v>
      </x:c>
      <x:c r="D1176" s="11" t="n">
        <x:f>IF($A1176="","",INDEX(Assumptions!$G$5:$G$12,MATCH($B1176,Assumptions!$D$5:$D$12,0)))</x:f>
        <x:v>125</x:v>
      </x:c>
      <x:c r="E1176" s="11" t="n">
        <x:f>IF($A1176="","",INDEX(Assumptions!$M$5:$M$11,WEEKDAY($A1176,2)))</x:f>
        <x:v>0.87</x:v>
      </x:c>
      <x:c r="F1176" s="11" t="n">
        <x:f>IF($A1176="","",Assumptions!$B$15)</x:f>
        <x:v>0.35</x:v>
      </x:c>
      <x:c r="G1176" s="11" t="n">
        <x:f>IF($A1176="","",MAX(INDEX(Assumptions!$H$5:$H$12,MATCH($B1176,Assumptions!$D$5:$D$12,0)),MIN(INDEX(Assumptions!$I$5:$I$12,MATCH($B1176,Assumptions!$D$5:$D$12,0)),($C1176+$D1176*SQRT(-2*LN(RAND()))*COS(2*PI()*RAND()))*$E1176*$J1176*$K1176)))</x:f>
        <x:v>1269.5037597205635</x:v>
      </x:c>
      <x:c r="H1176" s="11" t="n">
        <x:f>IF($A1176="","",$G1176*$F1176+$C1176*(1-$F1176))</x:f>
        <x:v>1126.8263159021972</x:v>
      </x:c>
      <x:c r="I1176" s="11" t="n">
        <x:f>IF($A1176="","",AVERAGE($H1176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1123.425677452089</x:v>
      </x:c>
      <x:c r="J1176" s="12" t="n">
        <x:f>IF($A1176="","",1+SUMIFS(Assumptions!$S$5:$S$10,Assumptions!$P$5:$P$10,$B1176,Assumptions!$Q$5:$Q$10,"&lt;="&amp;$A1176,Assumptions!$R$5:$R$10,"&gt;="&amp;$A1176))</x:f>
        <x:v>1.22</x:v>
      </x:c>
      <x:c r="K1176" s="12" t="n">
        <x:f>IF($A1176="","",1+((($A1176-Assumptions!$B$5)/30)*INDEX(Assumptions!$J$5:$J$12,MATCH($B1176,Assumptions!$D$5:$D$12,0))))</x:f>
        <x:v>1.0195</x:v>
      </x:c>
      <x:c r="L1176" t="str">
        <x:f>IF($A1176="","",IFERROR(INDEX(Assumptions!$O$5:$O$10,MATCH(1,(Assumptions!$P$5:$P$10=$B1176)*(Assumptions!$Q$5:$Q$10&lt;=$A1176)*(Assumptions!$R$5:$R$10&gt;=$A1176),0)),""))</x:f>
        <x:v>Equipment upgrade</x:v>
      </x:c>
      <x:c r="M1176" t="n">
        <x:f>--($A1176&lt;&gt;"")</x:f>
        <x:v>1</x:v>
      </x:c>
    </x:row>
    <x:row r="1177">
      <x:c r="A1177" s="10" t="n">
        <x:f>IF(Assumptions!$B$5+INT((ROW()-2)/Assumptions!$B$7)&gt;Assumptions!$B$6,"",Assumptions!$B$5+INT((ROW()-2)/Assumptions!$B$7))</x:f>
        <x:v>46258</x:v>
      </x:c>
      <x:c r="B1177" t="str">
        <x:f>IF($A1177="","",INDEX(Assumptions!$D$5:$D$12,MOD(ROW()-2,Assumptions!$B$7)+1))</x:f>
        <x:v>Acheron Prime</x:v>
      </x:c>
      <x:c r="C1177" s="11" t="n">
        <x:f>IF($A1177="","",INDEX(Assumptions!$F$5:$F$12,MATCH($B1177,Assumptions!$D$5:$D$12,0)))</x:f>
        <x:v>1120</x:v>
      </x:c>
      <x:c r="D1177" s="11" t="n">
        <x:f>IF($A1177="","",INDEX(Assumptions!$G$5:$G$12,MATCH($B1177,Assumptions!$D$5:$D$12,0)))</x:f>
        <x:v>115</x:v>
      </x:c>
      <x:c r="E1177" s="11" t="n">
        <x:f>IF($A1177="","",INDEX(Assumptions!$M$5:$M$11,WEEKDAY($A1177,2)))</x:f>
        <x:v>1.03</x:v>
      </x:c>
      <x:c r="F1177" s="11" t="n">
        <x:f>IF($A1177="","",Assumptions!$B$15)</x:f>
        <x:v>0.35</x:v>
      </x:c>
      <x:c r="G1177" s="11" t="n">
        <x:f>IF($A1177="","",MAX(INDEX(Assumptions!$H$5:$H$12,MATCH($B1177,Assumptions!$D$5:$D$12,0)),MIN(INDEX(Assumptions!$I$5:$I$12,MATCH($B1177,Assumptions!$D$5:$D$12,0)),($C1177+$D1177*SQRT(-2*LN(RAND()))*COS(2*PI()*RAND()))*$E1177*$J1177*$K1177)))</x:f>
        <x:v>1147.317967768433</x:v>
      </x:c>
      <x:c r="H1177" s="11" t="n">
        <x:f>IF($A1177="","",$G1177*$F1177+$C1177*(1-$F1177))</x:f>
        <x:v>1129.5612887189516</x:v>
      </x:c>
      <x:c r="I1177" s="11" t="n">
        <x:f>IF($A1177="","",AVERAGE($H1177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1119.830102302641</x:v>
      </x:c>
      <x:c r="J1177" s="12" t="n">
        <x:f>IF($A1177="","",1+SUMIFS(Assumptions!$S$5:$S$10,Assumptions!$P$5:$P$10,$B1177,Assumptions!$Q$5:$Q$10,"&lt;="&amp;$A1177,Assumptions!$R$5:$R$10,"&gt;="&amp;$A1177))</x:f>
        <x:v>1</x:v>
      </x:c>
      <x:c r="K1177" s="12" t="n">
        <x:f>IF($A1177="","",1+((($A1177-Assumptions!$B$5)/30)*INDEX(Assumptions!$J$5:$J$12,MATCH($B1177,Assumptions!$D$5:$D$12,0))))</x:f>
        <x:v>1.0156666666666667</x:v>
      </x:c>
      <x:c r="L1177" t="str">
        <x:f>IF($A1177="","",IFERROR(INDEX(Assumptions!$O$5:$O$10,MATCH(1,(Assumptions!$P$5:$P$10=$B1177)*(Assumptions!$Q$5:$Q$10&lt;=$A1177)*(Assumptions!$R$5:$R$10&gt;=$A1177),0)),""))</x:f>
      </x:c>
      <x:c r="M1177" t="n">
        <x:f>--($A1177&lt;&gt;"")</x:f>
        <x:v>1</x:v>
      </x:c>
    </x:row>
    <x:row r="1178">
      <x:c r="A1178" s="10" t="n">
        <x:f>IF(Assumptions!$B$5+INT((ROW()-2)/Assumptions!$B$7)&gt;Assumptions!$B$6,"",Assumptions!$B$5+INT((ROW()-2)/Assumptions!$B$7))</x:f>
        <x:v>46258</x:v>
      </x:c>
      <x:c r="B1178" t="str">
        <x:f>IF($A1178="","",INDEX(Assumptions!$D$5:$D$12,MOD(ROW()-2,Assumptions!$B$7)+1))</x:f>
        <x:v>LV-426 North</x:v>
      </x:c>
      <x:c r="C1178" s="11" t="n">
        <x:f>IF($A1178="","",INDEX(Assumptions!$F$5:$F$12,MATCH($B1178,Assumptions!$D$5:$D$12,0)))</x:f>
        <x:v>930</x:v>
      </x:c>
      <x:c r="D1178" s="11" t="n">
        <x:f>IF($A1178="","",INDEX(Assumptions!$G$5:$G$12,MATCH($B1178,Assumptions!$D$5:$D$12,0)))</x:f>
        <x:v>95</x:v>
      </x:c>
      <x:c r="E1178" s="11" t="n">
        <x:f>IF($A1178="","",INDEX(Assumptions!$M$5:$M$11,WEEKDAY($A1178,2)))</x:f>
        <x:v>1.03</x:v>
      </x:c>
      <x:c r="F1178" s="11" t="n">
        <x:f>IF($A1178="","",Assumptions!$B$15)</x:f>
        <x:v>0.35</x:v>
      </x:c>
      <x:c r="G1178" s="11" t="n">
        <x:f>IF($A1178="","",MAX(INDEX(Assumptions!$H$5:$H$12,MATCH($B1178,Assumptions!$D$5:$D$12,0)),MIN(INDEX(Assumptions!$I$5:$I$12,MATCH($B1178,Assumptions!$D$5:$D$12,0)),($C1178+$D1178*SQRT(-2*LN(RAND()))*COS(2*PI()*RAND()))*$E1178*$J1178*$K1178)))</x:f>
        <x:v>1061.7002836000895</x:v>
      </x:c>
      <x:c r="H1178" s="11" t="n">
        <x:f>IF($A1178="","",$G1178*$F1178+$C1178*(1-$F1178))</x:f>
        <x:v>976.0950992600312</x:v>
      </x:c>
      <x:c r="I1178" s="11" t="n">
        <x:f>IF($A1178="","",AVERAGE($H1178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913.3701773724936</x:v>
      </x:c>
      <x:c r="J1178" s="12" t="n">
        <x:f>IF($A1178="","",1+SUMIFS(Assumptions!$S$5:$S$10,Assumptions!$P$5:$P$10,$B1178,Assumptions!$Q$5:$Q$10,"&lt;="&amp;$A1178,Assumptions!$R$5:$R$10,"&gt;="&amp;$A1178))</x:f>
        <x:v>1</x:v>
      </x:c>
      <x:c r="K1178" s="12" t="n">
        <x:f>IF($A1178="","",1+((($A1178-Assumptions!$B$5)/30)*INDEX(Assumptions!$J$5:$J$12,MATCH($B1178,Assumptions!$D$5:$D$12,0))))</x:f>
        <x:v>0.9921666666666666</x:v>
      </x:c>
      <x:c r="L1178" t="str">
        <x:f>IF($A1178="","",IFERROR(INDEX(Assumptions!$O$5:$O$10,MATCH(1,(Assumptions!$P$5:$P$10=$B1178)*(Assumptions!$Q$5:$Q$10&lt;=$A1178)*(Assumptions!$R$5:$R$10&gt;=$A1178),0)),""))</x:f>
      </x:c>
      <x:c r="M1178" t="n">
        <x:f>--($A1178&lt;&gt;"")</x:f>
        <x:v>1</x:v>
      </x:c>
    </x:row>
    <x:row r="1179">
      <x:c r="A1179" s="10" t="n">
        <x:f>IF(Assumptions!$B$5+INT((ROW()-2)/Assumptions!$B$7)&gt;Assumptions!$B$6,"",Assumptions!$B$5+INT((ROW()-2)/Assumptions!$B$7))</x:f>
        <x:v>46258</x:v>
      </x:c>
      <x:c r="B1179" t="str">
        <x:f>IF($A1179="","",INDEX(Assumptions!$D$5:$D$12,MOD(ROW()-2,Assumptions!$B$7)+1))</x:f>
        <x:v>Nostromo Deep</x:v>
      </x:c>
      <x:c r="C1179" s="11" t="n">
        <x:f>IF($A1179="","",INDEX(Assumptions!$F$5:$F$12,MATCH($B1179,Assumptions!$D$5:$D$12,0)))</x:f>
        <x:v>1260</x:v>
      </x:c>
      <x:c r="D1179" s="11" t="n">
        <x:f>IF($A1179="","",INDEX(Assumptions!$G$5:$G$12,MATCH($B1179,Assumptions!$D$5:$D$12,0)))</x:f>
        <x:v>145</x:v>
      </x:c>
      <x:c r="E1179" s="11" t="n">
        <x:f>IF($A1179="","",INDEX(Assumptions!$M$5:$M$11,WEEKDAY($A1179,2)))</x:f>
        <x:v>1.03</x:v>
      </x:c>
      <x:c r="F1179" s="11" t="n">
        <x:f>IF($A1179="","",Assumptions!$B$15)</x:f>
        <x:v>0.35</x:v>
      </x:c>
      <x:c r="G1179" s="11" t="n">
        <x:f>IF($A1179="","",MAX(INDEX(Assumptions!$H$5:$H$12,MATCH($B1179,Assumptions!$D$5:$D$12,0)),MIN(INDEX(Assumptions!$I$5:$I$12,MATCH($B1179,Assumptions!$D$5:$D$12,0)),($C1179+$D1179*SQRT(-2*LN(RAND()))*COS(2*PI()*RAND()))*$E1179*$J1179*$K1179)))</x:f>
        <x:v>1351.219522940591</x:v>
      </x:c>
      <x:c r="H1179" s="11" t="n">
        <x:f>IF($A1179="","",$G1179*$F1179+$C1179*(1-$F1179))</x:f>
        <x:v>1291.9268330292068</x:v>
      </x:c>
      <x:c r="I1179" s="11" t="n">
        <x:f>IF($A1179="","",AVERAGE($H1179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1280.6920054055493</x:v>
      </x:c>
      <x:c r="J1179" s="12" t="n">
        <x:f>IF($A1179="","",1+SUMIFS(Assumptions!$S$5:$S$10,Assumptions!$P$5:$P$10,$B1179,Assumptions!$Q$5:$Q$10,"&lt;="&amp;$A1179,Assumptions!$R$5:$R$10,"&gt;="&amp;$A1179))</x:f>
        <x:v>1</x:v>
      </x:c>
      <x:c r="K1179" s="12" t="n">
        <x:f>IF($A1179="","",1+((($A1179-Assumptions!$B$5)/30)*INDEX(Assumptions!$J$5:$J$12,MATCH($B1179,Assumptions!$D$5:$D$12,0))))</x:f>
        <x:v>1.0235</x:v>
      </x:c>
      <x:c r="L1179" t="str">
        <x:f>IF($A1179="","",IFERROR(INDEX(Assumptions!$O$5:$O$10,MATCH(1,(Assumptions!$P$5:$P$10=$B1179)*(Assumptions!$Q$5:$Q$10&lt;=$A1179)*(Assumptions!$R$5:$R$10&gt;=$A1179),0)),""))</x:f>
      </x:c>
      <x:c r="M1179" t="n">
        <x:f>--($A1179&lt;&gt;"")</x:f>
        <x:v>1</x:v>
      </x:c>
    </x:row>
    <x:row r="1180">
      <x:c r="A1180" s="10" t="n">
        <x:f>IF(Assumptions!$B$5+INT((ROW()-2)/Assumptions!$B$7)&gt;Assumptions!$B$6,"",Assumptions!$B$5+INT((ROW()-2)/Assumptions!$B$7))</x:f>
        <x:v>46258</x:v>
      </x:c>
      <x:c r="B1180" t="str">
        <x:f>IF($A1180="","",INDEX(Assumptions!$D$5:$D$12,MOD(ROW()-2,Assumptions!$B$7)+1))</x:f>
        <x:v>Hadley's Hope</x:v>
      </x:c>
      <x:c r="C1180" s="11" t="n">
        <x:f>IF($A1180="","",INDEX(Assumptions!$F$5:$F$12,MATCH($B1180,Assumptions!$D$5:$D$12,0)))</x:f>
        <x:v>845</x:v>
      </x:c>
      <x:c r="D1180" s="11" t="n">
        <x:f>IF($A1180="","",INDEX(Assumptions!$G$5:$G$12,MATCH($B1180,Assumptions!$D$5:$D$12,0)))</x:f>
        <x:v>80</x:v>
      </x:c>
      <x:c r="E1180" s="11" t="n">
        <x:f>IF($A1180="","",INDEX(Assumptions!$M$5:$M$11,WEEKDAY($A1180,2)))</x:f>
        <x:v>1.03</x:v>
      </x:c>
      <x:c r="F1180" s="11" t="n">
        <x:f>IF($A1180="","",Assumptions!$B$15)</x:f>
        <x:v>0.35</x:v>
      </x:c>
      <x:c r="G1180" s="11" t="n">
        <x:f>IF($A1180="","",MAX(INDEX(Assumptions!$H$5:$H$12,MATCH($B1180,Assumptions!$D$5:$D$12,0)),MIN(INDEX(Assumptions!$I$5:$I$12,MATCH($B1180,Assumptions!$D$5:$D$12,0)),($C1180+$D1180*SQRT(-2*LN(RAND()))*COS(2*PI()*RAND()))*$E1180*$J1180*$K1180)))</x:f>
        <x:v>826.5321678119923</x:v>
      </x:c>
      <x:c r="H1180" s="11" t="n">
        <x:f>IF($A1180="","",$G1180*$F1180+$C1180*(1-$F1180))</x:f>
        <x:v>838.5362587341973</x:v>
      </x:c>
      <x:c r="I1180" s="11" t="n">
        <x:f>IF($A1180="","",AVERAGE($H1180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839.7159727370937</x:v>
      </x:c>
      <x:c r="J1180" s="12" t="n">
        <x:f>IF($A1180="","",1+SUMIFS(Assumptions!$S$5:$S$10,Assumptions!$P$5:$P$10,$B1180,Assumptions!$Q$5:$Q$10,"&lt;="&amp;$A1180,Assumptions!$R$5:$R$10,"&gt;="&amp;$A1180))</x:f>
        <x:v>1</x:v>
      </x:c>
      <x:c r="K1180" s="12" t="n">
        <x:f>IF($A1180="","",1+((($A1180-Assumptions!$B$5)/30)*INDEX(Assumptions!$J$5:$J$12,MATCH($B1180,Assumptions!$D$5:$D$12,0))))</x:f>
        <x:v>1.0078333333333334</x:v>
      </x:c>
      <x:c r="L1180" t="str">
        <x:f>IF($A1180="","",IFERROR(INDEX(Assumptions!$O$5:$O$10,MATCH(1,(Assumptions!$P$5:$P$10=$B1180)*(Assumptions!$Q$5:$Q$10&lt;=$A1180)*(Assumptions!$R$5:$R$10&gt;=$A1180),0)),""))</x:f>
      </x:c>
      <x:c r="M1180" t="n">
        <x:f>--($A1180&lt;&gt;"")</x:f>
        <x:v>1</x:v>
      </x:c>
    </x:row>
    <x:row r="1181">
      <x:c r="A1181" s="10" t="n">
        <x:f>IF(Assumptions!$B$5+INT((ROW()-2)/Assumptions!$B$7)&gt;Assumptions!$B$6,"",Assumptions!$B$5+INT((ROW()-2)/Assumptions!$B$7))</x:f>
        <x:v>46258</x:v>
      </x:c>
      <x:c r="B1181" t="str">
        <x:f>IF($A1181="","",INDEX(Assumptions!$D$5:$D$12,MOD(ROW()-2,Assumptions!$B$7)+1))</x:f>
        <x:v>Yutani Ridge</x:v>
      </x:c>
      <x:c r="C1181" s="11" t="n">
        <x:f>IF($A1181="","",INDEX(Assumptions!$F$5:$F$12,MATCH($B1181,Assumptions!$D$5:$D$12,0)))</x:f>
        <x:v>1050</x:v>
      </x:c>
      <x:c r="D1181" s="11" t="n">
        <x:f>IF($A1181="","",INDEX(Assumptions!$G$5:$G$12,MATCH($B1181,Assumptions!$D$5:$D$12,0)))</x:f>
        <x:v>125</x:v>
      </x:c>
      <x:c r="E1181" s="11" t="n">
        <x:f>IF($A1181="","",INDEX(Assumptions!$M$5:$M$11,WEEKDAY($A1181,2)))</x:f>
        <x:v>1.03</x:v>
      </x:c>
      <x:c r="F1181" s="11" t="n">
        <x:f>IF($A1181="","",Assumptions!$B$15)</x:f>
        <x:v>0.35</x:v>
      </x:c>
      <x:c r="G1181" s="11" t="n">
        <x:f>IF($A1181="","",MAX(INDEX(Assumptions!$H$5:$H$12,MATCH($B1181,Assumptions!$D$5:$D$12,0)),MIN(INDEX(Assumptions!$I$5:$I$12,MATCH($B1181,Assumptions!$D$5:$D$12,0)),($C1181+$D1181*SQRT(-2*LN(RAND()))*COS(2*PI()*RAND()))*$E1181*$J1181*$K1181)))</x:f>
        <x:v>1307.0854313823902</x:v>
      </x:c>
      <x:c r="H1181" s="11" t="n">
        <x:f>IF($A1181="","",$G1181*$F1181+$C1181*(1-$F1181))</x:f>
        <x:v>1139.9799009838366</x:v>
      </x:c>
      <x:c r="I1181" s="11" t="n">
        <x:f>IF($A1181="","",AVERAGE($H1181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1124.7195432329713</x:v>
      </x:c>
      <x:c r="J1181" s="12" t="n">
        <x:f>IF($A1181="","",1+SUMIFS(Assumptions!$S$5:$S$10,Assumptions!$P$5:$P$10,$B1181,Assumptions!$Q$5:$Q$10,"&lt;="&amp;$A1181,Assumptions!$R$5:$R$10,"&gt;="&amp;$A1181))</x:f>
        <x:v>1.22</x:v>
      </x:c>
      <x:c r="K1181" s="12" t="n">
        <x:f>IF($A1181="","",1+((($A1181-Assumptions!$B$5)/30)*INDEX(Assumptions!$J$5:$J$12,MATCH($B1181,Assumptions!$D$5:$D$12,0))))</x:f>
        <x:v>1.0195833333333333</x:v>
      </x:c>
      <x:c r="L1181" t="str">
        <x:f>IF($A1181="","",IFERROR(INDEX(Assumptions!$O$5:$O$10,MATCH(1,(Assumptions!$P$5:$P$10=$B1181)*(Assumptions!$Q$5:$Q$10&lt;=$A1181)*(Assumptions!$R$5:$R$10&gt;=$A1181),0)),""))</x:f>
        <x:v>Equipment upgrade</x:v>
      </x:c>
      <x:c r="M1181" t="n">
        <x:f>--($A1181&lt;&gt;"")</x:f>
        <x:v>1</x:v>
      </x:c>
    </x:row>
    <x:row r="1182">
      <x:c r="A1182" s="10" t="n">
        <x:f>IF(Assumptions!$B$5+INT((ROW()-2)/Assumptions!$B$7)&gt;Assumptions!$B$6,"",Assumptions!$B$5+INT((ROW()-2)/Assumptions!$B$7))</x:f>
        <x:v>46259</x:v>
      </x:c>
      <x:c r="B1182" t="str">
        <x:f>IF($A1182="","",INDEX(Assumptions!$D$5:$D$12,MOD(ROW()-2,Assumptions!$B$7)+1))</x:f>
        <x:v>Acheron Prime</x:v>
      </x:c>
      <x:c r="C1182" s="11" t="n">
        <x:f>IF($A1182="","",INDEX(Assumptions!$F$5:$F$12,MATCH($B1182,Assumptions!$D$5:$D$12,0)))</x:f>
        <x:v>1120</x:v>
      </x:c>
      <x:c r="D1182" s="11" t="n">
        <x:f>IF($A1182="","",INDEX(Assumptions!$G$5:$G$12,MATCH($B1182,Assumptions!$D$5:$D$12,0)))</x:f>
        <x:v>115</x:v>
      </x:c>
      <x:c r="E1182" s="11" t="n">
        <x:f>IF($A1182="","",INDEX(Assumptions!$M$5:$M$11,WEEKDAY($A1182,2)))</x:f>
        <x:v>1.02</x:v>
      </x:c>
      <x:c r="F1182" s="11" t="n">
        <x:f>IF($A1182="","",Assumptions!$B$15)</x:f>
        <x:v>0.35</x:v>
      </x:c>
      <x:c r="G1182" s="11" t="n">
        <x:f>IF($A1182="","",MAX(INDEX(Assumptions!$H$5:$H$12,MATCH($B1182,Assumptions!$D$5:$D$12,0)),MIN(INDEX(Assumptions!$I$5:$I$12,MATCH($B1182,Assumptions!$D$5:$D$12,0)),($C1182+$D1182*SQRT(-2*LN(RAND()))*COS(2*PI()*RAND()))*$E1182*$J1182*$K1182)))</x:f>
        <x:v>1171.5476242372324</x:v>
      </x:c>
      <x:c r="H1182" s="11" t="n">
        <x:f>IF($A1182="","",$G1182*$F1182+$C1182*(1-$F1182))</x:f>
        <x:v>1138.0416684830313</x:v>
      </x:c>
      <x:c r="I1182" s="11" t="n">
        <x:f>IF($A1182="","",AVERAGE($H1182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1115.9847355540903</x:v>
      </x:c>
      <x:c r="J1182" s="12" t="n">
        <x:f>IF($A1182="","",1+SUMIFS(Assumptions!$S$5:$S$10,Assumptions!$P$5:$P$10,$B1182,Assumptions!$Q$5:$Q$10,"&lt;="&amp;$A1182,Assumptions!$R$5:$R$10,"&gt;="&amp;$A1182))</x:f>
        <x:v>1</x:v>
      </x:c>
      <x:c r="K1182" s="12" t="n">
        <x:f>IF($A1182="","",1+((($A1182-Assumptions!$B$5)/30)*INDEX(Assumptions!$J$5:$J$12,MATCH($B1182,Assumptions!$D$5:$D$12,0))))</x:f>
        <x:v>1.0157333333333334</x:v>
      </x:c>
      <x:c r="L1182" t="str">
        <x:f>IF($A1182="","",IFERROR(INDEX(Assumptions!$O$5:$O$10,MATCH(1,(Assumptions!$P$5:$P$10=$B1182)*(Assumptions!$Q$5:$Q$10&lt;=$A1182)*(Assumptions!$R$5:$R$10&gt;=$A1182),0)),""))</x:f>
      </x:c>
      <x:c r="M1182" t="n">
        <x:f>--($A1182&lt;&gt;"")</x:f>
        <x:v>1</x:v>
      </x:c>
    </x:row>
    <x:row r="1183">
      <x:c r="A1183" s="10" t="n">
        <x:f>IF(Assumptions!$B$5+INT((ROW()-2)/Assumptions!$B$7)&gt;Assumptions!$B$6,"",Assumptions!$B$5+INT((ROW()-2)/Assumptions!$B$7))</x:f>
        <x:v>46259</x:v>
      </x:c>
      <x:c r="B1183" t="str">
        <x:f>IF($A1183="","",INDEX(Assumptions!$D$5:$D$12,MOD(ROW()-2,Assumptions!$B$7)+1))</x:f>
        <x:v>LV-426 North</x:v>
      </x:c>
      <x:c r="C1183" s="11" t="n">
        <x:f>IF($A1183="","",INDEX(Assumptions!$F$5:$F$12,MATCH($B1183,Assumptions!$D$5:$D$12,0)))</x:f>
        <x:v>930</x:v>
      </x:c>
      <x:c r="D1183" s="11" t="n">
        <x:f>IF($A1183="","",INDEX(Assumptions!$G$5:$G$12,MATCH($B1183,Assumptions!$D$5:$D$12,0)))</x:f>
        <x:v>95</x:v>
      </x:c>
      <x:c r="E1183" s="11" t="n">
        <x:f>IF($A1183="","",INDEX(Assumptions!$M$5:$M$11,WEEKDAY($A1183,2)))</x:f>
        <x:v>1.02</x:v>
      </x:c>
      <x:c r="F1183" s="11" t="n">
        <x:f>IF($A1183="","",Assumptions!$B$15)</x:f>
        <x:v>0.35</x:v>
      </x:c>
      <x:c r="G1183" s="11" t="n">
        <x:f>IF($A1183="","",MAX(INDEX(Assumptions!$H$5:$H$12,MATCH($B1183,Assumptions!$D$5:$D$12,0)),MIN(INDEX(Assumptions!$I$5:$I$12,MATCH($B1183,Assumptions!$D$5:$D$12,0)),($C1183+$D1183*SQRT(-2*LN(RAND()))*COS(2*PI()*RAND()))*$E1183*$J1183*$K1183)))</x:f>
        <x:v>866.6559838693958</x:v>
      </x:c>
      <x:c r="H1183" s="11" t="n">
        <x:f>IF($A1183="","",$G1183*$F1183+$C1183*(1-$F1183))</x:f>
        <x:v>907.8295943542885</x:v>
      </x:c>
      <x:c r="I1183" s="11" t="n">
        <x:f>IF($A1183="","",AVERAGE($H1183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917.3389715417055</x:v>
      </x:c>
      <x:c r="J1183" s="12" t="n">
        <x:f>IF($A1183="","",1+SUMIFS(Assumptions!$S$5:$S$10,Assumptions!$P$5:$P$10,$B1183,Assumptions!$Q$5:$Q$10,"&lt;="&amp;$A1183,Assumptions!$R$5:$R$10,"&gt;="&amp;$A1183))</x:f>
        <x:v>1</x:v>
      </x:c>
      <x:c r="K1183" s="12" t="n">
        <x:f>IF($A1183="","",1+((($A1183-Assumptions!$B$5)/30)*INDEX(Assumptions!$J$5:$J$12,MATCH($B1183,Assumptions!$D$5:$D$12,0))))</x:f>
        <x:v>0.9921333333333333</x:v>
      </x:c>
      <x:c r="L1183" t="str">
        <x:f>IF($A1183="","",IFERROR(INDEX(Assumptions!$O$5:$O$10,MATCH(1,(Assumptions!$P$5:$P$10=$B1183)*(Assumptions!$Q$5:$Q$10&lt;=$A1183)*(Assumptions!$R$5:$R$10&gt;=$A1183),0)),""))</x:f>
      </x:c>
      <x:c r="M1183" t="n">
        <x:f>--($A1183&lt;&gt;"")</x:f>
        <x:v>1</x:v>
      </x:c>
    </x:row>
    <x:row r="1184">
      <x:c r="A1184" s="10" t="n">
        <x:f>IF(Assumptions!$B$5+INT((ROW()-2)/Assumptions!$B$7)&gt;Assumptions!$B$6,"",Assumptions!$B$5+INT((ROW()-2)/Assumptions!$B$7))</x:f>
        <x:v>46259</x:v>
      </x:c>
      <x:c r="B1184" t="str">
        <x:f>IF($A1184="","",INDEX(Assumptions!$D$5:$D$12,MOD(ROW()-2,Assumptions!$B$7)+1))</x:f>
        <x:v>Nostromo Deep</x:v>
      </x:c>
      <x:c r="C1184" s="11" t="n">
        <x:f>IF($A1184="","",INDEX(Assumptions!$F$5:$F$12,MATCH($B1184,Assumptions!$D$5:$D$12,0)))</x:f>
        <x:v>1260</x:v>
      </x:c>
      <x:c r="D1184" s="11" t="n">
        <x:f>IF($A1184="","",INDEX(Assumptions!$G$5:$G$12,MATCH($B1184,Assumptions!$D$5:$D$12,0)))</x:f>
        <x:v>145</x:v>
      </x:c>
      <x:c r="E1184" s="11" t="n">
        <x:f>IF($A1184="","",INDEX(Assumptions!$M$5:$M$11,WEEKDAY($A1184,2)))</x:f>
        <x:v>1.02</x:v>
      </x:c>
      <x:c r="F1184" s="11" t="n">
        <x:f>IF($A1184="","",Assumptions!$B$15)</x:f>
        <x:v>0.35</x:v>
      </x:c>
      <x:c r="G1184" s="11" t="n">
        <x:f>IF($A1184="","",MAX(INDEX(Assumptions!$H$5:$H$12,MATCH($B1184,Assumptions!$D$5:$D$12,0)),MIN(INDEX(Assumptions!$I$5:$I$12,MATCH($B1184,Assumptions!$D$5:$D$12,0)),($C1184+$D1184*SQRT(-2*LN(RAND()))*COS(2*PI()*RAND()))*$E1184*$J1184*$K1184)))</x:f>
        <x:v>1267.7211192472819</x:v>
      </x:c>
      <x:c r="H1184" s="11" t="n">
        <x:f>IF($A1184="","",$G1184*$F1184+$C1184*(1-$F1184))</x:f>
        <x:v>1262.7023917365486</x:v>
      </x:c>
      <x:c r="I1184" s="11" t="n">
        <x:f>IF($A1184="","",AVERAGE($H1184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1282.1415987503067</x:v>
      </x:c>
      <x:c r="J1184" s="12" t="n">
        <x:f>IF($A1184="","",1+SUMIFS(Assumptions!$S$5:$S$10,Assumptions!$P$5:$P$10,$B1184,Assumptions!$Q$5:$Q$10,"&lt;="&amp;$A1184,Assumptions!$R$5:$R$10,"&gt;="&amp;$A1184))</x:f>
        <x:v>1</x:v>
      </x:c>
      <x:c r="K1184" s="12" t="n">
        <x:f>IF($A1184="","",1+((($A1184-Assumptions!$B$5)/30)*INDEX(Assumptions!$J$5:$J$12,MATCH($B1184,Assumptions!$D$5:$D$12,0))))</x:f>
        <x:v>1.0236</x:v>
      </x:c>
      <x:c r="L1184" t="str">
        <x:f>IF($A1184="","",IFERROR(INDEX(Assumptions!$O$5:$O$10,MATCH(1,(Assumptions!$P$5:$P$10=$B1184)*(Assumptions!$Q$5:$Q$10&lt;=$A1184)*(Assumptions!$R$5:$R$10&gt;=$A1184),0)),""))</x:f>
      </x:c>
      <x:c r="M1184" t="n">
        <x:f>--($A1184&lt;&gt;"")</x:f>
        <x:v>1</x:v>
      </x:c>
    </x:row>
    <x:row r="1185">
      <x:c r="A1185" s="10" t="n">
        <x:f>IF(Assumptions!$B$5+INT((ROW()-2)/Assumptions!$B$7)&gt;Assumptions!$B$6,"",Assumptions!$B$5+INT((ROW()-2)/Assumptions!$B$7))</x:f>
        <x:v>46259</x:v>
      </x:c>
      <x:c r="B1185" t="str">
        <x:f>IF($A1185="","",INDEX(Assumptions!$D$5:$D$12,MOD(ROW()-2,Assumptions!$B$7)+1))</x:f>
        <x:v>Hadley's Hope</x:v>
      </x:c>
      <x:c r="C1185" s="11" t="n">
        <x:f>IF($A1185="","",INDEX(Assumptions!$F$5:$F$12,MATCH($B1185,Assumptions!$D$5:$D$12,0)))</x:f>
        <x:v>845</x:v>
      </x:c>
      <x:c r="D1185" s="11" t="n">
        <x:f>IF($A1185="","",INDEX(Assumptions!$G$5:$G$12,MATCH($B1185,Assumptions!$D$5:$D$12,0)))</x:f>
        <x:v>80</x:v>
      </x:c>
      <x:c r="E1185" s="11" t="n">
        <x:f>IF($A1185="","",INDEX(Assumptions!$M$5:$M$11,WEEKDAY($A1185,2)))</x:f>
        <x:v>1.02</x:v>
      </x:c>
      <x:c r="F1185" s="11" t="n">
        <x:f>IF($A1185="","",Assumptions!$B$15)</x:f>
        <x:v>0.35</x:v>
      </x:c>
      <x:c r="G1185" s="11" t="n">
        <x:f>IF($A1185="","",MAX(INDEX(Assumptions!$H$5:$H$12,MATCH($B1185,Assumptions!$D$5:$D$12,0)),MIN(INDEX(Assumptions!$I$5:$I$12,MATCH($B1185,Assumptions!$D$5:$D$12,0)),($C1185+$D1185*SQRT(-2*LN(RAND()))*COS(2*PI()*RAND()))*$E1185*$J1185*$K1185)))</x:f>
        <x:v>814.5102696619678</x:v>
      </x:c>
      <x:c r="H1185" s="11" t="n">
        <x:f>IF($A1185="","",$G1185*$F1185+$C1185*(1-$F1185))</x:f>
        <x:v>834.3285943816886</x:v>
      </x:c>
      <x:c r="I1185" s="11" t="n">
        <x:f>IF($A1185="","",AVERAGE($H1185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833.6696125312245</x:v>
      </x:c>
      <x:c r="J1185" s="12" t="n">
        <x:f>IF($A1185="","",1+SUMIFS(Assumptions!$S$5:$S$10,Assumptions!$P$5:$P$10,$B1185,Assumptions!$Q$5:$Q$10,"&lt;="&amp;$A1185,Assumptions!$R$5:$R$10,"&gt;="&amp;$A1185))</x:f>
        <x:v>1</x:v>
      </x:c>
      <x:c r="K1185" s="12" t="n">
        <x:f>IF($A1185="","",1+((($A1185-Assumptions!$B$5)/30)*INDEX(Assumptions!$J$5:$J$12,MATCH($B1185,Assumptions!$D$5:$D$12,0))))</x:f>
        <x:v>1.0078666666666667</x:v>
      </x:c>
      <x:c r="L1185" t="str">
        <x:f>IF($A1185="","",IFERROR(INDEX(Assumptions!$O$5:$O$10,MATCH(1,(Assumptions!$P$5:$P$10=$B1185)*(Assumptions!$Q$5:$Q$10&lt;=$A1185)*(Assumptions!$R$5:$R$10&gt;=$A1185),0)),""))</x:f>
      </x:c>
      <x:c r="M1185" t="n">
        <x:f>--($A1185&lt;&gt;"")</x:f>
        <x:v>1</x:v>
      </x:c>
    </x:row>
    <x:row r="1186">
      <x:c r="A1186" s="10" t="n">
        <x:f>IF(Assumptions!$B$5+INT((ROW()-2)/Assumptions!$B$7)&gt;Assumptions!$B$6,"",Assumptions!$B$5+INT((ROW()-2)/Assumptions!$B$7))</x:f>
        <x:v>46259</x:v>
      </x:c>
      <x:c r="B1186" t="str">
        <x:f>IF($A1186="","",INDEX(Assumptions!$D$5:$D$12,MOD(ROW()-2,Assumptions!$B$7)+1))</x:f>
        <x:v>Yutani Ridge</x:v>
      </x:c>
      <x:c r="C1186" s="11" t="n">
        <x:f>IF($A1186="","",INDEX(Assumptions!$F$5:$F$12,MATCH($B1186,Assumptions!$D$5:$D$12,0)))</x:f>
        <x:v>1050</x:v>
      </x:c>
      <x:c r="D1186" s="11" t="n">
        <x:f>IF($A1186="","",INDEX(Assumptions!$G$5:$G$12,MATCH($B1186,Assumptions!$D$5:$D$12,0)))</x:f>
        <x:v>125</x:v>
      </x:c>
      <x:c r="E1186" s="11" t="n">
        <x:f>IF($A1186="","",INDEX(Assumptions!$M$5:$M$11,WEEKDAY($A1186,2)))</x:f>
        <x:v>1.02</x:v>
      </x:c>
      <x:c r="F1186" s="11" t="n">
        <x:f>IF($A1186="","",Assumptions!$B$15)</x:f>
        <x:v>0.35</x:v>
      </x:c>
      <x:c r="G1186" s="11" t="n">
        <x:f>IF($A1186="","",MAX(INDEX(Assumptions!$H$5:$H$12,MATCH($B1186,Assumptions!$D$5:$D$12,0)),MIN(INDEX(Assumptions!$I$5:$I$12,MATCH($B1186,Assumptions!$D$5:$D$12,0)),($C1186+$D1186*SQRT(-2*LN(RAND()))*COS(2*PI()*RAND()))*$E1186*$J1186*$K1186)))</x:f>
        <x:v>1256.081532111543</x:v>
      </x:c>
      <x:c r="H1186" s="11" t="n">
        <x:f>IF($A1186="","",$G1186*$F1186+$C1186*(1-$F1186))</x:f>
        <x:v>1122.12853623904</x:v>
      </x:c>
      <x:c r="I1186" s="11" t="n">
        <x:f>IF($A1186="","",AVERAGE($H1186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1123.5939588491478</x:v>
      </x:c>
      <x:c r="J1186" s="12" t="n">
        <x:f>IF($A1186="","",1+SUMIFS(Assumptions!$S$5:$S$10,Assumptions!$P$5:$P$10,$B1186,Assumptions!$Q$5:$Q$10,"&lt;="&amp;$A1186,Assumptions!$R$5:$R$10,"&gt;="&amp;$A1186))</x:f>
        <x:v>1.22</x:v>
      </x:c>
      <x:c r="K1186" s="12" t="n">
        <x:f>IF($A1186="","",1+((($A1186-Assumptions!$B$5)/30)*INDEX(Assumptions!$J$5:$J$12,MATCH($B1186,Assumptions!$D$5:$D$12,0))))</x:f>
        <x:v>1.0196666666666667</x:v>
      </x:c>
      <x:c r="L1186" t="str">
        <x:f>IF($A1186="","",IFERROR(INDEX(Assumptions!$O$5:$O$10,MATCH(1,(Assumptions!$P$5:$P$10=$B1186)*(Assumptions!$Q$5:$Q$10&lt;=$A1186)*(Assumptions!$R$5:$R$10&gt;=$A1186),0)),""))</x:f>
        <x:v>Equipment upgrade</x:v>
      </x:c>
      <x:c r="M1186" t="n">
        <x:f>--($A1186&lt;&gt;"")</x:f>
        <x:v>1</x:v>
      </x:c>
    </x:row>
    <x:row r="1187">
      <x:c r="A1187" s="10" t="n">
        <x:f>IF(Assumptions!$B$5+INT((ROW()-2)/Assumptions!$B$7)&gt;Assumptions!$B$6,"",Assumptions!$B$5+INT((ROW()-2)/Assumptions!$B$7))</x:f>
        <x:v>46260</x:v>
      </x:c>
      <x:c r="B1187" t="str">
        <x:f>IF($A1187="","",INDEX(Assumptions!$D$5:$D$12,MOD(ROW()-2,Assumptions!$B$7)+1))</x:f>
        <x:v>Acheron Prime</x:v>
      </x:c>
      <x:c r="C1187" s="11" t="n">
        <x:f>IF($A1187="","",INDEX(Assumptions!$F$5:$F$12,MATCH($B1187,Assumptions!$D$5:$D$12,0)))</x:f>
        <x:v>1120</x:v>
      </x:c>
      <x:c r="D1187" s="11" t="n">
        <x:f>IF($A1187="","",INDEX(Assumptions!$G$5:$G$12,MATCH($B1187,Assumptions!$D$5:$D$12,0)))</x:f>
        <x:v>115</x:v>
      </x:c>
      <x:c r="E1187" s="11" t="n">
        <x:f>IF($A1187="","",INDEX(Assumptions!$M$5:$M$11,WEEKDAY($A1187,2)))</x:f>
        <x:v>1.01</x:v>
      </x:c>
      <x:c r="F1187" s="11" t="n">
        <x:f>IF($A1187="","",Assumptions!$B$15)</x:f>
        <x:v>0.35</x:v>
      </x:c>
      <x:c r="G1187" s="11" t="n">
        <x:f>IF($A1187="","",MAX(INDEX(Assumptions!$H$5:$H$12,MATCH($B1187,Assumptions!$D$5:$D$12,0)),MIN(INDEX(Assumptions!$I$5:$I$12,MATCH($B1187,Assumptions!$D$5:$D$12,0)),($C1187+$D1187*SQRT(-2*LN(RAND()))*COS(2*PI()*RAND()))*$E1187*$J1187*$K1187)))</x:f>
        <x:v>1286.3077462871565</x:v>
      </x:c>
      <x:c r="H1187" s="11" t="n">
        <x:f>IF($A1187="","",$G1187*$F1187+$C1187*(1-$F1187))</x:f>
        <x:v>1178.2077112005047</x:v>
      </x:c>
      <x:c r="I1187" s="11" t="n">
        <x:f>IF($A1187="","",AVERAGE($H1187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1127.3198915020755</x:v>
      </x:c>
      <x:c r="J1187" s="12" t="n">
        <x:f>IF($A1187="","",1+SUMIFS(Assumptions!$S$5:$S$10,Assumptions!$P$5:$P$10,$B1187,Assumptions!$Q$5:$Q$10,"&lt;="&amp;$A1187,Assumptions!$R$5:$R$10,"&gt;="&amp;$A1187))</x:f>
        <x:v>1</x:v>
      </x:c>
      <x:c r="K1187" s="12" t="n">
        <x:f>IF($A1187="","",1+((($A1187-Assumptions!$B$5)/30)*INDEX(Assumptions!$J$5:$J$12,MATCH($B1187,Assumptions!$D$5:$D$12,0))))</x:f>
        <x:v>1.0158</x:v>
      </x:c>
      <x:c r="L1187" t="str">
        <x:f>IF($A1187="","",IFERROR(INDEX(Assumptions!$O$5:$O$10,MATCH(1,(Assumptions!$P$5:$P$10=$B1187)*(Assumptions!$Q$5:$Q$10&lt;=$A1187)*(Assumptions!$R$5:$R$10&gt;=$A1187),0)),""))</x:f>
      </x:c>
      <x:c r="M1187" t="n">
        <x:f>--($A1187&lt;&gt;"")</x:f>
        <x:v>1</x:v>
      </x:c>
    </x:row>
    <x:row r="1188">
      <x:c r="A1188" s="10" t="n">
        <x:f>IF(Assumptions!$B$5+INT((ROW()-2)/Assumptions!$B$7)&gt;Assumptions!$B$6,"",Assumptions!$B$5+INT((ROW()-2)/Assumptions!$B$7))</x:f>
        <x:v>46260</x:v>
      </x:c>
      <x:c r="B1188" t="str">
        <x:f>IF($A1188="","",INDEX(Assumptions!$D$5:$D$12,MOD(ROW()-2,Assumptions!$B$7)+1))</x:f>
        <x:v>LV-426 North</x:v>
      </x:c>
      <x:c r="C1188" s="11" t="n">
        <x:f>IF($A1188="","",INDEX(Assumptions!$F$5:$F$12,MATCH($B1188,Assumptions!$D$5:$D$12,0)))</x:f>
        <x:v>930</x:v>
      </x:c>
      <x:c r="D1188" s="11" t="n">
        <x:f>IF($A1188="","",INDEX(Assumptions!$G$5:$G$12,MATCH($B1188,Assumptions!$D$5:$D$12,0)))</x:f>
        <x:v>95</x:v>
      </x:c>
      <x:c r="E1188" s="11" t="n">
        <x:f>IF($A1188="","",INDEX(Assumptions!$M$5:$M$11,WEEKDAY($A1188,2)))</x:f>
        <x:v>1.01</x:v>
      </x:c>
      <x:c r="F1188" s="11" t="n">
        <x:f>IF($A1188="","",Assumptions!$B$15)</x:f>
        <x:v>0.35</x:v>
      </x:c>
      <x:c r="G1188" s="11" t="n">
        <x:f>IF($A1188="","",MAX(INDEX(Assumptions!$H$5:$H$12,MATCH($B1188,Assumptions!$D$5:$D$12,0)),MIN(INDEX(Assumptions!$I$5:$I$12,MATCH($B1188,Assumptions!$D$5:$D$12,0)),($C1188+$D1188*SQRT(-2*LN(RAND()))*COS(2*PI()*RAND()))*$E1188*$J1188*$K1188)))</x:f>
        <x:v>907.9973539593199</x:v>
      </x:c>
      <x:c r="H1188" s="11" t="n">
        <x:f>IF($A1188="","",$G1188*$F1188+$C1188*(1-$F1188))</x:f>
        <x:v>922.2990738857619</x:v>
      </x:c>
      <x:c r="I1188" s="11" t="n">
        <x:f>IF($A1188="","",AVERAGE($H1188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923.7524134873181</x:v>
      </x:c>
      <x:c r="J1188" s="12" t="n">
        <x:f>IF($A1188="","",1+SUMIFS(Assumptions!$S$5:$S$10,Assumptions!$P$5:$P$10,$B1188,Assumptions!$Q$5:$Q$10,"&lt;="&amp;$A1188,Assumptions!$R$5:$R$10,"&gt;="&amp;$A1188))</x:f>
        <x:v>1</x:v>
      </x:c>
      <x:c r="K1188" s="12" t="n">
        <x:f>IF($A1188="","",1+((($A1188-Assumptions!$B$5)/30)*INDEX(Assumptions!$J$5:$J$12,MATCH($B1188,Assumptions!$D$5:$D$12,0))))</x:f>
        <x:v>0.9921</x:v>
      </x:c>
      <x:c r="L1188" t="str">
        <x:f>IF($A1188="","",IFERROR(INDEX(Assumptions!$O$5:$O$10,MATCH(1,(Assumptions!$P$5:$P$10=$B1188)*(Assumptions!$Q$5:$Q$10&lt;=$A1188)*(Assumptions!$R$5:$R$10&gt;=$A1188),0)),""))</x:f>
      </x:c>
      <x:c r="M1188" t="n">
        <x:f>--($A1188&lt;&gt;"")</x:f>
        <x:v>1</x:v>
      </x:c>
    </x:row>
    <x:row r="1189">
      <x:c r="A1189" s="10" t="n">
        <x:f>IF(Assumptions!$B$5+INT((ROW()-2)/Assumptions!$B$7)&gt;Assumptions!$B$6,"",Assumptions!$B$5+INT((ROW()-2)/Assumptions!$B$7))</x:f>
        <x:v>46260</x:v>
      </x:c>
      <x:c r="B1189" t="str">
        <x:f>IF($A1189="","",INDEX(Assumptions!$D$5:$D$12,MOD(ROW()-2,Assumptions!$B$7)+1))</x:f>
        <x:v>Nostromo Deep</x:v>
      </x:c>
      <x:c r="C1189" s="11" t="n">
        <x:f>IF($A1189="","",INDEX(Assumptions!$F$5:$F$12,MATCH($B1189,Assumptions!$D$5:$D$12,0)))</x:f>
        <x:v>1260</x:v>
      </x:c>
      <x:c r="D1189" s="11" t="n">
        <x:f>IF($A1189="","",INDEX(Assumptions!$G$5:$G$12,MATCH($B1189,Assumptions!$D$5:$D$12,0)))</x:f>
        <x:v>145</x:v>
      </x:c>
      <x:c r="E1189" s="11" t="n">
        <x:f>IF($A1189="","",INDEX(Assumptions!$M$5:$M$11,WEEKDAY($A1189,2)))</x:f>
        <x:v>1.01</x:v>
      </x:c>
      <x:c r="F1189" s="11" t="n">
        <x:f>IF($A1189="","",Assumptions!$B$15)</x:f>
        <x:v>0.35</x:v>
      </x:c>
      <x:c r="G1189" s="11" t="n">
        <x:f>IF($A1189="","",MAX(INDEX(Assumptions!$H$5:$H$12,MATCH($B1189,Assumptions!$D$5:$D$12,0)),MIN(INDEX(Assumptions!$I$5:$I$12,MATCH($B1189,Assumptions!$D$5:$D$12,0)),($C1189+$D1189*SQRT(-2*LN(RAND()))*COS(2*PI()*RAND()))*$E1189*$J1189*$K1189)))</x:f>
        <x:v>1375.7649550172619</x:v>
      </x:c>
      <x:c r="H1189" s="11" t="n">
        <x:f>IF($A1189="","",$G1189*$F1189+$C1189*(1-$F1189))</x:f>
        <x:v>1300.5177342560416</x:v>
      </x:c>
      <x:c r="I1189" s="11" t="n">
        <x:f>IF($A1189="","",AVERAGE($H1189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1285.2254414144168</x:v>
      </x:c>
      <x:c r="J1189" s="12" t="n">
        <x:f>IF($A1189="","",1+SUMIFS(Assumptions!$S$5:$S$10,Assumptions!$P$5:$P$10,$B1189,Assumptions!$Q$5:$Q$10,"&lt;="&amp;$A1189,Assumptions!$R$5:$R$10,"&gt;="&amp;$A1189))</x:f>
        <x:v>1</x:v>
      </x:c>
      <x:c r="K1189" s="12" t="n">
        <x:f>IF($A1189="","",1+((($A1189-Assumptions!$B$5)/30)*INDEX(Assumptions!$J$5:$J$12,MATCH($B1189,Assumptions!$D$5:$D$12,0))))</x:f>
        <x:v>1.0237</x:v>
      </x:c>
      <x:c r="L1189" t="str">
        <x:f>IF($A1189="","",IFERROR(INDEX(Assumptions!$O$5:$O$10,MATCH(1,(Assumptions!$P$5:$P$10=$B1189)*(Assumptions!$Q$5:$Q$10&lt;=$A1189)*(Assumptions!$R$5:$R$10&gt;=$A1189),0)),""))</x:f>
      </x:c>
      <x:c r="M1189" t="n">
        <x:f>--($A1189&lt;&gt;"")</x:f>
        <x:v>1</x:v>
      </x:c>
    </x:row>
    <x:row r="1190">
      <x:c r="A1190" s="10" t="n">
        <x:f>IF(Assumptions!$B$5+INT((ROW()-2)/Assumptions!$B$7)&gt;Assumptions!$B$6,"",Assumptions!$B$5+INT((ROW()-2)/Assumptions!$B$7))</x:f>
        <x:v>46260</x:v>
      </x:c>
      <x:c r="B1190" t="str">
        <x:f>IF($A1190="","",INDEX(Assumptions!$D$5:$D$12,MOD(ROW()-2,Assumptions!$B$7)+1))</x:f>
        <x:v>Hadley's Hope</x:v>
      </x:c>
      <x:c r="C1190" s="11" t="n">
        <x:f>IF($A1190="","",INDEX(Assumptions!$F$5:$F$12,MATCH($B1190,Assumptions!$D$5:$D$12,0)))</x:f>
        <x:v>845</x:v>
      </x:c>
      <x:c r="D1190" s="11" t="n">
        <x:f>IF($A1190="","",INDEX(Assumptions!$G$5:$G$12,MATCH($B1190,Assumptions!$D$5:$D$12,0)))</x:f>
        <x:v>80</x:v>
      </x:c>
      <x:c r="E1190" s="11" t="n">
        <x:f>IF($A1190="","",INDEX(Assumptions!$M$5:$M$11,WEEKDAY($A1190,2)))</x:f>
        <x:v>1.01</x:v>
      </x:c>
      <x:c r="F1190" s="11" t="n">
        <x:f>IF($A1190="","",Assumptions!$B$15)</x:f>
        <x:v>0.35</x:v>
      </x:c>
      <x:c r="G1190" s="11" t="n">
        <x:f>IF($A1190="","",MAX(INDEX(Assumptions!$H$5:$H$12,MATCH($B1190,Assumptions!$D$5:$D$12,0)),MIN(INDEX(Assumptions!$I$5:$I$12,MATCH($B1190,Assumptions!$D$5:$D$12,0)),($C1190+$D1190*SQRT(-2*LN(RAND()))*COS(2*PI()*RAND()))*$E1190*$J1190*$K1190)))</x:f>
        <x:v>940.1554931073387</x:v>
      </x:c>
      <x:c r="H1190" s="11" t="n">
        <x:f>IF($A1190="","",$G1190*$F1190+$C1190*(1-$F1190))</x:f>
        <x:v>878.3044225875685</x:v>
      </x:c>
      <x:c r="I1190" s="11" t="n">
        <x:f>IF($A1190="","",AVERAGE($H1190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835.4589221556562</x:v>
      </x:c>
      <x:c r="J1190" s="12" t="n">
        <x:f>IF($A1190="","",1+SUMIFS(Assumptions!$S$5:$S$10,Assumptions!$P$5:$P$10,$B1190,Assumptions!$Q$5:$Q$10,"&lt;="&amp;$A1190,Assumptions!$R$5:$R$10,"&gt;="&amp;$A1190))</x:f>
        <x:v>1</x:v>
      </x:c>
      <x:c r="K1190" s="12" t="n">
        <x:f>IF($A1190="","",1+((($A1190-Assumptions!$B$5)/30)*INDEX(Assumptions!$J$5:$J$12,MATCH($B1190,Assumptions!$D$5:$D$12,0))))</x:f>
        <x:v>1.0079</x:v>
      </x:c>
      <x:c r="L1190" t="str">
        <x:f>IF($A1190="","",IFERROR(INDEX(Assumptions!$O$5:$O$10,MATCH(1,(Assumptions!$P$5:$P$10=$B1190)*(Assumptions!$Q$5:$Q$10&lt;=$A1190)*(Assumptions!$R$5:$R$10&gt;=$A1190),0)),""))</x:f>
      </x:c>
      <x:c r="M1190" t="n">
        <x:f>--($A1190&lt;&gt;"")</x:f>
        <x:v>1</x:v>
      </x:c>
    </x:row>
    <x:row r="1191">
      <x:c r="A1191" s="10" t="n">
        <x:f>IF(Assumptions!$B$5+INT((ROW()-2)/Assumptions!$B$7)&gt;Assumptions!$B$6,"",Assumptions!$B$5+INT((ROW()-2)/Assumptions!$B$7))</x:f>
        <x:v>46260</x:v>
      </x:c>
      <x:c r="B1191" t="str">
        <x:f>IF($A1191="","",INDEX(Assumptions!$D$5:$D$12,MOD(ROW()-2,Assumptions!$B$7)+1))</x:f>
        <x:v>Yutani Ridge</x:v>
      </x:c>
      <x:c r="C1191" s="11" t="n">
        <x:f>IF($A1191="","",INDEX(Assumptions!$F$5:$F$12,MATCH($B1191,Assumptions!$D$5:$D$12,0)))</x:f>
        <x:v>1050</x:v>
      </x:c>
      <x:c r="D1191" s="11" t="n">
        <x:f>IF($A1191="","",INDEX(Assumptions!$G$5:$G$12,MATCH($B1191,Assumptions!$D$5:$D$12,0)))</x:f>
        <x:v>125</x:v>
      </x:c>
      <x:c r="E1191" s="11" t="n">
        <x:f>IF($A1191="","",INDEX(Assumptions!$M$5:$M$11,WEEKDAY($A1191,2)))</x:f>
        <x:v>1.01</x:v>
      </x:c>
      <x:c r="F1191" s="11" t="n">
        <x:f>IF($A1191="","",Assumptions!$B$15)</x:f>
        <x:v>0.35</x:v>
      </x:c>
      <x:c r="G1191" s="11" t="n">
        <x:f>IF($A1191="","",MAX(INDEX(Assumptions!$H$5:$H$12,MATCH($B1191,Assumptions!$D$5:$D$12,0)),MIN(INDEX(Assumptions!$I$5:$I$12,MATCH($B1191,Assumptions!$D$5:$D$12,0)),($C1191+$D1191*SQRT(-2*LN(RAND()))*COS(2*PI()*RAND()))*$E1191*$J1191*$K1191)))</x:f>
        <x:v>1235.1822426369074</x:v>
      </x:c>
      <x:c r="H1191" s="11" t="n">
        <x:f>IF($A1191="","",$G1191*$F1191+$C1191*(1-$F1191))</x:f>
        <x:v>1114.8137849229176</x:v>
      </x:c>
      <x:c r="I1191" s="11" t="n">
        <x:f>IF($A1191="","",AVERAGE($H1191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1126.3852667559856</x:v>
      </x:c>
      <x:c r="J1191" s="12" t="n">
        <x:f>IF($A1191="","",1+SUMIFS(Assumptions!$S$5:$S$10,Assumptions!$P$5:$P$10,$B1191,Assumptions!$Q$5:$Q$10,"&lt;="&amp;$A1191,Assumptions!$R$5:$R$10,"&gt;="&amp;$A1191))</x:f>
        <x:v>1.22</x:v>
      </x:c>
      <x:c r="K1191" s="12" t="n">
        <x:f>IF($A1191="","",1+((($A1191-Assumptions!$B$5)/30)*INDEX(Assumptions!$J$5:$J$12,MATCH($B1191,Assumptions!$D$5:$D$12,0))))</x:f>
        <x:v>1.01975</x:v>
      </x:c>
      <x:c r="L1191" t="str">
        <x:f>IF($A1191="","",IFERROR(INDEX(Assumptions!$O$5:$O$10,MATCH(1,(Assumptions!$P$5:$P$10=$B1191)*(Assumptions!$Q$5:$Q$10&lt;=$A1191)*(Assumptions!$R$5:$R$10&gt;=$A1191),0)),""))</x:f>
        <x:v>Equipment upgrade</x:v>
      </x:c>
      <x:c r="M1191" t="n">
        <x:f>--($A1191&lt;&gt;"")</x:f>
        <x:v>1</x:v>
      </x:c>
    </x:row>
    <x:row r="1192">
      <x:c r="A1192" s="10" t="n">
        <x:f>IF(Assumptions!$B$5+INT((ROW()-2)/Assumptions!$B$7)&gt;Assumptions!$B$6,"",Assumptions!$B$5+INT((ROW()-2)/Assumptions!$B$7))</x:f>
        <x:v>46261</x:v>
      </x:c>
      <x:c r="B1192" t="str">
        <x:f>IF($A1192="","",INDEX(Assumptions!$D$5:$D$12,MOD(ROW()-2,Assumptions!$B$7)+1))</x:f>
        <x:v>Acheron Prime</x:v>
      </x:c>
      <x:c r="C1192" s="11" t="n">
        <x:f>IF($A1192="","",INDEX(Assumptions!$F$5:$F$12,MATCH($B1192,Assumptions!$D$5:$D$12,0)))</x:f>
        <x:v>1120</x:v>
      </x:c>
      <x:c r="D1192" s="11" t="n">
        <x:f>IF($A1192="","",INDEX(Assumptions!$G$5:$G$12,MATCH($B1192,Assumptions!$D$5:$D$12,0)))</x:f>
        <x:v>115</x:v>
      </x:c>
      <x:c r="E1192" s="11" t="n">
        <x:f>IF($A1192="","",INDEX(Assumptions!$M$5:$M$11,WEEKDAY($A1192,2)))</x:f>
        <x:v>1</x:v>
      </x:c>
      <x:c r="F1192" s="11" t="n">
        <x:f>IF($A1192="","",Assumptions!$B$15)</x:f>
        <x:v>0.35</x:v>
      </x:c>
      <x:c r="G1192" s="11" t="n">
        <x:f>IF($A1192="","",MAX(INDEX(Assumptions!$H$5:$H$12,MATCH($B1192,Assumptions!$D$5:$D$12,0)),MIN(INDEX(Assumptions!$I$5:$I$12,MATCH($B1192,Assumptions!$D$5:$D$12,0)),($C1192+$D1192*SQRT(-2*LN(RAND()))*COS(2*PI()*RAND()))*$E1192*$J1192*$K1192)))</x:f>
        <x:v>1211.2832982743334</x:v>
      </x:c>
      <x:c r="H1192" s="11" t="n">
        <x:f>IF($A1192="","",$G1192*$F1192+$C1192*(1-$F1192))</x:f>
        <x:v>1151.9491543960166</x:v>
      </x:c>
      <x:c r="I1192" s="11" t="n">
        <x:f>IF($A1192="","",AVERAGE($H1192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1130.0548881112804</x:v>
      </x:c>
      <x:c r="J1192" s="12" t="n">
        <x:f>IF($A1192="","",1+SUMIFS(Assumptions!$S$5:$S$10,Assumptions!$P$5:$P$10,$B1192,Assumptions!$Q$5:$Q$10,"&lt;="&amp;$A1192,Assumptions!$R$5:$R$10,"&gt;="&amp;$A1192))</x:f>
        <x:v>1</x:v>
      </x:c>
      <x:c r="K1192" s="12" t="n">
        <x:f>IF($A1192="","",1+((($A1192-Assumptions!$B$5)/30)*INDEX(Assumptions!$J$5:$J$12,MATCH($B1192,Assumptions!$D$5:$D$12,0))))</x:f>
        <x:v>1.0158666666666667</x:v>
      </x:c>
      <x:c r="L1192" t="str">
        <x:f>IF($A1192="","",IFERROR(INDEX(Assumptions!$O$5:$O$10,MATCH(1,(Assumptions!$P$5:$P$10=$B1192)*(Assumptions!$Q$5:$Q$10&lt;=$A1192)*(Assumptions!$R$5:$R$10&gt;=$A1192),0)),""))</x:f>
      </x:c>
      <x:c r="M1192" t="n">
        <x:f>--($A1192&lt;&gt;"")</x:f>
        <x:v>1</x:v>
      </x:c>
    </x:row>
    <x:row r="1193">
      <x:c r="A1193" s="10" t="n">
        <x:f>IF(Assumptions!$B$5+INT((ROW()-2)/Assumptions!$B$7)&gt;Assumptions!$B$6,"",Assumptions!$B$5+INT((ROW()-2)/Assumptions!$B$7))</x:f>
        <x:v>46261</x:v>
      </x:c>
      <x:c r="B1193" t="str">
        <x:f>IF($A1193="","",INDEX(Assumptions!$D$5:$D$12,MOD(ROW()-2,Assumptions!$B$7)+1))</x:f>
        <x:v>LV-426 North</x:v>
      </x:c>
      <x:c r="C1193" s="11" t="n">
        <x:f>IF($A1193="","",INDEX(Assumptions!$F$5:$F$12,MATCH($B1193,Assumptions!$D$5:$D$12,0)))</x:f>
        <x:v>930</x:v>
      </x:c>
      <x:c r="D1193" s="11" t="n">
        <x:f>IF($A1193="","",INDEX(Assumptions!$G$5:$G$12,MATCH($B1193,Assumptions!$D$5:$D$12,0)))</x:f>
        <x:v>95</x:v>
      </x:c>
      <x:c r="E1193" s="11" t="n">
        <x:f>IF($A1193="","",INDEX(Assumptions!$M$5:$M$11,WEEKDAY($A1193,2)))</x:f>
        <x:v>1</x:v>
      </x:c>
      <x:c r="F1193" s="11" t="n">
        <x:f>IF($A1193="","",Assumptions!$B$15)</x:f>
        <x:v>0.35</x:v>
      </x:c>
      <x:c r="G1193" s="11" t="n">
        <x:f>IF($A1193="","",MAX(INDEX(Assumptions!$H$5:$H$12,MATCH($B1193,Assumptions!$D$5:$D$12,0)),MIN(INDEX(Assumptions!$I$5:$I$12,MATCH($B1193,Assumptions!$D$5:$D$12,0)),($C1193+$D1193*SQRT(-2*LN(RAND()))*COS(2*PI()*RAND()))*$E1193*$J1193*$K1193)))</x:f>
        <x:v>981.2913696286662</x:v>
      </x:c>
      <x:c r="H1193" s="11" t="n">
        <x:f>IF($A1193="","",$G1193*$F1193+$C1193*(1-$F1193))</x:f>
        <x:v>947.9519793700331</x:v>
      </x:c>
      <x:c r="I1193" s="11" t="n">
        <x:f>IF($A1193="","",AVERAGE($H1193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925.7287349274793</x:v>
      </x:c>
      <x:c r="J1193" s="12" t="n">
        <x:f>IF($A1193="","",1+SUMIFS(Assumptions!$S$5:$S$10,Assumptions!$P$5:$P$10,$B1193,Assumptions!$Q$5:$Q$10,"&lt;="&amp;$A1193,Assumptions!$R$5:$R$10,"&gt;="&amp;$A1193))</x:f>
        <x:v>1</x:v>
      </x:c>
      <x:c r="K1193" s="12" t="n">
        <x:f>IF($A1193="","",1+((($A1193-Assumptions!$B$5)/30)*INDEX(Assumptions!$J$5:$J$12,MATCH($B1193,Assumptions!$D$5:$D$12,0))))</x:f>
        <x:v>0.9920666666666667</x:v>
      </x:c>
      <x:c r="L1193" t="str">
        <x:f>IF($A1193="","",IFERROR(INDEX(Assumptions!$O$5:$O$10,MATCH(1,(Assumptions!$P$5:$P$10=$B1193)*(Assumptions!$Q$5:$Q$10&lt;=$A1193)*(Assumptions!$R$5:$R$10&gt;=$A1193),0)),""))</x:f>
      </x:c>
      <x:c r="M1193" t="n">
        <x:f>--($A1193&lt;&gt;"")</x:f>
        <x:v>1</x:v>
      </x:c>
    </x:row>
    <x:row r="1194">
      <x:c r="A1194" s="10" t="n">
        <x:f>IF(Assumptions!$B$5+INT((ROW()-2)/Assumptions!$B$7)&gt;Assumptions!$B$6,"",Assumptions!$B$5+INT((ROW()-2)/Assumptions!$B$7))</x:f>
        <x:v>46261</x:v>
      </x:c>
      <x:c r="B1194" t="str">
        <x:f>IF($A1194="","",INDEX(Assumptions!$D$5:$D$12,MOD(ROW()-2,Assumptions!$B$7)+1))</x:f>
        <x:v>Nostromo Deep</x:v>
      </x:c>
      <x:c r="C1194" s="11" t="n">
        <x:f>IF($A1194="","",INDEX(Assumptions!$F$5:$F$12,MATCH($B1194,Assumptions!$D$5:$D$12,0)))</x:f>
        <x:v>1260</x:v>
      </x:c>
      <x:c r="D1194" s="11" t="n">
        <x:f>IF($A1194="","",INDEX(Assumptions!$G$5:$G$12,MATCH($B1194,Assumptions!$D$5:$D$12,0)))</x:f>
        <x:v>145</x:v>
      </x:c>
      <x:c r="E1194" s="11" t="n">
        <x:f>IF($A1194="","",INDEX(Assumptions!$M$5:$M$11,WEEKDAY($A1194,2)))</x:f>
        <x:v>1</x:v>
      </x:c>
      <x:c r="F1194" s="11" t="n">
        <x:f>IF($A1194="","",Assumptions!$B$15)</x:f>
        <x:v>0.35</x:v>
      </x:c>
      <x:c r="G1194" s="11" t="n">
        <x:f>IF($A1194="","",MAX(INDEX(Assumptions!$H$5:$H$12,MATCH($B1194,Assumptions!$D$5:$D$12,0)),MIN(INDEX(Assumptions!$I$5:$I$12,MATCH($B1194,Assumptions!$D$5:$D$12,0)),($C1194+$D1194*SQRT(-2*LN(RAND()))*COS(2*PI()*RAND()))*$E1194*$J1194*$K1194)))</x:f>
        <x:v>1444.564116092307</x:v>
      </x:c>
      <x:c r="H1194" s="11" t="n">
        <x:f>IF($A1194="","",$G1194*$F1194+$C1194*(1-$F1194))</x:f>
        <x:v>1324.5974406323073</x:v>
      </x:c>
      <x:c r="I1194" s="11" t="n">
        <x:f>IF($A1194="","",AVERAGE($H1194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1280.8373589270664</x:v>
      </x:c>
      <x:c r="J1194" s="12" t="n">
        <x:f>IF($A1194="","",1+SUMIFS(Assumptions!$S$5:$S$10,Assumptions!$P$5:$P$10,$B1194,Assumptions!$Q$5:$Q$10,"&lt;="&amp;$A1194,Assumptions!$R$5:$R$10,"&gt;="&amp;$A1194))</x:f>
        <x:v>1</x:v>
      </x:c>
      <x:c r="K1194" s="12" t="n">
        <x:f>IF($A1194="","",1+((($A1194-Assumptions!$B$5)/30)*INDEX(Assumptions!$J$5:$J$12,MATCH($B1194,Assumptions!$D$5:$D$12,0))))</x:f>
        <x:v>1.0238</x:v>
      </x:c>
      <x:c r="L1194" t="str">
        <x:f>IF($A1194="","",IFERROR(INDEX(Assumptions!$O$5:$O$10,MATCH(1,(Assumptions!$P$5:$P$10=$B1194)*(Assumptions!$Q$5:$Q$10&lt;=$A1194)*(Assumptions!$R$5:$R$10&gt;=$A1194),0)),""))</x:f>
      </x:c>
      <x:c r="M1194" t="n">
        <x:f>--($A1194&lt;&gt;"")</x:f>
        <x:v>1</x:v>
      </x:c>
    </x:row>
    <x:row r="1195">
      <x:c r="A1195" s="10" t="n">
        <x:f>IF(Assumptions!$B$5+INT((ROW()-2)/Assumptions!$B$7)&gt;Assumptions!$B$6,"",Assumptions!$B$5+INT((ROW()-2)/Assumptions!$B$7))</x:f>
        <x:v>46261</x:v>
      </x:c>
      <x:c r="B1195" t="str">
        <x:f>IF($A1195="","",INDEX(Assumptions!$D$5:$D$12,MOD(ROW()-2,Assumptions!$B$7)+1))</x:f>
        <x:v>Hadley's Hope</x:v>
      </x:c>
      <x:c r="C1195" s="11" t="n">
        <x:f>IF($A1195="","",INDEX(Assumptions!$F$5:$F$12,MATCH($B1195,Assumptions!$D$5:$D$12,0)))</x:f>
        <x:v>845</x:v>
      </x:c>
      <x:c r="D1195" s="11" t="n">
        <x:f>IF($A1195="","",INDEX(Assumptions!$G$5:$G$12,MATCH($B1195,Assumptions!$D$5:$D$12,0)))</x:f>
        <x:v>80</x:v>
      </x:c>
      <x:c r="E1195" s="11" t="n">
        <x:f>IF($A1195="","",INDEX(Assumptions!$M$5:$M$11,WEEKDAY($A1195,2)))</x:f>
        <x:v>1</x:v>
      </x:c>
      <x:c r="F1195" s="11" t="n">
        <x:f>IF($A1195="","",Assumptions!$B$15)</x:f>
        <x:v>0.35</x:v>
      </x:c>
      <x:c r="G1195" s="11" t="n">
        <x:f>IF($A1195="","",MAX(INDEX(Assumptions!$H$5:$H$12,MATCH($B1195,Assumptions!$D$5:$D$12,0)),MIN(INDEX(Assumptions!$I$5:$I$12,MATCH($B1195,Assumptions!$D$5:$D$12,0)),($C1195+$D1195*SQRT(-2*LN(RAND()))*COS(2*PI()*RAND()))*$E1195*$J1195*$K1195)))</x:f>
        <x:v>742.8737241637863</x:v>
      </x:c>
      <x:c r="H1195" s="11" t="n">
        <x:f>IF($A1195="","",$G1195*$F1195+$C1195*(1-$F1195))</x:f>
        <x:v>809.2558034573251</x:v>
      </x:c>
      <x:c r="I1195" s="11" t="n">
        <x:f>IF($A1195="","",AVERAGE($H1195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829.4129920899838</x:v>
      </x:c>
      <x:c r="J1195" s="12" t="n">
        <x:f>IF($A1195="","",1+SUMIFS(Assumptions!$S$5:$S$10,Assumptions!$P$5:$P$10,$B1195,Assumptions!$Q$5:$Q$10,"&lt;="&amp;$A1195,Assumptions!$R$5:$R$10,"&gt;="&amp;$A1195))</x:f>
        <x:v>1</x:v>
      </x:c>
      <x:c r="K1195" s="12" t="n">
        <x:f>IF($A1195="","",1+((($A1195-Assumptions!$B$5)/30)*INDEX(Assumptions!$J$5:$J$12,MATCH($B1195,Assumptions!$D$5:$D$12,0))))</x:f>
        <x:v>1.0079333333333333</x:v>
      </x:c>
      <x:c r="L1195" t="str">
        <x:f>IF($A1195="","",IFERROR(INDEX(Assumptions!$O$5:$O$10,MATCH(1,(Assumptions!$P$5:$P$10=$B1195)*(Assumptions!$Q$5:$Q$10&lt;=$A1195)*(Assumptions!$R$5:$R$10&gt;=$A1195),0)),""))</x:f>
      </x:c>
      <x:c r="M1195" t="n">
        <x:f>--($A1195&lt;&gt;"")</x:f>
        <x:v>1</x:v>
      </x:c>
    </x:row>
    <x:row r="1196">
      <x:c r="A1196" s="10" t="n">
        <x:f>IF(Assumptions!$B$5+INT((ROW()-2)/Assumptions!$B$7)&gt;Assumptions!$B$6,"",Assumptions!$B$5+INT((ROW()-2)/Assumptions!$B$7))</x:f>
        <x:v>46261</x:v>
      </x:c>
      <x:c r="B1196" t="str">
        <x:f>IF($A1196="","",INDEX(Assumptions!$D$5:$D$12,MOD(ROW()-2,Assumptions!$B$7)+1))</x:f>
        <x:v>Yutani Ridge</x:v>
      </x:c>
      <x:c r="C1196" s="11" t="n">
        <x:f>IF($A1196="","",INDEX(Assumptions!$F$5:$F$12,MATCH($B1196,Assumptions!$D$5:$D$12,0)))</x:f>
        <x:v>1050</x:v>
      </x:c>
      <x:c r="D1196" s="11" t="n">
        <x:f>IF($A1196="","",INDEX(Assumptions!$G$5:$G$12,MATCH($B1196,Assumptions!$D$5:$D$12,0)))</x:f>
        <x:v>125</x:v>
      </x:c>
      <x:c r="E1196" s="11" t="n">
        <x:f>IF($A1196="","",INDEX(Assumptions!$M$5:$M$11,WEEKDAY($A1196,2)))</x:f>
        <x:v>1</x:v>
      </x:c>
      <x:c r="F1196" s="11" t="n">
        <x:f>IF($A1196="","",Assumptions!$B$15)</x:f>
        <x:v>0.35</x:v>
      </x:c>
      <x:c r="G1196" s="11" t="n">
        <x:f>IF($A1196="","",MAX(INDEX(Assumptions!$H$5:$H$12,MATCH($B1196,Assumptions!$D$5:$D$12,0)),MIN(INDEX(Assumptions!$I$5:$I$12,MATCH($B1196,Assumptions!$D$5:$D$12,0)),($C1196+$D1196*SQRT(-2*LN(RAND()))*COS(2*PI()*RAND()))*$E1196*$J1196*$K1196)))</x:f>
        <x:v>1480</x:v>
      </x:c>
      <x:c r="H1196" s="11" t="n">
        <x:f>IF($A1196="","",$G1196*$F1196+$C1196*(1-$F1196))</x:f>
        <x:v>1200.5</x:v>
      </x:c>
      <x:c r="I1196" s="11" t="n">
        <x:f>IF($A1196="","",AVERAGE($H1196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1131.9655559838466</x:v>
      </x:c>
      <x:c r="J1196" s="12" t="n">
        <x:f>IF($A1196="","",1+SUMIFS(Assumptions!$S$5:$S$10,Assumptions!$P$5:$P$10,$B1196,Assumptions!$Q$5:$Q$10,"&lt;="&amp;$A1196,Assumptions!$R$5:$R$10,"&gt;="&amp;$A1196))</x:f>
        <x:v>1.22</x:v>
      </x:c>
      <x:c r="K1196" s="12" t="n">
        <x:f>IF($A1196="","",1+((($A1196-Assumptions!$B$5)/30)*INDEX(Assumptions!$J$5:$J$12,MATCH($B1196,Assumptions!$D$5:$D$12,0))))</x:f>
        <x:v>1.0198333333333334</x:v>
      </x:c>
      <x:c r="L1196" t="str">
        <x:f>IF($A1196="","",IFERROR(INDEX(Assumptions!$O$5:$O$10,MATCH(1,(Assumptions!$P$5:$P$10=$B1196)*(Assumptions!$Q$5:$Q$10&lt;=$A1196)*(Assumptions!$R$5:$R$10&gt;=$A1196),0)),""))</x:f>
        <x:v>Equipment upgrade</x:v>
      </x:c>
      <x:c r="M1196" t="n">
        <x:f>--($A1196&lt;&gt;"")</x:f>
        <x:v>1</x:v>
      </x:c>
    </x:row>
    <x:row r="1197">
      <x:c r="A1197" s="10" t="n">
        <x:f>IF(Assumptions!$B$5+INT((ROW()-2)/Assumptions!$B$7)&gt;Assumptions!$B$6,"",Assumptions!$B$5+INT((ROW()-2)/Assumptions!$B$7))</x:f>
        <x:v>46262</x:v>
      </x:c>
      <x:c r="B1197" t="str">
        <x:f>IF($A1197="","",INDEX(Assumptions!$D$5:$D$12,MOD(ROW()-2,Assumptions!$B$7)+1))</x:f>
        <x:v>Acheron Prime</x:v>
      </x:c>
      <x:c r="C1197" s="11" t="n">
        <x:f>IF($A1197="","",INDEX(Assumptions!$F$5:$F$12,MATCH($B1197,Assumptions!$D$5:$D$12,0)))</x:f>
        <x:v>1120</x:v>
      </x:c>
      <x:c r="D1197" s="11" t="n">
        <x:f>IF($A1197="","",INDEX(Assumptions!$G$5:$G$12,MATCH($B1197,Assumptions!$D$5:$D$12,0)))</x:f>
        <x:v>115</x:v>
      </x:c>
      <x:c r="E1197" s="11" t="n">
        <x:f>IF($A1197="","",INDEX(Assumptions!$M$5:$M$11,WEEKDAY($A1197,2)))</x:f>
        <x:v>0.98</x:v>
      </x:c>
      <x:c r="F1197" s="11" t="n">
        <x:f>IF($A1197="","",Assumptions!$B$15)</x:f>
        <x:v>0.35</x:v>
      </x:c>
      <x:c r="G1197" s="11" t="n">
        <x:f>IF($A1197="","",MAX(INDEX(Assumptions!$H$5:$H$12,MATCH($B1197,Assumptions!$D$5:$D$12,0)),MIN(INDEX(Assumptions!$I$5:$I$12,MATCH($B1197,Assumptions!$D$5:$D$12,0)),($C1197+$D1197*SQRT(-2*LN(RAND()))*COS(2*PI()*RAND()))*$E1197*$J1197*$K1197)))</x:f>
        <x:v>1246.6087338230109</x:v>
      </x:c>
      <x:c r="H1197" s="11" t="n">
        <x:f>IF($A1197="","",$G1197*$F1197+$C1197*(1-$F1197))</x:f>
        <x:v>1164.3130568380539</x:v>
      </x:c>
      <x:c r="I1197" s="11" t="n">
        <x:f>IF($A1197="","",AVERAGE($H1197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1135.8168029211768</x:v>
      </x:c>
      <x:c r="J1197" s="12" t="n">
        <x:f>IF($A1197="","",1+SUMIFS(Assumptions!$S$5:$S$10,Assumptions!$P$5:$P$10,$B1197,Assumptions!$Q$5:$Q$10,"&lt;="&amp;$A1197,Assumptions!$R$5:$R$10,"&gt;="&amp;$A1197))</x:f>
        <x:v>1</x:v>
      </x:c>
      <x:c r="K1197" s="12" t="n">
        <x:f>IF($A1197="","",1+((($A1197-Assumptions!$B$5)/30)*INDEX(Assumptions!$J$5:$J$12,MATCH($B1197,Assumptions!$D$5:$D$12,0))))</x:f>
        <x:v>1.0159333333333334</x:v>
      </x:c>
      <x:c r="L1197" t="str">
        <x:f>IF($A1197="","",IFERROR(INDEX(Assumptions!$O$5:$O$10,MATCH(1,(Assumptions!$P$5:$P$10=$B1197)*(Assumptions!$Q$5:$Q$10&lt;=$A1197)*(Assumptions!$R$5:$R$10&gt;=$A1197),0)),""))</x:f>
      </x:c>
      <x:c r="M1197" t="n">
        <x:f>--($A1197&lt;&gt;"")</x:f>
        <x:v>1</x:v>
      </x:c>
    </x:row>
    <x:row r="1198">
      <x:c r="A1198" s="10" t="n">
        <x:f>IF(Assumptions!$B$5+INT((ROW()-2)/Assumptions!$B$7)&gt;Assumptions!$B$6,"",Assumptions!$B$5+INT((ROW()-2)/Assumptions!$B$7))</x:f>
        <x:v>46262</x:v>
      </x:c>
      <x:c r="B1198" t="str">
        <x:f>IF($A1198="","",INDEX(Assumptions!$D$5:$D$12,MOD(ROW()-2,Assumptions!$B$7)+1))</x:f>
        <x:v>LV-426 North</x:v>
      </x:c>
      <x:c r="C1198" s="11" t="n">
        <x:f>IF($A1198="","",INDEX(Assumptions!$F$5:$F$12,MATCH($B1198,Assumptions!$D$5:$D$12,0)))</x:f>
        <x:v>930</x:v>
      </x:c>
      <x:c r="D1198" s="11" t="n">
        <x:f>IF($A1198="","",INDEX(Assumptions!$G$5:$G$12,MATCH($B1198,Assumptions!$D$5:$D$12,0)))</x:f>
        <x:v>95</x:v>
      </x:c>
      <x:c r="E1198" s="11" t="n">
        <x:f>IF($A1198="","",INDEX(Assumptions!$M$5:$M$11,WEEKDAY($A1198,2)))</x:f>
        <x:v>0.98</x:v>
      </x:c>
      <x:c r="F1198" s="11" t="n">
        <x:f>IF($A1198="","",Assumptions!$B$15)</x:f>
        <x:v>0.35</x:v>
      </x:c>
      <x:c r="G1198" s="11" t="n">
        <x:f>IF($A1198="","",MAX(INDEX(Assumptions!$H$5:$H$12,MATCH($B1198,Assumptions!$D$5:$D$12,0)),MIN(INDEX(Assumptions!$I$5:$I$12,MATCH($B1198,Assumptions!$D$5:$D$12,0)),($C1198+$D1198*SQRT(-2*LN(RAND()))*COS(2*PI()*RAND()))*$E1198*$J1198*$K1198)))</x:f>
        <x:v>851.0668632984925</x:v>
      </x:c>
      <x:c r="H1198" s="11" t="n">
        <x:f>IF($A1198="","",$G1198*$F1198+$C1198*(1-$F1198))</x:f>
        <x:v>902.3734021544724</x:v>
      </x:c>
      <x:c r="I1198" s="11" t="n">
        <x:f>IF($A1198="","",AVERAGE($H1198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928.7287312737408</x:v>
      </x:c>
      <x:c r="J1198" s="12" t="n">
        <x:f>IF($A1198="","",1+SUMIFS(Assumptions!$S$5:$S$10,Assumptions!$P$5:$P$10,$B1198,Assumptions!$Q$5:$Q$10,"&lt;="&amp;$A1198,Assumptions!$R$5:$R$10,"&gt;="&amp;$A1198))</x:f>
        <x:v>1</x:v>
      </x:c>
      <x:c r="K1198" s="12" t="n">
        <x:f>IF($A1198="","",1+((($A1198-Assumptions!$B$5)/30)*INDEX(Assumptions!$J$5:$J$12,MATCH($B1198,Assumptions!$D$5:$D$12,0))))</x:f>
        <x:v>0.9920333333333333</x:v>
      </x:c>
      <x:c r="L1198" t="str">
        <x:f>IF($A1198="","",IFERROR(INDEX(Assumptions!$O$5:$O$10,MATCH(1,(Assumptions!$P$5:$P$10=$B1198)*(Assumptions!$Q$5:$Q$10&lt;=$A1198)*(Assumptions!$R$5:$R$10&gt;=$A1198),0)),""))</x:f>
      </x:c>
      <x:c r="M1198" t="n">
        <x:f>--($A1198&lt;&gt;"")</x:f>
        <x:v>1</x:v>
      </x:c>
    </x:row>
    <x:row r="1199">
      <x:c r="A1199" s="10" t="n">
        <x:f>IF(Assumptions!$B$5+INT((ROW()-2)/Assumptions!$B$7)&gt;Assumptions!$B$6,"",Assumptions!$B$5+INT((ROW()-2)/Assumptions!$B$7))</x:f>
        <x:v>46262</x:v>
      </x:c>
      <x:c r="B1199" t="str">
        <x:f>IF($A1199="","",INDEX(Assumptions!$D$5:$D$12,MOD(ROW()-2,Assumptions!$B$7)+1))</x:f>
        <x:v>Nostromo Deep</x:v>
      </x:c>
      <x:c r="C1199" s="11" t="n">
        <x:f>IF($A1199="","",INDEX(Assumptions!$F$5:$F$12,MATCH($B1199,Assumptions!$D$5:$D$12,0)))</x:f>
        <x:v>1260</x:v>
      </x:c>
      <x:c r="D1199" s="11" t="n">
        <x:f>IF($A1199="","",INDEX(Assumptions!$G$5:$G$12,MATCH($B1199,Assumptions!$D$5:$D$12,0)))</x:f>
        <x:v>145</x:v>
      </x:c>
      <x:c r="E1199" s="11" t="n">
        <x:f>IF($A1199="","",INDEX(Assumptions!$M$5:$M$11,WEEKDAY($A1199,2)))</x:f>
        <x:v>0.98</x:v>
      </x:c>
      <x:c r="F1199" s="11" t="n">
        <x:f>IF($A1199="","",Assumptions!$B$15)</x:f>
        <x:v>0.35</x:v>
      </x:c>
      <x:c r="G1199" s="11" t="n">
        <x:f>IF($A1199="","",MAX(INDEX(Assumptions!$H$5:$H$12,MATCH($B1199,Assumptions!$D$5:$D$12,0)),MIN(INDEX(Assumptions!$I$5:$I$12,MATCH($B1199,Assumptions!$D$5:$D$12,0)),($C1199+$D1199*SQRT(-2*LN(RAND()))*COS(2*PI()*RAND()))*$E1199*$J1199*$K1199)))</x:f>
        <x:v>1186.6383044919978</x:v>
      </x:c>
      <x:c r="H1199" s="11" t="n">
        <x:f>IF($A1199="","",$G1199*$F1199+$C1199*(1-$F1199))</x:f>
        <x:v>1234.3234065721992</x:v>
      </x:c>
      <x:c r="I1199" s="11" t="n">
        <x:f>IF($A1199="","",AVERAGE($H1199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1273.4316201842153</x:v>
      </x:c>
      <x:c r="J1199" s="12" t="n">
        <x:f>IF($A1199="","",1+SUMIFS(Assumptions!$S$5:$S$10,Assumptions!$P$5:$P$10,$B1199,Assumptions!$Q$5:$Q$10,"&lt;="&amp;$A1199,Assumptions!$R$5:$R$10,"&gt;="&amp;$A1199))</x:f>
        <x:v>1</x:v>
      </x:c>
      <x:c r="K1199" s="12" t="n">
        <x:f>IF($A1199="","",1+((($A1199-Assumptions!$B$5)/30)*INDEX(Assumptions!$J$5:$J$12,MATCH($B1199,Assumptions!$D$5:$D$12,0))))</x:f>
        <x:v>1.0239</x:v>
      </x:c>
      <x:c r="L1199" t="str">
        <x:f>IF($A1199="","",IFERROR(INDEX(Assumptions!$O$5:$O$10,MATCH(1,(Assumptions!$P$5:$P$10=$B1199)*(Assumptions!$Q$5:$Q$10&lt;=$A1199)*(Assumptions!$R$5:$R$10&gt;=$A1199),0)),""))</x:f>
      </x:c>
      <x:c r="M1199" t="n">
        <x:f>--($A1199&lt;&gt;"")</x:f>
        <x:v>1</x:v>
      </x:c>
    </x:row>
    <x:row r="1200">
      <x:c r="A1200" s="10" t="n">
        <x:f>IF(Assumptions!$B$5+INT((ROW()-2)/Assumptions!$B$7)&gt;Assumptions!$B$6,"",Assumptions!$B$5+INT((ROW()-2)/Assumptions!$B$7))</x:f>
        <x:v>46262</x:v>
      </x:c>
      <x:c r="B1200" t="str">
        <x:f>IF($A1200="","",INDEX(Assumptions!$D$5:$D$12,MOD(ROW()-2,Assumptions!$B$7)+1))</x:f>
        <x:v>Hadley's Hope</x:v>
      </x:c>
      <x:c r="C1200" s="11" t="n">
        <x:f>IF($A1200="","",INDEX(Assumptions!$F$5:$F$12,MATCH($B1200,Assumptions!$D$5:$D$12,0)))</x:f>
        <x:v>845</x:v>
      </x:c>
      <x:c r="D1200" s="11" t="n">
        <x:f>IF($A1200="","",INDEX(Assumptions!$G$5:$G$12,MATCH($B1200,Assumptions!$D$5:$D$12,0)))</x:f>
        <x:v>80</x:v>
      </x:c>
      <x:c r="E1200" s="11" t="n">
        <x:f>IF($A1200="","",INDEX(Assumptions!$M$5:$M$11,WEEKDAY($A1200,2)))</x:f>
        <x:v>0.98</x:v>
      </x:c>
      <x:c r="F1200" s="11" t="n">
        <x:f>IF($A1200="","",Assumptions!$B$15)</x:f>
        <x:v>0.35</x:v>
      </x:c>
      <x:c r="G1200" s="11" t="n">
        <x:f>IF($A1200="","",MAX(INDEX(Assumptions!$H$5:$H$12,MATCH($B1200,Assumptions!$D$5:$D$12,0)),MIN(INDEX(Assumptions!$I$5:$I$12,MATCH($B1200,Assumptions!$D$5:$D$12,0)),($C1200+$D1200*SQRT(-2*LN(RAND()))*COS(2*PI()*RAND()))*$E1200*$J1200*$K1200)))</x:f>
        <x:v>873.5293717914344</x:v>
      </x:c>
      <x:c r="H1200" s="11" t="n">
        <x:f>IF($A1200="","",$G1200*$F1200+$C1200*(1-$F1200))</x:f>
        <x:v>854.9852801270019</x:v>
      </x:c>
      <x:c r="I1200" s="11" t="n">
        <x:f>IF($A1200="","",AVERAGE($H1200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832.5010127504793</x:v>
      </x:c>
      <x:c r="J1200" s="12" t="n">
        <x:f>IF($A1200="","",1+SUMIFS(Assumptions!$S$5:$S$10,Assumptions!$P$5:$P$10,$B1200,Assumptions!$Q$5:$Q$10,"&lt;="&amp;$A1200,Assumptions!$R$5:$R$10,"&gt;="&amp;$A1200))</x:f>
        <x:v>1</x:v>
      </x:c>
      <x:c r="K1200" s="12" t="n">
        <x:f>IF($A1200="","",1+((($A1200-Assumptions!$B$5)/30)*INDEX(Assumptions!$J$5:$J$12,MATCH($B1200,Assumptions!$D$5:$D$12,0))))</x:f>
        <x:v>1.0079666666666667</x:v>
      </x:c>
      <x:c r="L1200" t="str">
        <x:f>IF($A1200="","",IFERROR(INDEX(Assumptions!$O$5:$O$10,MATCH(1,(Assumptions!$P$5:$P$10=$B1200)*(Assumptions!$Q$5:$Q$10&lt;=$A1200)*(Assumptions!$R$5:$R$10&gt;=$A1200),0)),""))</x:f>
      </x:c>
      <x:c r="M1200" t="n">
        <x:f>--($A1200&lt;&gt;"")</x:f>
        <x:v>1</x:v>
      </x:c>
    </x:row>
    <x:row r="1201">
      <x:c r="A1201" s="10" t="n">
        <x:f>IF(Assumptions!$B$5+INT((ROW()-2)/Assumptions!$B$7)&gt;Assumptions!$B$6,"",Assumptions!$B$5+INT((ROW()-2)/Assumptions!$B$7))</x:f>
        <x:v>46262</x:v>
      </x:c>
      <x:c r="B1201" t="str">
        <x:f>IF($A1201="","",INDEX(Assumptions!$D$5:$D$12,MOD(ROW()-2,Assumptions!$B$7)+1))</x:f>
        <x:v>Yutani Ridge</x:v>
      </x:c>
      <x:c r="C1201" s="11" t="n">
        <x:f>IF($A1201="","",INDEX(Assumptions!$F$5:$F$12,MATCH($B1201,Assumptions!$D$5:$D$12,0)))</x:f>
        <x:v>1050</x:v>
      </x:c>
      <x:c r="D1201" s="11" t="n">
        <x:f>IF($A1201="","",INDEX(Assumptions!$G$5:$G$12,MATCH($B1201,Assumptions!$D$5:$D$12,0)))</x:f>
        <x:v>125</x:v>
      </x:c>
      <x:c r="E1201" s="11" t="n">
        <x:f>IF($A1201="","",INDEX(Assumptions!$M$5:$M$11,WEEKDAY($A1201,2)))</x:f>
        <x:v>0.98</x:v>
      </x:c>
      <x:c r="F1201" s="11" t="n">
        <x:f>IF($A1201="","",Assumptions!$B$15)</x:f>
        <x:v>0.35</x:v>
      </x:c>
      <x:c r="G1201" s="11" t="n">
        <x:f>IF($A1201="","",MAX(INDEX(Assumptions!$H$5:$H$12,MATCH($B1201,Assumptions!$D$5:$D$12,0)),MIN(INDEX(Assumptions!$I$5:$I$12,MATCH($B1201,Assumptions!$D$5:$D$12,0)),($C1201+$D1201*SQRT(-2*LN(RAND()))*COS(2*PI()*RAND()))*$E1201*$J1201*$K1201)))</x:f>
        <x:v>1296.5240224849963</x:v>
      </x:c>
      <x:c r="H1201" s="11" t="n">
        <x:f>IF($A1201="","",$G1201*$F1201+$C1201*(1-$F1201))</x:f>
        <x:v>1136.2834078697488</x:v>
      </x:c>
      <x:c r="I1201" s="11" t="n">
        <x:f>IF($A1201="","",AVERAGE($H1201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1141.6983521043342</x:v>
      </x:c>
      <x:c r="J1201" s="12" t="n">
        <x:f>IF($A1201="","",1+SUMIFS(Assumptions!$S$5:$S$10,Assumptions!$P$5:$P$10,$B1201,Assumptions!$Q$5:$Q$10,"&lt;="&amp;$A1201,Assumptions!$R$5:$R$10,"&gt;="&amp;$A1201))</x:f>
        <x:v>1.22</x:v>
      </x:c>
      <x:c r="K1201" s="12" t="n">
        <x:f>IF($A1201="","",1+((($A1201-Assumptions!$B$5)/30)*INDEX(Assumptions!$J$5:$J$12,MATCH($B1201,Assumptions!$D$5:$D$12,0))))</x:f>
        <x:v>1.0199166666666666</x:v>
      </x:c>
      <x:c r="L1201" t="str">
        <x:f>IF($A1201="","",IFERROR(INDEX(Assumptions!$O$5:$O$10,MATCH(1,(Assumptions!$P$5:$P$10=$B1201)*(Assumptions!$Q$5:$Q$10&lt;=$A1201)*(Assumptions!$R$5:$R$10&gt;=$A1201),0)),""))</x:f>
        <x:v>Equipment upgrade</x:v>
      </x:c>
      <x:c r="M1201" t="n">
        <x:f>--($A1201&lt;&gt;"")</x:f>
        <x:v>1</x:v>
      </x:c>
    </x:row>
    <x:row r="1202">
      <x:c r="A1202" s="10" t="n">
        <x:f>IF(Assumptions!$B$5+INT((ROW()-2)/Assumptions!$B$7)&gt;Assumptions!$B$6,"",Assumptions!$B$5+INT((ROW()-2)/Assumptions!$B$7))</x:f>
        <x:v>46263</x:v>
      </x:c>
      <x:c r="B1202" t="str">
        <x:f>IF($A1202="","",INDEX(Assumptions!$D$5:$D$12,MOD(ROW()-2,Assumptions!$B$7)+1))</x:f>
        <x:v>Acheron Prime</x:v>
      </x:c>
      <x:c r="C1202" s="11" t="n">
        <x:f>IF($A1202="","",INDEX(Assumptions!$F$5:$F$12,MATCH($B1202,Assumptions!$D$5:$D$12,0)))</x:f>
        <x:v>1120</x:v>
      </x:c>
      <x:c r="D1202" s="11" t="n">
        <x:f>IF($A1202="","",INDEX(Assumptions!$G$5:$G$12,MATCH($B1202,Assumptions!$D$5:$D$12,0)))</x:f>
        <x:v>115</x:v>
      </x:c>
      <x:c r="E1202" s="11" t="n">
        <x:f>IF($A1202="","",INDEX(Assumptions!$M$5:$M$11,WEEKDAY($A1202,2)))</x:f>
        <x:v>0.91</x:v>
      </x:c>
      <x:c r="F1202" s="11" t="n">
        <x:f>IF($A1202="","",Assumptions!$B$15)</x:f>
        <x:v>0.35</x:v>
      </x:c>
      <x:c r="G1202" s="11" t="n">
        <x:f>IF($A1202="","",MAX(INDEX(Assumptions!$H$5:$H$12,MATCH($B1202,Assumptions!$D$5:$D$12,0)),MIN(INDEX(Assumptions!$I$5:$I$12,MATCH($B1202,Assumptions!$D$5:$D$12,0)),($C1202+$D1202*SQRT(-2*LN(RAND()))*COS(2*PI()*RAND()))*$E1202*$J1202*$K1202)))</x:f>
        <x:v>999.5719479346063</x:v>
      </x:c>
      <x:c r="H1202" s="11" t="n">
        <x:f>IF($A1202="","",$G1202*$F1202+$C1202*(1-$F1202))</x:f>
        <x:v>1077.850181777112</x:v>
      </x:c>
      <x:c r="I1202" s="11" t="n">
        <x:f>IF($A1202="","",AVERAGE($H1202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1129.5427176952946</x:v>
      </x:c>
      <x:c r="J1202" s="12" t="n">
        <x:f>IF($A1202="","",1+SUMIFS(Assumptions!$S$5:$S$10,Assumptions!$P$5:$P$10,$B1202,Assumptions!$Q$5:$Q$10,"&lt;="&amp;$A1202,Assumptions!$R$5:$R$10,"&gt;="&amp;$A1202))</x:f>
        <x:v>1</x:v>
      </x:c>
      <x:c r="K1202" s="12" t="n">
        <x:f>IF($A1202="","",1+((($A1202-Assumptions!$B$5)/30)*INDEX(Assumptions!$J$5:$J$12,MATCH($B1202,Assumptions!$D$5:$D$12,0))))</x:f>
        <x:v>1.016</x:v>
      </x:c>
      <x:c r="L1202" t="str">
        <x:f>IF($A1202="","",IFERROR(INDEX(Assumptions!$O$5:$O$10,MATCH(1,(Assumptions!$P$5:$P$10=$B1202)*(Assumptions!$Q$5:$Q$10&lt;=$A1202)*(Assumptions!$R$5:$R$10&gt;=$A1202),0)),""))</x:f>
      </x:c>
      <x:c r="M1202" t="n">
        <x:f>--($A1202&lt;&gt;"")</x:f>
        <x:v>1</x:v>
      </x:c>
    </x:row>
    <x:row r="1203">
      <x:c r="A1203" s="10" t="n">
        <x:f>IF(Assumptions!$B$5+INT((ROW()-2)/Assumptions!$B$7)&gt;Assumptions!$B$6,"",Assumptions!$B$5+INT((ROW()-2)/Assumptions!$B$7))</x:f>
        <x:v>46263</x:v>
      </x:c>
      <x:c r="B1203" t="str">
        <x:f>IF($A1203="","",INDEX(Assumptions!$D$5:$D$12,MOD(ROW()-2,Assumptions!$B$7)+1))</x:f>
        <x:v>LV-426 North</x:v>
      </x:c>
      <x:c r="C1203" s="11" t="n">
        <x:f>IF($A1203="","",INDEX(Assumptions!$F$5:$F$12,MATCH($B1203,Assumptions!$D$5:$D$12,0)))</x:f>
        <x:v>930</x:v>
      </x:c>
      <x:c r="D1203" s="11" t="n">
        <x:f>IF($A1203="","",INDEX(Assumptions!$G$5:$G$12,MATCH($B1203,Assumptions!$D$5:$D$12,0)))</x:f>
        <x:v>95</x:v>
      </x:c>
      <x:c r="E1203" s="11" t="n">
        <x:f>IF($A1203="","",INDEX(Assumptions!$M$5:$M$11,WEEKDAY($A1203,2)))</x:f>
        <x:v>0.91</x:v>
      </x:c>
      <x:c r="F1203" s="11" t="n">
        <x:f>IF($A1203="","",Assumptions!$B$15)</x:f>
        <x:v>0.35</x:v>
      </x:c>
      <x:c r="G1203" s="11" t="n">
        <x:f>IF($A1203="","",MAX(INDEX(Assumptions!$H$5:$H$12,MATCH($B1203,Assumptions!$D$5:$D$12,0)),MIN(INDEX(Assumptions!$I$5:$I$12,MATCH($B1203,Assumptions!$D$5:$D$12,0)),($C1203+$D1203*SQRT(-2*LN(RAND()))*COS(2*PI()*RAND()))*$E1203*$J1203*$K1203)))</x:f>
        <x:v>915.1099083861742</x:v>
      </x:c>
      <x:c r="H1203" s="11" t="n">
        <x:f>IF($A1203="","",$G1203*$F1203+$C1203*(1-$F1203))</x:f>
        <x:v>924.788467935161</x:v>
      </x:c>
      <x:c r="I1203" s="11" t="n">
        <x:f>IF($A1203="","",AVERAGE($H1203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930.7628629922227</x:v>
      </x:c>
      <x:c r="J1203" s="12" t="n">
        <x:f>IF($A1203="","",1+SUMIFS(Assumptions!$S$5:$S$10,Assumptions!$P$5:$P$10,$B1203,Assumptions!$Q$5:$Q$10,"&lt;="&amp;$A1203,Assumptions!$R$5:$R$10,"&gt;="&amp;$A1203))</x:f>
        <x:v>1</x:v>
      </x:c>
      <x:c r="K1203" s="12" t="n">
        <x:f>IF($A1203="","",1+((($A1203-Assumptions!$B$5)/30)*INDEX(Assumptions!$J$5:$J$12,MATCH($B1203,Assumptions!$D$5:$D$12,0))))</x:f>
        <x:v>0.992</x:v>
      </x:c>
      <x:c r="L1203" t="str">
        <x:f>IF($A1203="","",IFERROR(INDEX(Assumptions!$O$5:$O$10,MATCH(1,(Assumptions!$P$5:$P$10=$B1203)*(Assumptions!$Q$5:$Q$10&lt;=$A1203)*(Assumptions!$R$5:$R$10&gt;=$A1203),0)),""))</x:f>
      </x:c>
      <x:c r="M1203" t="n">
        <x:f>--($A1203&lt;&gt;"")</x:f>
        <x:v>1</x:v>
      </x:c>
    </x:row>
    <x:row r="1204">
      <x:c r="A1204" s="10" t="n">
        <x:f>IF(Assumptions!$B$5+INT((ROW()-2)/Assumptions!$B$7)&gt;Assumptions!$B$6,"",Assumptions!$B$5+INT((ROW()-2)/Assumptions!$B$7))</x:f>
        <x:v>46263</x:v>
      </x:c>
      <x:c r="B1204" t="str">
        <x:f>IF($A1204="","",INDEX(Assumptions!$D$5:$D$12,MOD(ROW()-2,Assumptions!$B$7)+1))</x:f>
        <x:v>Nostromo Deep</x:v>
      </x:c>
      <x:c r="C1204" s="11" t="n">
        <x:f>IF($A1204="","",INDEX(Assumptions!$F$5:$F$12,MATCH($B1204,Assumptions!$D$5:$D$12,0)))</x:f>
        <x:v>1260</x:v>
      </x:c>
      <x:c r="D1204" s="11" t="n">
        <x:f>IF($A1204="","",INDEX(Assumptions!$G$5:$G$12,MATCH($B1204,Assumptions!$D$5:$D$12,0)))</x:f>
        <x:v>145</x:v>
      </x:c>
      <x:c r="E1204" s="11" t="n">
        <x:f>IF($A1204="","",INDEX(Assumptions!$M$5:$M$11,WEEKDAY($A1204,2)))</x:f>
        <x:v>0.91</x:v>
      </x:c>
      <x:c r="F1204" s="11" t="n">
        <x:f>IF($A1204="","",Assumptions!$B$15)</x:f>
        <x:v>0.35</x:v>
      </x:c>
      <x:c r="G1204" s="11" t="n">
        <x:f>IF($A1204="","",MAX(INDEX(Assumptions!$H$5:$H$12,MATCH($B1204,Assumptions!$D$5:$D$12,0)),MIN(INDEX(Assumptions!$I$5:$I$12,MATCH($B1204,Assumptions!$D$5:$D$12,0)),($C1204+$D1204*SQRT(-2*LN(RAND()))*COS(2*PI()*RAND()))*$E1204*$J1204*$K1204)))</x:f>
        <x:v>1214.5645391644114</x:v>
      </x:c>
      <x:c r="H1204" s="11" t="n">
        <x:f>IF($A1204="","",$G1204*$F1204+$C1204*(1-$F1204))</x:f>
        <x:v>1244.097588707544</x:v>
      </x:c>
      <x:c r="I1204" s="11" t="n">
        <x:f>IF($A1204="","",AVERAGE($H1204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1270.471442359287</x:v>
      </x:c>
      <x:c r="J1204" s="12" t="n">
        <x:f>IF($A1204="","",1+SUMIFS(Assumptions!$S$5:$S$10,Assumptions!$P$5:$P$10,$B1204,Assumptions!$Q$5:$Q$10,"&lt;="&amp;$A1204,Assumptions!$R$5:$R$10,"&gt;="&amp;$A1204))</x:f>
        <x:v>1</x:v>
      </x:c>
      <x:c r="K1204" s="12" t="n">
        <x:f>IF($A1204="","",1+((($A1204-Assumptions!$B$5)/30)*INDEX(Assumptions!$J$5:$J$12,MATCH($B1204,Assumptions!$D$5:$D$12,0))))</x:f>
        <x:v>1.024</x:v>
      </x:c>
      <x:c r="L1204" t="str">
        <x:f>IF($A1204="","",IFERROR(INDEX(Assumptions!$O$5:$O$10,MATCH(1,(Assumptions!$P$5:$P$10=$B1204)*(Assumptions!$Q$5:$Q$10&lt;=$A1204)*(Assumptions!$R$5:$R$10&gt;=$A1204),0)),""))</x:f>
      </x:c>
      <x:c r="M1204" t="n">
        <x:f>--($A1204&lt;&gt;"")</x:f>
        <x:v>1</x:v>
      </x:c>
    </x:row>
    <x:row r="1205">
      <x:c r="A1205" s="10" t="n">
        <x:f>IF(Assumptions!$B$5+INT((ROW()-2)/Assumptions!$B$7)&gt;Assumptions!$B$6,"",Assumptions!$B$5+INT((ROW()-2)/Assumptions!$B$7))</x:f>
        <x:v>46263</x:v>
      </x:c>
      <x:c r="B1205" t="str">
        <x:f>IF($A1205="","",INDEX(Assumptions!$D$5:$D$12,MOD(ROW()-2,Assumptions!$B$7)+1))</x:f>
        <x:v>Hadley's Hope</x:v>
      </x:c>
      <x:c r="C1205" s="11" t="n">
        <x:f>IF($A1205="","",INDEX(Assumptions!$F$5:$F$12,MATCH($B1205,Assumptions!$D$5:$D$12,0)))</x:f>
        <x:v>845</x:v>
      </x:c>
      <x:c r="D1205" s="11" t="n">
        <x:f>IF($A1205="","",INDEX(Assumptions!$G$5:$G$12,MATCH($B1205,Assumptions!$D$5:$D$12,0)))</x:f>
        <x:v>80</x:v>
      </x:c>
      <x:c r="E1205" s="11" t="n">
        <x:f>IF($A1205="","",INDEX(Assumptions!$M$5:$M$11,WEEKDAY($A1205,2)))</x:f>
        <x:v>0.91</x:v>
      </x:c>
      <x:c r="F1205" s="11" t="n">
        <x:f>IF($A1205="","",Assumptions!$B$15)</x:f>
        <x:v>0.35</x:v>
      </x:c>
      <x:c r="G1205" s="11" t="n">
        <x:f>IF($A1205="","",MAX(INDEX(Assumptions!$H$5:$H$12,MATCH($B1205,Assumptions!$D$5:$D$12,0)),MIN(INDEX(Assumptions!$I$5:$I$12,MATCH($B1205,Assumptions!$D$5:$D$12,0)),($C1205+$D1205*SQRT(-2*LN(RAND()))*COS(2*PI()*RAND()))*$E1205*$J1205*$K1205)))</x:f>
        <x:v>805.2446998271843</x:v>
      </x:c>
      <x:c r="H1205" s="11" t="n">
        <x:f>IF($A1205="","",$G1205*$F1205+$C1205*(1-$F1205))</x:f>
        <x:v>831.0856449395144</x:v>
      </x:c>
      <x:c r="I1205" s="11" t="n">
        <x:f>IF($A1205="","",AVERAGE($H1205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837.4831089502478</x:v>
      </x:c>
      <x:c r="J1205" s="12" t="n">
        <x:f>IF($A1205="","",1+SUMIFS(Assumptions!$S$5:$S$10,Assumptions!$P$5:$P$10,$B1205,Assumptions!$Q$5:$Q$10,"&lt;="&amp;$A1205,Assumptions!$R$5:$R$10,"&gt;="&amp;$A1205))</x:f>
        <x:v>1</x:v>
      </x:c>
      <x:c r="K1205" s="12" t="n">
        <x:f>IF($A1205="","",1+((($A1205-Assumptions!$B$5)/30)*INDEX(Assumptions!$J$5:$J$12,MATCH($B1205,Assumptions!$D$5:$D$12,0))))</x:f>
        <x:v>1.008</x:v>
      </x:c>
      <x:c r="L1205" t="str">
        <x:f>IF($A1205="","",IFERROR(INDEX(Assumptions!$O$5:$O$10,MATCH(1,(Assumptions!$P$5:$P$10=$B1205)*(Assumptions!$Q$5:$Q$10&lt;=$A1205)*(Assumptions!$R$5:$R$10&gt;=$A1205),0)),""))</x:f>
      </x:c>
      <x:c r="M1205" t="n">
        <x:f>--($A1205&lt;&gt;"")</x:f>
        <x:v>1</x:v>
      </x:c>
    </x:row>
    <x:row r="1206">
      <x:c r="A1206" s="10" t="n">
        <x:f>IF(Assumptions!$B$5+INT((ROW()-2)/Assumptions!$B$7)&gt;Assumptions!$B$6,"",Assumptions!$B$5+INT((ROW()-2)/Assumptions!$B$7))</x:f>
        <x:v>46263</x:v>
      </x:c>
      <x:c r="B1206" t="str">
        <x:f>IF($A1206="","",INDEX(Assumptions!$D$5:$D$12,MOD(ROW()-2,Assumptions!$B$7)+1))</x:f>
        <x:v>Yutani Ridge</x:v>
      </x:c>
      <x:c r="C1206" s="11" t="n">
        <x:f>IF($A1206="","",INDEX(Assumptions!$F$5:$F$12,MATCH($B1206,Assumptions!$D$5:$D$12,0)))</x:f>
        <x:v>1050</x:v>
      </x:c>
      <x:c r="D1206" s="11" t="n">
        <x:f>IF($A1206="","",INDEX(Assumptions!$G$5:$G$12,MATCH($B1206,Assumptions!$D$5:$D$12,0)))</x:f>
        <x:v>125</x:v>
      </x:c>
      <x:c r="E1206" s="11" t="n">
        <x:f>IF($A1206="","",INDEX(Assumptions!$M$5:$M$11,WEEKDAY($A1206,2)))</x:f>
        <x:v>0.91</x:v>
      </x:c>
      <x:c r="F1206" s="11" t="n">
        <x:f>IF($A1206="","",Assumptions!$B$15)</x:f>
        <x:v>0.35</x:v>
      </x:c>
      <x:c r="G1206" s="11" t="n">
        <x:f>IF($A1206="","",MAX(INDEX(Assumptions!$H$5:$H$12,MATCH($B1206,Assumptions!$D$5:$D$12,0)),MIN(INDEX(Assumptions!$I$5:$I$12,MATCH($B1206,Assumptions!$D$5:$D$12,0)),($C1206+$D1206*SQRT(-2*LN(RAND()))*COS(2*PI()*RAND()))*$E1206*$J1206*$K1206)))</x:f>
        <x:v>1269.9353398106875</x:v>
      </x:c>
      <x:c r="H1206" s="11" t="n">
        <x:f>IF($A1206="","",$G1206*$F1206+$C1206*(1-$F1206))</x:f>
        <x:v>1126.9773689337405</x:v>
      </x:c>
      <x:c r="I1206" s="11" t="n">
        <x:f>IF($A1206="","",AVERAGE($H1206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1138.2156164073544</x:v>
      </x:c>
      <x:c r="J1206" s="12" t="n">
        <x:f>IF($A1206="","",1+SUMIFS(Assumptions!$S$5:$S$10,Assumptions!$P$5:$P$10,$B1206,Assumptions!$Q$5:$Q$10,"&lt;="&amp;$A1206,Assumptions!$R$5:$R$10,"&gt;="&amp;$A1206))</x:f>
        <x:v>1.22</x:v>
      </x:c>
      <x:c r="K1206" s="12" t="n">
        <x:f>IF($A1206="","",1+((($A1206-Assumptions!$B$5)/30)*INDEX(Assumptions!$J$5:$J$12,MATCH($B1206,Assumptions!$D$5:$D$12,0))))</x:f>
        <x:v>1.02</x:v>
      </x:c>
      <x:c r="L1206" t="str">
        <x:f>IF($A1206="","",IFERROR(INDEX(Assumptions!$O$5:$O$10,MATCH(1,(Assumptions!$P$5:$P$10=$B1206)*(Assumptions!$Q$5:$Q$10&lt;=$A1206)*(Assumptions!$R$5:$R$10&gt;=$A1206),0)),""))</x:f>
        <x:v>Equipment upgrade</x:v>
      </x:c>
      <x:c r="M1206" t="n">
        <x:f>--($A1206&lt;&gt;"")</x:f>
        <x:v>1</x:v>
      </x:c>
    </x:row>
    <x:row r="1207">
      <x:c r="A1207" s="10" t="n">
        <x:f>IF(Assumptions!$B$5+INT((ROW()-2)/Assumptions!$B$7)&gt;Assumptions!$B$6,"",Assumptions!$B$5+INT((ROW()-2)/Assumptions!$B$7))</x:f>
        <x:v>46264</x:v>
      </x:c>
      <x:c r="B1207" t="str">
        <x:f>IF($A1207="","",INDEX(Assumptions!$D$5:$D$12,MOD(ROW()-2,Assumptions!$B$7)+1))</x:f>
        <x:v>Acheron Prime</x:v>
      </x:c>
      <x:c r="C1207" s="11" t="n">
        <x:f>IF($A1207="","",INDEX(Assumptions!$F$5:$F$12,MATCH($B1207,Assumptions!$D$5:$D$12,0)))</x:f>
        <x:v>1120</x:v>
      </x:c>
      <x:c r="D1207" s="11" t="n">
        <x:f>IF($A1207="","",INDEX(Assumptions!$G$5:$G$12,MATCH($B1207,Assumptions!$D$5:$D$12,0)))</x:f>
        <x:v>115</x:v>
      </x:c>
      <x:c r="E1207" s="11" t="n">
        <x:f>IF($A1207="","",INDEX(Assumptions!$M$5:$M$11,WEEKDAY($A1207,2)))</x:f>
        <x:v>0.87</x:v>
      </x:c>
      <x:c r="F1207" s="11" t="n">
        <x:f>IF($A1207="","",Assumptions!$B$15)</x:f>
        <x:v>0.35</x:v>
      </x:c>
      <x:c r="G1207" s="11" t="n">
        <x:f>IF($A1207="","",MAX(INDEX(Assumptions!$H$5:$H$12,MATCH($B1207,Assumptions!$D$5:$D$12,0)),MIN(INDEX(Assumptions!$I$5:$I$12,MATCH($B1207,Assumptions!$D$5:$D$12,0)),($C1207+$D1207*SQRT(-2*LN(RAND()))*COS(2*PI()*RAND()))*$E1207*$J1207*$K1207)))</x:f>
        <x:v>1006.7119939379941</x:v>
      </x:c>
      <x:c r="H1207" s="11" t="n">
        <x:f>IF($A1207="","",$G1207*$F1207+$C1207*(1-$F1207))</x:f>
        <x:v>1080.349197878298</x:v>
      </x:c>
      <x:c r="I1207" s="11" t="n">
        <x:f>IF($A1207="","",AVERAGE($H1207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1131.4674656131383</x:v>
      </x:c>
      <x:c r="J1207" s="12" t="n">
        <x:f>IF($A1207="","",1+SUMIFS(Assumptions!$S$5:$S$10,Assumptions!$P$5:$P$10,$B1207,Assumptions!$Q$5:$Q$10,"&lt;="&amp;$A1207,Assumptions!$R$5:$R$10,"&gt;="&amp;$A1207))</x:f>
        <x:v>1</x:v>
      </x:c>
      <x:c r="K1207" s="12" t="n">
        <x:f>IF($A1207="","",1+((($A1207-Assumptions!$B$5)/30)*INDEX(Assumptions!$J$5:$J$12,MATCH($B1207,Assumptions!$D$5:$D$12,0))))</x:f>
        <x:v>1.0160666666666667</x:v>
      </x:c>
      <x:c r="L1207" t="str">
        <x:f>IF($A1207="","",IFERROR(INDEX(Assumptions!$O$5:$O$10,MATCH(1,(Assumptions!$P$5:$P$10=$B1207)*(Assumptions!$Q$5:$Q$10&lt;=$A1207)*(Assumptions!$R$5:$R$10&gt;=$A1207),0)),""))</x:f>
      </x:c>
      <x:c r="M1207" t="n">
        <x:f>--($A1207&lt;&gt;"")</x:f>
        <x:v>1</x:v>
      </x:c>
    </x:row>
    <x:row r="1208">
      <x:c r="A1208" s="10" t="n">
        <x:f>IF(Assumptions!$B$5+INT((ROW()-2)/Assumptions!$B$7)&gt;Assumptions!$B$6,"",Assumptions!$B$5+INT((ROW()-2)/Assumptions!$B$7))</x:f>
        <x:v>46264</x:v>
      </x:c>
      <x:c r="B1208" t="str">
        <x:f>IF($A1208="","",INDEX(Assumptions!$D$5:$D$12,MOD(ROW()-2,Assumptions!$B$7)+1))</x:f>
        <x:v>LV-426 North</x:v>
      </x:c>
      <x:c r="C1208" s="11" t="n">
        <x:f>IF($A1208="","",INDEX(Assumptions!$F$5:$F$12,MATCH($B1208,Assumptions!$D$5:$D$12,0)))</x:f>
        <x:v>930</x:v>
      </x:c>
      <x:c r="D1208" s="11" t="n">
        <x:f>IF($A1208="","",INDEX(Assumptions!$G$5:$G$12,MATCH($B1208,Assumptions!$D$5:$D$12,0)))</x:f>
        <x:v>95</x:v>
      </x:c>
      <x:c r="E1208" s="11" t="n">
        <x:f>IF($A1208="","",INDEX(Assumptions!$M$5:$M$11,WEEKDAY($A1208,2)))</x:f>
        <x:v>0.87</x:v>
      </x:c>
      <x:c r="F1208" s="11" t="n">
        <x:f>IF($A1208="","",Assumptions!$B$15)</x:f>
        <x:v>0.35</x:v>
      </x:c>
      <x:c r="G1208" s="11" t="n">
        <x:f>IF($A1208="","",MAX(INDEX(Assumptions!$H$5:$H$12,MATCH($B1208,Assumptions!$D$5:$D$12,0)),MIN(INDEX(Assumptions!$I$5:$I$12,MATCH($B1208,Assumptions!$D$5:$D$12,0)),($C1208+$D1208*SQRT(-2*LN(RAND()))*COS(2*PI()*RAND()))*$E1208*$J1208*$K1208)))</x:f>
        <x:v>811.4223696831273</x:v>
      </x:c>
      <x:c r="H1208" s="11" t="n">
        <x:f>IF($A1208="","",$G1208*$F1208+$C1208*(1-$F1208))</x:f>
        <x:v>888.4978293890945</x:v>
      </x:c>
      <x:c r="I1208" s="11" t="n">
        <x:f>IF($A1208="","",AVERAGE($H1208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924.2622066212632</x:v>
      </x:c>
      <x:c r="J1208" s="12" t="n">
        <x:f>IF($A1208="","",1+SUMIFS(Assumptions!$S$5:$S$10,Assumptions!$P$5:$P$10,$B1208,Assumptions!$Q$5:$Q$10,"&lt;="&amp;$A1208,Assumptions!$R$5:$R$10,"&gt;="&amp;$A1208))</x:f>
        <x:v>1</x:v>
      </x:c>
      <x:c r="K1208" s="12" t="n">
        <x:f>IF($A1208="","",1+((($A1208-Assumptions!$B$5)/30)*INDEX(Assumptions!$J$5:$J$12,MATCH($B1208,Assumptions!$D$5:$D$12,0))))</x:f>
        <x:v>0.9919666666666667</x:v>
      </x:c>
      <x:c r="L1208" t="str">
        <x:f>IF($A1208="","",IFERROR(INDEX(Assumptions!$O$5:$O$10,MATCH(1,(Assumptions!$P$5:$P$10=$B1208)*(Assumptions!$Q$5:$Q$10&lt;=$A1208)*(Assumptions!$R$5:$R$10&gt;=$A1208),0)),""))</x:f>
      </x:c>
      <x:c r="M1208" t="n">
        <x:f>--($A1208&lt;&gt;"")</x:f>
        <x:v>1</x:v>
      </x:c>
    </x:row>
    <x:row r="1209">
      <x:c r="A1209" s="10" t="n">
        <x:f>IF(Assumptions!$B$5+INT((ROW()-2)/Assumptions!$B$7)&gt;Assumptions!$B$6,"",Assumptions!$B$5+INT((ROW()-2)/Assumptions!$B$7))</x:f>
        <x:v>46264</x:v>
      </x:c>
      <x:c r="B1209" t="str">
        <x:f>IF($A1209="","",INDEX(Assumptions!$D$5:$D$12,MOD(ROW()-2,Assumptions!$B$7)+1))</x:f>
        <x:v>Nostromo Deep</x:v>
      </x:c>
      <x:c r="C1209" s="11" t="n">
        <x:f>IF($A1209="","",INDEX(Assumptions!$F$5:$F$12,MATCH($B1209,Assumptions!$D$5:$D$12,0)))</x:f>
        <x:v>1260</x:v>
      </x:c>
      <x:c r="D1209" s="11" t="n">
        <x:f>IF($A1209="","",INDEX(Assumptions!$G$5:$G$12,MATCH($B1209,Assumptions!$D$5:$D$12,0)))</x:f>
        <x:v>145</x:v>
      </x:c>
      <x:c r="E1209" s="11" t="n">
        <x:f>IF($A1209="","",INDEX(Assumptions!$M$5:$M$11,WEEKDAY($A1209,2)))</x:f>
        <x:v>0.87</x:v>
      </x:c>
      <x:c r="F1209" s="11" t="n">
        <x:f>IF($A1209="","",Assumptions!$B$15)</x:f>
        <x:v>0.35</x:v>
      </x:c>
      <x:c r="G1209" s="11" t="n">
        <x:f>IF($A1209="","",MAX(INDEX(Assumptions!$H$5:$H$12,MATCH($B1209,Assumptions!$D$5:$D$12,0)),MIN(INDEX(Assumptions!$I$5:$I$12,MATCH($B1209,Assumptions!$D$5:$D$12,0)),($C1209+$D1209*SQRT(-2*LN(RAND()))*COS(2*PI()*RAND()))*$E1209*$J1209*$K1209)))</x:f>
        <x:v>1122.8601083632434</x:v>
      </x:c>
      <x:c r="H1209" s="11" t="n">
        <x:f>IF($A1209="","",$G1209*$F1209+$C1209*(1-$F1209))</x:f>
        <x:v>1212.0010379271353</x:v>
      </x:c>
      <x:c r="I1209" s="11" t="n">
        <x:f>IF($A1209="","",AVERAGE($H1209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1267.1666332658547</x:v>
      </x:c>
      <x:c r="J1209" s="12" t="n">
        <x:f>IF($A1209="","",1+SUMIFS(Assumptions!$S$5:$S$10,Assumptions!$P$5:$P$10,$B1209,Assumptions!$Q$5:$Q$10,"&lt;="&amp;$A1209,Assumptions!$R$5:$R$10,"&gt;="&amp;$A1209))</x:f>
        <x:v>1</x:v>
      </x:c>
      <x:c r="K1209" s="12" t="n">
        <x:f>IF($A1209="","",1+((($A1209-Assumptions!$B$5)/30)*INDEX(Assumptions!$J$5:$J$12,MATCH($B1209,Assumptions!$D$5:$D$12,0))))</x:f>
        <x:v>1.0241</x:v>
      </x:c>
      <x:c r="L1209" t="str">
        <x:f>IF($A1209="","",IFERROR(INDEX(Assumptions!$O$5:$O$10,MATCH(1,(Assumptions!$P$5:$P$10=$B1209)*(Assumptions!$Q$5:$Q$10&lt;=$A1209)*(Assumptions!$R$5:$R$10&gt;=$A1209),0)),""))</x:f>
      </x:c>
      <x:c r="M1209" t="n">
        <x:f>--($A1209&lt;&gt;"")</x:f>
        <x:v>1</x:v>
      </x:c>
    </x:row>
    <x:row r="1210">
      <x:c r="A1210" s="10" t="n">
        <x:f>IF(Assumptions!$B$5+INT((ROW()-2)/Assumptions!$B$7)&gt;Assumptions!$B$6,"",Assumptions!$B$5+INT((ROW()-2)/Assumptions!$B$7))</x:f>
        <x:v>46264</x:v>
      </x:c>
      <x:c r="B1210" t="str">
        <x:f>IF($A1210="","",INDEX(Assumptions!$D$5:$D$12,MOD(ROW()-2,Assumptions!$B$7)+1))</x:f>
        <x:v>Hadley's Hope</x:v>
      </x:c>
      <x:c r="C1210" s="11" t="n">
        <x:f>IF($A1210="","",INDEX(Assumptions!$F$5:$F$12,MATCH($B1210,Assumptions!$D$5:$D$12,0)))</x:f>
        <x:v>845</x:v>
      </x:c>
      <x:c r="D1210" s="11" t="n">
        <x:f>IF($A1210="","",INDEX(Assumptions!$G$5:$G$12,MATCH($B1210,Assumptions!$D$5:$D$12,0)))</x:f>
        <x:v>80</x:v>
      </x:c>
      <x:c r="E1210" s="11" t="n">
        <x:f>IF($A1210="","",INDEX(Assumptions!$M$5:$M$11,WEEKDAY($A1210,2)))</x:f>
        <x:v>0.87</x:v>
      </x:c>
      <x:c r="F1210" s="11" t="n">
        <x:f>IF($A1210="","",Assumptions!$B$15)</x:f>
        <x:v>0.35</x:v>
      </x:c>
      <x:c r="G1210" s="11" t="n">
        <x:f>IF($A1210="","",MAX(INDEX(Assumptions!$H$5:$H$12,MATCH($B1210,Assumptions!$D$5:$D$12,0)),MIN(INDEX(Assumptions!$I$5:$I$12,MATCH($B1210,Assumptions!$D$5:$D$12,0)),($C1210+$D1210*SQRT(-2*LN(RAND()))*COS(2*PI()*RAND()))*$E1210*$J1210*$K1210)))</x:f>
        <x:v>768.1193869957464</x:v>
      </x:c>
      <x:c r="H1210" s="11" t="n">
        <x:f>IF($A1210="","",$G1210*$F1210+$C1210*(1-$F1210))</x:f>
        <x:v>818.0917854485112</x:v>
      </x:c>
      <x:c r="I1210" s="11" t="n">
        <x:f>IF($A1210="","",AVERAGE($H1210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837.7982556679724</x:v>
      </x:c>
      <x:c r="J1210" s="12" t="n">
        <x:f>IF($A1210="","",1+SUMIFS(Assumptions!$S$5:$S$10,Assumptions!$P$5:$P$10,$B1210,Assumptions!$Q$5:$Q$10,"&lt;="&amp;$A1210,Assumptions!$R$5:$R$10,"&gt;="&amp;$A1210))</x:f>
        <x:v>1</x:v>
      </x:c>
      <x:c r="K1210" s="12" t="n">
        <x:f>IF($A1210="","",1+((($A1210-Assumptions!$B$5)/30)*INDEX(Assumptions!$J$5:$J$12,MATCH($B1210,Assumptions!$D$5:$D$12,0))))</x:f>
        <x:v>1.0080333333333333</x:v>
      </x:c>
      <x:c r="L1210" t="str">
        <x:f>IF($A1210="","",IFERROR(INDEX(Assumptions!$O$5:$O$10,MATCH(1,(Assumptions!$P$5:$P$10=$B1210)*(Assumptions!$Q$5:$Q$10&lt;=$A1210)*(Assumptions!$R$5:$R$10&gt;=$A1210),0)),""))</x:f>
      </x:c>
      <x:c r="M1210" t="n">
        <x:f>--($A1210&lt;&gt;"")</x:f>
        <x:v>1</x:v>
      </x:c>
    </x:row>
    <x:row r="1211">
      <x:c r="A1211" s="10" t="n">
        <x:f>IF(Assumptions!$B$5+INT((ROW()-2)/Assumptions!$B$7)&gt;Assumptions!$B$6,"",Assumptions!$B$5+INT((ROW()-2)/Assumptions!$B$7))</x:f>
        <x:v>46264</x:v>
      </x:c>
      <x:c r="B1211" t="str">
        <x:f>IF($A1211="","",INDEX(Assumptions!$D$5:$D$12,MOD(ROW()-2,Assumptions!$B$7)+1))</x:f>
        <x:v>Yutani Ridge</x:v>
      </x:c>
      <x:c r="C1211" s="11" t="n">
        <x:f>IF($A1211="","",INDEX(Assumptions!$F$5:$F$12,MATCH($B1211,Assumptions!$D$5:$D$12,0)))</x:f>
        <x:v>1050</x:v>
      </x:c>
      <x:c r="D1211" s="11" t="n">
        <x:f>IF($A1211="","",INDEX(Assumptions!$G$5:$G$12,MATCH($B1211,Assumptions!$D$5:$D$12,0)))</x:f>
        <x:v>125</x:v>
      </x:c>
      <x:c r="E1211" s="11" t="n">
        <x:f>IF($A1211="","",INDEX(Assumptions!$M$5:$M$11,WEEKDAY($A1211,2)))</x:f>
        <x:v>0.87</x:v>
      </x:c>
      <x:c r="F1211" s="11" t="n">
        <x:f>IF($A1211="","",Assumptions!$B$15)</x:f>
        <x:v>0.35</x:v>
      </x:c>
      <x:c r="G1211" s="11" t="n">
        <x:f>IF($A1211="","",MAX(INDEX(Assumptions!$H$5:$H$12,MATCH($B1211,Assumptions!$D$5:$D$12,0)),MIN(INDEX(Assumptions!$I$5:$I$12,MATCH($B1211,Assumptions!$D$5:$D$12,0)),($C1211+$D1211*SQRT(-2*LN(RAND()))*COS(2*PI()*RAND()))*$E1211*$J1211*$K1211)))</x:f>
        <x:v>1096.2959406913553</x:v>
      </x:c>
      <x:c r="H1211" s="11" t="n">
        <x:f>IF($A1211="","",$G1211*$F1211+$C1211*(1-$F1211))</x:f>
        <x:v>1066.2035792419742</x:v>
      </x:c>
      <x:c r="I1211" s="11" t="n">
        <x:f>IF($A1211="","",AVERAGE($H1211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1129.5552254558938</x:v>
      </x:c>
      <x:c r="J1211" s="12" t="n">
        <x:f>IF($A1211="","",1+SUMIFS(Assumptions!$S$5:$S$10,Assumptions!$P$5:$P$10,$B1211,Assumptions!$Q$5:$Q$10,"&lt;="&amp;$A1211,Assumptions!$R$5:$R$10,"&gt;="&amp;$A1211))</x:f>
        <x:v>1.22</x:v>
      </x:c>
      <x:c r="K1211" s="12" t="n">
        <x:f>IF($A1211="","",1+((($A1211-Assumptions!$B$5)/30)*INDEX(Assumptions!$J$5:$J$12,MATCH($B1211,Assumptions!$D$5:$D$12,0))))</x:f>
        <x:v>1.0200833333333332</x:v>
      </x:c>
      <x:c r="L1211" t="str">
        <x:f>IF($A1211="","",IFERROR(INDEX(Assumptions!$O$5:$O$10,MATCH(1,(Assumptions!$P$5:$P$10=$B1211)*(Assumptions!$Q$5:$Q$10&lt;=$A1211)*(Assumptions!$R$5:$R$10&gt;=$A1211),0)),""))</x:f>
        <x:v>Equipment upgrade</x:v>
      </x:c>
      <x:c r="M1211" t="n">
        <x:f>--($A1211&lt;&gt;"")</x:f>
        <x:v>1</x:v>
      </x:c>
    </x:row>
    <x:row r="1212">
      <x:c r="A1212" s="10" t="n">
        <x:f>IF(Assumptions!$B$5+INT((ROW()-2)/Assumptions!$B$7)&gt;Assumptions!$B$6,"",Assumptions!$B$5+INT((ROW()-2)/Assumptions!$B$7))</x:f>
        <x:v>46265</x:v>
      </x:c>
      <x:c r="B1212" t="str">
        <x:f>IF($A1212="","",INDEX(Assumptions!$D$5:$D$12,MOD(ROW()-2,Assumptions!$B$7)+1))</x:f>
        <x:v>Acheron Prime</x:v>
      </x:c>
      <x:c r="C1212" s="11" t="n">
        <x:f>IF($A1212="","",INDEX(Assumptions!$F$5:$F$12,MATCH($B1212,Assumptions!$D$5:$D$12,0)))</x:f>
        <x:v>1120</x:v>
      </x:c>
      <x:c r="D1212" s="11" t="n">
        <x:f>IF($A1212="","",INDEX(Assumptions!$G$5:$G$12,MATCH($B1212,Assumptions!$D$5:$D$12,0)))</x:f>
        <x:v>115</x:v>
      </x:c>
      <x:c r="E1212" s="11" t="n">
        <x:f>IF($A1212="","",INDEX(Assumptions!$M$5:$M$11,WEEKDAY($A1212,2)))</x:f>
        <x:v>1.03</x:v>
      </x:c>
      <x:c r="F1212" s="11" t="n">
        <x:f>IF($A1212="","",Assumptions!$B$15)</x:f>
        <x:v>0.35</x:v>
      </x:c>
      <x:c r="G1212" s="11" t="n">
        <x:f>IF($A1212="","",MAX(INDEX(Assumptions!$H$5:$H$12,MATCH($B1212,Assumptions!$D$5:$D$12,0)),MIN(INDEX(Assumptions!$I$5:$I$12,MATCH($B1212,Assumptions!$D$5:$D$12,0)),($C1212+$D1212*SQRT(-2*LN(RAND()))*COS(2*PI()*RAND()))*$E1212*$J1212*$K1212)))</x:f>
        <x:v>1228.6001132694812</x:v>
      </x:c>
      <x:c r="H1212" s="11" t="n">
        <x:f>IF($A1212="","",$G1212*$F1212+$C1212*(1-$F1212))</x:f>
        <x:v>1158.0100396443183</x:v>
      </x:c>
      <x:c r="I1212" s="11" t="n">
        <x:f>IF($A1212="","",AVERAGE($H1212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1135.5315728881908</x:v>
      </x:c>
      <x:c r="J1212" s="12" t="n">
        <x:f>IF($A1212="","",1+SUMIFS(Assumptions!$S$5:$S$10,Assumptions!$P$5:$P$10,$B1212,Assumptions!$Q$5:$Q$10,"&lt;="&amp;$A1212,Assumptions!$R$5:$R$10,"&gt;="&amp;$A1212))</x:f>
        <x:v>1</x:v>
      </x:c>
      <x:c r="K1212" s="12" t="n">
        <x:f>IF($A1212="","",1+((($A1212-Assumptions!$B$5)/30)*INDEX(Assumptions!$J$5:$J$12,MATCH($B1212,Assumptions!$D$5:$D$12,0))))</x:f>
        <x:v>1.0161333333333333</x:v>
      </x:c>
      <x:c r="L1212" t="str">
        <x:f>IF($A1212="","",IFERROR(INDEX(Assumptions!$O$5:$O$10,MATCH(1,(Assumptions!$P$5:$P$10=$B1212)*(Assumptions!$Q$5:$Q$10&lt;=$A1212)*(Assumptions!$R$5:$R$10&gt;=$A1212),0)),""))</x:f>
      </x:c>
      <x:c r="M1212" t="n">
        <x:f>--($A1212&lt;&gt;"")</x:f>
        <x:v>1</x:v>
      </x:c>
    </x:row>
    <x:row r="1213">
      <x:c r="A1213" s="10" t="n">
        <x:f>IF(Assumptions!$B$5+INT((ROW()-2)/Assumptions!$B$7)&gt;Assumptions!$B$6,"",Assumptions!$B$5+INT((ROW()-2)/Assumptions!$B$7))</x:f>
        <x:v>46265</x:v>
      </x:c>
      <x:c r="B1213" t="str">
        <x:f>IF($A1213="","",INDEX(Assumptions!$D$5:$D$12,MOD(ROW()-2,Assumptions!$B$7)+1))</x:f>
        <x:v>LV-426 North</x:v>
      </x:c>
      <x:c r="C1213" s="11" t="n">
        <x:f>IF($A1213="","",INDEX(Assumptions!$F$5:$F$12,MATCH($B1213,Assumptions!$D$5:$D$12,0)))</x:f>
        <x:v>930</x:v>
      </x:c>
      <x:c r="D1213" s="11" t="n">
        <x:f>IF($A1213="","",INDEX(Assumptions!$G$5:$G$12,MATCH($B1213,Assumptions!$D$5:$D$12,0)))</x:f>
        <x:v>95</x:v>
      </x:c>
      <x:c r="E1213" s="11" t="n">
        <x:f>IF($A1213="","",INDEX(Assumptions!$M$5:$M$11,WEEKDAY($A1213,2)))</x:f>
        <x:v>1.03</x:v>
      </x:c>
      <x:c r="F1213" s="11" t="n">
        <x:f>IF($A1213="","",Assumptions!$B$15)</x:f>
        <x:v>0.35</x:v>
      </x:c>
      <x:c r="G1213" s="11" t="n">
        <x:f>IF($A1213="","",MAX(INDEX(Assumptions!$H$5:$H$12,MATCH($B1213,Assumptions!$D$5:$D$12,0)),MIN(INDEX(Assumptions!$I$5:$I$12,MATCH($B1213,Assumptions!$D$5:$D$12,0)),($C1213+$D1213*SQRT(-2*LN(RAND()))*COS(2*PI()*RAND()))*$E1213*$J1213*$K1213)))</x:f>
        <x:v>1009.5632040843345</x:v>
      </x:c>
      <x:c r="H1213" s="11" t="n">
        <x:f>IF($A1213="","",$G1213*$F1213+$C1213*(1-$F1213))</x:f>
        <x:v>957.8471214295171</x:v>
      </x:c>
      <x:c r="I1213" s="11" t="n">
        <x:f>IF($A1213="","",AVERAGE($H1213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921.6553526454754</x:v>
      </x:c>
      <x:c r="J1213" s="12" t="n">
        <x:f>IF($A1213="","",1+SUMIFS(Assumptions!$S$5:$S$10,Assumptions!$P$5:$P$10,$B1213,Assumptions!$Q$5:$Q$10,"&lt;="&amp;$A1213,Assumptions!$R$5:$R$10,"&gt;="&amp;$A1213))</x:f>
        <x:v>1</x:v>
      </x:c>
      <x:c r="K1213" s="12" t="n">
        <x:f>IF($A1213="","",1+((($A1213-Assumptions!$B$5)/30)*INDEX(Assumptions!$J$5:$J$12,MATCH($B1213,Assumptions!$D$5:$D$12,0))))</x:f>
        <x:v>0.9919333333333333</x:v>
      </x:c>
      <x:c r="L1213" t="str">
        <x:f>IF($A1213="","",IFERROR(INDEX(Assumptions!$O$5:$O$10,MATCH(1,(Assumptions!$P$5:$P$10=$B1213)*(Assumptions!$Q$5:$Q$10&lt;=$A1213)*(Assumptions!$R$5:$R$10&gt;=$A1213),0)),""))</x:f>
      </x:c>
      <x:c r="M1213" t="n">
        <x:f>--($A1213&lt;&gt;"")</x:f>
        <x:v>1</x:v>
      </x:c>
    </x:row>
    <x:row r="1214">
      <x:c r="A1214" s="10" t="n">
        <x:f>IF(Assumptions!$B$5+INT((ROW()-2)/Assumptions!$B$7)&gt;Assumptions!$B$6,"",Assumptions!$B$5+INT((ROW()-2)/Assumptions!$B$7))</x:f>
        <x:v>46265</x:v>
      </x:c>
      <x:c r="B1214" t="str">
        <x:f>IF($A1214="","",INDEX(Assumptions!$D$5:$D$12,MOD(ROW()-2,Assumptions!$B$7)+1))</x:f>
        <x:v>Nostromo Deep</x:v>
      </x:c>
      <x:c r="C1214" s="11" t="n">
        <x:f>IF($A1214="","",INDEX(Assumptions!$F$5:$F$12,MATCH($B1214,Assumptions!$D$5:$D$12,0)))</x:f>
        <x:v>1260</x:v>
      </x:c>
      <x:c r="D1214" s="11" t="n">
        <x:f>IF($A1214="","",INDEX(Assumptions!$G$5:$G$12,MATCH($B1214,Assumptions!$D$5:$D$12,0)))</x:f>
        <x:v>145</x:v>
      </x:c>
      <x:c r="E1214" s="11" t="n">
        <x:f>IF($A1214="","",INDEX(Assumptions!$M$5:$M$11,WEEKDAY($A1214,2)))</x:f>
        <x:v>1.03</x:v>
      </x:c>
      <x:c r="F1214" s="11" t="n">
        <x:f>IF($A1214="","",Assumptions!$B$15)</x:f>
        <x:v>0.35</x:v>
      </x:c>
      <x:c r="G1214" s="11" t="n">
        <x:f>IF($A1214="","",MAX(INDEX(Assumptions!$H$5:$H$12,MATCH($B1214,Assumptions!$D$5:$D$12,0)),MIN(INDEX(Assumptions!$I$5:$I$12,MATCH($B1214,Assumptions!$D$5:$D$12,0)),($C1214+$D1214*SQRT(-2*LN(RAND()))*COS(2*PI()*RAND()))*$E1214*$J1214*$K1214)))</x:f>
        <x:v>1311.9637762239465</x:v>
      </x:c>
      <x:c r="H1214" s="11" t="n">
        <x:f>IF($A1214="","",$G1214*$F1214+$C1214*(1-$F1214))</x:f>
        <x:v>1278.1873216783813</x:v>
      </x:c>
      <x:c r="I1214" s="11" t="n">
        <x:f>IF($A1214="","",AVERAGE($H1214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1265.2038459300225</x:v>
      </x:c>
      <x:c r="J1214" s="12" t="n">
        <x:f>IF($A1214="","",1+SUMIFS(Assumptions!$S$5:$S$10,Assumptions!$P$5:$P$10,$B1214,Assumptions!$Q$5:$Q$10,"&lt;="&amp;$A1214,Assumptions!$R$5:$R$10,"&gt;="&amp;$A1214))</x:f>
        <x:v>1</x:v>
      </x:c>
      <x:c r="K1214" s="12" t="n">
        <x:f>IF($A1214="","",1+((($A1214-Assumptions!$B$5)/30)*INDEX(Assumptions!$J$5:$J$12,MATCH($B1214,Assumptions!$D$5:$D$12,0))))</x:f>
        <x:v>1.0242</x:v>
      </x:c>
      <x:c r="L1214" t="str">
        <x:f>IF($A1214="","",IFERROR(INDEX(Assumptions!$O$5:$O$10,MATCH(1,(Assumptions!$P$5:$P$10=$B1214)*(Assumptions!$Q$5:$Q$10&lt;=$A1214)*(Assumptions!$R$5:$R$10&gt;=$A1214),0)),""))</x:f>
      </x:c>
      <x:c r="M1214" t="n">
        <x:f>--($A1214&lt;&gt;"")</x:f>
        <x:v>1</x:v>
      </x:c>
    </x:row>
    <x:row r="1215">
      <x:c r="A1215" s="10" t="n">
        <x:f>IF(Assumptions!$B$5+INT((ROW()-2)/Assumptions!$B$7)&gt;Assumptions!$B$6,"",Assumptions!$B$5+INT((ROW()-2)/Assumptions!$B$7))</x:f>
        <x:v>46265</x:v>
      </x:c>
      <x:c r="B1215" t="str">
        <x:f>IF($A1215="","",INDEX(Assumptions!$D$5:$D$12,MOD(ROW()-2,Assumptions!$B$7)+1))</x:f>
        <x:v>Hadley's Hope</x:v>
      </x:c>
      <x:c r="C1215" s="11" t="n">
        <x:f>IF($A1215="","",INDEX(Assumptions!$F$5:$F$12,MATCH($B1215,Assumptions!$D$5:$D$12,0)))</x:f>
        <x:v>845</x:v>
      </x:c>
      <x:c r="D1215" s="11" t="n">
        <x:f>IF($A1215="","",INDEX(Assumptions!$G$5:$G$12,MATCH($B1215,Assumptions!$D$5:$D$12,0)))</x:f>
        <x:v>80</x:v>
      </x:c>
      <x:c r="E1215" s="11" t="n">
        <x:f>IF($A1215="","",INDEX(Assumptions!$M$5:$M$11,WEEKDAY($A1215,2)))</x:f>
        <x:v>1.03</x:v>
      </x:c>
      <x:c r="F1215" s="11" t="n">
        <x:f>IF($A1215="","",Assumptions!$B$15)</x:f>
        <x:v>0.35</x:v>
      </x:c>
      <x:c r="G1215" s="11" t="n">
        <x:f>IF($A1215="","",MAX(INDEX(Assumptions!$H$5:$H$12,MATCH($B1215,Assumptions!$D$5:$D$12,0)),MIN(INDEX(Assumptions!$I$5:$I$12,MATCH($B1215,Assumptions!$D$5:$D$12,0)),($C1215+$D1215*SQRT(-2*LN(RAND()))*COS(2*PI()*RAND()))*$E1215*$J1215*$K1215)))</x:f>
        <x:v>1027.2237931260738</x:v>
      </x:c>
      <x:c r="H1215" s="11" t="n">
        <x:f>IF($A1215="","",$G1215*$F1215+$C1215*(1-$F1215))</x:f>
        <x:v>908.7783275941258</x:v>
      </x:c>
      <x:c r="I1215" s="11" t="n">
        <x:f>IF($A1215="","",AVERAGE($H1215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847.8328369336765</x:v>
      </x:c>
      <x:c r="J1215" s="12" t="n">
        <x:f>IF($A1215="","",1+SUMIFS(Assumptions!$S$5:$S$10,Assumptions!$P$5:$P$10,$B1215,Assumptions!$Q$5:$Q$10,"&lt;="&amp;$A1215,Assumptions!$R$5:$R$10,"&gt;="&amp;$A1215))</x:f>
        <x:v>1</x:v>
      </x:c>
      <x:c r="K1215" s="12" t="n">
        <x:f>IF($A1215="","",1+((($A1215-Assumptions!$B$5)/30)*INDEX(Assumptions!$J$5:$J$12,MATCH($B1215,Assumptions!$D$5:$D$12,0))))</x:f>
        <x:v>1.0080666666666667</x:v>
      </x:c>
      <x:c r="L1215" t="str">
        <x:f>IF($A1215="","",IFERROR(INDEX(Assumptions!$O$5:$O$10,MATCH(1,(Assumptions!$P$5:$P$10=$B1215)*(Assumptions!$Q$5:$Q$10&lt;=$A1215)*(Assumptions!$R$5:$R$10&gt;=$A1215),0)),""))</x:f>
      </x:c>
      <x:c r="M1215" t="n">
        <x:f>--($A1215&lt;&gt;"")</x:f>
        <x:v>1</x:v>
      </x:c>
    </x:row>
    <x:row r="1216">
      <x:c r="A1216" s="10" t="n">
        <x:f>IF(Assumptions!$B$5+INT((ROW()-2)/Assumptions!$B$7)&gt;Assumptions!$B$6,"",Assumptions!$B$5+INT((ROW()-2)/Assumptions!$B$7))</x:f>
        <x:v>46265</x:v>
      </x:c>
      <x:c r="B1216" t="str">
        <x:f>IF($A1216="","",INDEX(Assumptions!$D$5:$D$12,MOD(ROW()-2,Assumptions!$B$7)+1))</x:f>
        <x:v>Yutani Ridge</x:v>
      </x:c>
      <x:c r="C1216" s="11" t="n">
        <x:f>IF($A1216="","",INDEX(Assumptions!$F$5:$F$12,MATCH($B1216,Assumptions!$D$5:$D$12,0)))</x:f>
        <x:v>1050</x:v>
      </x:c>
      <x:c r="D1216" s="11" t="n">
        <x:f>IF($A1216="","",INDEX(Assumptions!$G$5:$G$12,MATCH($B1216,Assumptions!$D$5:$D$12,0)))</x:f>
        <x:v>125</x:v>
      </x:c>
      <x:c r="E1216" s="11" t="n">
        <x:f>IF($A1216="","",INDEX(Assumptions!$M$5:$M$11,WEEKDAY($A1216,2)))</x:f>
        <x:v>1.03</x:v>
      </x:c>
      <x:c r="F1216" s="11" t="n">
        <x:f>IF($A1216="","",Assumptions!$B$15)</x:f>
        <x:v>0.35</x:v>
      </x:c>
      <x:c r="G1216" s="11" t="n">
        <x:f>IF($A1216="","",MAX(INDEX(Assumptions!$H$5:$H$12,MATCH($B1216,Assumptions!$D$5:$D$12,0)),MIN(INDEX(Assumptions!$I$5:$I$12,MATCH($B1216,Assumptions!$D$5:$D$12,0)),($C1216+$D1216*SQRT(-2*LN(RAND()))*COS(2*PI()*RAND()))*$E1216*$J1216*$K1216)))</x:f>
        <x:v>1246.0593002456958</x:v>
      </x:c>
      <x:c r="H1216" s="11" t="n">
        <x:f>IF($A1216="","",$G1216*$F1216+$C1216*(1-$F1216))</x:f>
        <x:v>1118.6207550859936</x:v>
      </x:c>
      <x:c r="I1216" s="11" t="n">
        <x:f>IF($A1216="","",AVERAGE($H1216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1126.5039188990593</x:v>
      </x:c>
      <x:c r="J1216" s="12" t="n">
        <x:f>IF($A1216="","",1+SUMIFS(Assumptions!$S$5:$S$10,Assumptions!$P$5:$P$10,$B1216,Assumptions!$Q$5:$Q$10,"&lt;="&amp;$A1216,Assumptions!$R$5:$R$10,"&gt;="&amp;$A1216))</x:f>
        <x:v>1.22</x:v>
      </x:c>
      <x:c r="K1216" s="12" t="n">
        <x:f>IF($A1216="","",1+((($A1216-Assumptions!$B$5)/30)*INDEX(Assumptions!$J$5:$J$12,MATCH($B1216,Assumptions!$D$5:$D$12,0))))</x:f>
        <x:v>1.0201666666666667</x:v>
      </x:c>
      <x:c r="L1216" t="str">
        <x:f>IF($A1216="","",IFERROR(INDEX(Assumptions!$O$5:$O$10,MATCH(1,(Assumptions!$P$5:$P$10=$B1216)*(Assumptions!$Q$5:$Q$10&lt;=$A1216)*(Assumptions!$R$5:$R$10&gt;=$A1216),0)),""))</x:f>
        <x:v>Equipment upgrade</x:v>
      </x:c>
      <x:c r="M1216" t="n">
        <x:f>--($A1216&lt;&gt;"")</x:f>
        <x:v>1</x:v>
      </x:c>
    </x:row>
    <x:row r="1217">
      <x:c r="A1217" s="10" t="n">
        <x:f>IF(Assumptions!$B$5+INT((ROW()-2)/Assumptions!$B$7)&gt;Assumptions!$B$6,"",Assumptions!$B$5+INT((ROW()-2)/Assumptions!$B$7))</x:f>
        <x:v>46266</x:v>
      </x:c>
      <x:c r="B1217" t="str">
        <x:f>IF($A1217="","",INDEX(Assumptions!$D$5:$D$12,MOD(ROW()-2,Assumptions!$B$7)+1))</x:f>
        <x:v>Acheron Prime</x:v>
      </x:c>
      <x:c r="C1217" s="11" t="n">
        <x:f>IF($A1217="","",INDEX(Assumptions!$F$5:$F$12,MATCH($B1217,Assumptions!$D$5:$D$12,0)))</x:f>
        <x:v>1120</x:v>
      </x:c>
      <x:c r="D1217" s="11" t="n">
        <x:f>IF($A1217="","",INDEX(Assumptions!$G$5:$G$12,MATCH($B1217,Assumptions!$D$5:$D$12,0)))</x:f>
        <x:v>115</x:v>
      </x:c>
      <x:c r="E1217" s="11" t="n">
        <x:f>IF($A1217="","",INDEX(Assumptions!$M$5:$M$11,WEEKDAY($A1217,2)))</x:f>
        <x:v>1.02</x:v>
      </x:c>
      <x:c r="F1217" s="11" t="n">
        <x:f>IF($A1217="","",Assumptions!$B$15)</x:f>
        <x:v>0.35</x:v>
      </x:c>
      <x:c r="G1217" s="11" t="n">
        <x:f>IF($A1217="","",MAX(INDEX(Assumptions!$H$5:$H$12,MATCH($B1217,Assumptions!$D$5:$D$12,0)),MIN(INDEX(Assumptions!$I$5:$I$12,MATCH($B1217,Assumptions!$D$5:$D$12,0)),($C1217+$D1217*SQRT(-2*LN(RAND()))*COS(2*PI()*RAND()))*$E1217*$J1217*$K1217)))</x:f>
        <x:v>910.4852695704526</x:v>
      </x:c>
      <x:c r="H1217" s="11" t="n">
        <x:f>IF($A1217="","",$G1217*$F1217+$C1217*(1-$F1217))</x:f>
        <x:v>1046.6698443496584</x:v>
      </x:c>
      <x:c r="I1217" s="11" t="n">
        <x:f>IF($A1217="","",AVERAGE($H1217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1122.4784551548516</x:v>
      </x:c>
      <x:c r="J1217" s="12" t="n">
        <x:f>IF($A1217="","",1+SUMIFS(Assumptions!$S$5:$S$10,Assumptions!$P$5:$P$10,$B1217,Assumptions!$Q$5:$Q$10,"&lt;="&amp;$A1217,Assumptions!$R$5:$R$10,"&gt;="&amp;$A1217))</x:f>
        <x:v>1</x:v>
      </x:c>
      <x:c r="K1217" s="12" t="n">
        <x:f>IF($A1217="","",1+((($A1217-Assumptions!$B$5)/30)*INDEX(Assumptions!$J$5:$J$12,MATCH($B1217,Assumptions!$D$5:$D$12,0))))</x:f>
        <x:v>1.0162</x:v>
      </x:c>
      <x:c r="L1217" t="str">
        <x:f>IF($A1217="","",IFERROR(INDEX(Assumptions!$O$5:$O$10,MATCH(1,(Assumptions!$P$5:$P$10=$B1217)*(Assumptions!$Q$5:$Q$10&lt;=$A1217)*(Assumptions!$R$5:$R$10&gt;=$A1217),0)),""))</x:f>
      </x:c>
      <x:c r="M1217" t="n">
        <x:f>--($A1217&lt;&gt;"")</x:f>
        <x:v>1</x:v>
      </x:c>
    </x:row>
    <x:row r="1218">
      <x:c r="A1218" s="10" t="n">
        <x:f>IF(Assumptions!$B$5+INT((ROW()-2)/Assumptions!$B$7)&gt;Assumptions!$B$6,"",Assumptions!$B$5+INT((ROW()-2)/Assumptions!$B$7))</x:f>
        <x:v>46266</x:v>
      </x:c>
      <x:c r="B1218" t="str">
        <x:f>IF($A1218="","",INDEX(Assumptions!$D$5:$D$12,MOD(ROW()-2,Assumptions!$B$7)+1))</x:f>
        <x:v>LV-426 North</x:v>
      </x:c>
      <x:c r="C1218" s="11" t="n">
        <x:f>IF($A1218="","",INDEX(Assumptions!$F$5:$F$12,MATCH($B1218,Assumptions!$D$5:$D$12,0)))</x:f>
        <x:v>930</x:v>
      </x:c>
      <x:c r="D1218" s="11" t="n">
        <x:f>IF($A1218="","",INDEX(Assumptions!$G$5:$G$12,MATCH($B1218,Assumptions!$D$5:$D$12,0)))</x:f>
        <x:v>95</x:v>
      </x:c>
      <x:c r="E1218" s="11" t="n">
        <x:f>IF($A1218="","",INDEX(Assumptions!$M$5:$M$11,WEEKDAY($A1218,2)))</x:f>
        <x:v>1.02</x:v>
      </x:c>
      <x:c r="F1218" s="11" t="n">
        <x:f>IF($A1218="","",Assumptions!$B$15)</x:f>
        <x:v>0.35</x:v>
      </x:c>
      <x:c r="G1218" s="11" t="n">
        <x:f>IF($A1218="","",MAX(INDEX(Assumptions!$H$5:$H$12,MATCH($B1218,Assumptions!$D$5:$D$12,0)),MIN(INDEX(Assumptions!$I$5:$I$12,MATCH($B1218,Assumptions!$D$5:$D$12,0)),($C1218+$D1218*SQRT(-2*LN(RAND()))*COS(2*PI()*RAND()))*$E1218*$J1218*$K1218)))</x:f>
        <x:v>902.108517925131</x:v>
      </x:c>
      <x:c r="H1218" s="11" t="n">
        <x:f>IF($A1218="","",$G1218*$F1218+$C1218*(1-$F1218))</x:f>
        <x:v>920.2379812737959</x:v>
      </x:c>
      <x:c r="I1218" s="11" t="n">
        <x:f>IF($A1218="","",AVERAGE($H1218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923.4279793482622</x:v>
      </x:c>
      <x:c r="J1218" s="12" t="n">
        <x:f>IF($A1218="","",1+SUMIFS(Assumptions!$S$5:$S$10,Assumptions!$P$5:$P$10,$B1218,Assumptions!$Q$5:$Q$10,"&lt;="&amp;$A1218,Assumptions!$R$5:$R$10,"&gt;="&amp;$A1218))</x:f>
        <x:v>1</x:v>
      </x:c>
      <x:c r="K1218" s="12" t="n">
        <x:f>IF($A1218="","",1+((($A1218-Assumptions!$B$5)/30)*INDEX(Assumptions!$J$5:$J$12,MATCH($B1218,Assumptions!$D$5:$D$12,0))))</x:f>
        <x:v>0.9919</x:v>
      </x:c>
      <x:c r="L1218" t="str">
        <x:f>IF($A1218="","",IFERROR(INDEX(Assumptions!$O$5:$O$10,MATCH(1,(Assumptions!$P$5:$P$10=$B1218)*(Assumptions!$Q$5:$Q$10&lt;=$A1218)*(Assumptions!$R$5:$R$10&gt;=$A1218),0)),""))</x:f>
      </x:c>
      <x:c r="M1218" t="n">
        <x:f>--($A1218&lt;&gt;"")</x:f>
        <x:v>1</x:v>
      </x:c>
    </x:row>
    <x:row r="1219">
      <x:c r="A1219" s="10" t="n">
        <x:f>IF(Assumptions!$B$5+INT((ROW()-2)/Assumptions!$B$7)&gt;Assumptions!$B$6,"",Assumptions!$B$5+INT((ROW()-2)/Assumptions!$B$7))</x:f>
        <x:v>46266</x:v>
      </x:c>
      <x:c r="B1219" t="str">
        <x:f>IF($A1219="","",INDEX(Assumptions!$D$5:$D$12,MOD(ROW()-2,Assumptions!$B$7)+1))</x:f>
        <x:v>Nostromo Deep</x:v>
      </x:c>
      <x:c r="C1219" s="11" t="n">
        <x:f>IF($A1219="","",INDEX(Assumptions!$F$5:$F$12,MATCH($B1219,Assumptions!$D$5:$D$12,0)))</x:f>
        <x:v>1260</x:v>
      </x:c>
      <x:c r="D1219" s="11" t="n">
        <x:f>IF($A1219="","",INDEX(Assumptions!$G$5:$G$12,MATCH($B1219,Assumptions!$D$5:$D$12,0)))</x:f>
        <x:v>145</x:v>
      </x:c>
      <x:c r="E1219" s="11" t="n">
        <x:f>IF($A1219="","",INDEX(Assumptions!$M$5:$M$11,WEEKDAY($A1219,2)))</x:f>
        <x:v>1.02</x:v>
      </x:c>
      <x:c r="F1219" s="11" t="n">
        <x:f>IF($A1219="","",Assumptions!$B$15)</x:f>
        <x:v>0.35</x:v>
      </x:c>
      <x:c r="G1219" s="11" t="n">
        <x:f>IF($A1219="","",MAX(INDEX(Assumptions!$H$5:$H$12,MATCH($B1219,Assumptions!$D$5:$D$12,0)),MIN(INDEX(Assumptions!$I$5:$I$12,MATCH($B1219,Assumptions!$D$5:$D$12,0)),($C1219+$D1219*SQRT(-2*LN(RAND()))*COS(2*PI()*RAND()))*$E1219*$J1219*$K1219)))</x:f>
        <x:v>1531.720808633921</x:v>
      </x:c>
      <x:c r="H1219" s="11" t="n">
        <x:f>IF($A1219="","",$G1219*$F1219+$C1219*(1-$F1219))</x:f>
        <x:v>1355.1022830218724</x:v>
      </x:c>
      <x:c r="I1219" s="11" t="n">
        <x:f>IF($A1219="","",AVERAGE($H1219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1278.4038303993545</x:v>
      </x:c>
      <x:c r="J1219" s="12" t="n">
        <x:f>IF($A1219="","",1+SUMIFS(Assumptions!$S$5:$S$10,Assumptions!$P$5:$P$10,$B1219,Assumptions!$Q$5:$Q$10,"&lt;="&amp;$A1219,Assumptions!$R$5:$R$10,"&gt;="&amp;$A1219))</x:f>
        <x:v>1</x:v>
      </x:c>
      <x:c r="K1219" s="12" t="n">
        <x:f>IF($A1219="","",1+((($A1219-Assumptions!$B$5)/30)*INDEX(Assumptions!$J$5:$J$12,MATCH($B1219,Assumptions!$D$5:$D$12,0))))</x:f>
        <x:v>1.0243</x:v>
      </x:c>
      <x:c r="L1219" t="str">
        <x:f>IF($A1219="","",IFERROR(INDEX(Assumptions!$O$5:$O$10,MATCH(1,(Assumptions!$P$5:$P$10=$B1219)*(Assumptions!$Q$5:$Q$10&lt;=$A1219)*(Assumptions!$R$5:$R$10&gt;=$A1219),0)),""))</x:f>
      </x:c>
      <x:c r="M1219" t="n">
        <x:f>--($A1219&lt;&gt;"")</x:f>
        <x:v>1</x:v>
      </x:c>
    </x:row>
    <x:row r="1220">
      <x:c r="A1220" s="10" t="n">
        <x:f>IF(Assumptions!$B$5+INT((ROW()-2)/Assumptions!$B$7)&gt;Assumptions!$B$6,"",Assumptions!$B$5+INT((ROW()-2)/Assumptions!$B$7))</x:f>
        <x:v>46266</x:v>
      </x:c>
      <x:c r="B1220" t="str">
        <x:f>IF($A1220="","",INDEX(Assumptions!$D$5:$D$12,MOD(ROW()-2,Assumptions!$B$7)+1))</x:f>
        <x:v>Hadley's Hope</x:v>
      </x:c>
      <x:c r="C1220" s="11" t="n">
        <x:f>IF($A1220="","",INDEX(Assumptions!$F$5:$F$12,MATCH($B1220,Assumptions!$D$5:$D$12,0)))</x:f>
        <x:v>845</x:v>
      </x:c>
      <x:c r="D1220" s="11" t="n">
        <x:f>IF($A1220="","",INDEX(Assumptions!$G$5:$G$12,MATCH($B1220,Assumptions!$D$5:$D$12,0)))</x:f>
        <x:v>80</x:v>
      </x:c>
      <x:c r="E1220" s="11" t="n">
        <x:f>IF($A1220="","",INDEX(Assumptions!$M$5:$M$11,WEEKDAY($A1220,2)))</x:f>
        <x:v>1.02</x:v>
      </x:c>
      <x:c r="F1220" s="11" t="n">
        <x:f>IF($A1220="","",Assumptions!$B$15)</x:f>
        <x:v>0.35</x:v>
      </x:c>
      <x:c r="G1220" s="11" t="n">
        <x:f>IF($A1220="","",MAX(INDEX(Assumptions!$H$5:$H$12,MATCH($B1220,Assumptions!$D$5:$D$12,0)),MIN(INDEX(Assumptions!$I$5:$I$12,MATCH($B1220,Assumptions!$D$5:$D$12,0)),($C1220+$D1220*SQRT(-2*LN(RAND()))*COS(2*PI()*RAND()))*$E1220*$J1220*$K1220)))</x:f>
        <x:v>813.0506648319791</x:v>
      </x:c>
      <x:c r="H1220" s="11" t="n">
        <x:f>IF($A1220="","",$G1220*$F1220+$C1220*(1-$F1220))</x:f>
        <x:v>833.8177326911928</x:v>
      </x:c>
      <x:c r="I1220" s="11" t="n">
        <x:f>IF($A1220="","",AVERAGE($H1220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847.759856692177</x:v>
      </x:c>
      <x:c r="J1220" s="12" t="n">
        <x:f>IF($A1220="","",1+SUMIFS(Assumptions!$S$5:$S$10,Assumptions!$P$5:$P$10,$B1220,Assumptions!$Q$5:$Q$10,"&lt;="&amp;$A1220,Assumptions!$R$5:$R$10,"&gt;="&amp;$A1220))</x:f>
        <x:v>1</x:v>
      </x:c>
      <x:c r="K1220" s="12" t="n">
        <x:f>IF($A1220="","",1+((($A1220-Assumptions!$B$5)/30)*INDEX(Assumptions!$J$5:$J$12,MATCH($B1220,Assumptions!$D$5:$D$12,0))))</x:f>
        <x:v>1.0081</x:v>
      </x:c>
      <x:c r="L1220" t="str">
        <x:f>IF($A1220="","",IFERROR(INDEX(Assumptions!$O$5:$O$10,MATCH(1,(Assumptions!$P$5:$P$10=$B1220)*(Assumptions!$Q$5:$Q$10&lt;=$A1220)*(Assumptions!$R$5:$R$10&gt;=$A1220),0)),""))</x:f>
      </x:c>
      <x:c r="M1220" t="n">
        <x:f>--($A1220&lt;&gt;"")</x:f>
        <x:v>1</x:v>
      </x:c>
    </x:row>
    <x:row r="1221">
      <x:c r="A1221" s="10" t="n">
        <x:f>IF(Assumptions!$B$5+INT((ROW()-2)/Assumptions!$B$7)&gt;Assumptions!$B$6,"",Assumptions!$B$5+INT((ROW()-2)/Assumptions!$B$7))</x:f>
        <x:v>46266</x:v>
      </x:c>
      <x:c r="B1221" t="str">
        <x:f>IF($A1221="","",INDEX(Assumptions!$D$5:$D$12,MOD(ROW()-2,Assumptions!$B$7)+1))</x:f>
        <x:v>Yutani Ridge</x:v>
      </x:c>
      <x:c r="C1221" s="11" t="n">
        <x:f>IF($A1221="","",INDEX(Assumptions!$F$5:$F$12,MATCH($B1221,Assumptions!$D$5:$D$12,0)))</x:f>
        <x:v>1050</x:v>
      </x:c>
      <x:c r="D1221" s="11" t="n">
        <x:f>IF($A1221="","",INDEX(Assumptions!$G$5:$G$12,MATCH($B1221,Assumptions!$D$5:$D$12,0)))</x:f>
        <x:v>125</x:v>
      </x:c>
      <x:c r="E1221" s="11" t="n">
        <x:f>IF($A1221="","",INDEX(Assumptions!$M$5:$M$11,WEEKDAY($A1221,2)))</x:f>
        <x:v>1.02</x:v>
      </x:c>
      <x:c r="F1221" s="11" t="n">
        <x:f>IF($A1221="","",Assumptions!$B$15)</x:f>
        <x:v>0.35</x:v>
      </x:c>
      <x:c r="G1221" s="11" t="n">
        <x:f>IF($A1221="","",MAX(INDEX(Assumptions!$H$5:$H$12,MATCH($B1221,Assumptions!$D$5:$D$12,0)),MIN(INDEX(Assumptions!$I$5:$I$12,MATCH($B1221,Assumptions!$D$5:$D$12,0)),($C1221+$D1221*SQRT(-2*LN(RAND()))*COS(2*PI()*RAND()))*$E1221*$J1221*$K1221)))</x:f>
        <x:v>1415.5613514257009</x:v>
      </x:c>
      <x:c r="H1221" s="11" t="n">
        <x:f>IF($A1221="","",$G1221*$F1221+$C1221*(1-$F1221))</x:f>
        <x:v>1177.9464729989952</x:v>
      </x:c>
      <x:c r="I1221" s="11" t="n">
        <x:f>IF($A1221="","",AVERAGE($H1221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1134.477909864767</x:v>
      </x:c>
      <x:c r="J1221" s="12" t="n">
        <x:f>IF($A1221="","",1+SUMIFS(Assumptions!$S$5:$S$10,Assumptions!$P$5:$P$10,$B1221,Assumptions!$Q$5:$Q$10,"&lt;="&amp;$A1221,Assumptions!$R$5:$R$10,"&gt;="&amp;$A1221))</x:f>
        <x:v>1.22</x:v>
      </x:c>
      <x:c r="K1221" s="12" t="n">
        <x:f>IF($A1221="","",1+((($A1221-Assumptions!$B$5)/30)*INDEX(Assumptions!$J$5:$J$12,MATCH($B1221,Assumptions!$D$5:$D$12,0))))</x:f>
        <x:v>1.02025</x:v>
      </x:c>
      <x:c r="L1221" t="str">
        <x:f>IF($A1221="","",IFERROR(INDEX(Assumptions!$O$5:$O$10,MATCH(1,(Assumptions!$P$5:$P$10=$B1221)*(Assumptions!$Q$5:$Q$10&lt;=$A1221)*(Assumptions!$R$5:$R$10&gt;=$A1221),0)),""))</x:f>
        <x:v>Equipment upgrade</x:v>
      </x:c>
      <x:c r="M1221" t="n">
        <x:f>--($A1221&lt;&gt;"")</x:f>
        <x:v>1</x:v>
      </x:c>
    </x:row>
    <x:row r="1222">
      <x:c r="A1222" s="10" t="n">
        <x:f>IF(Assumptions!$B$5+INT((ROW()-2)/Assumptions!$B$7)&gt;Assumptions!$B$6,"",Assumptions!$B$5+INT((ROW()-2)/Assumptions!$B$7))</x:f>
        <x:v>46267</x:v>
      </x:c>
      <x:c r="B1222" t="str">
        <x:f>IF($A1222="","",INDEX(Assumptions!$D$5:$D$12,MOD(ROW()-2,Assumptions!$B$7)+1))</x:f>
        <x:v>Acheron Prime</x:v>
      </x:c>
      <x:c r="C1222" s="11" t="n">
        <x:f>IF($A1222="","",INDEX(Assumptions!$F$5:$F$12,MATCH($B1222,Assumptions!$D$5:$D$12,0)))</x:f>
        <x:v>1120</x:v>
      </x:c>
      <x:c r="D1222" s="11" t="n">
        <x:f>IF($A1222="","",INDEX(Assumptions!$G$5:$G$12,MATCH($B1222,Assumptions!$D$5:$D$12,0)))</x:f>
        <x:v>115</x:v>
      </x:c>
      <x:c r="E1222" s="11" t="n">
        <x:f>IF($A1222="","",INDEX(Assumptions!$M$5:$M$11,WEEKDAY($A1222,2)))</x:f>
        <x:v>1.01</x:v>
      </x:c>
      <x:c r="F1222" s="11" t="n">
        <x:f>IF($A1222="","",Assumptions!$B$15)</x:f>
        <x:v>0.35</x:v>
      </x:c>
      <x:c r="G1222" s="11" t="n">
        <x:f>IF($A1222="","",MAX(INDEX(Assumptions!$H$5:$H$12,MATCH($B1222,Assumptions!$D$5:$D$12,0)),MIN(INDEX(Assumptions!$I$5:$I$12,MATCH($B1222,Assumptions!$D$5:$D$12,0)),($C1222+$D1222*SQRT(-2*LN(RAND()))*COS(2*PI()*RAND()))*$E1222*$J1222*$K1222)))</x:f>
        <x:v>1208.3099244903942</x:v>
      </x:c>
      <x:c r="H1222" s="11" t="n">
        <x:f>IF($A1222="","",$G1222*$F1222+$C1222*(1-$F1222))</x:f>
        <x:v>1150.9084735716378</x:v>
      </x:c>
      <x:c r="I1222" s="11" t="n">
        <x:f>IF($A1222="","",AVERAGE($H1222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1118.5785640650136</x:v>
      </x:c>
      <x:c r="J1222" s="12" t="n">
        <x:f>IF($A1222="","",1+SUMIFS(Assumptions!$S$5:$S$10,Assumptions!$P$5:$P$10,$B1222,Assumptions!$Q$5:$Q$10,"&lt;="&amp;$A1222,Assumptions!$R$5:$R$10,"&gt;="&amp;$A1222))</x:f>
        <x:v>1</x:v>
      </x:c>
      <x:c r="K1222" s="12" t="n">
        <x:f>IF($A1222="","",1+((($A1222-Assumptions!$B$5)/30)*INDEX(Assumptions!$J$5:$J$12,MATCH($B1222,Assumptions!$D$5:$D$12,0))))</x:f>
        <x:v>1.0162666666666667</x:v>
      </x:c>
      <x:c r="L1222" t="str">
        <x:f>IF($A1222="","",IFERROR(INDEX(Assumptions!$O$5:$O$10,MATCH(1,(Assumptions!$P$5:$P$10=$B1222)*(Assumptions!$Q$5:$Q$10&lt;=$A1222)*(Assumptions!$R$5:$R$10&gt;=$A1222),0)),""))</x:f>
      </x:c>
      <x:c r="M1222" t="n">
        <x:f>--($A1222&lt;&gt;"")</x:f>
        <x:v>1</x:v>
      </x:c>
    </x:row>
    <x:row r="1223">
      <x:c r="A1223" s="10" t="n">
        <x:f>IF(Assumptions!$B$5+INT((ROW()-2)/Assumptions!$B$7)&gt;Assumptions!$B$6,"",Assumptions!$B$5+INT((ROW()-2)/Assumptions!$B$7))</x:f>
        <x:v>46267</x:v>
      </x:c>
      <x:c r="B1223" t="str">
        <x:f>IF($A1223="","",INDEX(Assumptions!$D$5:$D$12,MOD(ROW()-2,Assumptions!$B$7)+1))</x:f>
        <x:v>LV-426 North</x:v>
      </x:c>
      <x:c r="C1223" s="11" t="n">
        <x:f>IF($A1223="","",INDEX(Assumptions!$F$5:$F$12,MATCH($B1223,Assumptions!$D$5:$D$12,0)))</x:f>
        <x:v>930</x:v>
      </x:c>
      <x:c r="D1223" s="11" t="n">
        <x:f>IF($A1223="","",INDEX(Assumptions!$G$5:$G$12,MATCH($B1223,Assumptions!$D$5:$D$12,0)))</x:f>
        <x:v>95</x:v>
      </x:c>
      <x:c r="E1223" s="11" t="n">
        <x:f>IF($A1223="","",INDEX(Assumptions!$M$5:$M$11,WEEKDAY($A1223,2)))</x:f>
        <x:v>1.01</x:v>
      </x:c>
      <x:c r="F1223" s="11" t="n">
        <x:f>IF($A1223="","",Assumptions!$B$15)</x:f>
        <x:v>0.35</x:v>
      </x:c>
      <x:c r="G1223" s="11" t="n">
        <x:f>IF($A1223="","",MAX(INDEX(Assumptions!$H$5:$H$12,MATCH($B1223,Assumptions!$D$5:$D$12,0)),MIN(INDEX(Assumptions!$I$5:$I$12,MATCH($B1223,Assumptions!$D$5:$D$12,0)),($C1223+$D1223*SQRT(-2*LN(RAND()))*COS(2*PI()*RAND()))*$E1223*$J1223*$K1223)))</x:f>
        <x:v>991.0572372260496</x:v>
      </x:c>
      <x:c r="H1223" s="11" t="n">
        <x:f>IF($A1223="","",$G1223*$F1223+$C1223*(1-$F1223))</x:f>
        <x:v>951.3700330291174</x:v>
      </x:c>
      <x:c r="I1223" s="11" t="n">
        <x:f>IF($A1223="","",AVERAGE($H1223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927.5809735115988</x:v>
      </x:c>
      <x:c r="J1223" s="12" t="n">
        <x:f>IF($A1223="","",1+SUMIFS(Assumptions!$S$5:$S$10,Assumptions!$P$5:$P$10,$B1223,Assumptions!$Q$5:$Q$10,"&lt;="&amp;$A1223,Assumptions!$R$5:$R$10,"&gt;="&amp;$A1223))</x:f>
        <x:v>1</x:v>
      </x:c>
      <x:c r="K1223" s="12" t="n">
        <x:f>IF($A1223="","",1+((($A1223-Assumptions!$B$5)/30)*INDEX(Assumptions!$J$5:$J$12,MATCH($B1223,Assumptions!$D$5:$D$12,0))))</x:f>
        <x:v>0.9918666666666667</x:v>
      </x:c>
      <x:c r="L1223" t="str">
        <x:f>IF($A1223="","",IFERROR(INDEX(Assumptions!$O$5:$O$10,MATCH(1,(Assumptions!$P$5:$P$10=$B1223)*(Assumptions!$Q$5:$Q$10&lt;=$A1223)*(Assumptions!$R$5:$R$10&gt;=$A1223),0)),""))</x:f>
      </x:c>
      <x:c r="M1223" t="n">
        <x:f>--($A1223&lt;&gt;"")</x:f>
        <x:v>1</x:v>
      </x:c>
    </x:row>
    <x:row r="1224">
      <x:c r="A1224" s="10" t="n">
        <x:f>IF(Assumptions!$B$5+INT((ROW()-2)/Assumptions!$B$7)&gt;Assumptions!$B$6,"",Assumptions!$B$5+INT((ROW()-2)/Assumptions!$B$7))</x:f>
        <x:v>46267</x:v>
      </x:c>
      <x:c r="B1224" t="str">
        <x:f>IF($A1224="","",INDEX(Assumptions!$D$5:$D$12,MOD(ROW()-2,Assumptions!$B$7)+1))</x:f>
        <x:v>Nostromo Deep</x:v>
      </x:c>
      <x:c r="C1224" s="11" t="n">
        <x:f>IF($A1224="","",INDEX(Assumptions!$F$5:$F$12,MATCH($B1224,Assumptions!$D$5:$D$12,0)))</x:f>
        <x:v>1260</x:v>
      </x:c>
      <x:c r="D1224" s="11" t="n">
        <x:f>IF($A1224="","",INDEX(Assumptions!$G$5:$G$12,MATCH($B1224,Assumptions!$D$5:$D$12,0)))</x:f>
        <x:v>145</x:v>
      </x:c>
      <x:c r="E1224" s="11" t="n">
        <x:f>IF($A1224="","",INDEX(Assumptions!$M$5:$M$11,WEEKDAY($A1224,2)))</x:f>
        <x:v>1.01</x:v>
      </x:c>
      <x:c r="F1224" s="11" t="n">
        <x:f>IF($A1224="","",Assumptions!$B$15)</x:f>
        <x:v>0.35</x:v>
      </x:c>
      <x:c r="G1224" s="11" t="n">
        <x:f>IF($A1224="","",MAX(INDEX(Assumptions!$H$5:$H$12,MATCH($B1224,Assumptions!$D$5:$D$12,0)),MIN(INDEX(Assumptions!$I$5:$I$12,MATCH($B1224,Assumptions!$D$5:$D$12,0)),($C1224+$D1224*SQRT(-2*LN(RAND()))*COS(2*PI()*RAND()))*$E1224*$J1224*$K1224)))</x:f>
        <x:v>1407.8058290408185</x:v>
      </x:c>
      <x:c r="H1224" s="11" t="n">
        <x:f>IF($A1224="","",$G1224*$F1224+$C1224*(1-$F1224))</x:f>
        <x:v>1311.7320401642864</x:v>
      </x:c>
      <x:c r="I1224" s="11" t="n">
        <x:f>IF($A1224="","",AVERAGE($H1224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1280.0058741005323</x:v>
      </x:c>
      <x:c r="J1224" s="12" t="n">
        <x:f>IF($A1224="","",1+SUMIFS(Assumptions!$S$5:$S$10,Assumptions!$P$5:$P$10,$B1224,Assumptions!$Q$5:$Q$10,"&lt;="&amp;$A1224,Assumptions!$R$5:$R$10,"&gt;="&amp;$A1224))</x:f>
        <x:v>1</x:v>
      </x:c>
      <x:c r="K1224" s="12" t="n">
        <x:f>IF($A1224="","",1+((($A1224-Assumptions!$B$5)/30)*INDEX(Assumptions!$J$5:$J$12,MATCH($B1224,Assumptions!$D$5:$D$12,0))))</x:f>
        <x:v>1.0244</x:v>
      </x:c>
      <x:c r="L1224" t="str">
        <x:f>IF($A1224="","",IFERROR(INDEX(Assumptions!$O$5:$O$10,MATCH(1,(Assumptions!$P$5:$P$10=$B1224)*(Assumptions!$Q$5:$Q$10&lt;=$A1224)*(Assumptions!$R$5:$R$10&gt;=$A1224),0)),""))</x:f>
      </x:c>
      <x:c r="M1224" t="n">
        <x:f>--($A1224&lt;&gt;"")</x:f>
        <x:v>1</x:v>
      </x:c>
    </x:row>
    <x:row r="1225">
      <x:c r="A1225" s="10" t="n">
        <x:f>IF(Assumptions!$B$5+INT((ROW()-2)/Assumptions!$B$7)&gt;Assumptions!$B$6,"",Assumptions!$B$5+INT((ROW()-2)/Assumptions!$B$7))</x:f>
        <x:v>46267</x:v>
      </x:c>
      <x:c r="B1225" t="str">
        <x:f>IF($A1225="","",INDEX(Assumptions!$D$5:$D$12,MOD(ROW()-2,Assumptions!$B$7)+1))</x:f>
        <x:v>Hadley's Hope</x:v>
      </x:c>
      <x:c r="C1225" s="11" t="n">
        <x:f>IF($A1225="","",INDEX(Assumptions!$F$5:$F$12,MATCH($B1225,Assumptions!$D$5:$D$12,0)))</x:f>
        <x:v>845</x:v>
      </x:c>
      <x:c r="D1225" s="11" t="n">
        <x:f>IF($A1225="","",INDEX(Assumptions!$G$5:$G$12,MATCH($B1225,Assumptions!$D$5:$D$12,0)))</x:f>
        <x:v>80</x:v>
      </x:c>
      <x:c r="E1225" s="11" t="n">
        <x:f>IF($A1225="","",INDEX(Assumptions!$M$5:$M$11,WEEKDAY($A1225,2)))</x:f>
        <x:v>1.01</x:v>
      </x:c>
      <x:c r="F1225" s="11" t="n">
        <x:f>IF($A1225="","",Assumptions!$B$15)</x:f>
        <x:v>0.35</x:v>
      </x:c>
      <x:c r="G1225" s="11" t="n">
        <x:f>IF($A1225="","",MAX(INDEX(Assumptions!$H$5:$H$12,MATCH($B1225,Assumptions!$D$5:$D$12,0)),MIN(INDEX(Assumptions!$I$5:$I$12,MATCH($B1225,Assumptions!$D$5:$D$12,0)),($C1225+$D1225*SQRT(-2*LN(RAND()))*COS(2*PI()*RAND()))*$E1225*$J1225*$K1225)))</x:f>
        <x:v>804.7625075418384</x:v>
      </x:c>
      <x:c r="H1225" s="11" t="n">
        <x:f>IF($A1225="","",$G1225*$F1225+$C1225*(1-$F1225))</x:f>
        <x:v>830.9168776396434</x:v>
      </x:c>
      <x:c r="I1225" s="11" t="n">
        <x:f>IF($A1225="","",AVERAGE($H1225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840.990207413902</x:v>
      </x:c>
      <x:c r="J1225" s="12" t="n">
        <x:f>IF($A1225="","",1+SUMIFS(Assumptions!$S$5:$S$10,Assumptions!$P$5:$P$10,$B1225,Assumptions!$Q$5:$Q$10,"&lt;="&amp;$A1225,Assumptions!$R$5:$R$10,"&gt;="&amp;$A1225))</x:f>
        <x:v>1</x:v>
      </x:c>
      <x:c r="K1225" s="12" t="n">
        <x:f>IF($A1225="","",1+((($A1225-Assumptions!$B$5)/30)*INDEX(Assumptions!$J$5:$J$12,MATCH($B1225,Assumptions!$D$5:$D$12,0))))</x:f>
        <x:v>1.0081333333333333</x:v>
      </x:c>
      <x:c r="L1225" t="str">
        <x:f>IF($A1225="","",IFERROR(INDEX(Assumptions!$O$5:$O$10,MATCH(1,(Assumptions!$P$5:$P$10=$B1225)*(Assumptions!$Q$5:$Q$10&lt;=$A1225)*(Assumptions!$R$5:$R$10&gt;=$A1225),0)),""))</x:f>
      </x:c>
      <x:c r="M1225" t="n">
        <x:f>--($A1225&lt;&gt;"")</x:f>
        <x:v>1</x:v>
      </x:c>
    </x:row>
    <x:row r="1226">
      <x:c r="A1226" s="10" t="n">
        <x:f>IF(Assumptions!$B$5+INT((ROW()-2)/Assumptions!$B$7)&gt;Assumptions!$B$6,"",Assumptions!$B$5+INT((ROW()-2)/Assumptions!$B$7))</x:f>
        <x:v>46267</x:v>
      </x:c>
      <x:c r="B1226" t="str">
        <x:f>IF($A1226="","",INDEX(Assumptions!$D$5:$D$12,MOD(ROW()-2,Assumptions!$B$7)+1))</x:f>
        <x:v>Yutani Ridge</x:v>
      </x:c>
      <x:c r="C1226" s="11" t="n">
        <x:f>IF($A1226="","",INDEX(Assumptions!$F$5:$F$12,MATCH($B1226,Assumptions!$D$5:$D$12,0)))</x:f>
        <x:v>1050</x:v>
      </x:c>
      <x:c r="D1226" s="11" t="n">
        <x:f>IF($A1226="","",INDEX(Assumptions!$G$5:$G$12,MATCH($B1226,Assumptions!$D$5:$D$12,0)))</x:f>
        <x:v>125</x:v>
      </x:c>
      <x:c r="E1226" s="11" t="n">
        <x:f>IF($A1226="","",INDEX(Assumptions!$M$5:$M$11,WEEKDAY($A1226,2)))</x:f>
        <x:v>1.01</x:v>
      </x:c>
      <x:c r="F1226" s="11" t="n">
        <x:f>IF($A1226="","",Assumptions!$B$15)</x:f>
        <x:v>0.35</x:v>
      </x:c>
      <x:c r="G1226" s="11" t="n">
        <x:f>IF($A1226="","",MAX(INDEX(Assumptions!$H$5:$H$12,MATCH($B1226,Assumptions!$D$5:$D$12,0)),MIN(INDEX(Assumptions!$I$5:$I$12,MATCH($B1226,Assumptions!$D$5:$D$12,0)),($C1226+$D1226*SQRT(-2*LN(RAND()))*COS(2*PI()*RAND()))*$E1226*$J1226*$K1226)))</x:f>
        <x:v>1284.6929696134468</x:v>
      </x:c>
      <x:c r="H1226" s="11" t="n">
        <x:f>IF($A1226="","",$G1226*$F1226+$C1226*(1-$F1226))</x:f>
        <x:v>1132.1425393647064</x:v>
      </x:c>
      <x:c r="I1226" s="11" t="n">
        <x:f>IF($A1226="","",AVERAGE($H1226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1136.9534462135941</x:v>
      </x:c>
      <x:c r="J1226" s="12" t="n">
        <x:f>IF($A1226="","",1+SUMIFS(Assumptions!$S$5:$S$10,Assumptions!$P$5:$P$10,$B1226,Assumptions!$Q$5:$Q$10,"&lt;="&amp;$A1226,Assumptions!$R$5:$R$10,"&gt;="&amp;$A1226))</x:f>
        <x:v>1.22</x:v>
      </x:c>
      <x:c r="K1226" s="12" t="n">
        <x:f>IF($A1226="","",1+((($A1226-Assumptions!$B$5)/30)*INDEX(Assumptions!$J$5:$J$12,MATCH($B1226,Assumptions!$D$5:$D$12,0))))</x:f>
        <x:v>1.0203333333333333</x:v>
      </x:c>
      <x:c r="L1226" t="str">
        <x:f>IF($A1226="","",IFERROR(INDEX(Assumptions!$O$5:$O$10,MATCH(1,(Assumptions!$P$5:$P$10=$B1226)*(Assumptions!$Q$5:$Q$10&lt;=$A1226)*(Assumptions!$R$5:$R$10&gt;=$A1226),0)),""))</x:f>
        <x:v>Equipment upgrade</x:v>
      </x:c>
      <x:c r="M1226" t="n">
        <x:f>--($A1226&lt;&gt;"")</x:f>
        <x:v>1</x:v>
      </x:c>
    </x:row>
    <x:row r="1227">
      <x:c r="A1227" s="10" t="n">
        <x:f>IF(Assumptions!$B$5+INT((ROW()-2)/Assumptions!$B$7)&gt;Assumptions!$B$6,"",Assumptions!$B$5+INT((ROW()-2)/Assumptions!$B$7))</x:f>
        <x:v>46268</x:v>
      </x:c>
      <x:c r="B1227" t="str">
        <x:f>IF($A1227="","",INDEX(Assumptions!$D$5:$D$12,MOD(ROW()-2,Assumptions!$B$7)+1))</x:f>
        <x:v>Acheron Prime</x:v>
      </x:c>
      <x:c r="C1227" s="11" t="n">
        <x:f>IF($A1227="","",INDEX(Assumptions!$F$5:$F$12,MATCH($B1227,Assumptions!$D$5:$D$12,0)))</x:f>
        <x:v>1120</x:v>
      </x:c>
      <x:c r="D1227" s="11" t="n">
        <x:f>IF($A1227="","",INDEX(Assumptions!$G$5:$G$12,MATCH($B1227,Assumptions!$D$5:$D$12,0)))</x:f>
        <x:v>115</x:v>
      </x:c>
      <x:c r="E1227" s="11" t="n">
        <x:f>IF($A1227="","",INDEX(Assumptions!$M$5:$M$11,WEEKDAY($A1227,2)))</x:f>
        <x:v>1</x:v>
      </x:c>
      <x:c r="F1227" s="11" t="n">
        <x:f>IF($A1227="","",Assumptions!$B$15)</x:f>
        <x:v>0.35</x:v>
      </x:c>
      <x:c r="G1227" s="11" t="n">
        <x:f>IF($A1227="","",MAX(INDEX(Assumptions!$H$5:$H$12,MATCH($B1227,Assumptions!$D$5:$D$12,0)),MIN(INDEX(Assumptions!$I$5:$I$12,MATCH($B1227,Assumptions!$D$5:$D$12,0)),($C1227+$D1227*SQRT(-2*LN(RAND()))*COS(2*PI()*RAND()))*$E1227*$J1227*$K1227)))</x:f>
        <x:v>1036.7948994799413</x:v>
      </x:c>
      <x:c r="H1227" s="11" t="n">
        <x:f>IF($A1227="","",$G1227*$F1227+$C1227*(1-$F1227))</x:f>
        <x:v>1090.8782148179794</x:v>
      </x:c>
      <x:c r="I1227" s="11" t="n">
        <x:f>IF($A1227="","",AVERAGE($H1227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1109.854144125294</x:v>
      </x:c>
      <x:c r="J1227" s="12" t="n">
        <x:f>IF($A1227="","",1+SUMIFS(Assumptions!$S$5:$S$10,Assumptions!$P$5:$P$10,$B1227,Assumptions!$Q$5:$Q$10,"&lt;="&amp;$A1227,Assumptions!$R$5:$R$10,"&gt;="&amp;$A1227))</x:f>
        <x:v>1</x:v>
      </x:c>
      <x:c r="K1227" s="12" t="n">
        <x:f>IF($A1227="","",1+((($A1227-Assumptions!$B$5)/30)*INDEX(Assumptions!$J$5:$J$12,MATCH($B1227,Assumptions!$D$5:$D$12,0))))</x:f>
        <x:v>1.0163333333333333</x:v>
      </x:c>
      <x:c r="L1227" t="str">
        <x:f>IF($A1227="","",IFERROR(INDEX(Assumptions!$O$5:$O$10,MATCH(1,(Assumptions!$P$5:$P$10=$B1227)*(Assumptions!$Q$5:$Q$10&lt;=$A1227)*(Assumptions!$R$5:$R$10&gt;=$A1227),0)),""))</x:f>
      </x:c>
      <x:c r="M1227" t="n">
        <x:f>--($A1227&lt;&gt;"")</x:f>
        <x:v>1</x:v>
      </x:c>
    </x:row>
    <x:row r="1228">
      <x:c r="A1228" s="10" t="n">
        <x:f>IF(Assumptions!$B$5+INT((ROW()-2)/Assumptions!$B$7)&gt;Assumptions!$B$6,"",Assumptions!$B$5+INT((ROW()-2)/Assumptions!$B$7))</x:f>
        <x:v>46268</x:v>
      </x:c>
      <x:c r="B1228" t="str">
        <x:f>IF($A1228="","",INDEX(Assumptions!$D$5:$D$12,MOD(ROW()-2,Assumptions!$B$7)+1))</x:f>
        <x:v>LV-426 North</x:v>
      </x:c>
      <x:c r="C1228" s="11" t="n">
        <x:f>IF($A1228="","",INDEX(Assumptions!$F$5:$F$12,MATCH($B1228,Assumptions!$D$5:$D$12,0)))</x:f>
        <x:v>930</x:v>
      </x:c>
      <x:c r="D1228" s="11" t="n">
        <x:f>IF($A1228="","",INDEX(Assumptions!$G$5:$G$12,MATCH($B1228,Assumptions!$D$5:$D$12,0)))</x:f>
        <x:v>95</x:v>
      </x:c>
      <x:c r="E1228" s="11" t="n">
        <x:f>IF($A1228="","",INDEX(Assumptions!$M$5:$M$11,WEEKDAY($A1228,2)))</x:f>
        <x:v>1</x:v>
      </x:c>
      <x:c r="F1228" s="11" t="n">
        <x:f>IF($A1228="","",Assumptions!$B$15)</x:f>
        <x:v>0.35</x:v>
      </x:c>
      <x:c r="G1228" s="11" t="n">
        <x:f>IF($A1228="","",MAX(INDEX(Assumptions!$H$5:$H$12,MATCH($B1228,Assumptions!$D$5:$D$12,0)),MIN(INDEX(Assumptions!$I$5:$I$12,MATCH($B1228,Assumptions!$D$5:$D$12,0)),($C1228+$D1228*SQRT(-2*LN(RAND()))*COS(2*PI()*RAND()))*$E1228*$J1228*$K1228)))</x:f>
        <x:v>870.3555552371339</x:v>
      </x:c>
      <x:c r="H1228" s="11" t="n">
        <x:f>IF($A1228="","",$G1228*$F1228+$C1228*(1-$F1228))</x:f>
        <x:v>909.1244443329969</x:v>
      </x:c>
      <x:c r="I1228" s="11" t="n">
        <x:f>IF($A1228="","",AVERAGE($H1228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922.0341827920221</x:v>
      </x:c>
      <x:c r="J1228" s="12" t="n">
        <x:f>IF($A1228="","",1+SUMIFS(Assumptions!$S$5:$S$10,Assumptions!$P$5:$P$10,$B1228,Assumptions!$Q$5:$Q$10,"&lt;="&amp;$A1228,Assumptions!$R$5:$R$10,"&gt;="&amp;$A1228))</x:f>
        <x:v>1</x:v>
      </x:c>
      <x:c r="K1228" s="12" t="n">
        <x:f>IF($A1228="","",1+((($A1228-Assumptions!$B$5)/30)*INDEX(Assumptions!$J$5:$J$12,MATCH($B1228,Assumptions!$D$5:$D$12,0))))</x:f>
        <x:v>0.9918333333333333</x:v>
      </x:c>
      <x:c r="L1228" t="str">
        <x:f>IF($A1228="","",IFERROR(INDEX(Assumptions!$O$5:$O$10,MATCH(1,(Assumptions!$P$5:$P$10=$B1228)*(Assumptions!$Q$5:$Q$10&lt;=$A1228)*(Assumptions!$R$5:$R$10&gt;=$A1228),0)),""))</x:f>
      </x:c>
      <x:c r="M1228" t="n">
        <x:f>--($A1228&lt;&gt;"")</x:f>
        <x:v>1</x:v>
      </x:c>
    </x:row>
    <x:row r="1229">
      <x:c r="A1229" s="10" t="n">
        <x:f>IF(Assumptions!$B$5+INT((ROW()-2)/Assumptions!$B$7)&gt;Assumptions!$B$6,"",Assumptions!$B$5+INT((ROW()-2)/Assumptions!$B$7))</x:f>
        <x:v>46268</x:v>
      </x:c>
      <x:c r="B1229" t="str">
        <x:f>IF($A1229="","",INDEX(Assumptions!$D$5:$D$12,MOD(ROW()-2,Assumptions!$B$7)+1))</x:f>
        <x:v>Nostromo Deep</x:v>
      </x:c>
      <x:c r="C1229" s="11" t="n">
        <x:f>IF($A1229="","",INDEX(Assumptions!$F$5:$F$12,MATCH($B1229,Assumptions!$D$5:$D$12,0)))</x:f>
        <x:v>1260</x:v>
      </x:c>
      <x:c r="D1229" s="11" t="n">
        <x:f>IF($A1229="","",INDEX(Assumptions!$G$5:$G$12,MATCH($B1229,Assumptions!$D$5:$D$12,0)))</x:f>
        <x:v>145</x:v>
      </x:c>
      <x:c r="E1229" s="11" t="n">
        <x:f>IF($A1229="","",INDEX(Assumptions!$M$5:$M$11,WEEKDAY($A1229,2)))</x:f>
        <x:v>1</x:v>
      </x:c>
      <x:c r="F1229" s="11" t="n">
        <x:f>IF($A1229="","",Assumptions!$B$15)</x:f>
        <x:v>0.35</x:v>
      </x:c>
      <x:c r="G1229" s="11" t="n">
        <x:f>IF($A1229="","",MAX(INDEX(Assumptions!$H$5:$H$12,MATCH($B1229,Assumptions!$D$5:$D$12,0)),MIN(INDEX(Assumptions!$I$5:$I$12,MATCH($B1229,Assumptions!$D$5:$D$12,0)),($C1229+$D1229*SQRT(-2*LN(RAND()))*COS(2*PI()*RAND()))*$E1229*$J1229*$K1229)))</x:f>
        <x:v>1204.806655031261</x:v>
      </x:c>
      <x:c r="H1229" s="11" t="n">
        <x:f>IF($A1229="","",$G1229*$F1229+$C1229*(1-$F1229))</x:f>
        <x:v>1240.6823292609413</x:v>
      </x:c>
      <x:c r="I1229" s="11" t="n">
        <x:f>IF($A1229="","",AVERAGE($H1229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1268.01800104748</x:v>
      </x:c>
      <x:c r="J1229" s="12" t="n">
        <x:f>IF($A1229="","",1+SUMIFS(Assumptions!$S$5:$S$10,Assumptions!$P$5:$P$10,$B1229,Assumptions!$Q$5:$Q$10,"&lt;="&amp;$A1229,Assumptions!$R$5:$R$10,"&gt;="&amp;$A1229))</x:f>
        <x:v>1</x:v>
      </x:c>
      <x:c r="K1229" s="12" t="n">
        <x:f>IF($A1229="","",1+((($A1229-Assumptions!$B$5)/30)*INDEX(Assumptions!$J$5:$J$12,MATCH($B1229,Assumptions!$D$5:$D$12,0))))</x:f>
        <x:v>1.0245</x:v>
      </x:c>
      <x:c r="L1229" t="str">
        <x:f>IF($A1229="","",IFERROR(INDEX(Assumptions!$O$5:$O$10,MATCH(1,(Assumptions!$P$5:$P$10=$B1229)*(Assumptions!$Q$5:$Q$10&lt;=$A1229)*(Assumptions!$R$5:$R$10&gt;=$A1229),0)),""))</x:f>
      </x:c>
      <x:c r="M1229" t="n">
        <x:f>--($A1229&lt;&gt;"")</x:f>
        <x:v>1</x:v>
      </x:c>
    </x:row>
    <x:row r="1230">
      <x:c r="A1230" s="10" t="n">
        <x:f>IF(Assumptions!$B$5+INT((ROW()-2)/Assumptions!$B$7)&gt;Assumptions!$B$6,"",Assumptions!$B$5+INT((ROW()-2)/Assumptions!$B$7))</x:f>
        <x:v>46268</x:v>
      </x:c>
      <x:c r="B1230" t="str">
        <x:f>IF($A1230="","",INDEX(Assumptions!$D$5:$D$12,MOD(ROW()-2,Assumptions!$B$7)+1))</x:f>
        <x:v>Hadley's Hope</x:v>
      </x:c>
      <x:c r="C1230" s="11" t="n">
        <x:f>IF($A1230="","",INDEX(Assumptions!$F$5:$F$12,MATCH($B1230,Assumptions!$D$5:$D$12,0)))</x:f>
        <x:v>845</x:v>
      </x:c>
      <x:c r="D1230" s="11" t="n">
        <x:f>IF($A1230="","",INDEX(Assumptions!$G$5:$G$12,MATCH($B1230,Assumptions!$D$5:$D$12,0)))</x:f>
        <x:v>80</x:v>
      </x:c>
      <x:c r="E1230" s="11" t="n">
        <x:f>IF($A1230="","",INDEX(Assumptions!$M$5:$M$11,WEEKDAY($A1230,2)))</x:f>
        <x:v>1</x:v>
      </x:c>
      <x:c r="F1230" s="11" t="n">
        <x:f>IF($A1230="","",Assumptions!$B$15)</x:f>
        <x:v>0.35</x:v>
      </x:c>
      <x:c r="G1230" s="11" t="n">
        <x:f>IF($A1230="","",MAX(INDEX(Assumptions!$H$5:$H$12,MATCH($B1230,Assumptions!$D$5:$D$12,0)),MIN(INDEX(Assumptions!$I$5:$I$12,MATCH($B1230,Assumptions!$D$5:$D$12,0)),($C1230+$D1230*SQRT(-2*LN(RAND()))*COS(2*PI()*RAND()))*$E1230*$J1230*$K1230)))</x:f>
        <x:v>899.956313160753</x:v>
      </x:c>
      <x:c r="H1230" s="11" t="n">
        <x:f>IF($A1230="","",$G1230*$F1230+$C1230*(1-$F1230))</x:f>
        <x:v>864.2347096062636</x:v>
      </x:c>
      <x:c r="I1230" s="11" t="n">
        <x:f>IF($A1230="","",AVERAGE($H1230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848.8443368637503</x:v>
      </x:c>
      <x:c r="J1230" s="12" t="n">
        <x:f>IF($A1230="","",1+SUMIFS(Assumptions!$S$5:$S$10,Assumptions!$P$5:$P$10,$B1230,Assumptions!$Q$5:$Q$10,"&lt;="&amp;$A1230,Assumptions!$R$5:$R$10,"&gt;="&amp;$A1230))</x:f>
        <x:v>1</x:v>
      </x:c>
      <x:c r="K1230" s="12" t="n">
        <x:f>IF($A1230="","",1+((($A1230-Assumptions!$B$5)/30)*INDEX(Assumptions!$J$5:$J$12,MATCH($B1230,Assumptions!$D$5:$D$12,0))))</x:f>
        <x:v>1.0081666666666667</x:v>
      </x:c>
      <x:c r="L1230" t="str">
        <x:f>IF($A1230="","",IFERROR(INDEX(Assumptions!$O$5:$O$10,MATCH(1,(Assumptions!$P$5:$P$10=$B1230)*(Assumptions!$Q$5:$Q$10&lt;=$A1230)*(Assumptions!$R$5:$R$10&gt;=$A1230),0)),""))</x:f>
      </x:c>
      <x:c r="M1230" t="n">
        <x:f>--($A1230&lt;&gt;"")</x:f>
        <x:v>1</x:v>
      </x:c>
    </x:row>
    <x:row r="1231">
      <x:c r="A1231" s="10" t="n">
        <x:f>IF(Assumptions!$B$5+INT((ROW()-2)/Assumptions!$B$7)&gt;Assumptions!$B$6,"",Assumptions!$B$5+INT((ROW()-2)/Assumptions!$B$7))</x:f>
        <x:v>46268</x:v>
      </x:c>
      <x:c r="B1231" t="str">
        <x:f>IF($A1231="","",INDEX(Assumptions!$D$5:$D$12,MOD(ROW()-2,Assumptions!$B$7)+1))</x:f>
        <x:v>Yutani Ridge</x:v>
      </x:c>
      <x:c r="C1231" s="11" t="n">
        <x:f>IF($A1231="","",INDEX(Assumptions!$F$5:$F$12,MATCH($B1231,Assumptions!$D$5:$D$12,0)))</x:f>
        <x:v>1050</x:v>
      </x:c>
      <x:c r="D1231" s="11" t="n">
        <x:f>IF($A1231="","",INDEX(Assumptions!$G$5:$G$12,MATCH($B1231,Assumptions!$D$5:$D$12,0)))</x:f>
        <x:v>125</x:v>
      </x:c>
      <x:c r="E1231" s="11" t="n">
        <x:f>IF($A1231="","",INDEX(Assumptions!$M$5:$M$11,WEEKDAY($A1231,2)))</x:f>
        <x:v>1</x:v>
      </x:c>
      <x:c r="F1231" s="11" t="n">
        <x:f>IF($A1231="","",Assumptions!$B$15)</x:f>
        <x:v>0.35</x:v>
      </x:c>
      <x:c r="G1231" s="11" t="n">
        <x:f>IF($A1231="","",MAX(INDEX(Assumptions!$H$5:$H$12,MATCH($B1231,Assumptions!$D$5:$D$12,0)),MIN(INDEX(Assumptions!$I$5:$I$12,MATCH($B1231,Assumptions!$D$5:$D$12,0)),($C1231+$D1231*SQRT(-2*LN(RAND()))*COS(2*PI()*RAND()))*$E1231*$J1231*$K1231)))</x:f>
        <x:v>1313.5526708387968</x:v>
      </x:c>
      <x:c r="H1231" s="11" t="n">
        <x:f>IF($A1231="","",$G1231*$F1231+$C1231*(1-$F1231))</x:f>
        <x:v>1142.243434793579</x:v>
      </x:c>
      <x:c r="I1231" s="11" t="n">
        <x:f>IF($A1231="","",AVERAGE($H1231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1128.6310797555338</x:v>
      </x:c>
      <x:c r="J1231" s="12" t="n">
        <x:f>IF($A1231="","",1+SUMIFS(Assumptions!$S$5:$S$10,Assumptions!$P$5:$P$10,$B1231,Assumptions!$Q$5:$Q$10,"&lt;="&amp;$A1231,Assumptions!$R$5:$R$10,"&gt;="&amp;$A1231))</x:f>
        <x:v>1.22</x:v>
      </x:c>
      <x:c r="K1231" s="12" t="n">
        <x:f>IF($A1231="","",1+((($A1231-Assumptions!$B$5)/30)*INDEX(Assumptions!$J$5:$J$12,MATCH($B1231,Assumptions!$D$5:$D$12,0))))</x:f>
        <x:v>1.0204166666666667</x:v>
      </x:c>
      <x:c r="L1231" t="str">
        <x:f>IF($A1231="","",IFERROR(INDEX(Assumptions!$O$5:$O$10,MATCH(1,(Assumptions!$P$5:$P$10=$B1231)*(Assumptions!$Q$5:$Q$10&lt;=$A1231)*(Assumptions!$R$5:$R$10&gt;=$A1231),0)),""))</x:f>
        <x:v>Equipment upgrade</x:v>
      </x:c>
      <x:c r="M1231" t="n">
        <x:f>--($A1231&lt;&gt;"")</x:f>
        <x:v>1</x:v>
      </x:c>
    </x:row>
    <x:row r="1232">
      <x:c r="A1232" s="10" t="n">
        <x:f>IF(Assumptions!$B$5+INT((ROW()-2)/Assumptions!$B$7)&gt;Assumptions!$B$6,"",Assumptions!$B$5+INT((ROW()-2)/Assumptions!$B$7))</x:f>
        <x:v>46269</x:v>
      </x:c>
      <x:c r="B1232" t="str">
        <x:f>IF($A1232="","",INDEX(Assumptions!$D$5:$D$12,MOD(ROW()-2,Assumptions!$B$7)+1))</x:f>
        <x:v>Acheron Prime</x:v>
      </x:c>
      <x:c r="C1232" s="11" t="n">
        <x:f>IF($A1232="","",INDEX(Assumptions!$F$5:$F$12,MATCH($B1232,Assumptions!$D$5:$D$12,0)))</x:f>
        <x:v>1120</x:v>
      </x:c>
      <x:c r="D1232" s="11" t="n">
        <x:f>IF($A1232="","",INDEX(Assumptions!$G$5:$G$12,MATCH($B1232,Assumptions!$D$5:$D$12,0)))</x:f>
        <x:v>115</x:v>
      </x:c>
      <x:c r="E1232" s="11" t="n">
        <x:f>IF($A1232="","",INDEX(Assumptions!$M$5:$M$11,WEEKDAY($A1232,2)))</x:f>
        <x:v>0.98</x:v>
      </x:c>
      <x:c r="F1232" s="11" t="n">
        <x:f>IF($A1232="","",Assumptions!$B$15)</x:f>
        <x:v>0.35</x:v>
      </x:c>
      <x:c r="G1232" s="11" t="n">
        <x:f>IF($A1232="","",MAX(INDEX(Assumptions!$H$5:$H$12,MATCH($B1232,Assumptions!$D$5:$D$12,0)),MIN(INDEX(Assumptions!$I$5:$I$12,MATCH($B1232,Assumptions!$D$5:$D$12,0)),($C1232+$D1232*SQRT(-2*LN(RAND()))*COS(2*PI()*RAND()))*$E1232*$J1232*$K1232)))</x:f>
        <x:v>1172.5963397902915</x:v>
      </x:c>
      <x:c r="H1232" s="11" t="n">
        <x:f>IF($A1232="","",$G1232*$F1232+$C1232*(1-$F1232))</x:f>
        <x:v>1138.408718926602</x:v>
      </x:c>
      <x:c r="I1232" s="11" t="n">
        <x:f>IF($A1232="","",AVERAGE($H1232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1106.153524423658</x:v>
      </x:c>
      <x:c r="J1232" s="12" t="n">
        <x:f>IF($A1232="","",1+SUMIFS(Assumptions!$S$5:$S$10,Assumptions!$P$5:$P$10,$B1232,Assumptions!$Q$5:$Q$10,"&lt;="&amp;$A1232,Assumptions!$R$5:$R$10,"&gt;="&amp;$A1232))</x:f>
        <x:v>1</x:v>
      </x:c>
      <x:c r="K1232" s="12" t="n">
        <x:f>IF($A1232="","",1+((($A1232-Assumptions!$B$5)/30)*INDEX(Assumptions!$J$5:$J$12,MATCH($B1232,Assumptions!$D$5:$D$12,0))))</x:f>
        <x:v>1.0164</x:v>
      </x:c>
      <x:c r="L1232" t="str">
        <x:f>IF($A1232="","",IFERROR(INDEX(Assumptions!$O$5:$O$10,MATCH(1,(Assumptions!$P$5:$P$10=$B1232)*(Assumptions!$Q$5:$Q$10&lt;=$A1232)*(Assumptions!$R$5:$R$10&gt;=$A1232),0)),""))</x:f>
      </x:c>
      <x:c r="M1232" t="n">
        <x:f>--($A1232&lt;&gt;"")</x:f>
        <x:v>1</x:v>
      </x:c>
    </x:row>
    <x:row r="1233">
      <x:c r="A1233" s="10" t="n">
        <x:f>IF(Assumptions!$B$5+INT((ROW()-2)/Assumptions!$B$7)&gt;Assumptions!$B$6,"",Assumptions!$B$5+INT((ROW()-2)/Assumptions!$B$7))</x:f>
        <x:v>46269</x:v>
      </x:c>
      <x:c r="B1233" t="str">
        <x:f>IF($A1233="","",INDEX(Assumptions!$D$5:$D$12,MOD(ROW()-2,Assumptions!$B$7)+1))</x:f>
        <x:v>LV-426 North</x:v>
      </x:c>
      <x:c r="C1233" s="11" t="n">
        <x:f>IF($A1233="","",INDEX(Assumptions!$F$5:$F$12,MATCH($B1233,Assumptions!$D$5:$D$12,0)))</x:f>
        <x:v>930</x:v>
      </x:c>
      <x:c r="D1233" s="11" t="n">
        <x:f>IF($A1233="","",INDEX(Assumptions!$G$5:$G$12,MATCH($B1233,Assumptions!$D$5:$D$12,0)))</x:f>
        <x:v>95</x:v>
      </x:c>
      <x:c r="E1233" s="11" t="n">
        <x:f>IF($A1233="","",INDEX(Assumptions!$M$5:$M$11,WEEKDAY($A1233,2)))</x:f>
        <x:v>0.98</x:v>
      </x:c>
      <x:c r="F1233" s="11" t="n">
        <x:f>IF($A1233="","",Assumptions!$B$15)</x:f>
        <x:v>0.35</x:v>
      </x:c>
      <x:c r="G1233" s="11" t="n">
        <x:f>IF($A1233="","",MAX(INDEX(Assumptions!$H$5:$H$12,MATCH($B1233,Assumptions!$D$5:$D$12,0)),MIN(INDEX(Assumptions!$I$5:$I$12,MATCH($B1233,Assumptions!$D$5:$D$12,0)),($C1233+$D1233*SQRT(-2*LN(RAND()))*COS(2*PI()*RAND()))*$E1233*$J1233*$K1233)))</x:f>
        <x:v>929.715799315177</x:v>
      </x:c>
      <x:c r="H1233" s="11" t="n">
        <x:f>IF($A1233="","",$G1233*$F1233+$C1233*(1-$F1233))</x:f>
        <x:v>929.9005297603119</x:v>
      </x:c>
      <x:c r="I1233" s="11" t="n">
        <x:f>IF($A1233="","",AVERAGE($H1233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925.9666295928564</x:v>
      </x:c>
      <x:c r="J1233" s="12" t="n">
        <x:f>IF($A1233="","",1+SUMIFS(Assumptions!$S$5:$S$10,Assumptions!$P$5:$P$10,$B1233,Assumptions!$Q$5:$Q$10,"&lt;="&amp;$A1233,Assumptions!$R$5:$R$10,"&gt;="&amp;$A1233))</x:f>
        <x:v>1</x:v>
      </x:c>
      <x:c r="K1233" s="12" t="n">
        <x:f>IF($A1233="","",1+((($A1233-Assumptions!$B$5)/30)*INDEX(Assumptions!$J$5:$J$12,MATCH($B1233,Assumptions!$D$5:$D$12,0))))</x:f>
        <x:v>0.9918</x:v>
      </x:c>
      <x:c r="L1233" t="str">
        <x:f>IF($A1233="","",IFERROR(INDEX(Assumptions!$O$5:$O$10,MATCH(1,(Assumptions!$P$5:$P$10=$B1233)*(Assumptions!$Q$5:$Q$10&lt;=$A1233)*(Assumptions!$R$5:$R$10&gt;=$A1233),0)),""))</x:f>
      </x:c>
      <x:c r="M1233" t="n">
        <x:f>--($A1233&lt;&gt;"")</x:f>
        <x:v>1</x:v>
      </x:c>
    </x:row>
    <x:row r="1234">
      <x:c r="A1234" s="10" t="n">
        <x:f>IF(Assumptions!$B$5+INT((ROW()-2)/Assumptions!$B$7)&gt;Assumptions!$B$6,"",Assumptions!$B$5+INT((ROW()-2)/Assumptions!$B$7))</x:f>
        <x:v>46269</x:v>
      </x:c>
      <x:c r="B1234" t="str">
        <x:f>IF($A1234="","",INDEX(Assumptions!$D$5:$D$12,MOD(ROW()-2,Assumptions!$B$7)+1))</x:f>
        <x:v>Nostromo Deep</x:v>
      </x:c>
      <x:c r="C1234" s="11" t="n">
        <x:f>IF($A1234="","",INDEX(Assumptions!$F$5:$F$12,MATCH($B1234,Assumptions!$D$5:$D$12,0)))</x:f>
        <x:v>1260</x:v>
      </x:c>
      <x:c r="D1234" s="11" t="n">
        <x:f>IF($A1234="","",INDEX(Assumptions!$G$5:$G$12,MATCH($B1234,Assumptions!$D$5:$D$12,0)))</x:f>
        <x:v>145</x:v>
      </x:c>
      <x:c r="E1234" s="11" t="n">
        <x:f>IF($A1234="","",INDEX(Assumptions!$M$5:$M$11,WEEKDAY($A1234,2)))</x:f>
        <x:v>0.98</x:v>
      </x:c>
      <x:c r="F1234" s="11" t="n">
        <x:f>IF($A1234="","",Assumptions!$B$15)</x:f>
        <x:v>0.35</x:v>
      </x:c>
      <x:c r="G1234" s="11" t="n">
        <x:f>IF($A1234="","",MAX(INDEX(Assumptions!$H$5:$H$12,MATCH($B1234,Assumptions!$D$5:$D$12,0)),MIN(INDEX(Assumptions!$I$5:$I$12,MATCH($B1234,Assumptions!$D$5:$D$12,0)),($C1234+$D1234*SQRT(-2*LN(RAND()))*COS(2*PI()*RAND()))*$E1234*$J1234*$K1234)))</x:f>
        <x:v>1011.6867793947196</x:v>
      </x:c>
      <x:c r="H1234" s="11" t="n">
        <x:f>IF($A1234="","",$G1234*$F1234+$C1234*(1-$F1234))</x:f>
        <x:v>1173.0903727881519</x:v>
      </x:c>
      <x:c r="I1234" s="11" t="n">
        <x:f>IF($A1234="","",AVERAGE($H1234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1259.270424792616</x:v>
      </x:c>
      <x:c r="J1234" s="12" t="n">
        <x:f>IF($A1234="","",1+SUMIFS(Assumptions!$S$5:$S$10,Assumptions!$P$5:$P$10,$B1234,Assumptions!$Q$5:$Q$10,"&lt;="&amp;$A1234,Assumptions!$R$5:$R$10,"&gt;="&amp;$A1234))</x:f>
        <x:v>1</x:v>
      </x:c>
      <x:c r="K1234" s="12" t="n">
        <x:f>IF($A1234="","",1+((($A1234-Assumptions!$B$5)/30)*INDEX(Assumptions!$J$5:$J$12,MATCH($B1234,Assumptions!$D$5:$D$12,0))))</x:f>
        <x:v>1.0246</x:v>
      </x:c>
      <x:c r="L1234" t="str">
        <x:f>IF($A1234="","",IFERROR(INDEX(Assumptions!$O$5:$O$10,MATCH(1,(Assumptions!$P$5:$P$10=$B1234)*(Assumptions!$Q$5:$Q$10&lt;=$A1234)*(Assumptions!$R$5:$R$10&gt;=$A1234),0)),""))</x:f>
      </x:c>
      <x:c r="M1234" t="n">
        <x:f>--($A1234&lt;&gt;"")</x:f>
        <x:v>1</x:v>
      </x:c>
    </x:row>
    <x:row r="1235">
      <x:c r="A1235" s="10" t="n">
        <x:f>IF(Assumptions!$B$5+INT((ROW()-2)/Assumptions!$B$7)&gt;Assumptions!$B$6,"",Assumptions!$B$5+INT((ROW()-2)/Assumptions!$B$7))</x:f>
        <x:v>46269</x:v>
      </x:c>
      <x:c r="B1235" t="str">
        <x:f>IF($A1235="","",INDEX(Assumptions!$D$5:$D$12,MOD(ROW()-2,Assumptions!$B$7)+1))</x:f>
        <x:v>Hadley's Hope</x:v>
      </x:c>
      <x:c r="C1235" s="11" t="n">
        <x:f>IF($A1235="","",INDEX(Assumptions!$F$5:$F$12,MATCH($B1235,Assumptions!$D$5:$D$12,0)))</x:f>
        <x:v>845</x:v>
      </x:c>
      <x:c r="D1235" s="11" t="n">
        <x:f>IF($A1235="","",INDEX(Assumptions!$G$5:$G$12,MATCH($B1235,Assumptions!$D$5:$D$12,0)))</x:f>
        <x:v>80</x:v>
      </x:c>
      <x:c r="E1235" s="11" t="n">
        <x:f>IF($A1235="","",INDEX(Assumptions!$M$5:$M$11,WEEKDAY($A1235,2)))</x:f>
        <x:v>0.98</x:v>
      </x:c>
      <x:c r="F1235" s="11" t="n">
        <x:f>IF($A1235="","",Assumptions!$B$15)</x:f>
        <x:v>0.35</x:v>
      </x:c>
      <x:c r="G1235" s="11" t="n">
        <x:f>IF($A1235="","",MAX(INDEX(Assumptions!$H$5:$H$12,MATCH($B1235,Assumptions!$D$5:$D$12,0)),MIN(INDEX(Assumptions!$I$5:$I$12,MATCH($B1235,Assumptions!$D$5:$D$12,0)),($C1235+$D1235*SQRT(-2*LN(RAND()))*COS(2*PI()*RAND()))*$E1235*$J1235*$K1235)))</x:f>
        <x:v>788.6105423473443</x:v>
      </x:c>
      <x:c r="H1235" s="11" t="n">
        <x:f>IF($A1235="","",$G1235*$F1235+$C1235*(1-$F1235))</x:f>
        <x:v>825.2636898215706</x:v>
      </x:c>
      <x:c r="I1235" s="11" t="n">
        <x:f>IF($A1235="","",AVERAGE($H1235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844.5983953915459</x:v>
      </x:c>
      <x:c r="J1235" s="12" t="n">
        <x:f>IF($A1235="","",1+SUMIFS(Assumptions!$S$5:$S$10,Assumptions!$P$5:$P$10,$B1235,Assumptions!$Q$5:$Q$10,"&lt;="&amp;$A1235,Assumptions!$R$5:$R$10,"&gt;="&amp;$A1235))</x:f>
        <x:v>1</x:v>
      </x:c>
      <x:c r="K1235" s="12" t="n">
        <x:f>IF($A1235="","",1+((($A1235-Assumptions!$B$5)/30)*INDEX(Assumptions!$J$5:$J$12,MATCH($B1235,Assumptions!$D$5:$D$12,0))))</x:f>
        <x:v>1.0082</x:v>
      </x:c>
      <x:c r="L1235" t="str">
        <x:f>IF($A1235="","",IFERROR(INDEX(Assumptions!$O$5:$O$10,MATCH(1,(Assumptions!$P$5:$P$10=$B1235)*(Assumptions!$Q$5:$Q$10&lt;=$A1235)*(Assumptions!$R$5:$R$10&gt;=$A1235),0)),""))</x:f>
      </x:c>
      <x:c r="M1235" t="n">
        <x:f>--($A1235&lt;&gt;"")</x:f>
        <x:v>1</x:v>
      </x:c>
    </x:row>
    <x:row r="1236">
      <x:c r="A1236" s="10" t="n">
        <x:f>IF(Assumptions!$B$5+INT((ROW()-2)/Assumptions!$B$7)&gt;Assumptions!$B$6,"",Assumptions!$B$5+INT((ROW()-2)/Assumptions!$B$7))</x:f>
        <x:v>46269</x:v>
      </x:c>
      <x:c r="B1236" t="str">
        <x:f>IF($A1236="","",INDEX(Assumptions!$D$5:$D$12,MOD(ROW()-2,Assumptions!$B$7)+1))</x:f>
        <x:v>Yutani Ridge</x:v>
      </x:c>
      <x:c r="C1236" s="11" t="n">
        <x:f>IF($A1236="","",INDEX(Assumptions!$F$5:$F$12,MATCH($B1236,Assumptions!$D$5:$D$12,0)))</x:f>
        <x:v>1050</x:v>
      </x:c>
      <x:c r="D1236" s="11" t="n">
        <x:f>IF($A1236="","",INDEX(Assumptions!$G$5:$G$12,MATCH($B1236,Assumptions!$D$5:$D$12,0)))</x:f>
        <x:v>125</x:v>
      </x:c>
      <x:c r="E1236" s="11" t="n">
        <x:f>IF($A1236="","",INDEX(Assumptions!$M$5:$M$11,WEEKDAY($A1236,2)))</x:f>
        <x:v>0.98</x:v>
      </x:c>
      <x:c r="F1236" s="11" t="n">
        <x:f>IF($A1236="","",Assumptions!$B$15)</x:f>
        <x:v>0.35</x:v>
      </x:c>
      <x:c r="G1236" s="11" t="n">
        <x:f>IF($A1236="","",MAX(INDEX(Assumptions!$H$5:$H$12,MATCH($B1236,Assumptions!$D$5:$D$12,0)),MIN(INDEX(Assumptions!$I$5:$I$12,MATCH($B1236,Assumptions!$D$5:$D$12,0)),($C1236+$D1236*SQRT(-2*LN(RAND()))*COS(2*PI()*RAND()))*$E1236*$J1236*$K1236)))</x:f>
        <x:v>1340.7549235793758</x:v>
      </x:c>
      <x:c r="H1236" s="11" t="n">
        <x:f>IF($A1236="","",$G1236*$F1236+$C1236*(1-$F1236))</x:f>
        <x:v>1151.7642232527814</x:v>
      </x:c>
      <x:c r="I1236" s="11" t="n">
        <x:f>IF($A1236="","",AVERAGE($H1236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1130.8426248102528</x:v>
      </x:c>
      <x:c r="J1236" s="12" t="n">
        <x:f>IF($A1236="","",1+SUMIFS(Assumptions!$S$5:$S$10,Assumptions!$P$5:$P$10,$B1236,Assumptions!$Q$5:$Q$10,"&lt;="&amp;$A1236,Assumptions!$R$5:$R$10,"&gt;="&amp;$A1236))</x:f>
        <x:v>1.22</x:v>
      </x:c>
      <x:c r="K1236" s="12" t="n">
        <x:f>IF($A1236="","",1+((($A1236-Assumptions!$B$5)/30)*INDEX(Assumptions!$J$5:$J$12,MATCH($B1236,Assumptions!$D$5:$D$12,0))))</x:f>
        <x:v>1.0205</x:v>
      </x:c>
      <x:c r="L1236" t="str">
        <x:f>IF($A1236="","",IFERROR(INDEX(Assumptions!$O$5:$O$10,MATCH(1,(Assumptions!$P$5:$P$10=$B1236)*(Assumptions!$Q$5:$Q$10&lt;=$A1236)*(Assumptions!$R$5:$R$10&gt;=$A1236),0)),""))</x:f>
        <x:v>Equipment upgrade</x:v>
      </x:c>
      <x:c r="M1236" t="n">
        <x:f>--($A1236&lt;&gt;"")</x:f>
        <x:v>1</x:v>
      </x:c>
    </x:row>
    <x:row r="1237">
      <x:c r="A1237" s="10" t="n">
        <x:f>IF(Assumptions!$B$5+INT((ROW()-2)/Assumptions!$B$7)&gt;Assumptions!$B$6,"",Assumptions!$B$5+INT((ROW()-2)/Assumptions!$B$7))</x:f>
        <x:v>46270</x:v>
      </x:c>
      <x:c r="B1237" t="str">
        <x:f>IF($A1237="","",INDEX(Assumptions!$D$5:$D$12,MOD(ROW()-2,Assumptions!$B$7)+1))</x:f>
        <x:v>Acheron Prime</x:v>
      </x:c>
      <x:c r="C1237" s="11" t="n">
        <x:f>IF($A1237="","",INDEX(Assumptions!$F$5:$F$12,MATCH($B1237,Assumptions!$D$5:$D$12,0)))</x:f>
        <x:v>1120</x:v>
      </x:c>
      <x:c r="D1237" s="11" t="n">
        <x:f>IF($A1237="","",INDEX(Assumptions!$G$5:$G$12,MATCH($B1237,Assumptions!$D$5:$D$12,0)))</x:f>
        <x:v>115</x:v>
      </x:c>
      <x:c r="E1237" s="11" t="n">
        <x:f>IF($A1237="","",INDEX(Assumptions!$M$5:$M$11,WEEKDAY($A1237,2)))</x:f>
        <x:v>0.91</x:v>
      </x:c>
      <x:c r="F1237" s="11" t="n">
        <x:f>IF($A1237="","",Assumptions!$B$15)</x:f>
        <x:v>0.35</x:v>
      </x:c>
      <x:c r="G1237" s="11" t="n">
        <x:f>IF($A1237="","",MAX(INDEX(Assumptions!$H$5:$H$12,MATCH($B1237,Assumptions!$D$5:$D$12,0)),MIN(INDEX(Assumptions!$I$5:$I$12,MATCH($B1237,Assumptions!$D$5:$D$12,0)),($C1237+$D1237*SQRT(-2*LN(RAND()))*COS(2*PI()*RAND()))*$E1237*$J1237*$K1237)))</x:f>
        <x:v>1312.7013720012494</x:v>
      </x:c>
      <x:c r="H1237" s="11" t="n">
        <x:f>IF($A1237="","",$G1237*$F1237+$C1237*(1-$F1237))</x:f>
        <x:v>1187.4454802004373</x:v>
      </x:c>
      <x:c r="I1237" s="11" t="n">
        <x:f>IF($A1237="","",AVERAGE($H1237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1121.8099956269903</x:v>
      </x:c>
      <x:c r="J1237" s="12" t="n">
        <x:f>IF($A1237="","",1+SUMIFS(Assumptions!$S$5:$S$10,Assumptions!$P$5:$P$10,$B1237,Assumptions!$Q$5:$Q$10,"&lt;="&amp;$A1237,Assumptions!$R$5:$R$10,"&gt;="&amp;$A1237))</x:f>
        <x:v>1</x:v>
      </x:c>
      <x:c r="K1237" s="12" t="n">
        <x:f>IF($A1237="","",1+((($A1237-Assumptions!$B$5)/30)*INDEX(Assumptions!$J$5:$J$12,MATCH($B1237,Assumptions!$D$5:$D$12,0))))</x:f>
        <x:v>1.0164666666666666</x:v>
      </x:c>
      <x:c r="L1237" t="str">
        <x:f>IF($A1237="","",IFERROR(INDEX(Assumptions!$O$5:$O$10,MATCH(1,(Assumptions!$P$5:$P$10=$B1237)*(Assumptions!$Q$5:$Q$10&lt;=$A1237)*(Assumptions!$R$5:$R$10&gt;=$A1237),0)),""))</x:f>
      </x:c>
      <x:c r="M1237" t="n">
        <x:f>--($A1237&lt;&gt;"")</x:f>
        <x:v>1</x:v>
      </x:c>
    </x:row>
    <x:row r="1238">
      <x:c r="A1238" s="10" t="n">
        <x:f>IF(Assumptions!$B$5+INT((ROW()-2)/Assumptions!$B$7)&gt;Assumptions!$B$6,"",Assumptions!$B$5+INT((ROW()-2)/Assumptions!$B$7))</x:f>
        <x:v>46270</x:v>
      </x:c>
      <x:c r="B1238" t="str">
        <x:f>IF($A1238="","",INDEX(Assumptions!$D$5:$D$12,MOD(ROW()-2,Assumptions!$B$7)+1))</x:f>
        <x:v>LV-426 North</x:v>
      </x:c>
      <x:c r="C1238" s="11" t="n">
        <x:f>IF($A1238="","",INDEX(Assumptions!$F$5:$F$12,MATCH($B1238,Assumptions!$D$5:$D$12,0)))</x:f>
        <x:v>930</x:v>
      </x:c>
      <x:c r="D1238" s="11" t="n">
        <x:f>IF($A1238="","",INDEX(Assumptions!$G$5:$G$12,MATCH($B1238,Assumptions!$D$5:$D$12,0)))</x:f>
        <x:v>95</x:v>
      </x:c>
      <x:c r="E1238" s="11" t="n">
        <x:f>IF($A1238="","",INDEX(Assumptions!$M$5:$M$11,WEEKDAY($A1238,2)))</x:f>
        <x:v>0.91</x:v>
      </x:c>
      <x:c r="F1238" s="11" t="n">
        <x:f>IF($A1238="","",Assumptions!$B$15)</x:f>
        <x:v>0.35</x:v>
      </x:c>
      <x:c r="G1238" s="11" t="n">
        <x:f>IF($A1238="","",MAX(INDEX(Assumptions!$H$5:$H$12,MATCH($B1238,Assumptions!$D$5:$D$12,0)),MIN(INDEX(Assumptions!$I$5:$I$12,MATCH($B1238,Assumptions!$D$5:$D$12,0)),($C1238+$D1238*SQRT(-2*LN(RAND()))*COS(2*PI()*RAND()))*$E1238*$J1238*$K1238)))</x:f>
        <x:v>734.250000085955</x:v>
      </x:c>
      <x:c r="H1238" s="11" t="n">
        <x:f>IF($A1238="","",$G1238*$F1238+$C1238*(1-$F1238))</x:f>
        <x:v>861.4875000300842</x:v>
      </x:c>
      <x:c r="I1238" s="11" t="n">
        <x:f>IF($A1238="","",AVERAGE($H1238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916.9236341778453</x:v>
      </x:c>
      <x:c r="J1238" s="12" t="n">
        <x:f>IF($A1238="","",1+SUMIFS(Assumptions!$S$5:$S$10,Assumptions!$P$5:$P$10,$B1238,Assumptions!$Q$5:$Q$10,"&lt;="&amp;$A1238,Assumptions!$R$5:$R$10,"&gt;="&amp;$A1238))</x:f>
        <x:v>1</x:v>
      </x:c>
      <x:c r="K1238" s="12" t="n">
        <x:f>IF($A1238="","",1+((($A1238-Assumptions!$B$5)/30)*INDEX(Assumptions!$J$5:$J$12,MATCH($B1238,Assumptions!$D$5:$D$12,0))))</x:f>
        <x:v>0.9917666666666667</x:v>
      </x:c>
      <x:c r="L1238" t="str">
        <x:f>IF($A1238="","",IFERROR(INDEX(Assumptions!$O$5:$O$10,MATCH(1,(Assumptions!$P$5:$P$10=$B1238)*(Assumptions!$Q$5:$Q$10&lt;=$A1238)*(Assumptions!$R$5:$R$10&gt;=$A1238),0)),""))</x:f>
      </x:c>
      <x:c r="M1238" t="n">
        <x:f>--($A1238&lt;&gt;"")</x:f>
        <x:v>1</x:v>
      </x:c>
    </x:row>
    <x:row r="1239">
      <x:c r="A1239" s="10" t="n">
        <x:f>IF(Assumptions!$B$5+INT((ROW()-2)/Assumptions!$B$7)&gt;Assumptions!$B$6,"",Assumptions!$B$5+INT((ROW()-2)/Assumptions!$B$7))</x:f>
        <x:v>46270</x:v>
      </x:c>
      <x:c r="B1239" t="str">
        <x:f>IF($A1239="","",INDEX(Assumptions!$D$5:$D$12,MOD(ROW()-2,Assumptions!$B$7)+1))</x:f>
        <x:v>Nostromo Deep</x:v>
      </x:c>
      <x:c r="C1239" s="11" t="n">
        <x:f>IF($A1239="","",INDEX(Assumptions!$F$5:$F$12,MATCH($B1239,Assumptions!$D$5:$D$12,0)))</x:f>
        <x:v>1260</x:v>
      </x:c>
      <x:c r="D1239" s="11" t="n">
        <x:f>IF($A1239="","",INDEX(Assumptions!$G$5:$G$12,MATCH($B1239,Assumptions!$D$5:$D$12,0)))</x:f>
        <x:v>145</x:v>
      </x:c>
      <x:c r="E1239" s="11" t="n">
        <x:f>IF($A1239="","",INDEX(Assumptions!$M$5:$M$11,WEEKDAY($A1239,2)))</x:f>
        <x:v>0.91</x:v>
      </x:c>
      <x:c r="F1239" s="11" t="n">
        <x:f>IF($A1239="","",Assumptions!$B$15)</x:f>
        <x:v>0.35</x:v>
      </x:c>
      <x:c r="G1239" s="11" t="n">
        <x:f>IF($A1239="","",MAX(INDEX(Assumptions!$H$5:$H$12,MATCH($B1239,Assumptions!$D$5:$D$12,0)),MIN(INDEX(Assumptions!$I$5:$I$12,MATCH($B1239,Assumptions!$D$5:$D$12,0)),($C1239+$D1239*SQRT(-2*LN(RAND()))*COS(2*PI()*RAND()))*$E1239*$J1239*$K1239)))</x:f>
        <x:v>1112.1136353882664</x:v>
      </x:c>
      <x:c r="H1239" s="11" t="n">
        <x:f>IF($A1239="","",$G1239*$F1239+$C1239*(1-$F1239))</x:f>
        <x:v>1208.2397723858933</x:v>
      </x:c>
      <x:c r="I1239" s="11" t="n">
        <x:f>IF($A1239="","",AVERAGE($H1239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1254.1478796038089</x:v>
      </x:c>
      <x:c r="J1239" s="12" t="n">
        <x:f>IF($A1239="","",1+SUMIFS(Assumptions!$S$5:$S$10,Assumptions!$P$5:$P$10,$B1239,Assumptions!$Q$5:$Q$10,"&lt;="&amp;$A1239,Assumptions!$R$5:$R$10,"&gt;="&amp;$A1239))</x:f>
        <x:v>1</x:v>
      </x:c>
      <x:c r="K1239" s="12" t="n">
        <x:f>IF($A1239="","",1+((($A1239-Assumptions!$B$5)/30)*INDEX(Assumptions!$J$5:$J$12,MATCH($B1239,Assumptions!$D$5:$D$12,0))))</x:f>
        <x:v>1.0247</x:v>
      </x:c>
      <x:c r="L1239" t="str">
        <x:f>IF($A1239="","",IFERROR(INDEX(Assumptions!$O$5:$O$10,MATCH(1,(Assumptions!$P$5:$P$10=$B1239)*(Assumptions!$Q$5:$Q$10&lt;=$A1239)*(Assumptions!$R$5:$R$10&gt;=$A1239),0)),""))</x:f>
      </x:c>
      <x:c r="M1239" t="n">
        <x:f>--($A1239&lt;&gt;"")</x:f>
        <x:v>1</x:v>
      </x:c>
    </x:row>
    <x:row r="1240">
      <x:c r="A1240" s="10" t="n">
        <x:f>IF(Assumptions!$B$5+INT((ROW()-2)/Assumptions!$B$7)&gt;Assumptions!$B$6,"",Assumptions!$B$5+INT((ROW()-2)/Assumptions!$B$7))</x:f>
        <x:v>46270</x:v>
      </x:c>
      <x:c r="B1240" t="str">
        <x:f>IF($A1240="","",INDEX(Assumptions!$D$5:$D$12,MOD(ROW()-2,Assumptions!$B$7)+1))</x:f>
        <x:v>Hadley's Hope</x:v>
      </x:c>
      <x:c r="C1240" s="11" t="n">
        <x:f>IF($A1240="","",INDEX(Assumptions!$F$5:$F$12,MATCH($B1240,Assumptions!$D$5:$D$12,0)))</x:f>
        <x:v>845</x:v>
      </x:c>
      <x:c r="D1240" s="11" t="n">
        <x:f>IF($A1240="","",INDEX(Assumptions!$G$5:$G$12,MATCH($B1240,Assumptions!$D$5:$D$12,0)))</x:f>
        <x:v>80</x:v>
      </x:c>
      <x:c r="E1240" s="11" t="n">
        <x:f>IF($A1240="","",INDEX(Assumptions!$M$5:$M$11,WEEKDAY($A1240,2)))</x:f>
        <x:v>0.91</x:v>
      </x:c>
      <x:c r="F1240" s="11" t="n">
        <x:f>IF($A1240="","",Assumptions!$B$15)</x:f>
        <x:v>0.35</x:v>
      </x:c>
      <x:c r="G1240" s="11" t="n">
        <x:f>IF($A1240="","",MAX(INDEX(Assumptions!$H$5:$H$12,MATCH($B1240,Assumptions!$D$5:$D$12,0)),MIN(INDEX(Assumptions!$I$5:$I$12,MATCH($B1240,Assumptions!$D$5:$D$12,0)),($C1240+$D1240*SQRT(-2*LN(RAND()))*COS(2*PI()*RAND()))*$E1240*$J1240*$K1240)))</x:f>
        <x:v>833.4098970850063</x:v>
      </x:c>
      <x:c r="H1240" s="11" t="n">
        <x:f>IF($A1240="","",$G1240*$F1240+$C1240*(1-$F1240))</x:f>
        <x:v>840.9434639797521</x:v>
      </x:c>
      <x:c r="I1240" s="11" t="n">
        <x:f>IF($A1240="","",AVERAGE($H1240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846.0066552544371</x:v>
      </x:c>
      <x:c r="J1240" s="12" t="n">
        <x:f>IF($A1240="","",1+SUMIFS(Assumptions!$S$5:$S$10,Assumptions!$P$5:$P$10,$B1240,Assumptions!$Q$5:$Q$10,"&lt;="&amp;$A1240,Assumptions!$R$5:$R$10,"&gt;="&amp;$A1240))</x:f>
        <x:v>1</x:v>
      </x:c>
      <x:c r="K1240" s="12" t="n">
        <x:f>IF($A1240="","",1+((($A1240-Assumptions!$B$5)/30)*INDEX(Assumptions!$J$5:$J$12,MATCH($B1240,Assumptions!$D$5:$D$12,0))))</x:f>
        <x:v>1.0082333333333333</x:v>
      </x:c>
      <x:c r="L1240" t="str">
        <x:f>IF($A1240="","",IFERROR(INDEX(Assumptions!$O$5:$O$10,MATCH(1,(Assumptions!$P$5:$P$10=$B1240)*(Assumptions!$Q$5:$Q$10&lt;=$A1240)*(Assumptions!$R$5:$R$10&gt;=$A1240),0)),""))</x:f>
      </x:c>
      <x:c r="M1240" t="n">
        <x:f>--($A1240&lt;&gt;"")</x:f>
        <x:v>1</x:v>
      </x:c>
    </x:row>
    <x:row r="1241">
      <x:c r="A1241" s="10" t="n">
        <x:f>IF(Assumptions!$B$5+INT((ROW()-2)/Assumptions!$B$7)&gt;Assumptions!$B$6,"",Assumptions!$B$5+INT((ROW()-2)/Assumptions!$B$7))</x:f>
        <x:v>46270</x:v>
      </x:c>
      <x:c r="B1241" t="str">
        <x:f>IF($A1241="","",INDEX(Assumptions!$D$5:$D$12,MOD(ROW()-2,Assumptions!$B$7)+1))</x:f>
        <x:v>Yutani Ridge</x:v>
      </x:c>
      <x:c r="C1241" s="11" t="n">
        <x:f>IF($A1241="","",INDEX(Assumptions!$F$5:$F$12,MATCH($B1241,Assumptions!$D$5:$D$12,0)))</x:f>
        <x:v>1050</x:v>
      </x:c>
      <x:c r="D1241" s="11" t="n">
        <x:f>IF($A1241="","",INDEX(Assumptions!$G$5:$G$12,MATCH($B1241,Assumptions!$D$5:$D$12,0)))</x:f>
        <x:v>125</x:v>
      </x:c>
      <x:c r="E1241" s="11" t="n">
        <x:f>IF($A1241="","",INDEX(Assumptions!$M$5:$M$11,WEEKDAY($A1241,2)))</x:f>
        <x:v>0.91</x:v>
      </x:c>
      <x:c r="F1241" s="11" t="n">
        <x:f>IF($A1241="","",Assumptions!$B$15)</x:f>
        <x:v>0.35</x:v>
      </x:c>
      <x:c r="G1241" s="11" t="n">
        <x:f>IF($A1241="","",MAX(INDEX(Assumptions!$H$5:$H$12,MATCH($B1241,Assumptions!$D$5:$D$12,0)),MIN(INDEX(Assumptions!$I$5:$I$12,MATCH($B1241,Assumptions!$D$5:$D$12,0)),($C1241+$D1241*SQRT(-2*LN(RAND()))*COS(2*PI()*RAND()))*$E1241*$J1241*$K1241)))</x:f>
        <x:v>1242.1167223181644</x:v>
      </x:c>
      <x:c r="H1241" s="11" t="n">
        <x:f>IF($A1241="","",$G1241*$F1241+$C1241*(1-$F1241))</x:f>
        <x:v>1117.2408528113574</x:v>
      </x:c>
      <x:c r="I1241" s="11" t="n">
        <x:f>IF($A1241="","",AVERAGE($H1241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1129.4516939356267</x:v>
      </x:c>
      <x:c r="J1241" s="12" t="n">
        <x:f>IF($A1241="","",1+SUMIFS(Assumptions!$S$5:$S$10,Assumptions!$P$5:$P$10,$B1241,Assumptions!$Q$5:$Q$10,"&lt;="&amp;$A1241,Assumptions!$R$5:$R$10,"&gt;="&amp;$A1241))</x:f>
        <x:v>1.22</x:v>
      </x:c>
      <x:c r="K1241" s="12" t="n">
        <x:f>IF($A1241="","",1+((($A1241-Assumptions!$B$5)/30)*INDEX(Assumptions!$J$5:$J$12,MATCH($B1241,Assumptions!$D$5:$D$12,0))))</x:f>
        <x:v>1.0205833333333334</x:v>
      </x:c>
      <x:c r="L1241" t="str">
        <x:f>IF($A1241="","",IFERROR(INDEX(Assumptions!$O$5:$O$10,MATCH(1,(Assumptions!$P$5:$P$10=$B1241)*(Assumptions!$Q$5:$Q$10&lt;=$A1241)*(Assumptions!$R$5:$R$10&gt;=$A1241),0)),""))</x:f>
        <x:v>Equipment upgrade</x:v>
      </x:c>
      <x:c r="M1241" t="n">
        <x:f>--($A1241&lt;&gt;"")</x:f>
        <x:v>1</x:v>
      </x:c>
    </x:row>
    <x:row r="1242">
      <x:c r="A1242" s="10" t="n">
        <x:f>IF(Assumptions!$B$5+INT((ROW()-2)/Assumptions!$B$7)&gt;Assumptions!$B$6,"",Assumptions!$B$5+INT((ROW()-2)/Assumptions!$B$7))</x:f>
        <x:v>46271</x:v>
      </x:c>
      <x:c r="B1242" t="str">
        <x:f>IF($A1242="","",INDEX(Assumptions!$D$5:$D$12,MOD(ROW()-2,Assumptions!$B$7)+1))</x:f>
        <x:v>Acheron Prime</x:v>
      </x:c>
      <x:c r="C1242" s="11" t="n">
        <x:f>IF($A1242="","",INDEX(Assumptions!$F$5:$F$12,MATCH($B1242,Assumptions!$D$5:$D$12,0)))</x:f>
        <x:v>1120</x:v>
      </x:c>
      <x:c r="D1242" s="11" t="n">
        <x:f>IF($A1242="","",INDEX(Assumptions!$G$5:$G$12,MATCH($B1242,Assumptions!$D$5:$D$12,0)))</x:f>
        <x:v>115</x:v>
      </x:c>
      <x:c r="E1242" s="11" t="n">
        <x:f>IF($A1242="","",INDEX(Assumptions!$M$5:$M$11,WEEKDAY($A1242,2)))</x:f>
        <x:v>0.87</x:v>
      </x:c>
      <x:c r="F1242" s="11" t="n">
        <x:f>IF($A1242="","",Assumptions!$B$15)</x:f>
        <x:v>0.35</x:v>
      </x:c>
      <x:c r="G1242" s="11" t="n">
        <x:f>IF($A1242="","",MAX(INDEX(Assumptions!$H$5:$H$12,MATCH($B1242,Assumptions!$D$5:$D$12,0)),MIN(INDEX(Assumptions!$I$5:$I$12,MATCH($B1242,Assumptions!$D$5:$D$12,0)),($C1242+$D1242*SQRT(-2*LN(RAND()))*COS(2*PI()*RAND()))*$E1242*$J1242*$K1242)))</x:f>
        <x:v>945.2402428535743</x:v>
      </x:c>
      <x:c r="H1242" s="11" t="n">
        <x:f>IF($A1242="","",$G1242*$F1242+$C1242*(1-$F1242))</x:f>
        <x:v>1058.834084998751</x:v>
      </x:c>
      <x:c r="I1242" s="11" t="n">
        <x:f>IF($A1242="","",AVERAGE($H1242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1118.736408072769</x:v>
      </x:c>
      <x:c r="J1242" s="12" t="n">
        <x:f>IF($A1242="","",1+SUMIFS(Assumptions!$S$5:$S$10,Assumptions!$P$5:$P$10,$B1242,Assumptions!$Q$5:$Q$10,"&lt;="&amp;$A1242,Assumptions!$R$5:$R$10,"&gt;="&amp;$A1242))</x:f>
        <x:v>1</x:v>
      </x:c>
      <x:c r="K1242" s="12" t="n">
        <x:f>IF($A1242="","",1+((($A1242-Assumptions!$B$5)/30)*INDEX(Assumptions!$J$5:$J$12,MATCH($B1242,Assumptions!$D$5:$D$12,0))))</x:f>
        <x:v>1.0165333333333333</x:v>
      </x:c>
      <x:c r="L1242" t="str">
        <x:f>IF($A1242="","",IFERROR(INDEX(Assumptions!$O$5:$O$10,MATCH(1,(Assumptions!$P$5:$P$10=$B1242)*(Assumptions!$Q$5:$Q$10&lt;=$A1242)*(Assumptions!$R$5:$R$10&gt;=$A1242),0)),""))</x:f>
      </x:c>
      <x:c r="M1242" t="n">
        <x:f>--($A1242&lt;&gt;"")</x:f>
        <x:v>1</x:v>
      </x:c>
    </x:row>
    <x:row r="1243">
      <x:c r="A1243" s="10" t="n">
        <x:f>IF(Assumptions!$B$5+INT((ROW()-2)/Assumptions!$B$7)&gt;Assumptions!$B$6,"",Assumptions!$B$5+INT((ROW()-2)/Assumptions!$B$7))</x:f>
        <x:v>46271</x:v>
      </x:c>
      <x:c r="B1243" t="str">
        <x:f>IF($A1243="","",INDEX(Assumptions!$D$5:$D$12,MOD(ROW()-2,Assumptions!$B$7)+1))</x:f>
        <x:v>LV-426 North</x:v>
      </x:c>
      <x:c r="C1243" s="11" t="n">
        <x:f>IF($A1243="","",INDEX(Assumptions!$F$5:$F$12,MATCH($B1243,Assumptions!$D$5:$D$12,0)))</x:f>
        <x:v>930</x:v>
      </x:c>
      <x:c r="D1243" s="11" t="n">
        <x:f>IF($A1243="","",INDEX(Assumptions!$G$5:$G$12,MATCH($B1243,Assumptions!$D$5:$D$12,0)))</x:f>
        <x:v>95</x:v>
      </x:c>
      <x:c r="E1243" s="11" t="n">
        <x:f>IF($A1243="","",INDEX(Assumptions!$M$5:$M$11,WEEKDAY($A1243,2)))</x:f>
        <x:v>0.87</x:v>
      </x:c>
      <x:c r="F1243" s="11" t="n">
        <x:f>IF($A1243="","",Assumptions!$B$15)</x:f>
        <x:v>0.35</x:v>
      </x:c>
      <x:c r="G1243" s="11" t="n">
        <x:f>IF($A1243="","",MAX(INDEX(Assumptions!$H$5:$H$12,MATCH($B1243,Assumptions!$D$5:$D$12,0)),MIN(INDEX(Assumptions!$I$5:$I$12,MATCH($B1243,Assumptions!$D$5:$D$12,0)),($C1243+$D1243*SQRT(-2*LN(RAND()))*COS(2*PI()*RAND()))*$E1243*$J1243*$K1243)))</x:f>
        <x:v>663.1851381612332</x:v>
      </x:c>
      <x:c r="H1243" s="11" t="n">
        <x:f>IF($A1243="","",$G1243*$F1243+$C1243*(1-$F1243))</x:f>
        <x:v>836.6147983564316</x:v>
      </x:c>
      <x:c r="I1243" s="11" t="n">
        <x:f>IF($A1243="","",AVERAGE($H1243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909.5117726017506</x:v>
      </x:c>
      <x:c r="J1243" s="12" t="n">
        <x:f>IF($A1243="","",1+SUMIFS(Assumptions!$S$5:$S$10,Assumptions!$P$5:$P$10,$B1243,Assumptions!$Q$5:$Q$10,"&lt;="&amp;$A1243,Assumptions!$R$5:$R$10,"&gt;="&amp;$A1243))</x:f>
        <x:v>1</x:v>
      </x:c>
      <x:c r="K1243" s="12" t="n">
        <x:f>IF($A1243="","",1+((($A1243-Assumptions!$B$5)/30)*INDEX(Assumptions!$J$5:$J$12,MATCH($B1243,Assumptions!$D$5:$D$12,0))))</x:f>
        <x:v>0.9917333333333334</x:v>
      </x:c>
      <x:c r="L1243" t="str">
        <x:f>IF($A1243="","",IFERROR(INDEX(Assumptions!$O$5:$O$10,MATCH(1,(Assumptions!$P$5:$P$10=$B1243)*(Assumptions!$Q$5:$Q$10&lt;=$A1243)*(Assumptions!$R$5:$R$10&gt;=$A1243),0)),""))</x:f>
      </x:c>
      <x:c r="M1243" t="n">
        <x:f>--($A1243&lt;&gt;"")</x:f>
        <x:v>1</x:v>
      </x:c>
    </x:row>
    <x:row r="1244">
      <x:c r="A1244" s="10" t="n">
        <x:f>IF(Assumptions!$B$5+INT((ROW()-2)/Assumptions!$B$7)&gt;Assumptions!$B$6,"",Assumptions!$B$5+INT((ROW()-2)/Assumptions!$B$7))</x:f>
        <x:v>46271</x:v>
      </x:c>
      <x:c r="B1244" t="str">
        <x:f>IF($A1244="","",INDEX(Assumptions!$D$5:$D$12,MOD(ROW()-2,Assumptions!$B$7)+1))</x:f>
        <x:v>Nostromo Deep</x:v>
      </x:c>
      <x:c r="C1244" s="11" t="n">
        <x:f>IF($A1244="","",INDEX(Assumptions!$F$5:$F$12,MATCH($B1244,Assumptions!$D$5:$D$12,0)))</x:f>
        <x:v>1260</x:v>
      </x:c>
      <x:c r="D1244" s="11" t="n">
        <x:f>IF($A1244="","",INDEX(Assumptions!$G$5:$G$12,MATCH($B1244,Assumptions!$D$5:$D$12,0)))</x:f>
        <x:v>145</x:v>
      </x:c>
      <x:c r="E1244" s="11" t="n">
        <x:f>IF($A1244="","",INDEX(Assumptions!$M$5:$M$11,WEEKDAY($A1244,2)))</x:f>
        <x:v>0.87</x:v>
      </x:c>
      <x:c r="F1244" s="11" t="n">
        <x:f>IF($A1244="","",Assumptions!$B$15)</x:f>
        <x:v>0.35</x:v>
      </x:c>
      <x:c r="G1244" s="11" t="n">
        <x:f>IF($A1244="","",MAX(INDEX(Assumptions!$H$5:$H$12,MATCH($B1244,Assumptions!$D$5:$D$12,0)),MIN(INDEX(Assumptions!$I$5:$I$12,MATCH($B1244,Assumptions!$D$5:$D$12,0)),($C1244+$D1244*SQRT(-2*LN(RAND()))*COS(2*PI()*RAND()))*$E1244*$J1244*$K1244)))</x:f>
        <x:v>1193.9040029962516</x:v>
      </x:c>
      <x:c r="H1244" s="11" t="n">
        <x:f>IF($A1244="","",$G1244*$F1244+$C1244*(1-$F1244))</x:f>
        <x:v>1236.866401048688</x:v>
      </x:c>
      <x:c r="I1244" s="11" t="n">
        <x:f>IF($A1244="","",AVERAGE($H1244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1257.700074335459</x:v>
      </x:c>
      <x:c r="J1244" s="12" t="n">
        <x:f>IF($A1244="","",1+SUMIFS(Assumptions!$S$5:$S$10,Assumptions!$P$5:$P$10,$B1244,Assumptions!$Q$5:$Q$10,"&lt;="&amp;$A1244,Assumptions!$R$5:$R$10,"&gt;="&amp;$A1244))</x:f>
        <x:v>1</x:v>
      </x:c>
      <x:c r="K1244" s="12" t="n">
        <x:f>IF($A1244="","",1+((($A1244-Assumptions!$B$5)/30)*INDEX(Assumptions!$J$5:$J$12,MATCH($B1244,Assumptions!$D$5:$D$12,0))))</x:f>
        <x:v>1.0248</x:v>
      </x:c>
      <x:c r="L1244" t="str">
        <x:f>IF($A1244="","",IFERROR(INDEX(Assumptions!$O$5:$O$10,MATCH(1,(Assumptions!$P$5:$P$10=$B1244)*(Assumptions!$Q$5:$Q$10&lt;=$A1244)*(Assumptions!$R$5:$R$10&gt;=$A1244),0)),""))</x:f>
      </x:c>
      <x:c r="M1244" t="n">
        <x:f>--($A1244&lt;&gt;"")</x:f>
        <x:v>1</x:v>
      </x:c>
    </x:row>
    <x:row r="1245">
      <x:c r="A1245" s="10" t="n">
        <x:f>IF(Assumptions!$B$5+INT((ROW()-2)/Assumptions!$B$7)&gt;Assumptions!$B$6,"",Assumptions!$B$5+INT((ROW()-2)/Assumptions!$B$7))</x:f>
        <x:v>46271</x:v>
      </x:c>
      <x:c r="B1245" t="str">
        <x:f>IF($A1245="","",INDEX(Assumptions!$D$5:$D$12,MOD(ROW()-2,Assumptions!$B$7)+1))</x:f>
        <x:v>Hadley's Hope</x:v>
      </x:c>
      <x:c r="C1245" s="11" t="n">
        <x:f>IF($A1245="","",INDEX(Assumptions!$F$5:$F$12,MATCH($B1245,Assumptions!$D$5:$D$12,0)))</x:f>
        <x:v>845</x:v>
      </x:c>
      <x:c r="D1245" s="11" t="n">
        <x:f>IF($A1245="","",INDEX(Assumptions!$G$5:$G$12,MATCH($B1245,Assumptions!$D$5:$D$12,0)))</x:f>
        <x:v>80</x:v>
      </x:c>
      <x:c r="E1245" s="11" t="n">
        <x:f>IF($A1245="","",INDEX(Assumptions!$M$5:$M$11,WEEKDAY($A1245,2)))</x:f>
        <x:v>0.87</x:v>
      </x:c>
      <x:c r="F1245" s="11" t="n">
        <x:f>IF($A1245="","",Assumptions!$B$15)</x:f>
        <x:v>0.35</x:v>
      </x:c>
      <x:c r="G1245" s="11" t="n">
        <x:f>IF($A1245="","",MAX(INDEX(Assumptions!$H$5:$H$12,MATCH($B1245,Assumptions!$D$5:$D$12,0)),MIN(INDEX(Assumptions!$I$5:$I$12,MATCH($B1245,Assumptions!$D$5:$D$12,0)),($C1245+$D1245*SQRT(-2*LN(RAND()))*COS(2*PI()*RAND()))*$E1245*$J1245*$K1245)))</x:f>
        <x:v>787.238428035118</x:v>
      </x:c>
      <x:c r="H1245" s="11" t="n">
        <x:f>IF($A1245="","",$G1245*$F1245+$C1245*(1-$F1245))</x:f>
        <x:v>824.7834498122913</x:v>
      </x:c>
      <x:c r="I1245" s="11" t="n">
        <x:f>IF($A1245="","",AVERAGE($H1245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846.9626073064056</x:v>
      </x:c>
      <x:c r="J1245" s="12" t="n">
        <x:f>IF($A1245="","",1+SUMIFS(Assumptions!$S$5:$S$10,Assumptions!$P$5:$P$10,$B1245,Assumptions!$Q$5:$Q$10,"&lt;="&amp;$A1245,Assumptions!$R$5:$R$10,"&gt;="&amp;$A1245))</x:f>
        <x:v>1</x:v>
      </x:c>
      <x:c r="K1245" s="12" t="n">
        <x:f>IF($A1245="","",1+((($A1245-Assumptions!$B$5)/30)*INDEX(Assumptions!$J$5:$J$12,MATCH($B1245,Assumptions!$D$5:$D$12,0))))</x:f>
        <x:v>1.0082666666666666</x:v>
      </x:c>
      <x:c r="L1245" t="str">
        <x:f>IF($A1245="","",IFERROR(INDEX(Assumptions!$O$5:$O$10,MATCH(1,(Assumptions!$P$5:$P$10=$B1245)*(Assumptions!$Q$5:$Q$10&lt;=$A1245)*(Assumptions!$R$5:$R$10&gt;=$A1245),0)),""))</x:f>
      </x:c>
      <x:c r="M1245" t="n">
        <x:f>--($A1245&lt;&gt;"")</x:f>
        <x:v>1</x:v>
      </x:c>
    </x:row>
    <x:row r="1246">
      <x:c r="A1246" s="10" t="n">
        <x:f>IF(Assumptions!$B$5+INT((ROW()-2)/Assumptions!$B$7)&gt;Assumptions!$B$6,"",Assumptions!$B$5+INT((ROW()-2)/Assumptions!$B$7))</x:f>
        <x:v>46271</x:v>
      </x:c>
      <x:c r="B1246" t="str">
        <x:f>IF($A1246="","",INDEX(Assumptions!$D$5:$D$12,MOD(ROW()-2,Assumptions!$B$7)+1))</x:f>
        <x:v>Yutani Ridge</x:v>
      </x:c>
      <x:c r="C1246" s="11" t="n">
        <x:f>IF($A1246="","",INDEX(Assumptions!$F$5:$F$12,MATCH($B1246,Assumptions!$D$5:$D$12,0)))</x:f>
        <x:v>1050</x:v>
      </x:c>
      <x:c r="D1246" s="11" t="n">
        <x:f>IF($A1246="","",INDEX(Assumptions!$G$5:$G$12,MATCH($B1246,Assumptions!$D$5:$D$12,0)))</x:f>
        <x:v>125</x:v>
      </x:c>
      <x:c r="E1246" s="11" t="n">
        <x:f>IF($A1246="","",INDEX(Assumptions!$M$5:$M$11,WEEKDAY($A1246,2)))</x:f>
        <x:v>0.87</x:v>
      </x:c>
      <x:c r="F1246" s="11" t="n">
        <x:f>IF($A1246="","",Assumptions!$B$15)</x:f>
        <x:v>0.35</x:v>
      </x:c>
      <x:c r="G1246" s="11" t="n">
        <x:f>IF($A1246="","",MAX(INDEX(Assumptions!$H$5:$H$12,MATCH($B1246,Assumptions!$D$5:$D$12,0)),MIN(INDEX(Assumptions!$I$5:$I$12,MATCH($B1246,Assumptions!$D$5:$D$12,0)),($C1246+$D1246*SQRT(-2*LN(RAND()))*COS(2*PI()*RAND()))*$E1246*$J1246*$K1246)))</x:f>
        <x:v>1315.8092298684428</x:v>
      </x:c>
      <x:c r="H1246" s="11" t="n">
        <x:f>IF($A1246="","",$G1246*$F1246+$C1246*(1-$F1246))</x:f>
        <x:v>1143.033230453955</x:v>
      </x:c>
      <x:c r="I1246" s="11" t="n">
        <x:f>IF($A1246="","",AVERAGE($H1246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1140.4273583944812</x:v>
      </x:c>
      <x:c r="J1246" s="12" t="n">
        <x:f>IF($A1246="","",1+SUMIFS(Assumptions!$S$5:$S$10,Assumptions!$P$5:$P$10,$B1246,Assumptions!$Q$5:$Q$10,"&lt;="&amp;$A1246,Assumptions!$R$5:$R$10,"&gt;="&amp;$A1246))</x:f>
        <x:v>1.22</x:v>
      </x:c>
      <x:c r="K1246" s="12" t="n">
        <x:f>IF($A1246="","",1+((($A1246-Assumptions!$B$5)/30)*INDEX(Assumptions!$J$5:$J$12,MATCH($B1246,Assumptions!$D$5:$D$12,0))))</x:f>
        <x:v>1.0206666666666666</x:v>
      </x:c>
      <x:c r="L1246" t="str">
        <x:f>IF($A1246="","",IFERROR(INDEX(Assumptions!$O$5:$O$10,MATCH(1,(Assumptions!$P$5:$P$10=$B1246)*(Assumptions!$Q$5:$Q$10&lt;=$A1246)*(Assumptions!$R$5:$R$10&gt;=$A1246),0)),""))</x:f>
        <x:v>Equipment upgrade</x:v>
      </x:c>
      <x:c r="M1246" t="n">
        <x:f>--($A1246&lt;&gt;"")</x:f>
        <x:v>1</x:v>
      </x:c>
    </x:row>
    <x:row r="1247">
      <x:c r="A1247" s="10" t="n">
        <x:f>IF(Assumptions!$B$5+INT((ROW()-2)/Assumptions!$B$7)&gt;Assumptions!$B$6,"",Assumptions!$B$5+INT((ROW()-2)/Assumptions!$B$7))</x:f>
        <x:v>46272</x:v>
      </x:c>
      <x:c r="B1247" t="str">
        <x:f>IF($A1247="","",INDEX(Assumptions!$D$5:$D$12,MOD(ROW()-2,Assumptions!$B$7)+1))</x:f>
        <x:v>Acheron Prime</x:v>
      </x:c>
      <x:c r="C1247" s="11" t="n">
        <x:f>IF($A1247="","",INDEX(Assumptions!$F$5:$F$12,MATCH($B1247,Assumptions!$D$5:$D$12,0)))</x:f>
        <x:v>1120</x:v>
      </x:c>
      <x:c r="D1247" s="11" t="n">
        <x:f>IF($A1247="","",INDEX(Assumptions!$G$5:$G$12,MATCH($B1247,Assumptions!$D$5:$D$12,0)))</x:f>
        <x:v>115</x:v>
      </x:c>
      <x:c r="E1247" s="11" t="n">
        <x:f>IF($A1247="","",INDEX(Assumptions!$M$5:$M$11,WEEKDAY($A1247,2)))</x:f>
        <x:v>1.03</x:v>
      </x:c>
      <x:c r="F1247" s="11" t="n">
        <x:f>IF($A1247="","",Assumptions!$B$15)</x:f>
        <x:v>0.35</x:v>
      </x:c>
      <x:c r="G1247" s="11" t="n">
        <x:f>IF($A1247="","",MAX(INDEX(Assumptions!$H$5:$H$12,MATCH($B1247,Assumptions!$D$5:$D$12,0)),MIN(INDEX(Assumptions!$I$5:$I$12,MATCH($B1247,Assumptions!$D$5:$D$12,0)),($C1247+$D1247*SQRT(-2*LN(RAND()))*COS(2*PI()*RAND()))*$E1247*$J1247*$K1247)))</x:f>
        <x:v>1208.8816997361828</x:v>
      </x:c>
      <x:c r="H1247" s="11" t="n">
        <x:f>IF($A1247="","",$G1247*$F1247+$C1247*(1-$F1247))</x:f>
        <x:v>1151.108594907664</x:v>
      </x:c>
      <x:c r="I1247" s="11" t="n">
        <x:f>IF($A1247="","",AVERAGE($H1247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1117.7504873961043</x:v>
      </x:c>
      <x:c r="J1247" s="12" t="n">
        <x:f>IF($A1247="","",1+SUMIFS(Assumptions!$S$5:$S$10,Assumptions!$P$5:$P$10,$B1247,Assumptions!$Q$5:$Q$10,"&lt;="&amp;$A1247,Assumptions!$R$5:$R$10,"&gt;="&amp;$A1247))</x:f>
        <x:v>1</x:v>
      </x:c>
      <x:c r="K1247" s="12" t="n">
        <x:f>IF($A1247="","",1+((($A1247-Assumptions!$B$5)/30)*INDEX(Assumptions!$J$5:$J$12,MATCH($B1247,Assumptions!$D$5:$D$12,0))))</x:f>
        <x:v>1.0166</x:v>
      </x:c>
      <x:c r="L1247" t="str">
        <x:f>IF($A1247="","",IFERROR(INDEX(Assumptions!$O$5:$O$10,MATCH(1,(Assumptions!$P$5:$P$10=$B1247)*(Assumptions!$Q$5:$Q$10&lt;=$A1247)*(Assumptions!$R$5:$R$10&gt;=$A1247),0)),""))</x:f>
      </x:c>
      <x:c r="M1247" t="n">
        <x:f>--($A1247&lt;&gt;"")</x:f>
        <x:v>1</x:v>
      </x:c>
    </x:row>
    <x:row r="1248">
      <x:c r="A1248" s="10" t="n">
        <x:f>IF(Assumptions!$B$5+INT((ROW()-2)/Assumptions!$B$7)&gt;Assumptions!$B$6,"",Assumptions!$B$5+INT((ROW()-2)/Assumptions!$B$7))</x:f>
        <x:v>46272</x:v>
      </x:c>
      <x:c r="B1248" t="str">
        <x:f>IF($A1248="","",INDEX(Assumptions!$D$5:$D$12,MOD(ROW()-2,Assumptions!$B$7)+1))</x:f>
        <x:v>LV-426 North</x:v>
      </x:c>
      <x:c r="C1248" s="11" t="n">
        <x:f>IF($A1248="","",INDEX(Assumptions!$F$5:$F$12,MATCH($B1248,Assumptions!$D$5:$D$12,0)))</x:f>
        <x:v>930</x:v>
      </x:c>
      <x:c r="D1248" s="11" t="n">
        <x:f>IF($A1248="","",INDEX(Assumptions!$G$5:$G$12,MATCH($B1248,Assumptions!$D$5:$D$12,0)))</x:f>
        <x:v>95</x:v>
      </x:c>
      <x:c r="E1248" s="11" t="n">
        <x:f>IF($A1248="","",INDEX(Assumptions!$M$5:$M$11,WEEKDAY($A1248,2)))</x:f>
        <x:v>1.03</x:v>
      </x:c>
      <x:c r="F1248" s="11" t="n">
        <x:f>IF($A1248="","",Assumptions!$B$15)</x:f>
        <x:v>0.35</x:v>
      </x:c>
      <x:c r="G1248" s="11" t="n">
        <x:f>IF($A1248="","",MAX(INDEX(Assumptions!$H$5:$H$12,MATCH($B1248,Assumptions!$D$5:$D$12,0)),MIN(INDEX(Assumptions!$I$5:$I$12,MATCH($B1248,Assumptions!$D$5:$D$12,0)),($C1248+$D1248*SQRT(-2*LN(RAND()))*COS(2*PI()*RAND()))*$E1248*$J1248*$K1248)))</x:f>
        <x:v>1018.020222645873</x:v>
      </x:c>
      <x:c r="H1248" s="11" t="n">
        <x:f>IF($A1248="","",$G1248*$F1248+$C1248*(1-$F1248))</x:f>
        <x:v>960.8070779260555</x:v>
      </x:c>
      <x:c r="I1248" s="11" t="n">
        <x:f>IF($A1248="","",AVERAGE($H1248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909.9346235298277</x:v>
      </x:c>
      <x:c r="J1248" s="12" t="n">
        <x:f>IF($A1248="","",1+SUMIFS(Assumptions!$S$5:$S$10,Assumptions!$P$5:$P$10,$B1248,Assumptions!$Q$5:$Q$10,"&lt;="&amp;$A1248,Assumptions!$R$5:$R$10,"&gt;="&amp;$A1248))</x:f>
        <x:v>1</x:v>
      </x:c>
      <x:c r="K1248" s="12" t="n">
        <x:f>IF($A1248="","",1+((($A1248-Assumptions!$B$5)/30)*INDEX(Assumptions!$J$5:$J$12,MATCH($B1248,Assumptions!$D$5:$D$12,0))))</x:f>
        <x:v>0.9917</x:v>
      </x:c>
      <x:c r="L1248" t="str">
        <x:f>IF($A1248="","",IFERROR(INDEX(Assumptions!$O$5:$O$10,MATCH(1,(Assumptions!$P$5:$P$10=$B1248)*(Assumptions!$Q$5:$Q$10&lt;=$A1248)*(Assumptions!$R$5:$R$10&gt;=$A1248),0)),""))</x:f>
      </x:c>
      <x:c r="M1248" t="n">
        <x:f>--($A1248&lt;&gt;"")</x:f>
        <x:v>1</x:v>
      </x:c>
    </x:row>
    <x:row r="1249">
      <x:c r="A1249" s="10" t="n">
        <x:f>IF(Assumptions!$B$5+INT((ROW()-2)/Assumptions!$B$7)&gt;Assumptions!$B$6,"",Assumptions!$B$5+INT((ROW()-2)/Assumptions!$B$7))</x:f>
        <x:v>46272</x:v>
      </x:c>
      <x:c r="B1249" t="str">
        <x:f>IF($A1249="","",INDEX(Assumptions!$D$5:$D$12,MOD(ROW()-2,Assumptions!$B$7)+1))</x:f>
        <x:v>Nostromo Deep</x:v>
      </x:c>
      <x:c r="C1249" s="11" t="n">
        <x:f>IF($A1249="","",INDEX(Assumptions!$F$5:$F$12,MATCH($B1249,Assumptions!$D$5:$D$12,0)))</x:f>
        <x:v>1260</x:v>
      </x:c>
      <x:c r="D1249" s="11" t="n">
        <x:f>IF($A1249="","",INDEX(Assumptions!$G$5:$G$12,MATCH($B1249,Assumptions!$D$5:$D$12,0)))</x:f>
        <x:v>145</x:v>
      </x:c>
      <x:c r="E1249" s="11" t="n">
        <x:f>IF($A1249="","",INDEX(Assumptions!$M$5:$M$11,WEEKDAY($A1249,2)))</x:f>
        <x:v>1.03</x:v>
      </x:c>
      <x:c r="F1249" s="11" t="n">
        <x:f>IF($A1249="","",Assumptions!$B$15)</x:f>
        <x:v>0.35</x:v>
      </x:c>
      <x:c r="G1249" s="11" t="n">
        <x:f>IF($A1249="","",MAX(INDEX(Assumptions!$H$5:$H$12,MATCH($B1249,Assumptions!$D$5:$D$12,0)),MIN(INDEX(Assumptions!$I$5:$I$12,MATCH($B1249,Assumptions!$D$5:$D$12,0)),($C1249+$D1249*SQRT(-2*LN(RAND()))*COS(2*PI()*RAND()))*$E1249*$J1249*$K1249)))</x:f>
        <x:v>1450.05777063317</x:v>
      </x:c>
      <x:c r="H1249" s="11" t="n">
        <x:f>IF($A1249="","",$G1249*$F1249+$C1249*(1-$F1249))</x:f>
        <x:v>1326.5202197216095</x:v>
      </x:c>
      <x:c r="I1249" s="11" t="n">
        <x:f>IF($A1249="","",AVERAGE($H1249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1264.6047740559204</x:v>
      </x:c>
      <x:c r="J1249" s="12" t="n">
        <x:f>IF($A1249="","",1+SUMIFS(Assumptions!$S$5:$S$10,Assumptions!$P$5:$P$10,$B1249,Assumptions!$Q$5:$Q$10,"&lt;="&amp;$A1249,Assumptions!$R$5:$R$10,"&gt;="&amp;$A1249))</x:f>
        <x:v>1</x:v>
      </x:c>
      <x:c r="K1249" s="12" t="n">
        <x:f>IF($A1249="","",1+((($A1249-Assumptions!$B$5)/30)*INDEX(Assumptions!$J$5:$J$12,MATCH($B1249,Assumptions!$D$5:$D$12,0))))</x:f>
        <x:v>1.0249</x:v>
      </x:c>
      <x:c r="L1249" t="str">
        <x:f>IF($A1249="","",IFERROR(INDEX(Assumptions!$O$5:$O$10,MATCH(1,(Assumptions!$P$5:$P$10=$B1249)*(Assumptions!$Q$5:$Q$10&lt;=$A1249)*(Assumptions!$R$5:$R$10&gt;=$A1249),0)),""))</x:f>
      </x:c>
      <x:c r="M1249" t="n">
        <x:f>--($A1249&lt;&gt;"")</x:f>
        <x:v>1</x:v>
      </x:c>
    </x:row>
    <x:row r="1250">
      <x:c r="A1250" s="10" t="n">
        <x:f>IF(Assumptions!$B$5+INT((ROW()-2)/Assumptions!$B$7)&gt;Assumptions!$B$6,"",Assumptions!$B$5+INT((ROW()-2)/Assumptions!$B$7))</x:f>
        <x:v>46272</x:v>
      </x:c>
      <x:c r="B1250" t="str">
        <x:f>IF($A1250="","",INDEX(Assumptions!$D$5:$D$12,MOD(ROW()-2,Assumptions!$B$7)+1))</x:f>
        <x:v>Hadley's Hope</x:v>
      </x:c>
      <x:c r="C1250" s="11" t="n">
        <x:f>IF($A1250="","",INDEX(Assumptions!$F$5:$F$12,MATCH($B1250,Assumptions!$D$5:$D$12,0)))</x:f>
        <x:v>845</x:v>
      </x:c>
      <x:c r="D1250" s="11" t="n">
        <x:f>IF($A1250="","",INDEX(Assumptions!$G$5:$G$12,MATCH($B1250,Assumptions!$D$5:$D$12,0)))</x:f>
        <x:v>80</x:v>
      </x:c>
      <x:c r="E1250" s="11" t="n">
        <x:f>IF($A1250="","",INDEX(Assumptions!$M$5:$M$11,WEEKDAY($A1250,2)))</x:f>
        <x:v>1.03</x:v>
      </x:c>
      <x:c r="F1250" s="11" t="n">
        <x:f>IF($A1250="","",Assumptions!$B$15)</x:f>
        <x:v>0.35</x:v>
      </x:c>
      <x:c r="G1250" s="11" t="n">
        <x:f>IF($A1250="","",MAX(INDEX(Assumptions!$H$5:$H$12,MATCH($B1250,Assumptions!$D$5:$D$12,0)),MIN(INDEX(Assumptions!$I$5:$I$12,MATCH($B1250,Assumptions!$D$5:$D$12,0)),($C1250+$D1250*SQRT(-2*LN(RAND()))*COS(2*PI()*RAND()))*$E1250*$J1250*$K1250)))</x:f>
        <x:v>876.6926918294392</x:v>
      </x:c>
      <x:c r="H1250" s="11" t="n">
        <x:f>IF($A1250="","",$G1250*$F1250+$C1250*(1-$F1250))</x:f>
        <x:v>856.0924421403038</x:v>
      </x:c>
      <x:c r="I1250" s="11" t="n">
        <x:f>IF($A1250="","",AVERAGE($H1250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839.436052241574</x:v>
      </x:c>
      <x:c r="J1250" s="12" t="n">
        <x:f>IF($A1250="","",1+SUMIFS(Assumptions!$S$5:$S$10,Assumptions!$P$5:$P$10,$B1250,Assumptions!$Q$5:$Q$10,"&lt;="&amp;$A1250,Assumptions!$R$5:$R$10,"&gt;="&amp;$A1250))</x:f>
        <x:v>1</x:v>
      </x:c>
      <x:c r="K1250" s="12" t="n">
        <x:f>IF($A1250="","",1+((($A1250-Assumptions!$B$5)/30)*INDEX(Assumptions!$J$5:$J$12,MATCH($B1250,Assumptions!$D$5:$D$12,0))))</x:f>
        <x:v>1.0083</x:v>
      </x:c>
      <x:c r="L1250" t="str">
        <x:f>IF($A1250="","",IFERROR(INDEX(Assumptions!$O$5:$O$10,MATCH(1,(Assumptions!$P$5:$P$10=$B1250)*(Assumptions!$Q$5:$Q$10&lt;=$A1250)*(Assumptions!$R$5:$R$10&gt;=$A1250),0)),""))</x:f>
      </x:c>
      <x:c r="M1250" t="n">
        <x:f>--($A1250&lt;&gt;"")</x:f>
        <x:v>1</x:v>
      </x:c>
    </x:row>
    <x:row r="1251">
      <x:c r="A1251" s="10" t="n">
        <x:f>IF(Assumptions!$B$5+INT((ROW()-2)/Assumptions!$B$7)&gt;Assumptions!$B$6,"",Assumptions!$B$5+INT((ROW()-2)/Assumptions!$B$7))</x:f>
        <x:v>46272</x:v>
      </x:c>
      <x:c r="B1251" t="str">
        <x:f>IF($A1251="","",INDEX(Assumptions!$D$5:$D$12,MOD(ROW()-2,Assumptions!$B$7)+1))</x:f>
        <x:v>Yutani Ridge</x:v>
      </x:c>
      <x:c r="C1251" s="11" t="n">
        <x:f>IF($A1251="","",INDEX(Assumptions!$F$5:$F$12,MATCH($B1251,Assumptions!$D$5:$D$12,0)))</x:f>
        <x:v>1050</x:v>
      </x:c>
      <x:c r="D1251" s="11" t="n">
        <x:f>IF($A1251="","",INDEX(Assumptions!$G$5:$G$12,MATCH($B1251,Assumptions!$D$5:$D$12,0)))</x:f>
        <x:v>125</x:v>
      </x:c>
      <x:c r="E1251" s="11" t="n">
        <x:f>IF($A1251="","",INDEX(Assumptions!$M$5:$M$11,WEEKDAY($A1251,2)))</x:f>
        <x:v>1.03</x:v>
      </x:c>
      <x:c r="F1251" s="11" t="n">
        <x:f>IF($A1251="","",Assumptions!$B$15)</x:f>
        <x:v>0.35</x:v>
      </x:c>
      <x:c r="G1251" s="11" t="n">
        <x:f>IF($A1251="","",MAX(INDEX(Assumptions!$H$5:$H$12,MATCH($B1251,Assumptions!$D$5:$D$12,0)),MIN(INDEX(Assumptions!$I$5:$I$12,MATCH($B1251,Assumptions!$D$5:$D$12,0)),($C1251+$D1251*SQRT(-2*LN(RAND()))*COS(2*PI()*RAND()))*$E1251*$J1251*$K1251)))</x:f>
        <x:v>1196.705251590032</x:v>
      </x:c>
      <x:c r="H1251" s="11" t="n">
        <x:f>IF($A1251="","",$G1251*$F1251+$C1251*(1-$F1251))</x:f>
        <x:v>1101.3468380565112</x:v>
      </x:c>
      <x:c r="I1251" s="11" t="n">
        <x:f>IF($A1251="","",AVERAGE($H1251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1137.9596559616978</x:v>
      </x:c>
      <x:c r="J1251" s="12" t="n">
        <x:f>IF($A1251="","",1+SUMIFS(Assumptions!$S$5:$S$10,Assumptions!$P$5:$P$10,$B1251,Assumptions!$Q$5:$Q$10,"&lt;="&amp;$A1251,Assumptions!$R$5:$R$10,"&gt;="&amp;$A1251))</x:f>
        <x:v>1.22</x:v>
      </x:c>
      <x:c r="K1251" s="12" t="n">
        <x:f>IF($A1251="","",1+((($A1251-Assumptions!$B$5)/30)*INDEX(Assumptions!$J$5:$J$12,MATCH($B1251,Assumptions!$D$5:$D$12,0))))</x:f>
        <x:v>1.02075</x:v>
      </x:c>
      <x:c r="L1251" t="str">
        <x:f>IF($A1251="","",IFERROR(INDEX(Assumptions!$O$5:$O$10,MATCH(1,(Assumptions!$P$5:$P$10=$B1251)*(Assumptions!$Q$5:$Q$10&lt;=$A1251)*(Assumptions!$R$5:$R$10&gt;=$A1251),0)),""))</x:f>
        <x:v>Equipment upgrade</x:v>
      </x:c>
      <x:c r="M1251" t="n">
        <x:f>--($A1251&lt;&gt;"")</x:f>
        <x:v>1</x:v>
      </x:c>
    </x:row>
    <x:row r="1252">
      <x:c r="A1252" s="10" t="n">
        <x:f>IF(Assumptions!$B$5+INT((ROW()-2)/Assumptions!$B$7)&gt;Assumptions!$B$6,"",Assumptions!$B$5+INT((ROW()-2)/Assumptions!$B$7))</x:f>
        <x:v>46273</x:v>
      </x:c>
      <x:c r="B1252" t="str">
        <x:f>IF($A1252="","",INDEX(Assumptions!$D$5:$D$12,MOD(ROW()-2,Assumptions!$B$7)+1))</x:f>
        <x:v>Acheron Prime</x:v>
      </x:c>
      <x:c r="C1252" s="11" t="n">
        <x:f>IF($A1252="","",INDEX(Assumptions!$F$5:$F$12,MATCH($B1252,Assumptions!$D$5:$D$12,0)))</x:f>
        <x:v>1120</x:v>
      </x:c>
      <x:c r="D1252" s="11" t="n">
        <x:f>IF($A1252="","",INDEX(Assumptions!$G$5:$G$12,MATCH($B1252,Assumptions!$D$5:$D$12,0)))</x:f>
        <x:v>115</x:v>
      </x:c>
      <x:c r="E1252" s="11" t="n">
        <x:f>IF($A1252="","",INDEX(Assumptions!$M$5:$M$11,WEEKDAY($A1252,2)))</x:f>
        <x:v>1.02</x:v>
      </x:c>
      <x:c r="F1252" s="11" t="n">
        <x:f>IF($A1252="","",Assumptions!$B$15)</x:f>
        <x:v>0.35</x:v>
      </x:c>
      <x:c r="G1252" s="11" t="n">
        <x:f>IF($A1252="","",MAX(INDEX(Assumptions!$H$5:$H$12,MATCH($B1252,Assumptions!$D$5:$D$12,0)),MIN(INDEX(Assumptions!$I$5:$I$12,MATCH($B1252,Assumptions!$D$5:$D$12,0)),($C1252+$D1252*SQRT(-2*LN(RAND()))*COS(2*PI()*RAND()))*$E1252*$J1252*$K1252)))</x:f>
        <x:v>1162.621607388575</x:v>
      </x:c>
      <x:c r="H1252" s="11" t="n">
        <x:f>IF($A1252="","",$G1252*$F1252+$C1252*(1-$F1252))</x:f>
        <x:v>1134.9175625860012</x:v>
      </x:c>
      <x:c r="I1252" s="11" t="n">
        <x:f>IF($A1252="","",AVERAGE($H1252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1130.3573042870105</x:v>
      </x:c>
      <x:c r="J1252" s="12" t="n">
        <x:f>IF($A1252="","",1+SUMIFS(Assumptions!$S$5:$S$10,Assumptions!$P$5:$P$10,$B1252,Assumptions!$Q$5:$Q$10,"&lt;="&amp;$A1252,Assumptions!$R$5:$R$10,"&gt;="&amp;$A1252))</x:f>
        <x:v>1</x:v>
      </x:c>
      <x:c r="K1252" s="12" t="n">
        <x:f>IF($A1252="","",1+((($A1252-Assumptions!$B$5)/30)*INDEX(Assumptions!$J$5:$J$12,MATCH($B1252,Assumptions!$D$5:$D$12,0))))</x:f>
        <x:v>1.0166666666666666</x:v>
      </x:c>
      <x:c r="L1252" t="str">
        <x:f>IF($A1252="","",IFERROR(INDEX(Assumptions!$O$5:$O$10,MATCH(1,(Assumptions!$P$5:$P$10=$B1252)*(Assumptions!$Q$5:$Q$10&lt;=$A1252)*(Assumptions!$R$5:$R$10&gt;=$A1252),0)),""))</x:f>
      </x:c>
      <x:c r="M1252" t="n">
        <x:f>--($A1252&lt;&gt;"")</x:f>
        <x:v>1</x:v>
      </x:c>
    </x:row>
    <x:row r="1253">
      <x:c r="A1253" s="10" t="n">
        <x:f>IF(Assumptions!$B$5+INT((ROW()-2)/Assumptions!$B$7)&gt;Assumptions!$B$6,"",Assumptions!$B$5+INT((ROW()-2)/Assumptions!$B$7))</x:f>
        <x:v>46273</x:v>
      </x:c>
      <x:c r="B1253" t="str">
        <x:f>IF($A1253="","",INDEX(Assumptions!$D$5:$D$12,MOD(ROW()-2,Assumptions!$B$7)+1))</x:f>
        <x:v>LV-426 North</x:v>
      </x:c>
      <x:c r="C1253" s="11" t="n">
        <x:f>IF($A1253="","",INDEX(Assumptions!$F$5:$F$12,MATCH($B1253,Assumptions!$D$5:$D$12,0)))</x:f>
        <x:v>930</x:v>
      </x:c>
      <x:c r="D1253" s="11" t="n">
        <x:f>IF($A1253="","",INDEX(Assumptions!$G$5:$G$12,MATCH($B1253,Assumptions!$D$5:$D$12,0)))</x:f>
        <x:v>95</x:v>
      </x:c>
      <x:c r="E1253" s="11" t="n">
        <x:f>IF($A1253="","",INDEX(Assumptions!$M$5:$M$11,WEEKDAY($A1253,2)))</x:f>
        <x:v>1.02</x:v>
      </x:c>
      <x:c r="F1253" s="11" t="n">
        <x:f>IF($A1253="","",Assumptions!$B$15)</x:f>
        <x:v>0.35</x:v>
      </x:c>
      <x:c r="G1253" s="11" t="n">
        <x:f>IF($A1253="","",MAX(INDEX(Assumptions!$H$5:$H$12,MATCH($B1253,Assumptions!$D$5:$D$12,0)),MIN(INDEX(Assumptions!$I$5:$I$12,MATCH($B1253,Assumptions!$D$5:$D$12,0)),($C1253+$D1253*SQRT(-2*LN(RAND()))*COS(2*PI()*RAND()))*$E1253*$J1253*$K1253)))</x:f>
        <x:v>832.1429836987635</x:v>
      </x:c>
      <x:c r="H1253" s="11" t="n">
        <x:f>IF($A1253="","",$G1253*$F1253+$C1253*(1-$F1253))</x:f>
        <x:v>895.7500442945673</x:v>
      </x:c>
      <x:c r="I1253" s="11" t="n">
        <x:f>IF($A1253="","",AVERAGE($H1253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906.4363468185093</x:v>
      </x:c>
      <x:c r="J1253" s="12" t="n">
        <x:f>IF($A1253="","",1+SUMIFS(Assumptions!$S$5:$S$10,Assumptions!$P$5:$P$10,$B1253,Assumptions!$Q$5:$Q$10,"&lt;="&amp;$A1253,Assumptions!$R$5:$R$10,"&gt;="&amp;$A1253))</x:f>
        <x:v>1</x:v>
      </x:c>
      <x:c r="K1253" s="12" t="n">
        <x:f>IF($A1253="","",1+((($A1253-Assumptions!$B$5)/30)*INDEX(Assumptions!$J$5:$J$12,MATCH($B1253,Assumptions!$D$5:$D$12,0))))</x:f>
        <x:v>0.9916666666666667</x:v>
      </x:c>
      <x:c r="L1253" t="str">
        <x:f>IF($A1253="","",IFERROR(INDEX(Assumptions!$O$5:$O$10,MATCH(1,(Assumptions!$P$5:$P$10=$B1253)*(Assumptions!$Q$5:$Q$10&lt;=$A1253)*(Assumptions!$R$5:$R$10&gt;=$A1253),0)),""))</x:f>
      </x:c>
      <x:c r="M1253" t="n">
        <x:f>--($A1253&lt;&gt;"")</x:f>
        <x:v>1</x:v>
      </x:c>
    </x:row>
    <x:row r="1254">
      <x:c r="A1254" s="10" t="n">
        <x:f>IF(Assumptions!$B$5+INT((ROW()-2)/Assumptions!$B$7)&gt;Assumptions!$B$6,"",Assumptions!$B$5+INT((ROW()-2)/Assumptions!$B$7))</x:f>
        <x:v>46273</x:v>
      </x:c>
      <x:c r="B1254" t="str">
        <x:f>IF($A1254="","",INDEX(Assumptions!$D$5:$D$12,MOD(ROW()-2,Assumptions!$B$7)+1))</x:f>
        <x:v>Nostromo Deep</x:v>
      </x:c>
      <x:c r="C1254" s="11" t="n">
        <x:f>IF($A1254="","",INDEX(Assumptions!$F$5:$F$12,MATCH($B1254,Assumptions!$D$5:$D$12,0)))</x:f>
        <x:v>1260</x:v>
      </x:c>
      <x:c r="D1254" s="11" t="n">
        <x:f>IF($A1254="","",INDEX(Assumptions!$G$5:$G$12,MATCH($B1254,Assumptions!$D$5:$D$12,0)))</x:f>
        <x:v>145</x:v>
      </x:c>
      <x:c r="E1254" s="11" t="n">
        <x:f>IF($A1254="","",INDEX(Assumptions!$M$5:$M$11,WEEKDAY($A1254,2)))</x:f>
        <x:v>1.02</x:v>
      </x:c>
      <x:c r="F1254" s="11" t="n">
        <x:f>IF($A1254="","",Assumptions!$B$15)</x:f>
        <x:v>0.35</x:v>
      </x:c>
      <x:c r="G1254" s="11" t="n">
        <x:f>IF($A1254="","",MAX(INDEX(Assumptions!$H$5:$H$12,MATCH($B1254,Assumptions!$D$5:$D$12,0)),MIN(INDEX(Assumptions!$I$5:$I$12,MATCH($B1254,Assumptions!$D$5:$D$12,0)),($C1254+$D1254*SQRT(-2*LN(RAND()))*COS(2*PI()*RAND()))*$E1254*$J1254*$K1254)))</x:f>
        <x:v>1184.6763955025087</x:v>
      </x:c>
      <x:c r="H1254" s="11" t="n">
        <x:f>IF($A1254="","",$G1254*$F1254+$C1254*(1-$F1254))</x:f>
        <x:v>1233.636738425878</x:v>
      </x:c>
      <x:c r="I1254" s="11" t="n">
        <x:f>IF($A1254="","",AVERAGE($H1254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1247.2525533993498</x:v>
      </x:c>
      <x:c r="J1254" s="12" t="n">
        <x:f>IF($A1254="","",1+SUMIFS(Assumptions!$S$5:$S$10,Assumptions!$P$5:$P$10,$B1254,Assumptions!$Q$5:$Q$10,"&lt;="&amp;$A1254,Assumptions!$R$5:$R$10,"&gt;="&amp;$A1254))</x:f>
        <x:v>1</x:v>
      </x:c>
      <x:c r="K1254" s="12" t="n">
        <x:f>IF($A1254="","",1+((($A1254-Assumptions!$B$5)/30)*INDEX(Assumptions!$J$5:$J$12,MATCH($B1254,Assumptions!$D$5:$D$12,0))))</x:f>
        <x:v>1.025</x:v>
      </x:c>
      <x:c r="L1254" t="str">
        <x:f>IF($A1254="","",IFERROR(INDEX(Assumptions!$O$5:$O$10,MATCH(1,(Assumptions!$P$5:$P$10=$B1254)*(Assumptions!$Q$5:$Q$10&lt;=$A1254)*(Assumptions!$R$5:$R$10&gt;=$A1254),0)),""))</x:f>
      </x:c>
      <x:c r="M1254" t="n">
        <x:f>--($A1254&lt;&gt;"")</x:f>
        <x:v>1</x:v>
      </x:c>
    </x:row>
    <x:row r="1255">
      <x:c r="A1255" s="10" t="n">
        <x:f>IF(Assumptions!$B$5+INT((ROW()-2)/Assumptions!$B$7)&gt;Assumptions!$B$6,"",Assumptions!$B$5+INT((ROW()-2)/Assumptions!$B$7))</x:f>
        <x:v>46273</x:v>
      </x:c>
      <x:c r="B1255" t="str">
        <x:f>IF($A1255="","",INDEX(Assumptions!$D$5:$D$12,MOD(ROW()-2,Assumptions!$B$7)+1))</x:f>
        <x:v>Hadley's Hope</x:v>
      </x:c>
      <x:c r="C1255" s="11" t="n">
        <x:f>IF($A1255="","",INDEX(Assumptions!$F$5:$F$12,MATCH($B1255,Assumptions!$D$5:$D$12,0)))</x:f>
        <x:v>845</x:v>
      </x:c>
      <x:c r="D1255" s="11" t="n">
        <x:f>IF($A1255="","",INDEX(Assumptions!$G$5:$G$12,MATCH($B1255,Assumptions!$D$5:$D$12,0)))</x:f>
        <x:v>80</x:v>
      </x:c>
      <x:c r="E1255" s="11" t="n">
        <x:f>IF($A1255="","",INDEX(Assumptions!$M$5:$M$11,WEEKDAY($A1255,2)))</x:f>
        <x:v>1.02</x:v>
      </x:c>
      <x:c r="F1255" s="11" t="n">
        <x:f>IF($A1255="","",Assumptions!$B$15)</x:f>
        <x:v>0.35</x:v>
      </x:c>
      <x:c r="G1255" s="11" t="n">
        <x:f>IF($A1255="","",MAX(INDEX(Assumptions!$H$5:$H$12,MATCH($B1255,Assumptions!$D$5:$D$12,0)),MIN(INDEX(Assumptions!$I$5:$I$12,MATCH($B1255,Assumptions!$D$5:$D$12,0)),($C1255+$D1255*SQRT(-2*LN(RAND()))*COS(2*PI()*RAND()))*$E1255*$J1255*$K1255)))</x:f>
        <x:v>899.8604334952814</x:v>
      </x:c>
      <x:c r="H1255" s="11" t="n">
        <x:f>IF($A1255="","",$G1255*$F1255+$C1255*(1-$F1255))</x:f>
        <x:v>864.2011517233484</x:v>
      </x:c>
      <x:c r="I1255" s="11" t="n">
        <x:f>IF($A1255="","",AVERAGE($H1255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843.7765406747391</x:v>
      </x:c>
      <x:c r="J1255" s="12" t="n">
        <x:f>IF($A1255="","",1+SUMIFS(Assumptions!$S$5:$S$10,Assumptions!$P$5:$P$10,$B1255,Assumptions!$Q$5:$Q$10,"&lt;="&amp;$A1255,Assumptions!$R$5:$R$10,"&gt;="&amp;$A1255))</x:f>
        <x:v>1</x:v>
      </x:c>
      <x:c r="K1255" s="12" t="n">
        <x:f>IF($A1255="","",1+((($A1255-Assumptions!$B$5)/30)*INDEX(Assumptions!$J$5:$J$12,MATCH($B1255,Assumptions!$D$5:$D$12,0))))</x:f>
        <x:v>1.0083333333333333</x:v>
      </x:c>
      <x:c r="L1255" t="str">
        <x:f>IF($A1255="","",IFERROR(INDEX(Assumptions!$O$5:$O$10,MATCH(1,(Assumptions!$P$5:$P$10=$B1255)*(Assumptions!$Q$5:$Q$10&lt;=$A1255)*(Assumptions!$R$5:$R$10&gt;=$A1255),0)),""))</x:f>
      </x:c>
      <x:c r="M1255" t="n">
        <x:f>--($A1255&lt;&gt;"")</x:f>
        <x:v>1</x:v>
      </x:c>
    </x:row>
    <x:row r="1256">
      <x:c r="A1256" s="10" t="n">
        <x:f>IF(Assumptions!$B$5+INT((ROW()-2)/Assumptions!$B$7)&gt;Assumptions!$B$6,"",Assumptions!$B$5+INT((ROW()-2)/Assumptions!$B$7))</x:f>
        <x:v>46273</x:v>
      </x:c>
      <x:c r="B1256" t="str">
        <x:f>IF($A1256="","",INDEX(Assumptions!$D$5:$D$12,MOD(ROW()-2,Assumptions!$B$7)+1))</x:f>
        <x:v>Yutani Ridge</x:v>
      </x:c>
      <x:c r="C1256" s="11" t="n">
        <x:f>IF($A1256="","",INDEX(Assumptions!$F$5:$F$12,MATCH($B1256,Assumptions!$D$5:$D$12,0)))</x:f>
        <x:v>1050</x:v>
      </x:c>
      <x:c r="D1256" s="11" t="n">
        <x:f>IF($A1256="","",INDEX(Assumptions!$G$5:$G$12,MATCH($B1256,Assumptions!$D$5:$D$12,0)))</x:f>
        <x:v>125</x:v>
      </x:c>
      <x:c r="E1256" s="11" t="n">
        <x:f>IF($A1256="","",INDEX(Assumptions!$M$5:$M$11,WEEKDAY($A1256,2)))</x:f>
        <x:v>1.02</x:v>
      </x:c>
      <x:c r="F1256" s="11" t="n">
        <x:f>IF($A1256="","",Assumptions!$B$15)</x:f>
        <x:v>0.35</x:v>
      </x:c>
      <x:c r="G1256" s="11" t="n">
        <x:f>IF($A1256="","",MAX(INDEX(Assumptions!$H$5:$H$12,MATCH($B1256,Assumptions!$D$5:$D$12,0)),MIN(INDEX(Assumptions!$I$5:$I$12,MATCH($B1256,Assumptions!$D$5:$D$12,0)),($C1256+$D1256*SQRT(-2*LN(RAND()))*COS(2*PI()*RAND()))*$E1256*$J1256*$K1256)))</x:f>
        <x:v>1363.1978772568189</x:v>
      </x:c>
      <x:c r="H1256" s="11" t="n">
        <x:f>IF($A1256="","",$G1256*$F1256+$C1256*(1-$F1256))</x:f>
        <x:v>1159.6192570398866</x:v>
      </x:c>
      <x:c r="I1256" s="11" t="n">
        <x:f>IF($A1256="","",AVERAGE($H1256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1135.3414822532538</x:v>
      </x:c>
      <x:c r="J1256" s="12" t="n">
        <x:f>IF($A1256="","",1+SUMIFS(Assumptions!$S$5:$S$10,Assumptions!$P$5:$P$10,$B1256,Assumptions!$Q$5:$Q$10,"&lt;="&amp;$A1256,Assumptions!$R$5:$R$10,"&gt;="&amp;$A1256))</x:f>
        <x:v>1.22</x:v>
      </x:c>
      <x:c r="K1256" s="12" t="n">
        <x:f>IF($A1256="","",1+((($A1256-Assumptions!$B$5)/30)*INDEX(Assumptions!$J$5:$J$12,MATCH($B1256,Assumptions!$D$5:$D$12,0))))</x:f>
        <x:v>1.0208333333333333</x:v>
      </x:c>
      <x:c r="L1256" t="str">
        <x:f>IF($A1256="","",IFERROR(INDEX(Assumptions!$O$5:$O$10,MATCH(1,(Assumptions!$P$5:$P$10=$B1256)*(Assumptions!$Q$5:$Q$10&lt;=$A1256)*(Assumptions!$R$5:$R$10&gt;=$A1256),0)),""))</x:f>
        <x:v>Equipment upgrade</x:v>
      </x:c>
      <x:c r="M1256" t="n">
        <x:f>--($A1256&lt;&gt;"")</x:f>
        <x:v>1</x:v>
      </x:c>
    </x:row>
    <x:row r="1257">
      <x:c r="A1257" s="10" t="n">
        <x:f>IF(Assumptions!$B$5+INT((ROW()-2)/Assumptions!$B$7)&gt;Assumptions!$B$6,"",Assumptions!$B$5+INT((ROW()-2)/Assumptions!$B$7))</x:f>
        <x:v>46274</x:v>
      </x:c>
      <x:c r="B1257" t="str">
        <x:f>IF($A1257="","",INDEX(Assumptions!$D$5:$D$12,MOD(ROW()-2,Assumptions!$B$7)+1))</x:f>
        <x:v>Acheron Prime</x:v>
      </x:c>
      <x:c r="C1257" s="11" t="n">
        <x:f>IF($A1257="","",INDEX(Assumptions!$F$5:$F$12,MATCH($B1257,Assumptions!$D$5:$D$12,0)))</x:f>
        <x:v>1120</x:v>
      </x:c>
      <x:c r="D1257" s="11" t="n">
        <x:f>IF($A1257="","",INDEX(Assumptions!$G$5:$G$12,MATCH($B1257,Assumptions!$D$5:$D$12,0)))</x:f>
        <x:v>115</x:v>
      </x:c>
      <x:c r="E1257" s="11" t="n">
        <x:f>IF($A1257="","",INDEX(Assumptions!$M$5:$M$11,WEEKDAY($A1257,2)))</x:f>
        <x:v>1.01</x:v>
      </x:c>
      <x:c r="F1257" s="11" t="n">
        <x:f>IF($A1257="","",Assumptions!$B$15)</x:f>
        <x:v>0.35</x:v>
      </x:c>
      <x:c r="G1257" s="11" t="n">
        <x:f>IF($A1257="","",MAX(INDEX(Assumptions!$H$5:$H$12,MATCH($B1257,Assumptions!$D$5:$D$12,0)),MIN(INDEX(Assumptions!$I$5:$I$12,MATCH($B1257,Assumptions!$D$5:$D$12,0)),($C1257+$D1257*SQRT(-2*LN(RAND()))*COS(2*PI()*RAND()))*$E1257*$J1257*$K1257)))</x:f>
        <x:v>895.1259428606334</x:v>
      </x:c>
      <x:c r="H1257" s="11" t="n">
        <x:f>IF($A1257="","",$G1257*$F1257+$C1257*(1-$F1257))</x:f>
        <x:v>1041.2940800012216</x:v>
      </x:c>
      <x:c r="I1257" s="11" t="n">
        <x:f>IF($A1257="","",AVERAGE($H1257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1114.6981052055223</x:v>
      </x:c>
      <x:c r="J1257" s="12" t="n">
        <x:f>IF($A1257="","",1+SUMIFS(Assumptions!$S$5:$S$10,Assumptions!$P$5:$P$10,$B1257,Assumptions!$Q$5:$Q$10,"&lt;="&amp;$A1257,Assumptions!$R$5:$R$10,"&gt;="&amp;$A1257))</x:f>
        <x:v>1</x:v>
      </x:c>
      <x:c r="K1257" s="12" t="n">
        <x:f>IF($A1257="","",1+((($A1257-Assumptions!$B$5)/30)*INDEX(Assumptions!$J$5:$J$12,MATCH($B1257,Assumptions!$D$5:$D$12,0))))</x:f>
        <x:v>1.0167333333333333</x:v>
      </x:c>
      <x:c r="L1257" t="str">
        <x:f>IF($A1257="","",IFERROR(INDEX(Assumptions!$O$5:$O$10,MATCH(1,(Assumptions!$P$5:$P$10=$B1257)*(Assumptions!$Q$5:$Q$10&lt;=$A1257)*(Assumptions!$R$5:$R$10&gt;=$A1257),0)),""))</x:f>
      </x:c>
      <x:c r="M1257" t="n">
        <x:f>--($A1257&lt;&gt;"")</x:f>
        <x:v>1</x:v>
      </x:c>
    </x:row>
    <x:row r="1258">
      <x:c r="A1258" s="10" t="n">
        <x:f>IF(Assumptions!$B$5+INT((ROW()-2)/Assumptions!$B$7)&gt;Assumptions!$B$6,"",Assumptions!$B$5+INT((ROW()-2)/Assumptions!$B$7))</x:f>
        <x:v>46274</x:v>
      </x:c>
      <x:c r="B1258" t="str">
        <x:f>IF($A1258="","",INDEX(Assumptions!$D$5:$D$12,MOD(ROW()-2,Assumptions!$B$7)+1))</x:f>
        <x:v>LV-426 North</x:v>
      </x:c>
      <x:c r="C1258" s="11" t="n">
        <x:f>IF($A1258="","",INDEX(Assumptions!$F$5:$F$12,MATCH($B1258,Assumptions!$D$5:$D$12,0)))</x:f>
        <x:v>930</x:v>
      </x:c>
      <x:c r="D1258" s="11" t="n">
        <x:f>IF($A1258="","",INDEX(Assumptions!$G$5:$G$12,MATCH($B1258,Assumptions!$D$5:$D$12,0)))</x:f>
        <x:v>95</x:v>
      </x:c>
      <x:c r="E1258" s="11" t="n">
        <x:f>IF($A1258="","",INDEX(Assumptions!$M$5:$M$11,WEEKDAY($A1258,2)))</x:f>
        <x:v>1.01</x:v>
      </x:c>
      <x:c r="F1258" s="11" t="n">
        <x:f>IF($A1258="","",Assumptions!$B$15)</x:f>
        <x:v>0.35</x:v>
      </x:c>
      <x:c r="G1258" s="11" t="n">
        <x:f>IF($A1258="","",MAX(INDEX(Assumptions!$H$5:$H$12,MATCH($B1258,Assumptions!$D$5:$D$12,0)),MIN(INDEX(Assumptions!$I$5:$I$12,MATCH($B1258,Assumptions!$D$5:$D$12,0)),($C1258+$D1258*SQRT(-2*LN(RAND()))*COS(2*PI()*RAND()))*$E1258*$J1258*$K1258)))</x:f>
        <x:v>904.9380937392151</x:v>
      </x:c>
      <x:c r="H1258" s="11" t="n">
        <x:f>IF($A1258="","",$G1258*$F1258+$C1258*(1-$F1258))</x:f>
        <x:v>921.2283328087253</x:v>
      </x:c>
      <x:c r="I1258" s="11" t="n">
        <x:f>IF($A1258="","",AVERAGE($H1258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902.1303896441675</x:v>
      </x:c>
      <x:c r="J1258" s="12" t="n">
        <x:f>IF($A1258="","",1+SUMIFS(Assumptions!$S$5:$S$10,Assumptions!$P$5:$P$10,$B1258,Assumptions!$Q$5:$Q$10,"&lt;="&amp;$A1258,Assumptions!$R$5:$R$10,"&gt;="&amp;$A1258))</x:f>
        <x:v>1</x:v>
      </x:c>
      <x:c r="K1258" s="12" t="n">
        <x:f>IF($A1258="","",1+((($A1258-Assumptions!$B$5)/30)*INDEX(Assumptions!$J$5:$J$12,MATCH($B1258,Assumptions!$D$5:$D$12,0))))</x:f>
        <x:v>0.9916333333333334</x:v>
      </x:c>
      <x:c r="L1258" t="str">
        <x:f>IF($A1258="","",IFERROR(INDEX(Assumptions!$O$5:$O$10,MATCH(1,(Assumptions!$P$5:$P$10=$B1258)*(Assumptions!$Q$5:$Q$10&lt;=$A1258)*(Assumptions!$R$5:$R$10&gt;=$A1258),0)),""))</x:f>
      </x:c>
      <x:c r="M1258" t="n">
        <x:f>--($A1258&lt;&gt;"")</x:f>
        <x:v>1</x:v>
      </x:c>
    </x:row>
    <x:row r="1259">
      <x:c r="A1259" s="10" t="n">
        <x:f>IF(Assumptions!$B$5+INT((ROW()-2)/Assumptions!$B$7)&gt;Assumptions!$B$6,"",Assumptions!$B$5+INT((ROW()-2)/Assumptions!$B$7))</x:f>
        <x:v>46274</x:v>
      </x:c>
      <x:c r="B1259" t="str">
        <x:f>IF($A1259="","",INDEX(Assumptions!$D$5:$D$12,MOD(ROW()-2,Assumptions!$B$7)+1))</x:f>
        <x:v>Nostromo Deep</x:v>
      </x:c>
      <x:c r="C1259" s="11" t="n">
        <x:f>IF($A1259="","",INDEX(Assumptions!$F$5:$F$12,MATCH($B1259,Assumptions!$D$5:$D$12,0)))</x:f>
        <x:v>1260</x:v>
      </x:c>
      <x:c r="D1259" s="11" t="n">
        <x:f>IF($A1259="","",INDEX(Assumptions!$G$5:$G$12,MATCH($B1259,Assumptions!$D$5:$D$12,0)))</x:f>
        <x:v>145</x:v>
      </x:c>
      <x:c r="E1259" s="11" t="n">
        <x:f>IF($A1259="","",INDEX(Assumptions!$M$5:$M$11,WEEKDAY($A1259,2)))</x:f>
        <x:v>1.01</x:v>
      </x:c>
      <x:c r="F1259" s="11" t="n">
        <x:f>IF($A1259="","",Assumptions!$B$15)</x:f>
        <x:v>0.35</x:v>
      </x:c>
      <x:c r="G1259" s="11" t="n">
        <x:f>IF($A1259="","",MAX(INDEX(Assumptions!$H$5:$H$12,MATCH($B1259,Assumptions!$D$5:$D$12,0)),MIN(INDEX(Assumptions!$I$5:$I$12,MATCH($B1259,Assumptions!$D$5:$D$12,0)),($C1259+$D1259*SQRT(-2*LN(RAND()))*COS(2*PI()*RAND()))*$E1259*$J1259*$K1259)))</x:f>
        <x:v>947.6465233097147</x:v>
      </x:c>
      <x:c r="H1259" s="11" t="n">
        <x:f>IF($A1259="","",$G1259*$F1259+$C1259*(1-$F1259))</x:f>
        <x:v>1150.6762831584</x:v>
      </x:c>
      <x:c r="I1259" s="11" t="n">
        <x:f>IF($A1259="","",AVERAGE($H1259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1224.2445881127946</x:v>
      </x:c>
      <x:c r="J1259" s="12" t="n">
        <x:f>IF($A1259="","",1+SUMIFS(Assumptions!$S$5:$S$10,Assumptions!$P$5:$P$10,$B1259,Assumptions!$Q$5:$Q$10,"&lt;="&amp;$A1259,Assumptions!$R$5:$R$10,"&gt;="&amp;$A1259))</x:f>
        <x:v>1</x:v>
      </x:c>
      <x:c r="K1259" s="12" t="n">
        <x:f>IF($A1259="","",1+((($A1259-Assumptions!$B$5)/30)*INDEX(Assumptions!$J$5:$J$12,MATCH($B1259,Assumptions!$D$5:$D$12,0))))</x:f>
        <x:v>1.0251</x:v>
      </x:c>
      <x:c r="L1259" t="str">
        <x:f>IF($A1259="","",IFERROR(INDEX(Assumptions!$O$5:$O$10,MATCH(1,(Assumptions!$P$5:$P$10=$B1259)*(Assumptions!$Q$5:$Q$10&lt;=$A1259)*(Assumptions!$R$5:$R$10&gt;=$A1259),0)),""))</x:f>
      </x:c>
      <x:c r="M1259" t="n">
        <x:f>--($A1259&lt;&gt;"")</x:f>
        <x:v>1</x:v>
      </x:c>
    </x:row>
    <x:row r="1260">
      <x:c r="A1260" s="10" t="n">
        <x:f>IF(Assumptions!$B$5+INT((ROW()-2)/Assumptions!$B$7)&gt;Assumptions!$B$6,"",Assumptions!$B$5+INT((ROW()-2)/Assumptions!$B$7))</x:f>
        <x:v>46274</x:v>
      </x:c>
      <x:c r="B1260" t="str">
        <x:f>IF($A1260="","",INDEX(Assumptions!$D$5:$D$12,MOD(ROW()-2,Assumptions!$B$7)+1))</x:f>
        <x:v>Hadley's Hope</x:v>
      </x:c>
      <x:c r="C1260" s="11" t="n">
        <x:f>IF($A1260="","",INDEX(Assumptions!$F$5:$F$12,MATCH($B1260,Assumptions!$D$5:$D$12,0)))</x:f>
        <x:v>845</x:v>
      </x:c>
      <x:c r="D1260" s="11" t="n">
        <x:f>IF($A1260="","",INDEX(Assumptions!$G$5:$G$12,MATCH($B1260,Assumptions!$D$5:$D$12,0)))</x:f>
        <x:v>80</x:v>
      </x:c>
      <x:c r="E1260" s="11" t="n">
        <x:f>IF($A1260="","",INDEX(Assumptions!$M$5:$M$11,WEEKDAY($A1260,2)))</x:f>
        <x:v>1.01</x:v>
      </x:c>
      <x:c r="F1260" s="11" t="n">
        <x:f>IF($A1260="","",Assumptions!$B$15)</x:f>
        <x:v>0.35</x:v>
      </x:c>
      <x:c r="G1260" s="11" t="n">
        <x:f>IF($A1260="","",MAX(INDEX(Assumptions!$H$5:$H$12,MATCH($B1260,Assumptions!$D$5:$D$12,0)),MIN(INDEX(Assumptions!$I$5:$I$12,MATCH($B1260,Assumptions!$D$5:$D$12,0)),($C1260+$D1260*SQRT(-2*LN(RAND()))*COS(2*PI()*RAND()))*$E1260*$J1260*$K1260)))</x:f>
        <x:v>840.3818044541313</x:v>
      </x:c>
      <x:c r="H1260" s="11" t="n">
        <x:f>IF($A1260="","",$G1260*$F1260+$C1260*(1-$F1260))</x:f>
        <x:v>843.3836315589459</x:v>
      </x:c>
      <x:c r="I1260" s="11" t="n">
        <x:f>IF($A1260="","",AVERAGE($H1260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845.5575055203535</x:v>
      </x:c>
      <x:c r="J1260" s="12" t="n">
        <x:f>IF($A1260="","",1+SUMIFS(Assumptions!$S$5:$S$10,Assumptions!$P$5:$P$10,$B1260,Assumptions!$Q$5:$Q$10,"&lt;="&amp;$A1260,Assumptions!$R$5:$R$10,"&gt;="&amp;$A1260))</x:f>
        <x:v>1</x:v>
      </x:c>
      <x:c r="K1260" s="12" t="n">
        <x:f>IF($A1260="","",1+((($A1260-Assumptions!$B$5)/30)*INDEX(Assumptions!$J$5:$J$12,MATCH($B1260,Assumptions!$D$5:$D$12,0))))</x:f>
        <x:v>1.0083666666666666</x:v>
      </x:c>
      <x:c r="L1260" t="str">
        <x:f>IF($A1260="","",IFERROR(INDEX(Assumptions!$O$5:$O$10,MATCH(1,(Assumptions!$P$5:$P$10=$B1260)*(Assumptions!$Q$5:$Q$10&lt;=$A1260)*(Assumptions!$R$5:$R$10&gt;=$A1260),0)),""))</x:f>
      </x:c>
      <x:c r="M1260" t="n">
        <x:f>--($A1260&lt;&gt;"")</x:f>
        <x:v>1</x:v>
      </x:c>
    </x:row>
    <x:row r="1261">
      <x:c r="A1261" s="10" t="n">
        <x:f>IF(Assumptions!$B$5+INT((ROW()-2)/Assumptions!$B$7)&gt;Assumptions!$B$6,"",Assumptions!$B$5+INT((ROW()-2)/Assumptions!$B$7))</x:f>
        <x:v>46274</x:v>
      </x:c>
      <x:c r="B1261" t="str">
        <x:f>IF($A1261="","",INDEX(Assumptions!$D$5:$D$12,MOD(ROW()-2,Assumptions!$B$7)+1))</x:f>
        <x:v>Yutani Ridge</x:v>
      </x:c>
      <x:c r="C1261" s="11" t="n">
        <x:f>IF($A1261="","",INDEX(Assumptions!$F$5:$F$12,MATCH($B1261,Assumptions!$D$5:$D$12,0)))</x:f>
        <x:v>1050</x:v>
      </x:c>
      <x:c r="D1261" s="11" t="n">
        <x:f>IF($A1261="","",INDEX(Assumptions!$G$5:$G$12,MATCH($B1261,Assumptions!$D$5:$D$12,0)))</x:f>
        <x:v>125</x:v>
      </x:c>
      <x:c r="E1261" s="11" t="n">
        <x:f>IF($A1261="","",INDEX(Assumptions!$M$5:$M$11,WEEKDAY($A1261,2)))</x:f>
        <x:v>1.01</x:v>
      </x:c>
      <x:c r="F1261" s="11" t="n">
        <x:f>IF($A1261="","",Assumptions!$B$15)</x:f>
        <x:v>0.35</x:v>
      </x:c>
      <x:c r="G1261" s="11" t="n">
        <x:f>IF($A1261="","",MAX(INDEX(Assumptions!$H$5:$H$12,MATCH($B1261,Assumptions!$D$5:$D$12,0)),MIN(INDEX(Assumptions!$I$5:$I$12,MATCH($B1261,Assumptions!$D$5:$D$12,0)),($C1261+$D1261*SQRT(-2*LN(RAND()))*COS(2*PI()*RAND()))*$E1261*$J1261*$K1261)))</x:f>
        <x:v>1020.1047271586515</x:v>
      </x:c>
      <x:c r="H1261" s="11" t="n">
        <x:f>IF($A1261="","",$G1261*$F1261+$C1261*(1-$F1261))</x:f>
        <x:v>1039.536654505528</x:v>
      </x:c>
      <x:c r="I1261" s="11" t="n">
        <x:f>IF($A1261="","",AVERAGE($H1261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1122.112070130514</x:v>
      </x:c>
      <x:c r="J1261" s="12" t="n">
        <x:f>IF($A1261="","",1+SUMIFS(Assumptions!$S$5:$S$10,Assumptions!$P$5:$P$10,$B1261,Assumptions!$Q$5:$Q$10,"&lt;="&amp;$A1261,Assumptions!$R$5:$R$10,"&gt;="&amp;$A1261))</x:f>
        <x:v>1.22</x:v>
      </x:c>
      <x:c r="K1261" s="12" t="n">
        <x:f>IF($A1261="","",1+((($A1261-Assumptions!$B$5)/30)*INDEX(Assumptions!$J$5:$J$12,MATCH($B1261,Assumptions!$D$5:$D$12,0))))</x:f>
        <x:v>1.0209166666666667</x:v>
      </x:c>
      <x:c r="L1261" t="str">
        <x:f>IF($A1261="","",IFERROR(INDEX(Assumptions!$O$5:$O$10,MATCH(1,(Assumptions!$P$5:$P$10=$B1261)*(Assumptions!$Q$5:$Q$10&lt;=$A1261)*(Assumptions!$R$5:$R$10&gt;=$A1261),0)),""))</x:f>
        <x:v>Equipment upgrade</x:v>
      </x:c>
      <x:c r="M1261" t="n">
        <x:f>--($A1261&lt;&gt;"")</x:f>
        <x:v>1</x:v>
      </x:c>
    </x:row>
    <x:row r="1262">
      <x:c r="A1262" s="10" t="n">
        <x:f>IF(Assumptions!$B$5+INT((ROW()-2)/Assumptions!$B$7)&gt;Assumptions!$B$6,"",Assumptions!$B$5+INT((ROW()-2)/Assumptions!$B$7))</x:f>
        <x:v>46275</x:v>
      </x:c>
      <x:c r="B1262" t="str">
        <x:f>IF($A1262="","",INDEX(Assumptions!$D$5:$D$12,MOD(ROW()-2,Assumptions!$B$7)+1))</x:f>
        <x:v>Acheron Prime</x:v>
      </x:c>
      <x:c r="C1262" s="11" t="n">
        <x:f>IF($A1262="","",INDEX(Assumptions!$F$5:$F$12,MATCH($B1262,Assumptions!$D$5:$D$12,0)))</x:f>
        <x:v>1120</x:v>
      </x:c>
      <x:c r="D1262" s="11" t="n">
        <x:f>IF($A1262="","",INDEX(Assumptions!$G$5:$G$12,MATCH($B1262,Assumptions!$D$5:$D$12,0)))</x:f>
        <x:v>115</x:v>
      </x:c>
      <x:c r="E1262" s="11" t="n">
        <x:f>IF($A1262="","",INDEX(Assumptions!$M$5:$M$11,WEEKDAY($A1262,2)))</x:f>
        <x:v>1</x:v>
      </x:c>
      <x:c r="F1262" s="11" t="n">
        <x:f>IF($A1262="","",Assumptions!$B$15)</x:f>
        <x:v>0.35</x:v>
      </x:c>
      <x:c r="G1262" s="11" t="n">
        <x:f>IF($A1262="","",MAX(INDEX(Assumptions!$H$5:$H$12,MATCH($B1262,Assumptions!$D$5:$D$12,0)),MIN(INDEX(Assumptions!$I$5:$I$12,MATCH($B1262,Assumptions!$D$5:$D$12,0)),($C1262+$D1262*SQRT(-2*LN(RAND()))*COS(2*PI()*RAND()))*$E1262*$J1262*$K1262)))</x:f>
        <x:v>1144.1310190636223</x:v>
      </x:c>
      <x:c r="H1262" s="11" t="n">
        <x:f>IF($A1262="","",$G1262*$F1262+$C1262*(1-$F1262))</x:f>
        <x:v>1128.4458566722678</x:v>
      </x:c>
      <x:c r="I1262" s="11" t="n">
        <x:f>IF($A1262="","",AVERAGE($H1262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1120.0649111847065</x:v>
      </x:c>
      <x:c r="J1262" s="12" t="n">
        <x:f>IF($A1262="","",1+SUMIFS(Assumptions!$S$5:$S$10,Assumptions!$P$5:$P$10,$B1262,Assumptions!$Q$5:$Q$10,"&lt;="&amp;$A1262,Assumptions!$R$5:$R$10,"&gt;="&amp;$A1262))</x:f>
        <x:v>1</x:v>
      </x:c>
      <x:c r="K1262" s="12" t="n">
        <x:f>IF($A1262="","",1+((($A1262-Assumptions!$B$5)/30)*INDEX(Assumptions!$J$5:$J$12,MATCH($B1262,Assumptions!$D$5:$D$12,0))))</x:f>
        <x:v>1.0168</x:v>
      </x:c>
      <x:c r="L1262" t="str">
        <x:f>IF($A1262="","",IFERROR(INDEX(Assumptions!$O$5:$O$10,MATCH(1,(Assumptions!$P$5:$P$10=$B1262)*(Assumptions!$Q$5:$Q$10&lt;=$A1262)*(Assumptions!$R$5:$R$10&gt;=$A1262),0)),""))</x:f>
      </x:c>
      <x:c r="M1262" t="n">
        <x:f>--($A1262&lt;&gt;"")</x:f>
        <x:v>1</x:v>
      </x:c>
    </x:row>
    <x:row r="1263">
      <x:c r="A1263" s="10" t="n">
        <x:f>IF(Assumptions!$B$5+INT((ROW()-2)/Assumptions!$B$7)&gt;Assumptions!$B$6,"",Assumptions!$B$5+INT((ROW()-2)/Assumptions!$B$7))</x:f>
        <x:v>46275</x:v>
      </x:c>
      <x:c r="B1263" t="str">
        <x:f>IF($A1263="","",INDEX(Assumptions!$D$5:$D$12,MOD(ROW()-2,Assumptions!$B$7)+1))</x:f>
        <x:v>LV-426 North</x:v>
      </x:c>
      <x:c r="C1263" s="11" t="n">
        <x:f>IF($A1263="","",INDEX(Assumptions!$F$5:$F$12,MATCH($B1263,Assumptions!$D$5:$D$12,0)))</x:f>
        <x:v>930</x:v>
      </x:c>
      <x:c r="D1263" s="11" t="n">
        <x:f>IF($A1263="","",INDEX(Assumptions!$G$5:$G$12,MATCH($B1263,Assumptions!$D$5:$D$12,0)))</x:f>
        <x:v>95</x:v>
      </x:c>
      <x:c r="E1263" s="11" t="n">
        <x:f>IF($A1263="","",INDEX(Assumptions!$M$5:$M$11,WEEKDAY($A1263,2)))</x:f>
        <x:v>1</x:v>
      </x:c>
      <x:c r="F1263" s="11" t="n">
        <x:f>IF($A1263="","",Assumptions!$B$15)</x:f>
        <x:v>0.35</x:v>
      </x:c>
      <x:c r="G1263" s="11" t="n">
        <x:f>IF($A1263="","",MAX(INDEX(Assumptions!$H$5:$H$12,MATCH($B1263,Assumptions!$D$5:$D$12,0)),MIN(INDEX(Assumptions!$I$5:$I$12,MATCH($B1263,Assumptions!$D$5:$D$12,0)),($C1263+$D1263*SQRT(-2*LN(RAND()))*COS(2*PI()*RAND()))*$E1263*$J1263*$K1263)))</x:f>
        <x:v>921.4970476936596</x:v>
      </x:c>
      <x:c r="H1263" s="11" t="n">
        <x:f>IF($A1263="","",$G1263*$F1263+$C1263*(1-$F1263))</x:f>
        <x:v>927.0239666927808</x:v>
      </x:c>
      <x:c r="I1263" s="11" t="n">
        <x:f>IF($A1263="","",AVERAGE($H1263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904.6874642669939</x:v>
      </x:c>
      <x:c r="J1263" s="12" t="n">
        <x:f>IF($A1263="","",1+SUMIFS(Assumptions!$S$5:$S$10,Assumptions!$P$5:$P$10,$B1263,Assumptions!$Q$5:$Q$10,"&lt;="&amp;$A1263,Assumptions!$R$5:$R$10,"&gt;="&amp;$A1263))</x:f>
        <x:v>1</x:v>
      </x:c>
      <x:c r="K1263" s="12" t="n">
        <x:f>IF($A1263="","",1+((($A1263-Assumptions!$B$5)/30)*INDEX(Assumptions!$J$5:$J$12,MATCH($B1263,Assumptions!$D$5:$D$12,0))))</x:f>
        <x:v>0.9916</x:v>
      </x:c>
      <x:c r="L1263" t="str">
        <x:f>IF($A1263="","",IFERROR(INDEX(Assumptions!$O$5:$O$10,MATCH(1,(Assumptions!$P$5:$P$10=$B1263)*(Assumptions!$Q$5:$Q$10&lt;=$A1263)*(Assumptions!$R$5:$R$10&gt;=$A1263),0)),""))</x:f>
      </x:c>
      <x:c r="M1263" t="n">
        <x:f>--($A1263&lt;&gt;"")</x:f>
        <x:v>1</x:v>
      </x:c>
    </x:row>
    <x:row r="1264">
      <x:c r="A1264" s="10" t="n">
        <x:f>IF(Assumptions!$B$5+INT((ROW()-2)/Assumptions!$B$7)&gt;Assumptions!$B$6,"",Assumptions!$B$5+INT((ROW()-2)/Assumptions!$B$7))</x:f>
        <x:v>46275</x:v>
      </x:c>
      <x:c r="B1264" t="str">
        <x:f>IF($A1264="","",INDEX(Assumptions!$D$5:$D$12,MOD(ROW()-2,Assumptions!$B$7)+1))</x:f>
        <x:v>Nostromo Deep</x:v>
      </x:c>
      <x:c r="C1264" s="11" t="n">
        <x:f>IF($A1264="","",INDEX(Assumptions!$F$5:$F$12,MATCH($B1264,Assumptions!$D$5:$D$12,0)))</x:f>
        <x:v>1260</x:v>
      </x:c>
      <x:c r="D1264" s="11" t="n">
        <x:f>IF($A1264="","",INDEX(Assumptions!$G$5:$G$12,MATCH($B1264,Assumptions!$D$5:$D$12,0)))</x:f>
        <x:v>145</x:v>
      </x:c>
      <x:c r="E1264" s="11" t="n">
        <x:f>IF($A1264="","",INDEX(Assumptions!$M$5:$M$11,WEEKDAY($A1264,2)))</x:f>
        <x:v>1</x:v>
      </x:c>
      <x:c r="F1264" s="11" t="n">
        <x:f>IF($A1264="","",Assumptions!$B$15)</x:f>
        <x:v>0.35</x:v>
      </x:c>
      <x:c r="G1264" s="11" t="n">
        <x:f>IF($A1264="","",MAX(INDEX(Assumptions!$H$5:$H$12,MATCH($B1264,Assumptions!$D$5:$D$12,0)),MIN(INDEX(Assumptions!$I$5:$I$12,MATCH($B1264,Assumptions!$D$5:$D$12,0)),($C1264+$D1264*SQRT(-2*LN(RAND()))*COS(2*PI()*RAND()))*$E1264*$J1264*$K1264)))</x:f>
        <x:v>1304.1945283551033</x:v>
      </x:c>
      <x:c r="H1264" s="11" t="n">
        <x:f>IF($A1264="","",$G1264*$F1264+$C1264*(1-$F1264))</x:f>
        <x:v>1275.4680849242861</x:v>
      </x:c>
      <x:c r="I1264" s="11" t="n">
        <x:f>IF($A1264="","",AVERAGE($H1264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1229.2139817789866</x:v>
      </x:c>
      <x:c r="J1264" s="12" t="n">
        <x:f>IF($A1264="","",1+SUMIFS(Assumptions!$S$5:$S$10,Assumptions!$P$5:$P$10,$B1264,Assumptions!$Q$5:$Q$10,"&lt;="&amp;$A1264,Assumptions!$R$5:$R$10,"&gt;="&amp;$A1264))</x:f>
        <x:v>1</x:v>
      </x:c>
      <x:c r="K1264" s="12" t="n">
        <x:f>IF($A1264="","",1+((($A1264-Assumptions!$B$5)/30)*INDEX(Assumptions!$J$5:$J$12,MATCH($B1264,Assumptions!$D$5:$D$12,0))))</x:f>
        <x:v>1.0252</x:v>
      </x:c>
      <x:c r="L1264" t="str">
        <x:f>IF($A1264="","",IFERROR(INDEX(Assumptions!$O$5:$O$10,MATCH(1,(Assumptions!$P$5:$P$10=$B1264)*(Assumptions!$Q$5:$Q$10&lt;=$A1264)*(Assumptions!$R$5:$R$10&gt;=$A1264),0)),""))</x:f>
      </x:c>
      <x:c r="M1264" t="n">
        <x:f>--($A1264&lt;&gt;"")</x:f>
        <x:v>1</x:v>
      </x:c>
    </x:row>
    <x:row r="1265">
      <x:c r="A1265" s="10" t="n">
        <x:f>IF(Assumptions!$B$5+INT((ROW()-2)/Assumptions!$B$7)&gt;Assumptions!$B$6,"",Assumptions!$B$5+INT((ROW()-2)/Assumptions!$B$7))</x:f>
        <x:v>46275</x:v>
      </x:c>
      <x:c r="B1265" t="str">
        <x:f>IF($A1265="","",INDEX(Assumptions!$D$5:$D$12,MOD(ROW()-2,Assumptions!$B$7)+1))</x:f>
        <x:v>Hadley's Hope</x:v>
      </x:c>
      <x:c r="C1265" s="11" t="n">
        <x:f>IF($A1265="","",INDEX(Assumptions!$F$5:$F$12,MATCH($B1265,Assumptions!$D$5:$D$12,0)))</x:f>
        <x:v>845</x:v>
      </x:c>
      <x:c r="D1265" s="11" t="n">
        <x:f>IF($A1265="","",INDEX(Assumptions!$G$5:$G$12,MATCH($B1265,Assumptions!$D$5:$D$12,0)))</x:f>
        <x:v>80</x:v>
      </x:c>
      <x:c r="E1265" s="11" t="n">
        <x:f>IF($A1265="","",INDEX(Assumptions!$M$5:$M$11,WEEKDAY($A1265,2)))</x:f>
        <x:v>1</x:v>
      </x:c>
      <x:c r="F1265" s="11" t="n">
        <x:f>IF($A1265="","",Assumptions!$B$15)</x:f>
        <x:v>0.35</x:v>
      </x:c>
      <x:c r="G1265" s="11" t="n">
        <x:f>IF($A1265="","",MAX(INDEX(Assumptions!$H$5:$H$12,MATCH($B1265,Assumptions!$D$5:$D$12,0)),MIN(INDEX(Assumptions!$I$5:$I$12,MATCH($B1265,Assumptions!$D$5:$D$12,0)),($C1265+$D1265*SQRT(-2*LN(RAND()))*COS(2*PI()*RAND()))*$E1265*$J1265*$K1265)))</x:f>
        <x:v>742.7526258067747</x:v>
      </x:c>
      <x:c r="H1265" s="11" t="n">
        <x:f>IF($A1265="","",$G1265*$F1265+$C1265*(1-$F1265))</x:f>
        <x:v>809.2134190323711</x:v>
      </x:c>
      <x:c r="I1265" s="11" t="n">
        <x:f>IF($A1265="","",AVERAGE($H1265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837.6973211526547</x:v>
      </x:c>
      <x:c r="J1265" s="12" t="n">
        <x:f>IF($A1265="","",1+SUMIFS(Assumptions!$S$5:$S$10,Assumptions!$P$5:$P$10,$B1265,Assumptions!$Q$5:$Q$10,"&lt;="&amp;$A1265,Assumptions!$R$5:$R$10,"&gt;="&amp;$A1265))</x:f>
        <x:v>1</x:v>
      </x:c>
      <x:c r="K1265" s="12" t="n">
        <x:f>IF($A1265="","",1+((($A1265-Assumptions!$B$5)/30)*INDEX(Assumptions!$J$5:$J$12,MATCH($B1265,Assumptions!$D$5:$D$12,0))))</x:f>
        <x:v>1.0084</x:v>
      </x:c>
      <x:c r="L1265" t="str">
        <x:f>IF($A1265="","",IFERROR(INDEX(Assumptions!$O$5:$O$10,MATCH(1,(Assumptions!$P$5:$P$10=$B1265)*(Assumptions!$Q$5:$Q$10&lt;=$A1265)*(Assumptions!$R$5:$R$10&gt;=$A1265),0)),""))</x:f>
      </x:c>
      <x:c r="M1265" t="n">
        <x:f>--($A1265&lt;&gt;"")</x:f>
        <x:v>1</x:v>
      </x:c>
    </x:row>
    <x:row r="1266">
      <x:c r="A1266" s="10" t="n">
        <x:f>IF(Assumptions!$B$5+INT((ROW()-2)/Assumptions!$B$7)&gt;Assumptions!$B$6,"",Assumptions!$B$5+INT((ROW()-2)/Assumptions!$B$7))</x:f>
        <x:v>46275</x:v>
      </x:c>
      <x:c r="B1266" t="str">
        <x:f>IF($A1266="","",INDEX(Assumptions!$D$5:$D$12,MOD(ROW()-2,Assumptions!$B$7)+1))</x:f>
        <x:v>Yutani Ridge</x:v>
      </x:c>
      <x:c r="C1266" s="11" t="n">
        <x:f>IF($A1266="","",INDEX(Assumptions!$F$5:$F$12,MATCH($B1266,Assumptions!$D$5:$D$12,0)))</x:f>
        <x:v>1050</x:v>
      </x:c>
      <x:c r="D1266" s="11" t="n">
        <x:f>IF($A1266="","",INDEX(Assumptions!$G$5:$G$12,MATCH($B1266,Assumptions!$D$5:$D$12,0)))</x:f>
        <x:v>125</x:v>
      </x:c>
      <x:c r="E1266" s="11" t="n">
        <x:f>IF($A1266="","",INDEX(Assumptions!$M$5:$M$11,WEEKDAY($A1266,2)))</x:f>
        <x:v>1</x:v>
      </x:c>
      <x:c r="F1266" s="11" t="n">
        <x:f>IF($A1266="","",Assumptions!$B$15)</x:f>
        <x:v>0.35</x:v>
      </x:c>
      <x:c r="G1266" s="11" t="n">
        <x:f>IF($A1266="","",MAX(INDEX(Assumptions!$H$5:$H$12,MATCH($B1266,Assumptions!$D$5:$D$12,0)),MIN(INDEX(Assumptions!$I$5:$I$12,MATCH($B1266,Assumptions!$D$5:$D$12,0)),($C1266+$D1266*SQRT(-2*LN(RAND()))*COS(2*PI()*RAND()))*$E1266*$J1266*$K1266)))</x:f>
        <x:v>941.8585736953515</x:v>
      </x:c>
      <x:c r="H1266" s="11" t="n">
        <x:f>IF($A1266="","",$G1266*$F1266+$C1266*(1-$F1266))</x:f>
        <x:v>1012.150500793373</x:v>
      </x:c>
      <x:c r="I1266" s="11" t="n">
        <x:f>IF($A1266="","",AVERAGE($H1266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1103.5273652733417</x:v>
      </x:c>
      <x:c r="J1266" s="12" t="n">
        <x:f>IF($A1266="","",1+SUMIFS(Assumptions!$S$5:$S$10,Assumptions!$P$5:$P$10,$B1266,Assumptions!$Q$5:$Q$10,"&lt;="&amp;$A1266,Assumptions!$R$5:$R$10,"&gt;="&amp;$A1266))</x:f>
        <x:v>1.22</x:v>
      </x:c>
      <x:c r="K1266" s="12" t="n">
        <x:f>IF($A1266="","",1+((($A1266-Assumptions!$B$5)/30)*INDEX(Assumptions!$J$5:$J$12,MATCH($B1266,Assumptions!$D$5:$D$12,0))))</x:f>
        <x:v>1.021</x:v>
      </x:c>
      <x:c r="L1266" t="str">
        <x:f>IF($A1266="","",IFERROR(INDEX(Assumptions!$O$5:$O$10,MATCH(1,(Assumptions!$P$5:$P$10=$B1266)*(Assumptions!$Q$5:$Q$10&lt;=$A1266)*(Assumptions!$R$5:$R$10&gt;=$A1266),0)),""))</x:f>
        <x:v>Equipment upgrade</x:v>
      </x:c>
      <x:c r="M1266" t="n">
        <x:f>--($A1266&lt;&gt;"")</x:f>
        <x:v>1</x:v>
      </x:c>
    </x:row>
    <x:row r="1267">
      <x:c r="A1267" s="10" t="n">
        <x:f>IF(Assumptions!$B$5+INT((ROW()-2)/Assumptions!$B$7)&gt;Assumptions!$B$6,"",Assumptions!$B$5+INT((ROW()-2)/Assumptions!$B$7))</x:f>
        <x:v>46276</x:v>
      </x:c>
      <x:c r="B1267" t="str">
        <x:f>IF($A1267="","",INDEX(Assumptions!$D$5:$D$12,MOD(ROW()-2,Assumptions!$B$7)+1))</x:f>
        <x:v>Acheron Prime</x:v>
      </x:c>
      <x:c r="C1267" s="11" t="n">
        <x:f>IF($A1267="","",INDEX(Assumptions!$F$5:$F$12,MATCH($B1267,Assumptions!$D$5:$D$12,0)))</x:f>
        <x:v>1120</x:v>
      </x:c>
      <x:c r="D1267" s="11" t="n">
        <x:f>IF($A1267="","",INDEX(Assumptions!$G$5:$G$12,MATCH($B1267,Assumptions!$D$5:$D$12,0)))</x:f>
        <x:v>115</x:v>
      </x:c>
      <x:c r="E1267" s="11" t="n">
        <x:f>IF($A1267="","",INDEX(Assumptions!$M$5:$M$11,WEEKDAY($A1267,2)))</x:f>
        <x:v>0.98</x:v>
      </x:c>
      <x:c r="F1267" s="11" t="n">
        <x:f>IF($A1267="","",Assumptions!$B$15)</x:f>
        <x:v>0.35</x:v>
      </x:c>
      <x:c r="G1267" s="11" t="n">
        <x:f>IF($A1267="","",MAX(INDEX(Assumptions!$H$5:$H$12,MATCH($B1267,Assumptions!$D$5:$D$12,0)),MIN(INDEX(Assumptions!$I$5:$I$12,MATCH($B1267,Assumptions!$D$5:$D$12,0)),($C1267+$D1267*SQRT(-2*LN(RAND()))*COS(2*PI()*RAND()))*$E1267*$J1267*$K1267)))</x:f>
        <x:v>1117.615811688133</x:v>
      </x:c>
      <x:c r="H1267" s="11" t="n">
        <x:f>IF($A1267="","",$G1267*$F1267+$C1267*(1-$F1267))</x:f>
        <x:v>1119.1655340908464</x:v>
      </x:c>
      <x:c r="I1267" s="11" t="n">
        <x:f>IF($A1267="","",AVERAGE($H1267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1117.3158847795985</x:v>
      </x:c>
      <x:c r="J1267" s="12" t="n">
        <x:f>IF($A1267="","",1+SUMIFS(Assumptions!$S$5:$S$10,Assumptions!$P$5:$P$10,$B1267,Assumptions!$Q$5:$Q$10,"&lt;="&amp;$A1267,Assumptions!$R$5:$R$10,"&gt;="&amp;$A1267))</x:f>
        <x:v>1</x:v>
      </x:c>
      <x:c r="K1267" s="12" t="n">
        <x:f>IF($A1267="","",1+((($A1267-Assumptions!$B$5)/30)*INDEX(Assumptions!$J$5:$J$12,MATCH($B1267,Assumptions!$D$5:$D$12,0))))</x:f>
        <x:v>1.0168666666666666</x:v>
      </x:c>
      <x:c r="L1267" t="str">
        <x:f>IF($A1267="","",IFERROR(INDEX(Assumptions!$O$5:$O$10,MATCH(1,(Assumptions!$P$5:$P$10=$B1267)*(Assumptions!$Q$5:$Q$10&lt;=$A1267)*(Assumptions!$R$5:$R$10&gt;=$A1267),0)),""))</x:f>
      </x:c>
      <x:c r="M1267" t="n">
        <x:f>--($A1267&lt;&gt;"")</x:f>
        <x:v>1</x:v>
      </x:c>
    </x:row>
    <x:row r="1268">
      <x:c r="A1268" s="10" t="n">
        <x:f>IF(Assumptions!$B$5+INT((ROW()-2)/Assumptions!$B$7)&gt;Assumptions!$B$6,"",Assumptions!$B$5+INT((ROW()-2)/Assumptions!$B$7))</x:f>
        <x:v>46276</x:v>
      </x:c>
      <x:c r="B1268" t="str">
        <x:f>IF($A1268="","",INDEX(Assumptions!$D$5:$D$12,MOD(ROW()-2,Assumptions!$B$7)+1))</x:f>
        <x:v>LV-426 North</x:v>
      </x:c>
      <x:c r="C1268" s="11" t="n">
        <x:f>IF($A1268="","",INDEX(Assumptions!$F$5:$F$12,MATCH($B1268,Assumptions!$D$5:$D$12,0)))</x:f>
        <x:v>930</x:v>
      </x:c>
      <x:c r="D1268" s="11" t="n">
        <x:f>IF($A1268="","",INDEX(Assumptions!$G$5:$G$12,MATCH($B1268,Assumptions!$D$5:$D$12,0)))</x:f>
        <x:v>95</x:v>
      </x:c>
      <x:c r="E1268" s="11" t="n">
        <x:f>IF($A1268="","",INDEX(Assumptions!$M$5:$M$11,WEEKDAY($A1268,2)))</x:f>
        <x:v>0.98</x:v>
      </x:c>
      <x:c r="F1268" s="11" t="n">
        <x:f>IF($A1268="","",Assumptions!$B$15)</x:f>
        <x:v>0.35</x:v>
      </x:c>
      <x:c r="G1268" s="11" t="n">
        <x:f>IF($A1268="","",MAX(INDEX(Assumptions!$H$5:$H$12,MATCH($B1268,Assumptions!$D$5:$D$12,0)),MIN(INDEX(Assumptions!$I$5:$I$12,MATCH($B1268,Assumptions!$D$5:$D$12,0)),($C1268+$D1268*SQRT(-2*LN(RAND()))*COS(2*PI()*RAND()))*$E1268*$J1268*$K1268)))</x:f>
        <x:v>879.2841786913965</x:v>
      </x:c>
      <x:c r="H1268" s="11" t="n">
        <x:f>IF($A1268="","",$G1268*$F1268+$C1268*(1-$F1268))</x:f>
        <x:v>912.2494625419888</x:v>
      </x:c>
      <x:c r="I1268" s="11" t="n">
        <x:f>IF($A1268="","",AVERAGE($H1268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902.1658832358047</x:v>
      </x:c>
      <x:c r="J1268" s="12" t="n">
        <x:f>IF($A1268="","",1+SUMIFS(Assumptions!$S$5:$S$10,Assumptions!$P$5:$P$10,$B1268,Assumptions!$Q$5:$Q$10,"&lt;="&amp;$A1268,Assumptions!$R$5:$R$10,"&gt;="&amp;$A1268))</x:f>
        <x:v>1</x:v>
      </x:c>
      <x:c r="K1268" s="12" t="n">
        <x:f>IF($A1268="","",1+((($A1268-Assumptions!$B$5)/30)*INDEX(Assumptions!$J$5:$J$12,MATCH($B1268,Assumptions!$D$5:$D$12,0))))</x:f>
        <x:v>0.9915666666666667</x:v>
      </x:c>
      <x:c r="L1268" t="str">
        <x:f>IF($A1268="","",IFERROR(INDEX(Assumptions!$O$5:$O$10,MATCH(1,(Assumptions!$P$5:$P$10=$B1268)*(Assumptions!$Q$5:$Q$10&lt;=$A1268)*(Assumptions!$R$5:$R$10&gt;=$A1268),0)),""))</x:f>
      </x:c>
      <x:c r="M1268" t="n">
        <x:f>--($A1268&lt;&gt;"")</x:f>
        <x:v>1</x:v>
      </x:c>
    </x:row>
    <x:row r="1269">
      <x:c r="A1269" s="10" t="n">
        <x:f>IF(Assumptions!$B$5+INT((ROW()-2)/Assumptions!$B$7)&gt;Assumptions!$B$6,"",Assumptions!$B$5+INT((ROW()-2)/Assumptions!$B$7))</x:f>
        <x:v>46276</x:v>
      </x:c>
      <x:c r="B1269" t="str">
        <x:f>IF($A1269="","",INDEX(Assumptions!$D$5:$D$12,MOD(ROW()-2,Assumptions!$B$7)+1))</x:f>
        <x:v>Nostromo Deep</x:v>
      </x:c>
      <x:c r="C1269" s="11" t="n">
        <x:f>IF($A1269="","",INDEX(Assumptions!$F$5:$F$12,MATCH($B1269,Assumptions!$D$5:$D$12,0)))</x:f>
        <x:v>1260</x:v>
      </x:c>
      <x:c r="D1269" s="11" t="n">
        <x:f>IF($A1269="","",INDEX(Assumptions!$G$5:$G$12,MATCH($B1269,Assumptions!$D$5:$D$12,0)))</x:f>
        <x:v>145</x:v>
      </x:c>
      <x:c r="E1269" s="11" t="n">
        <x:f>IF($A1269="","",INDEX(Assumptions!$M$5:$M$11,WEEKDAY($A1269,2)))</x:f>
        <x:v>0.98</x:v>
      </x:c>
      <x:c r="F1269" s="11" t="n">
        <x:f>IF($A1269="","",Assumptions!$B$15)</x:f>
        <x:v>0.35</x:v>
      </x:c>
      <x:c r="G1269" s="11" t="n">
        <x:f>IF($A1269="","",MAX(INDEX(Assumptions!$H$5:$H$12,MATCH($B1269,Assumptions!$D$5:$D$12,0)),MIN(INDEX(Assumptions!$I$5:$I$12,MATCH($B1269,Assumptions!$D$5:$D$12,0)),($C1269+$D1269*SQRT(-2*LN(RAND()))*COS(2*PI()*RAND()))*$E1269*$J1269*$K1269)))</x:f>
        <x:v>1133.6692244906117</x:v>
      </x:c>
      <x:c r="H1269" s="11" t="n">
        <x:f>IF($A1269="","",$G1269*$F1269+$C1269*(1-$F1269))</x:f>
        <x:v>1215.784228571714</x:v>
      </x:c>
      <x:c r="I1269" s="11" t="n">
        <x:f>IF($A1269="","",AVERAGE($H1269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1235.3131040337814</x:v>
      </x:c>
      <x:c r="J1269" s="12" t="n">
        <x:f>IF($A1269="","",1+SUMIFS(Assumptions!$S$5:$S$10,Assumptions!$P$5:$P$10,$B1269,Assumptions!$Q$5:$Q$10,"&lt;="&amp;$A1269,Assumptions!$R$5:$R$10,"&gt;="&amp;$A1269))</x:f>
        <x:v>1</x:v>
      </x:c>
      <x:c r="K1269" s="12" t="n">
        <x:f>IF($A1269="","",1+((($A1269-Assumptions!$B$5)/30)*INDEX(Assumptions!$J$5:$J$12,MATCH($B1269,Assumptions!$D$5:$D$12,0))))</x:f>
        <x:v>1.0253</x:v>
      </x:c>
      <x:c r="L1269" t="str">
        <x:f>IF($A1269="","",IFERROR(INDEX(Assumptions!$O$5:$O$10,MATCH(1,(Assumptions!$P$5:$P$10=$B1269)*(Assumptions!$Q$5:$Q$10&lt;=$A1269)*(Assumptions!$R$5:$R$10&gt;=$A1269),0)),""))</x:f>
      </x:c>
      <x:c r="M1269" t="n">
        <x:f>--($A1269&lt;&gt;"")</x:f>
        <x:v>1</x:v>
      </x:c>
    </x:row>
    <x:row r="1270">
      <x:c r="A1270" s="10" t="n">
        <x:f>IF(Assumptions!$B$5+INT((ROW()-2)/Assumptions!$B$7)&gt;Assumptions!$B$6,"",Assumptions!$B$5+INT((ROW()-2)/Assumptions!$B$7))</x:f>
        <x:v>46276</x:v>
      </x:c>
      <x:c r="B1270" t="str">
        <x:f>IF($A1270="","",INDEX(Assumptions!$D$5:$D$12,MOD(ROW()-2,Assumptions!$B$7)+1))</x:f>
        <x:v>Hadley's Hope</x:v>
      </x:c>
      <x:c r="C1270" s="11" t="n">
        <x:f>IF($A1270="","",INDEX(Assumptions!$F$5:$F$12,MATCH($B1270,Assumptions!$D$5:$D$12,0)))</x:f>
        <x:v>845</x:v>
      </x:c>
      <x:c r="D1270" s="11" t="n">
        <x:f>IF($A1270="","",INDEX(Assumptions!$G$5:$G$12,MATCH($B1270,Assumptions!$D$5:$D$12,0)))</x:f>
        <x:v>80</x:v>
      </x:c>
      <x:c r="E1270" s="11" t="n">
        <x:f>IF($A1270="","",INDEX(Assumptions!$M$5:$M$11,WEEKDAY($A1270,2)))</x:f>
        <x:v>0.98</x:v>
      </x:c>
      <x:c r="F1270" s="11" t="n">
        <x:f>IF($A1270="","",Assumptions!$B$15)</x:f>
        <x:v>0.35</x:v>
      </x:c>
      <x:c r="G1270" s="11" t="n">
        <x:f>IF($A1270="","",MAX(INDEX(Assumptions!$H$5:$H$12,MATCH($B1270,Assumptions!$D$5:$D$12,0)),MIN(INDEX(Assumptions!$I$5:$I$12,MATCH($B1270,Assumptions!$D$5:$D$12,0)),($C1270+$D1270*SQRT(-2*LN(RAND()))*COS(2*PI()*RAND()))*$E1270*$J1270*$K1270)))</x:f>
        <x:v>774.1874578597665</x:v>
      </x:c>
      <x:c r="H1270" s="11" t="n">
        <x:f>IF($A1270="","",$G1270*$F1270+$C1270*(1-$F1270))</x:f>
        <x:v>820.2156102509182</x:v>
      </x:c>
      <x:c r="I1270" s="11" t="n">
        <x:f>IF($A1270="","",AVERAGE($H1270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836.9761669282759</x:v>
      </x:c>
      <x:c r="J1270" s="12" t="n">
        <x:f>IF($A1270="","",1+SUMIFS(Assumptions!$S$5:$S$10,Assumptions!$P$5:$P$10,$B1270,Assumptions!$Q$5:$Q$10,"&lt;="&amp;$A1270,Assumptions!$R$5:$R$10,"&gt;="&amp;$A1270))</x:f>
        <x:v>1</x:v>
      </x:c>
      <x:c r="K1270" s="12" t="n">
        <x:f>IF($A1270="","",1+((($A1270-Assumptions!$B$5)/30)*INDEX(Assumptions!$J$5:$J$12,MATCH($B1270,Assumptions!$D$5:$D$12,0))))</x:f>
        <x:v>1.0084333333333333</x:v>
      </x:c>
      <x:c r="L1270" t="str">
        <x:f>IF($A1270="","",IFERROR(INDEX(Assumptions!$O$5:$O$10,MATCH(1,(Assumptions!$P$5:$P$10=$B1270)*(Assumptions!$Q$5:$Q$10&lt;=$A1270)*(Assumptions!$R$5:$R$10&gt;=$A1270),0)),""))</x:f>
      </x:c>
      <x:c r="M1270" t="n">
        <x:f>--($A1270&lt;&gt;"")</x:f>
        <x:v>1</x:v>
      </x:c>
    </x:row>
    <x:row r="1271">
      <x:c r="A1271" s="10" t="n">
        <x:f>IF(Assumptions!$B$5+INT((ROW()-2)/Assumptions!$B$7)&gt;Assumptions!$B$6,"",Assumptions!$B$5+INT((ROW()-2)/Assumptions!$B$7))</x:f>
        <x:v>46276</x:v>
      </x:c>
      <x:c r="B1271" t="str">
        <x:f>IF($A1271="","",INDEX(Assumptions!$D$5:$D$12,MOD(ROW()-2,Assumptions!$B$7)+1))</x:f>
        <x:v>Yutani Ridge</x:v>
      </x:c>
      <x:c r="C1271" s="11" t="n">
        <x:f>IF($A1271="","",INDEX(Assumptions!$F$5:$F$12,MATCH($B1271,Assumptions!$D$5:$D$12,0)))</x:f>
        <x:v>1050</x:v>
      </x:c>
      <x:c r="D1271" s="11" t="n">
        <x:f>IF($A1271="","",INDEX(Assumptions!$G$5:$G$12,MATCH($B1271,Assumptions!$D$5:$D$12,0)))</x:f>
        <x:v>125</x:v>
      </x:c>
      <x:c r="E1271" s="11" t="n">
        <x:f>IF($A1271="","",INDEX(Assumptions!$M$5:$M$11,WEEKDAY($A1271,2)))</x:f>
        <x:v>0.98</x:v>
      </x:c>
      <x:c r="F1271" s="11" t="n">
        <x:f>IF($A1271="","",Assumptions!$B$15)</x:f>
        <x:v>0.35</x:v>
      </x:c>
      <x:c r="G1271" s="11" t="n">
        <x:f>IF($A1271="","",MAX(INDEX(Assumptions!$H$5:$H$12,MATCH($B1271,Assumptions!$D$5:$D$12,0)),MIN(INDEX(Assumptions!$I$5:$I$12,MATCH($B1271,Assumptions!$D$5:$D$12,0)),($C1271+$D1271*SQRT(-2*LN(RAND()))*COS(2*PI()*RAND()))*$E1271*$J1271*$K1271)))</x:f>
        <x:v>1111.275532980465</x:v>
      </x:c>
      <x:c r="H1271" s="11" t="n">
        <x:f>IF($A1271="","",$G1271*$F1271+$C1271*(1-$F1271))</x:f>
        <x:v>1071.4464365431627</x:v>
      </x:c>
      <x:c r="I1271" s="11" t="n">
        <x:f>IF($A1271="","",AVERAGE($H1271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1092.053395743396</x:v>
      </x:c>
      <x:c r="J1271" s="12" t="n">
        <x:f>IF($A1271="","",1+SUMIFS(Assumptions!$S$5:$S$10,Assumptions!$P$5:$P$10,$B1271,Assumptions!$Q$5:$Q$10,"&lt;="&amp;$A1271,Assumptions!$R$5:$R$10,"&gt;="&amp;$A1271))</x:f>
        <x:v>1</x:v>
      </x:c>
      <x:c r="K1271" s="12" t="n">
        <x:f>IF($A1271="","",1+((($A1271-Assumptions!$B$5)/30)*INDEX(Assumptions!$J$5:$J$12,MATCH($B1271,Assumptions!$D$5:$D$12,0))))</x:f>
        <x:v>1.0210833333333333</x:v>
      </x:c>
      <x:c r="L1271" t="str">
        <x:f>IF($A1271="","",IFERROR(INDEX(Assumptions!$O$5:$O$10,MATCH(1,(Assumptions!$P$5:$P$10=$B1271)*(Assumptions!$Q$5:$Q$10&lt;=$A1271)*(Assumptions!$R$5:$R$10&gt;=$A1271),0)),""))</x:f>
      </x:c>
      <x:c r="M1271" t="n">
        <x:f>--($A1271&lt;&gt;"")</x:f>
        <x:v>1</x:v>
      </x:c>
    </x:row>
    <x:row r="1272">
      <x:c r="A1272" s="10" t="n">
        <x:f>IF(Assumptions!$B$5+INT((ROW()-2)/Assumptions!$B$7)&gt;Assumptions!$B$6,"",Assumptions!$B$5+INT((ROW()-2)/Assumptions!$B$7))</x:f>
        <x:v>46277</x:v>
      </x:c>
      <x:c r="B1272" t="str">
        <x:f>IF($A1272="","",INDEX(Assumptions!$D$5:$D$12,MOD(ROW()-2,Assumptions!$B$7)+1))</x:f>
        <x:v>Acheron Prime</x:v>
      </x:c>
      <x:c r="C1272" s="11" t="n">
        <x:f>IF($A1272="","",INDEX(Assumptions!$F$5:$F$12,MATCH($B1272,Assumptions!$D$5:$D$12,0)))</x:f>
        <x:v>1120</x:v>
      </x:c>
      <x:c r="D1272" s="11" t="n">
        <x:f>IF($A1272="","",INDEX(Assumptions!$G$5:$G$12,MATCH($B1272,Assumptions!$D$5:$D$12,0)))</x:f>
        <x:v>115</x:v>
      </x:c>
      <x:c r="E1272" s="11" t="n">
        <x:f>IF($A1272="","",INDEX(Assumptions!$M$5:$M$11,WEEKDAY($A1272,2)))</x:f>
        <x:v>0.91</x:v>
      </x:c>
      <x:c r="F1272" s="11" t="n">
        <x:f>IF($A1272="","",Assumptions!$B$15)</x:f>
        <x:v>0.35</x:v>
      </x:c>
      <x:c r="G1272" s="11" t="n">
        <x:f>IF($A1272="","",MAX(INDEX(Assumptions!$H$5:$H$12,MATCH($B1272,Assumptions!$D$5:$D$12,0)),MIN(INDEX(Assumptions!$I$5:$I$12,MATCH($B1272,Assumptions!$D$5:$D$12,0)),($C1272+$D1272*SQRT(-2*LN(RAND()))*COS(2*PI()*RAND()))*$E1272*$J1272*$K1272)))</x:f>
        <x:v>1019.814857731836</x:v>
      </x:c>
      <x:c r="H1272" s="11" t="n">
        <x:f>IF($A1272="","",$G1272*$F1272+$C1272*(1-$F1272))</x:f>
        <x:v>1084.9352002061426</x:v>
      </x:c>
      <x:c r="I1272" s="11" t="n">
        <x:f>IF($A1272="","",AVERAGE($H1272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1102.6715590661277</x:v>
      </x:c>
      <x:c r="J1272" s="12" t="n">
        <x:f>IF($A1272="","",1+SUMIFS(Assumptions!$S$5:$S$10,Assumptions!$P$5:$P$10,$B1272,Assumptions!$Q$5:$Q$10,"&lt;="&amp;$A1272,Assumptions!$R$5:$R$10,"&gt;="&amp;$A1272))</x:f>
        <x:v>1</x:v>
      </x:c>
      <x:c r="K1272" s="12" t="n">
        <x:f>IF($A1272="","",1+((($A1272-Assumptions!$B$5)/30)*INDEX(Assumptions!$J$5:$J$12,MATCH($B1272,Assumptions!$D$5:$D$12,0))))</x:f>
        <x:v>1.0169333333333332</x:v>
      </x:c>
      <x:c r="L1272" t="str">
        <x:f>IF($A1272="","",IFERROR(INDEX(Assumptions!$O$5:$O$10,MATCH(1,(Assumptions!$P$5:$P$10=$B1272)*(Assumptions!$Q$5:$Q$10&lt;=$A1272)*(Assumptions!$R$5:$R$10&gt;=$A1272),0)),""))</x:f>
      </x:c>
      <x:c r="M1272" t="n">
        <x:f>--($A1272&lt;&gt;"")</x:f>
        <x:v>1</x:v>
      </x:c>
    </x:row>
    <x:row r="1273">
      <x:c r="A1273" s="10" t="n">
        <x:f>IF(Assumptions!$B$5+INT((ROW()-2)/Assumptions!$B$7)&gt;Assumptions!$B$6,"",Assumptions!$B$5+INT((ROW()-2)/Assumptions!$B$7))</x:f>
        <x:v>46277</x:v>
      </x:c>
      <x:c r="B1273" t="str">
        <x:f>IF($A1273="","",INDEX(Assumptions!$D$5:$D$12,MOD(ROW()-2,Assumptions!$B$7)+1))</x:f>
        <x:v>LV-426 North</x:v>
      </x:c>
      <x:c r="C1273" s="11" t="n">
        <x:f>IF($A1273="","",INDEX(Assumptions!$F$5:$F$12,MATCH($B1273,Assumptions!$D$5:$D$12,0)))</x:f>
        <x:v>930</x:v>
      </x:c>
      <x:c r="D1273" s="11" t="n">
        <x:f>IF($A1273="","",INDEX(Assumptions!$G$5:$G$12,MATCH($B1273,Assumptions!$D$5:$D$12,0)))</x:f>
        <x:v>95</x:v>
      </x:c>
      <x:c r="E1273" s="11" t="n">
        <x:f>IF($A1273="","",INDEX(Assumptions!$M$5:$M$11,WEEKDAY($A1273,2)))</x:f>
        <x:v>0.91</x:v>
      </x:c>
      <x:c r="F1273" s="11" t="n">
        <x:f>IF($A1273="","",Assumptions!$B$15)</x:f>
        <x:v>0.35</x:v>
      </x:c>
      <x:c r="G1273" s="11" t="n">
        <x:f>IF($A1273="","",MAX(INDEX(Assumptions!$H$5:$H$12,MATCH($B1273,Assumptions!$D$5:$D$12,0)),MIN(INDEX(Assumptions!$I$5:$I$12,MATCH($B1273,Assumptions!$D$5:$D$12,0)),($C1273+$D1273*SQRT(-2*LN(RAND()))*COS(2*PI()*RAND()))*$E1273*$J1273*$K1273)))</x:f>
        <x:v>841.2242056881812</x:v>
      </x:c>
      <x:c r="H1273" s="11" t="n">
        <x:f>IF($A1273="","",$G1273*$F1273+$C1273*(1-$F1273))</x:f>
        <x:v>898.9284719908634</x:v>
      </x:c>
      <x:c r="I1273" s="11" t="n">
        <x:f>IF($A1273="","",AVERAGE($H1273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907.5145935159161</x:v>
      </x:c>
      <x:c r="J1273" s="12" t="n">
        <x:f>IF($A1273="","",1+SUMIFS(Assumptions!$S$5:$S$10,Assumptions!$P$5:$P$10,$B1273,Assumptions!$Q$5:$Q$10,"&lt;="&amp;$A1273,Assumptions!$R$5:$R$10,"&gt;="&amp;$A1273))</x:f>
        <x:v>1</x:v>
      </x:c>
      <x:c r="K1273" s="12" t="n">
        <x:f>IF($A1273="","",1+((($A1273-Assumptions!$B$5)/30)*INDEX(Assumptions!$J$5:$J$12,MATCH($B1273,Assumptions!$D$5:$D$12,0))))</x:f>
        <x:v>0.9915333333333334</x:v>
      </x:c>
      <x:c r="L1273" t="str">
        <x:f>IF($A1273="","",IFERROR(INDEX(Assumptions!$O$5:$O$10,MATCH(1,(Assumptions!$P$5:$P$10=$B1273)*(Assumptions!$Q$5:$Q$10&lt;=$A1273)*(Assumptions!$R$5:$R$10&gt;=$A1273),0)),""))</x:f>
      </x:c>
      <x:c r="M1273" t="n">
        <x:f>--($A1273&lt;&gt;"")</x:f>
        <x:v>1</x:v>
      </x:c>
    </x:row>
    <x:row r="1274">
      <x:c r="A1274" s="10" t="n">
        <x:f>IF(Assumptions!$B$5+INT((ROW()-2)/Assumptions!$B$7)&gt;Assumptions!$B$6,"",Assumptions!$B$5+INT((ROW()-2)/Assumptions!$B$7))</x:f>
        <x:v>46277</x:v>
      </x:c>
      <x:c r="B1274" t="str">
        <x:f>IF($A1274="","",INDEX(Assumptions!$D$5:$D$12,MOD(ROW()-2,Assumptions!$B$7)+1))</x:f>
        <x:v>Nostromo Deep</x:v>
      </x:c>
      <x:c r="C1274" s="11" t="n">
        <x:f>IF($A1274="","",INDEX(Assumptions!$F$5:$F$12,MATCH($B1274,Assumptions!$D$5:$D$12,0)))</x:f>
        <x:v>1260</x:v>
      </x:c>
      <x:c r="D1274" s="11" t="n">
        <x:f>IF($A1274="","",INDEX(Assumptions!$G$5:$G$12,MATCH($B1274,Assumptions!$D$5:$D$12,0)))</x:f>
        <x:v>145</x:v>
      </x:c>
      <x:c r="E1274" s="11" t="n">
        <x:f>IF($A1274="","",INDEX(Assumptions!$M$5:$M$11,WEEKDAY($A1274,2)))</x:f>
        <x:v>0.91</x:v>
      </x:c>
      <x:c r="F1274" s="11" t="n">
        <x:f>IF($A1274="","",Assumptions!$B$15)</x:f>
        <x:v>0.35</x:v>
      </x:c>
      <x:c r="G1274" s="11" t="n">
        <x:f>IF($A1274="","",MAX(INDEX(Assumptions!$H$5:$H$12,MATCH($B1274,Assumptions!$D$5:$D$12,0)),MIN(INDEX(Assumptions!$I$5:$I$12,MATCH($B1274,Assumptions!$D$5:$D$12,0)),($C1274+$D1274*SQRT(-2*LN(RAND()))*COS(2*PI()*RAND()))*$E1274*$J1274*$K1274)))</x:f>
        <x:v>1111.442835012943</x:v>
      </x:c>
      <x:c r="H1274" s="11" t="n">
        <x:f>IF($A1274="","",$G1274*$F1274+$C1274*(1-$F1274))</x:f>
        <x:v>1208.00499225453</x:v>
      </x:c>
      <x:c r="I1274" s="11" t="n">
        <x:f>IF($A1274="","",AVERAGE($H1274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1235.279564015015</x:v>
      </x:c>
      <x:c r="J1274" s="12" t="n">
        <x:f>IF($A1274="","",1+SUMIFS(Assumptions!$S$5:$S$10,Assumptions!$P$5:$P$10,$B1274,Assumptions!$Q$5:$Q$10,"&lt;="&amp;$A1274,Assumptions!$R$5:$R$10,"&gt;="&amp;$A1274))</x:f>
        <x:v>1</x:v>
      </x:c>
      <x:c r="K1274" s="12" t="n">
        <x:f>IF($A1274="","",1+((($A1274-Assumptions!$B$5)/30)*INDEX(Assumptions!$J$5:$J$12,MATCH($B1274,Assumptions!$D$5:$D$12,0))))</x:f>
        <x:v>1.0254</x:v>
      </x:c>
      <x:c r="L1274" t="str">
        <x:f>IF($A1274="","",IFERROR(INDEX(Assumptions!$O$5:$O$10,MATCH(1,(Assumptions!$P$5:$P$10=$B1274)*(Assumptions!$Q$5:$Q$10&lt;=$A1274)*(Assumptions!$R$5:$R$10&gt;=$A1274),0)),""))</x:f>
      </x:c>
      <x:c r="M1274" t="n">
        <x:f>--($A1274&lt;&gt;"")</x:f>
        <x:v>1</x:v>
      </x:c>
    </x:row>
    <x:row r="1275">
      <x:c r="A1275" s="10" t="n">
        <x:f>IF(Assumptions!$B$5+INT((ROW()-2)/Assumptions!$B$7)&gt;Assumptions!$B$6,"",Assumptions!$B$5+INT((ROW()-2)/Assumptions!$B$7))</x:f>
        <x:v>46277</x:v>
      </x:c>
      <x:c r="B1275" t="str">
        <x:f>IF($A1275="","",INDEX(Assumptions!$D$5:$D$12,MOD(ROW()-2,Assumptions!$B$7)+1))</x:f>
        <x:v>Hadley's Hope</x:v>
      </x:c>
      <x:c r="C1275" s="11" t="n">
        <x:f>IF($A1275="","",INDEX(Assumptions!$F$5:$F$12,MATCH($B1275,Assumptions!$D$5:$D$12,0)))</x:f>
        <x:v>845</x:v>
      </x:c>
      <x:c r="D1275" s="11" t="n">
        <x:f>IF($A1275="","",INDEX(Assumptions!$G$5:$G$12,MATCH($B1275,Assumptions!$D$5:$D$12,0)))</x:f>
        <x:v>80</x:v>
      </x:c>
      <x:c r="E1275" s="11" t="n">
        <x:f>IF($A1275="","",INDEX(Assumptions!$M$5:$M$11,WEEKDAY($A1275,2)))</x:f>
        <x:v>0.91</x:v>
      </x:c>
      <x:c r="F1275" s="11" t="n">
        <x:f>IF($A1275="","",Assumptions!$B$15)</x:f>
        <x:v>0.35</x:v>
      </x:c>
      <x:c r="G1275" s="11" t="n">
        <x:f>IF($A1275="","",MAX(INDEX(Assumptions!$H$5:$H$12,MATCH($B1275,Assumptions!$D$5:$D$12,0)),MIN(INDEX(Assumptions!$I$5:$I$12,MATCH($B1275,Assumptions!$D$5:$D$12,0)),($C1275+$D1275*SQRT(-2*LN(RAND()))*COS(2*PI()*RAND()))*$E1275*$J1275*$K1275)))</x:f>
        <x:v>590</x:v>
      </x:c>
      <x:c r="H1275" s="11" t="n">
        <x:f>IF($A1275="","",$G1275*$F1275+$C1275*(1-$F1275))</x:f>
        <x:v>755.75</x:v>
      </x:c>
      <x:c r="I1275" s="11" t="n">
        <x:f>IF($A1275="","",AVERAGE($H1275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824.8056720740257</x:v>
      </x:c>
      <x:c r="J1275" s="12" t="n">
        <x:f>IF($A1275="","",1+SUMIFS(Assumptions!$S$5:$S$10,Assumptions!$P$5:$P$10,$B1275,Assumptions!$Q$5:$Q$10,"&lt;="&amp;$A1275,Assumptions!$R$5:$R$10,"&gt;="&amp;$A1275))</x:f>
        <x:v>1</x:v>
      </x:c>
      <x:c r="K1275" s="12" t="n">
        <x:f>IF($A1275="","",1+((($A1275-Assumptions!$B$5)/30)*INDEX(Assumptions!$J$5:$J$12,MATCH($B1275,Assumptions!$D$5:$D$12,0))))</x:f>
        <x:v>1.0084666666666666</x:v>
      </x:c>
      <x:c r="L1275" t="str">
        <x:f>IF($A1275="","",IFERROR(INDEX(Assumptions!$O$5:$O$10,MATCH(1,(Assumptions!$P$5:$P$10=$B1275)*(Assumptions!$Q$5:$Q$10&lt;=$A1275)*(Assumptions!$R$5:$R$10&gt;=$A1275),0)),""))</x:f>
      </x:c>
      <x:c r="M1275" t="n">
        <x:f>--($A1275&lt;&gt;"")</x:f>
        <x:v>1</x:v>
      </x:c>
    </x:row>
    <x:row r="1276">
      <x:c r="A1276" s="10" t="n">
        <x:f>IF(Assumptions!$B$5+INT((ROW()-2)/Assumptions!$B$7)&gt;Assumptions!$B$6,"",Assumptions!$B$5+INT((ROW()-2)/Assumptions!$B$7))</x:f>
        <x:v>46277</x:v>
      </x:c>
      <x:c r="B1276" t="str">
        <x:f>IF($A1276="","",INDEX(Assumptions!$D$5:$D$12,MOD(ROW()-2,Assumptions!$B$7)+1))</x:f>
        <x:v>Yutani Ridge</x:v>
      </x:c>
      <x:c r="C1276" s="11" t="n">
        <x:f>IF($A1276="","",INDEX(Assumptions!$F$5:$F$12,MATCH($B1276,Assumptions!$D$5:$D$12,0)))</x:f>
        <x:v>1050</x:v>
      </x:c>
      <x:c r="D1276" s="11" t="n">
        <x:f>IF($A1276="","",INDEX(Assumptions!$G$5:$G$12,MATCH($B1276,Assumptions!$D$5:$D$12,0)))</x:f>
        <x:v>125</x:v>
      </x:c>
      <x:c r="E1276" s="11" t="n">
        <x:f>IF($A1276="","",INDEX(Assumptions!$M$5:$M$11,WEEKDAY($A1276,2)))</x:f>
        <x:v>0.91</x:v>
      </x:c>
      <x:c r="F1276" s="11" t="n">
        <x:f>IF($A1276="","",Assumptions!$B$15)</x:f>
        <x:v>0.35</x:v>
      </x:c>
      <x:c r="G1276" s="11" t="n">
        <x:f>IF($A1276="","",MAX(INDEX(Assumptions!$H$5:$H$12,MATCH($B1276,Assumptions!$D$5:$D$12,0)),MIN(INDEX(Assumptions!$I$5:$I$12,MATCH($B1276,Assumptions!$D$5:$D$12,0)),($C1276+$D1276*SQRT(-2*LN(RAND()))*COS(2*PI()*RAND()))*$E1276*$J1276*$K1276)))</x:f>
        <x:v>1218.4782441737054</x:v>
      </x:c>
      <x:c r="H1276" s="11" t="n">
        <x:f>IF($A1276="","",$G1276*$F1276+$C1276*(1-$F1276))</x:f>
        <x:v>1108.9673854607968</x:v>
      </x:c>
      <x:c r="I1276" s="11" t="n">
        <x:f>IF($A1276="","",AVERAGE($H1276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1090.8714718361732</x:v>
      </x:c>
      <x:c r="J1276" s="12" t="n">
        <x:f>IF($A1276="","",1+SUMIFS(Assumptions!$S$5:$S$10,Assumptions!$P$5:$P$10,$B1276,Assumptions!$Q$5:$Q$10,"&lt;="&amp;$A1276,Assumptions!$R$5:$R$10,"&gt;="&amp;$A1276))</x:f>
        <x:v>1</x:v>
      </x:c>
      <x:c r="K1276" s="12" t="n">
        <x:f>IF($A1276="","",1+((($A1276-Assumptions!$B$5)/30)*INDEX(Assumptions!$J$5:$J$12,MATCH($B1276,Assumptions!$D$5:$D$12,0))))</x:f>
        <x:v>1.0211666666666668</x:v>
      </x:c>
      <x:c r="L1276" t="str">
        <x:f>IF($A1276="","",IFERROR(INDEX(Assumptions!$O$5:$O$10,MATCH(1,(Assumptions!$P$5:$P$10=$B1276)*(Assumptions!$Q$5:$Q$10&lt;=$A1276)*(Assumptions!$R$5:$R$10&gt;=$A1276),0)),""))</x:f>
      </x:c>
      <x:c r="M1276" t="n">
        <x:f>--($A1276&lt;&gt;"")</x:f>
        <x:v>1</x:v>
      </x:c>
    </x:row>
    <x:row r="1277">
      <x:c r="A1277" s="10" t="n">
        <x:f>IF(Assumptions!$B$5+INT((ROW()-2)/Assumptions!$B$7)&gt;Assumptions!$B$6,"",Assumptions!$B$5+INT((ROW()-2)/Assumptions!$B$7))</x:f>
        <x:v>46278</x:v>
      </x:c>
      <x:c r="B1277" t="str">
        <x:f>IF($A1277="","",INDEX(Assumptions!$D$5:$D$12,MOD(ROW()-2,Assumptions!$B$7)+1))</x:f>
        <x:v>Acheron Prime</x:v>
      </x:c>
      <x:c r="C1277" s="11" t="n">
        <x:f>IF($A1277="","",INDEX(Assumptions!$F$5:$F$12,MATCH($B1277,Assumptions!$D$5:$D$12,0)))</x:f>
        <x:v>1120</x:v>
      </x:c>
      <x:c r="D1277" s="11" t="n">
        <x:f>IF($A1277="","",INDEX(Assumptions!$G$5:$G$12,MATCH($B1277,Assumptions!$D$5:$D$12,0)))</x:f>
        <x:v>115</x:v>
      </x:c>
      <x:c r="E1277" s="11" t="n">
        <x:f>IF($A1277="","",INDEX(Assumptions!$M$5:$M$11,WEEKDAY($A1277,2)))</x:f>
        <x:v>0.87</x:v>
      </x:c>
      <x:c r="F1277" s="11" t="n">
        <x:f>IF($A1277="","",Assumptions!$B$15)</x:f>
        <x:v>0.35</x:v>
      </x:c>
      <x:c r="G1277" s="11" t="n">
        <x:f>IF($A1277="","",MAX(INDEX(Assumptions!$H$5:$H$12,MATCH($B1277,Assumptions!$D$5:$D$12,0)),MIN(INDEX(Assumptions!$I$5:$I$12,MATCH($B1277,Assumptions!$D$5:$D$12,0)),($C1277+$D1277*SQRT(-2*LN(RAND()))*COS(2*PI()*RAND()))*$E1277*$J1277*$K1277)))</x:f>
        <x:v>1196.7624025541463</x:v>
      </x:c>
      <x:c r="H1277" s="11" t="n">
        <x:f>IF($A1277="","",$G1277*$F1277+$C1277*(1-$F1277))</x:f>
        <x:v>1146.8668408939511</x:v>
      </x:c>
      <x:c r="I1277" s="11" t="n">
        <x:f>IF($A1277="","",AVERAGE($H1277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1115.2476670511564</x:v>
      </x:c>
      <x:c r="J1277" s="12" t="n">
        <x:f>IF($A1277="","",1+SUMIFS(Assumptions!$S$5:$S$10,Assumptions!$P$5:$P$10,$B1277,Assumptions!$Q$5:$Q$10,"&lt;="&amp;$A1277,Assumptions!$R$5:$R$10,"&gt;="&amp;$A1277))</x:f>
        <x:v>1</x:v>
      </x:c>
      <x:c r="K1277" s="12" t="n">
        <x:f>IF($A1277="","",1+((($A1277-Assumptions!$B$5)/30)*INDEX(Assumptions!$J$5:$J$12,MATCH($B1277,Assumptions!$D$5:$D$12,0))))</x:f>
        <x:v>1.017</x:v>
      </x:c>
      <x:c r="L1277" t="str">
        <x:f>IF($A1277="","",IFERROR(INDEX(Assumptions!$O$5:$O$10,MATCH(1,(Assumptions!$P$5:$P$10=$B1277)*(Assumptions!$Q$5:$Q$10&lt;=$A1277)*(Assumptions!$R$5:$R$10&gt;=$A1277),0)),""))</x:f>
      </x:c>
      <x:c r="M1277" t="n">
        <x:f>--($A1277&lt;&gt;"")</x:f>
        <x:v>1</x:v>
      </x:c>
    </x:row>
    <x:row r="1278">
      <x:c r="A1278" s="10" t="n">
        <x:f>IF(Assumptions!$B$5+INT((ROW()-2)/Assumptions!$B$7)&gt;Assumptions!$B$6,"",Assumptions!$B$5+INT((ROW()-2)/Assumptions!$B$7))</x:f>
        <x:v>46278</x:v>
      </x:c>
      <x:c r="B1278" t="str">
        <x:f>IF($A1278="","",INDEX(Assumptions!$D$5:$D$12,MOD(ROW()-2,Assumptions!$B$7)+1))</x:f>
        <x:v>LV-426 North</x:v>
      </x:c>
      <x:c r="C1278" s="11" t="n">
        <x:f>IF($A1278="","",INDEX(Assumptions!$F$5:$F$12,MATCH($B1278,Assumptions!$D$5:$D$12,0)))</x:f>
        <x:v>930</x:v>
      </x:c>
      <x:c r="D1278" s="11" t="n">
        <x:f>IF($A1278="","",INDEX(Assumptions!$G$5:$G$12,MATCH($B1278,Assumptions!$D$5:$D$12,0)))</x:f>
        <x:v>95</x:v>
      </x:c>
      <x:c r="E1278" s="11" t="n">
        <x:f>IF($A1278="","",INDEX(Assumptions!$M$5:$M$11,WEEKDAY($A1278,2)))</x:f>
        <x:v>0.87</x:v>
      </x:c>
      <x:c r="F1278" s="11" t="n">
        <x:f>IF($A1278="","",Assumptions!$B$15)</x:f>
        <x:v>0.35</x:v>
      </x:c>
      <x:c r="G1278" s="11" t="n">
        <x:f>IF($A1278="","",MAX(INDEX(Assumptions!$H$5:$H$12,MATCH($B1278,Assumptions!$D$5:$D$12,0)),MIN(INDEX(Assumptions!$I$5:$I$12,MATCH($B1278,Assumptions!$D$5:$D$12,0)),($C1278+$D1278*SQRT(-2*LN(RAND()))*COS(2*PI()*RAND()))*$E1278*$J1278*$K1278)))</x:f>
        <x:v>869.4931909090512</x:v>
      </x:c>
      <x:c r="H1278" s="11" t="n">
        <x:f>IF($A1278="","",$G1278*$F1278+$C1278*(1-$F1278))</x:f>
        <x:v>908.822616818168</x:v>
      </x:c>
      <x:c r="I1278" s="11" t="n">
        <x:f>IF($A1278="","",AVERAGE($H1278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917.829996153307</x:v>
      </x:c>
      <x:c r="J1278" s="12" t="n">
        <x:f>IF($A1278="","",1+SUMIFS(Assumptions!$S$5:$S$10,Assumptions!$P$5:$P$10,$B1278,Assumptions!$Q$5:$Q$10,"&lt;="&amp;$A1278,Assumptions!$R$5:$R$10,"&gt;="&amp;$A1278))</x:f>
        <x:v>1</x:v>
      </x:c>
      <x:c r="K1278" s="12" t="n">
        <x:f>IF($A1278="","",1+((($A1278-Assumptions!$B$5)/30)*INDEX(Assumptions!$J$5:$J$12,MATCH($B1278,Assumptions!$D$5:$D$12,0))))</x:f>
        <x:v>0.9915</x:v>
      </x:c>
      <x:c r="L1278" t="str">
        <x:f>IF($A1278="","",IFERROR(INDEX(Assumptions!$O$5:$O$10,MATCH(1,(Assumptions!$P$5:$P$10=$B1278)*(Assumptions!$Q$5:$Q$10&lt;=$A1278)*(Assumptions!$R$5:$R$10&gt;=$A1278),0)),""))</x:f>
      </x:c>
      <x:c r="M1278" t="n">
        <x:f>--($A1278&lt;&gt;"")</x:f>
        <x:v>1</x:v>
      </x:c>
    </x:row>
    <x:row r="1279">
      <x:c r="A1279" s="10" t="n">
        <x:f>IF(Assumptions!$B$5+INT((ROW()-2)/Assumptions!$B$7)&gt;Assumptions!$B$6,"",Assumptions!$B$5+INT((ROW()-2)/Assumptions!$B$7))</x:f>
        <x:v>46278</x:v>
      </x:c>
      <x:c r="B1279" t="str">
        <x:f>IF($A1279="","",INDEX(Assumptions!$D$5:$D$12,MOD(ROW()-2,Assumptions!$B$7)+1))</x:f>
        <x:v>Nostromo Deep</x:v>
      </x:c>
      <x:c r="C1279" s="11" t="n">
        <x:f>IF($A1279="","",INDEX(Assumptions!$F$5:$F$12,MATCH($B1279,Assumptions!$D$5:$D$12,0)))</x:f>
        <x:v>1260</x:v>
      </x:c>
      <x:c r="D1279" s="11" t="n">
        <x:f>IF($A1279="","",INDEX(Assumptions!$G$5:$G$12,MATCH($B1279,Assumptions!$D$5:$D$12,0)))</x:f>
        <x:v>145</x:v>
      </x:c>
      <x:c r="E1279" s="11" t="n">
        <x:f>IF($A1279="","",INDEX(Assumptions!$M$5:$M$11,WEEKDAY($A1279,2)))</x:f>
        <x:v>0.87</x:v>
      </x:c>
      <x:c r="F1279" s="11" t="n">
        <x:f>IF($A1279="","",Assumptions!$B$15)</x:f>
        <x:v>0.35</x:v>
      </x:c>
      <x:c r="G1279" s="11" t="n">
        <x:f>IF($A1279="","",MAX(INDEX(Assumptions!$H$5:$H$12,MATCH($B1279,Assumptions!$D$5:$D$12,0)),MIN(INDEX(Assumptions!$I$5:$I$12,MATCH($B1279,Assumptions!$D$5:$D$12,0)),($C1279+$D1279*SQRT(-2*LN(RAND()))*COS(2*PI()*RAND()))*$E1279*$J1279*$K1279)))</x:f>
        <x:v>1018.2209099307471</x:v>
      </x:c>
      <x:c r="H1279" s="11" t="n">
        <x:f>IF($A1279="","",$G1279*$F1279+$C1279*(1-$F1279))</x:f>
        <x:v>1175.3773184757615</x:v>
      </x:c>
      <x:c r="I1279" s="11" t="n">
        <x:f>IF($A1279="","",AVERAGE($H1279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1226.49540936174</x:v>
      </x:c>
      <x:c r="J1279" s="12" t="n">
        <x:f>IF($A1279="","",1+SUMIFS(Assumptions!$S$5:$S$10,Assumptions!$P$5:$P$10,$B1279,Assumptions!$Q$5:$Q$10,"&lt;="&amp;$A1279,Assumptions!$R$5:$R$10,"&gt;="&amp;$A1279))</x:f>
        <x:v>1</x:v>
      </x:c>
      <x:c r="K1279" s="12" t="n">
        <x:f>IF($A1279="","",1+((($A1279-Assumptions!$B$5)/30)*INDEX(Assumptions!$J$5:$J$12,MATCH($B1279,Assumptions!$D$5:$D$12,0))))</x:f>
        <x:v>1.0255</x:v>
      </x:c>
      <x:c r="L1279" t="str">
        <x:f>IF($A1279="","",IFERROR(INDEX(Assumptions!$O$5:$O$10,MATCH(1,(Assumptions!$P$5:$P$10=$B1279)*(Assumptions!$Q$5:$Q$10&lt;=$A1279)*(Assumptions!$R$5:$R$10&gt;=$A1279),0)),""))</x:f>
      </x:c>
      <x:c r="M1279" t="n">
        <x:f>--($A1279&lt;&gt;"")</x:f>
        <x:v>1</x:v>
      </x:c>
    </x:row>
    <x:row r="1280">
      <x:c r="A1280" s="10" t="n">
        <x:f>IF(Assumptions!$B$5+INT((ROW()-2)/Assumptions!$B$7)&gt;Assumptions!$B$6,"",Assumptions!$B$5+INT((ROW()-2)/Assumptions!$B$7))</x:f>
        <x:v>46278</x:v>
      </x:c>
      <x:c r="B1280" t="str">
        <x:f>IF($A1280="","",INDEX(Assumptions!$D$5:$D$12,MOD(ROW()-2,Assumptions!$B$7)+1))</x:f>
        <x:v>Hadley's Hope</x:v>
      </x:c>
      <x:c r="C1280" s="11" t="n">
        <x:f>IF($A1280="","",INDEX(Assumptions!$F$5:$F$12,MATCH($B1280,Assumptions!$D$5:$D$12,0)))</x:f>
        <x:v>845</x:v>
      </x:c>
      <x:c r="D1280" s="11" t="n">
        <x:f>IF($A1280="","",INDEX(Assumptions!$G$5:$G$12,MATCH($B1280,Assumptions!$D$5:$D$12,0)))</x:f>
        <x:v>80</x:v>
      </x:c>
      <x:c r="E1280" s="11" t="n">
        <x:f>IF($A1280="","",INDEX(Assumptions!$M$5:$M$11,WEEKDAY($A1280,2)))</x:f>
        <x:v>0.87</x:v>
      </x:c>
      <x:c r="F1280" s="11" t="n">
        <x:f>IF($A1280="","",Assumptions!$B$15)</x:f>
        <x:v>0.35</x:v>
      </x:c>
      <x:c r="G1280" s="11" t="n">
        <x:f>IF($A1280="","",MAX(INDEX(Assumptions!$H$5:$H$12,MATCH($B1280,Assumptions!$D$5:$D$12,0)),MIN(INDEX(Assumptions!$I$5:$I$12,MATCH($B1280,Assumptions!$D$5:$D$12,0)),($C1280+$D1280*SQRT(-2*LN(RAND()))*COS(2*PI()*RAND()))*$E1280*$J1280*$K1280)))</x:f>
        <x:v>849.7063185017879</x:v>
      </x:c>
      <x:c r="H1280" s="11" t="n">
        <x:f>IF($A1280="","",$G1280*$F1280+$C1280*(1-$F1280))</x:f>
        <x:v>846.6472114756257</x:v>
      </x:c>
      <x:c r="I1280" s="11" t="n">
        <x:f>IF($A1280="","",AVERAGE($H1280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827.9290665973591</x:v>
      </x:c>
      <x:c r="J1280" s="12" t="n">
        <x:f>IF($A1280="","",1+SUMIFS(Assumptions!$S$5:$S$10,Assumptions!$P$5:$P$10,$B1280,Assumptions!$Q$5:$Q$10,"&lt;="&amp;$A1280,Assumptions!$R$5:$R$10,"&gt;="&amp;$A1280))</x:f>
        <x:v>1</x:v>
      </x:c>
      <x:c r="K1280" s="12" t="n">
        <x:f>IF($A1280="","",1+((($A1280-Assumptions!$B$5)/30)*INDEX(Assumptions!$J$5:$J$12,MATCH($B1280,Assumptions!$D$5:$D$12,0))))</x:f>
        <x:v>1.0085</x:v>
      </x:c>
      <x:c r="L1280" t="str">
        <x:f>IF($A1280="","",IFERROR(INDEX(Assumptions!$O$5:$O$10,MATCH(1,(Assumptions!$P$5:$P$10=$B1280)*(Assumptions!$Q$5:$Q$10&lt;=$A1280)*(Assumptions!$R$5:$R$10&gt;=$A1280),0)),""))</x:f>
      </x:c>
      <x:c r="M1280" t="n">
        <x:f>--($A1280&lt;&gt;"")</x:f>
        <x:v>1</x:v>
      </x:c>
    </x:row>
    <x:row r="1281">
      <x:c r="A1281" s="10" t="n">
        <x:f>IF(Assumptions!$B$5+INT((ROW()-2)/Assumptions!$B$7)&gt;Assumptions!$B$6,"",Assumptions!$B$5+INT((ROW()-2)/Assumptions!$B$7))</x:f>
        <x:v>46278</x:v>
      </x:c>
      <x:c r="B1281" t="str">
        <x:f>IF($A1281="","",INDEX(Assumptions!$D$5:$D$12,MOD(ROW()-2,Assumptions!$B$7)+1))</x:f>
        <x:v>Yutani Ridge</x:v>
      </x:c>
      <x:c r="C1281" s="11" t="n">
        <x:f>IF($A1281="","",INDEX(Assumptions!$F$5:$F$12,MATCH($B1281,Assumptions!$D$5:$D$12,0)))</x:f>
        <x:v>1050</x:v>
      </x:c>
      <x:c r="D1281" s="11" t="n">
        <x:f>IF($A1281="","",INDEX(Assumptions!$G$5:$G$12,MATCH($B1281,Assumptions!$D$5:$D$12,0)))</x:f>
        <x:v>125</x:v>
      </x:c>
      <x:c r="E1281" s="11" t="n">
        <x:f>IF($A1281="","",INDEX(Assumptions!$M$5:$M$11,WEEKDAY($A1281,2)))</x:f>
        <x:v>0.87</x:v>
      </x:c>
      <x:c r="F1281" s="11" t="n">
        <x:f>IF($A1281="","",Assumptions!$B$15)</x:f>
        <x:v>0.35</x:v>
      </x:c>
      <x:c r="G1281" s="11" t="n">
        <x:f>IF($A1281="","",MAX(INDEX(Assumptions!$H$5:$H$12,MATCH($B1281,Assumptions!$D$5:$D$12,0)),MIN(INDEX(Assumptions!$I$5:$I$12,MATCH($B1281,Assumptions!$D$5:$D$12,0)),($C1281+$D1281*SQRT(-2*LN(RAND()))*COS(2*PI()*RAND()))*$E1281*$J1281*$K1281)))</x:f>
        <x:v>812.2648713284512</x:v>
      </x:c>
      <x:c r="H1281" s="11" t="n">
        <x:f>IF($A1281="","",$G1281*$F1281+$C1281*(1-$F1281))</x:f>
        <x:v>966.7927049649579</x:v>
      </x:c>
      <x:c r="I1281" s="11" t="n">
        <x:f>IF($A1281="","",AVERAGE($H1281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1065.6942539091738</x:v>
      </x:c>
      <x:c r="J1281" s="12" t="n">
        <x:f>IF($A1281="","",1+SUMIFS(Assumptions!$S$5:$S$10,Assumptions!$P$5:$P$10,$B1281,Assumptions!$Q$5:$Q$10,"&lt;="&amp;$A1281,Assumptions!$R$5:$R$10,"&gt;="&amp;$A1281))</x:f>
        <x:v>1</x:v>
      </x:c>
      <x:c r="K1281" s="12" t="n">
        <x:f>IF($A1281="","",1+((($A1281-Assumptions!$B$5)/30)*INDEX(Assumptions!$J$5:$J$12,MATCH($B1281,Assumptions!$D$5:$D$12,0))))</x:f>
        <x:v>1.02125</x:v>
      </x:c>
      <x:c r="L1281" t="str">
        <x:f>IF($A1281="","",IFERROR(INDEX(Assumptions!$O$5:$O$10,MATCH(1,(Assumptions!$P$5:$P$10=$B1281)*(Assumptions!$Q$5:$Q$10&lt;=$A1281)*(Assumptions!$R$5:$R$10&gt;=$A1281),0)),""))</x:f>
      </x:c>
      <x:c r="M1281" t="n">
        <x:f>--($A1281&lt;&gt;"")</x:f>
        <x:v>1</x:v>
      </x:c>
    </x:row>
    <x:row r="1282">
      <x:c r="A1282" s="10" t="n">
        <x:f>IF(Assumptions!$B$5+INT((ROW()-2)/Assumptions!$B$7)&gt;Assumptions!$B$6,"",Assumptions!$B$5+INT((ROW()-2)/Assumptions!$B$7))</x:f>
        <x:v>46279</x:v>
      </x:c>
      <x:c r="B1282" t="str">
        <x:f>IF($A1282="","",INDEX(Assumptions!$D$5:$D$12,MOD(ROW()-2,Assumptions!$B$7)+1))</x:f>
        <x:v>Acheron Prime</x:v>
      </x:c>
      <x:c r="C1282" s="11" t="n">
        <x:f>IF($A1282="","",INDEX(Assumptions!$F$5:$F$12,MATCH($B1282,Assumptions!$D$5:$D$12,0)))</x:f>
        <x:v>1120</x:v>
      </x:c>
      <x:c r="D1282" s="11" t="n">
        <x:f>IF($A1282="","",INDEX(Assumptions!$G$5:$G$12,MATCH($B1282,Assumptions!$D$5:$D$12,0)))</x:f>
        <x:v>115</x:v>
      </x:c>
      <x:c r="E1282" s="11" t="n">
        <x:f>IF($A1282="","",INDEX(Assumptions!$M$5:$M$11,WEEKDAY($A1282,2)))</x:f>
        <x:v>1.03</x:v>
      </x:c>
      <x:c r="F1282" s="11" t="n">
        <x:f>IF($A1282="","",Assumptions!$B$15)</x:f>
        <x:v>0.35</x:v>
      </x:c>
      <x:c r="G1282" s="11" t="n">
        <x:f>IF($A1282="","",MAX(INDEX(Assumptions!$H$5:$H$12,MATCH($B1282,Assumptions!$D$5:$D$12,0)),MIN(INDEX(Assumptions!$I$5:$I$12,MATCH($B1282,Assumptions!$D$5:$D$12,0)),($C1282+$D1282*SQRT(-2*LN(RAND()))*COS(2*PI()*RAND()))*$E1282*$J1282*$K1282)))</x:f>
        <x:v>1054.7472593788923</x:v>
      </x:c>
      <x:c r="H1282" s="11" t="n">
        <x:f>IF($A1282="","",$G1282*$F1282+$C1282*(1-$F1282))</x:f>
        <x:v>1097.1615407826123</x:v>
      </x:c>
      <x:c r="I1282" s="11" t="n">
        <x:f>IF($A1282="","",AVERAGE($H1282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1107.5409450332918</x:v>
      </x:c>
      <x:c r="J1282" s="12" t="n">
        <x:f>IF($A1282="","",1+SUMIFS(Assumptions!$S$5:$S$10,Assumptions!$P$5:$P$10,$B1282,Assumptions!$Q$5:$Q$10,"&lt;="&amp;$A1282,Assumptions!$R$5:$R$10,"&gt;="&amp;$A1282))</x:f>
        <x:v>1</x:v>
      </x:c>
      <x:c r="K1282" s="12" t="n">
        <x:f>IF($A1282="","",1+((($A1282-Assumptions!$B$5)/30)*INDEX(Assumptions!$J$5:$J$12,MATCH($B1282,Assumptions!$D$5:$D$12,0))))</x:f>
        <x:v>1.0170666666666666</x:v>
      </x:c>
      <x:c r="L1282" t="str">
        <x:f>IF($A1282="","",IFERROR(INDEX(Assumptions!$O$5:$O$10,MATCH(1,(Assumptions!$P$5:$P$10=$B1282)*(Assumptions!$Q$5:$Q$10&lt;=$A1282)*(Assumptions!$R$5:$R$10&gt;=$A1282),0)),""))</x:f>
      </x:c>
      <x:c r="M1282" t="n">
        <x:f>--($A1282&lt;&gt;"")</x:f>
        <x:v>1</x:v>
      </x:c>
    </x:row>
    <x:row r="1283">
      <x:c r="A1283" s="10" t="n">
        <x:f>IF(Assumptions!$B$5+INT((ROW()-2)/Assumptions!$B$7)&gt;Assumptions!$B$6,"",Assumptions!$B$5+INT((ROW()-2)/Assumptions!$B$7))</x:f>
        <x:v>46279</x:v>
      </x:c>
      <x:c r="B1283" t="str">
        <x:f>IF($A1283="","",INDEX(Assumptions!$D$5:$D$12,MOD(ROW()-2,Assumptions!$B$7)+1))</x:f>
        <x:v>LV-426 North</x:v>
      </x:c>
      <x:c r="C1283" s="11" t="n">
        <x:f>IF($A1283="","",INDEX(Assumptions!$F$5:$F$12,MATCH($B1283,Assumptions!$D$5:$D$12,0)))</x:f>
        <x:v>930</x:v>
      </x:c>
      <x:c r="D1283" s="11" t="n">
        <x:f>IF($A1283="","",INDEX(Assumptions!$G$5:$G$12,MATCH($B1283,Assumptions!$D$5:$D$12,0)))</x:f>
        <x:v>95</x:v>
      </x:c>
      <x:c r="E1283" s="11" t="n">
        <x:f>IF($A1283="","",INDEX(Assumptions!$M$5:$M$11,WEEKDAY($A1283,2)))</x:f>
        <x:v>1.03</x:v>
      </x:c>
      <x:c r="F1283" s="11" t="n">
        <x:f>IF($A1283="","",Assumptions!$B$15)</x:f>
        <x:v>0.35</x:v>
      </x:c>
      <x:c r="G1283" s="11" t="n">
        <x:f>IF($A1283="","",MAX(INDEX(Assumptions!$H$5:$H$12,MATCH($B1283,Assumptions!$D$5:$D$12,0)),MIN(INDEX(Assumptions!$I$5:$I$12,MATCH($B1283,Assumptions!$D$5:$D$12,0)),($C1283+$D1283*SQRT(-2*LN(RAND()))*COS(2*PI()*RAND()))*$E1283*$J1283*$K1283)))</x:f>
        <x:v>900.0152481098311</x:v>
      </x:c>
      <x:c r="H1283" s="11" t="n">
        <x:f>IF($A1283="","",$G1283*$F1283+$C1283*(1-$F1283))</x:f>
        <x:v>919.5053368384408</x:v>
      </x:c>
      <x:c r="I1283" s="11" t="n">
        <x:f>IF($A1283="","",AVERAGE($H1283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911.929747426505</x:v>
      </x:c>
      <x:c r="J1283" s="12" t="n">
        <x:f>IF($A1283="","",1+SUMIFS(Assumptions!$S$5:$S$10,Assumptions!$P$5:$P$10,$B1283,Assumptions!$Q$5:$Q$10,"&lt;="&amp;$A1283,Assumptions!$R$5:$R$10,"&gt;="&amp;$A1283))</x:f>
        <x:v>1</x:v>
      </x:c>
      <x:c r="K1283" s="12" t="n">
        <x:f>IF($A1283="","",1+((($A1283-Assumptions!$B$5)/30)*INDEX(Assumptions!$J$5:$J$12,MATCH($B1283,Assumptions!$D$5:$D$12,0))))</x:f>
        <x:v>0.9914666666666667</x:v>
      </x:c>
      <x:c r="L1283" t="str">
        <x:f>IF($A1283="","",IFERROR(INDEX(Assumptions!$O$5:$O$10,MATCH(1,(Assumptions!$P$5:$P$10=$B1283)*(Assumptions!$Q$5:$Q$10&lt;=$A1283)*(Assumptions!$R$5:$R$10&gt;=$A1283),0)),""))</x:f>
      </x:c>
      <x:c r="M1283" t="n">
        <x:f>--($A1283&lt;&gt;"")</x:f>
        <x:v>1</x:v>
      </x:c>
    </x:row>
    <x:row r="1284">
      <x:c r="A1284" s="10" t="n">
        <x:f>IF(Assumptions!$B$5+INT((ROW()-2)/Assumptions!$B$7)&gt;Assumptions!$B$6,"",Assumptions!$B$5+INT((ROW()-2)/Assumptions!$B$7))</x:f>
        <x:v>46279</x:v>
      </x:c>
      <x:c r="B1284" t="str">
        <x:f>IF($A1284="","",INDEX(Assumptions!$D$5:$D$12,MOD(ROW()-2,Assumptions!$B$7)+1))</x:f>
        <x:v>Nostromo Deep</x:v>
      </x:c>
      <x:c r="C1284" s="11" t="n">
        <x:f>IF($A1284="","",INDEX(Assumptions!$F$5:$F$12,MATCH($B1284,Assumptions!$D$5:$D$12,0)))</x:f>
        <x:v>1260</x:v>
      </x:c>
      <x:c r="D1284" s="11" t="n">
        <x:f>IF($A1284="","",INDEX(Assumptions!$G$5:$G$12,MATCH($B1284,Assumptions!$D$5:$D$12,0)))</x:f>
        <x:v>145</x:v>
      </x:c>
      <x:c r="E1284" s="11" t="n">
        <x:f>IF($A1284="","",INDEX(Assumptions!$M$5:$M$11,WEEKDAY($A1284,2)))</x:f>
        <x:v>1.03</x:v>
      </x:c>
      <x:c r="F1284" s="11" t="n">
        <x:f>IF($A1284="","",Assumptions!$B$15)</x:f>
        <x:v>0.35</x:v>
      </x:c>
      <x:c r="G1284" s="11" t="n">
        <x:f>IF($A1284="","",MAX(INDEX(Assumptions!$H$5:$H$12,MATCH($B1284,Assumptions!$D$5:$D$12,0)),MIN(INDEX(Assumptions!$I$5:$I$12,MATCH($B1284,Assumptions!$D$5:$D$12,0)),($C1284+$D1284*SQRT(-2*LN(RAND()))*COS(2*PI()*RAND()))*$E1284*$J1284*$K1284)))</x:f>
        <x:v>1582.078075117984</x:v>
      </x:c>
      <x:c r="H1284" s="11" t="n">
        <x:f>IF($A1284="","",$G1284*$F1284+$C1284*(1-$F1284))</x:f>
        <x:v>1372.7273262912945</x:v>
      </x:c>
      <x:c r="I1284" s="11" t="n">
        <x:f>IF($A1284="","",AVERAGE($H1284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1233.0964245859807</x:v>
      </x:c>
      <x:c r="J1284" s="12" t="n">
        <x:f>IF($A1284="","",1+SUMIFS(Assumptions!$S$5:$S$10,Assumptions!$P$5:$P$10,$B1284,Assumptions!$Q$5:$Q$10,"&lt;="&amp;$A1284,Assumptions!$R$5:$R$10,"&gt;="&amp;$A1284))</x:f>
        <x:v>1</x:v>
      </x:c>
      <x:c r="K1284" s="12" t="n">
        <x:f>IF($A1284="","",1+((($A1284-Assumptions!$B$5)/30)*INDEX(Assumptions!$J$5:$J$12,MATCH($B1284,Assumptions!$D$5:$D$12,0))))</x:f>
        <x:v>1.0256</x:v>
      </x:c>
      <x:c r="L1284" t="str">
        <x:f>IF($A1284="","",IFERROR(INDEX(Assumptions!$O$5:$O$10,MATCH(1,(Assumptions!$P$5:$P$10=$B1284)*(Assumptions!$Q$5:$Q$10&lt;=$A1284)*(Assumptions!$R$5:$R$10&gt;=$A1284),0)),""))</x:f>
      </x:c>
      <x:c r="M1284" t="n">
        <x:f>--($A1284&lt;&gt;"")</x:f>
        <x:v>1</x:v>
      </x:c>
    </x:row>
    <x:row r="1285">
      <x:c r="A1285" s="10" t="n">
        <x:f>IF(Assumptions!$B$5+INT((ROW()-2)/Assumptions!$B$7)&gt;Assumptions!$B$6,"",Assumptions!$B$5+INT((ROW()-2)/Assumptions!$B$7))</x:f>
        <x:v>46279</x:v>
      </x:c>
      <x:c r="B1285" t="str">
        <x:f>IF($A1285="","",INDEX(Assumptions!$D$5:$D$12,MOD(ROW()-2,Assumptions!$B$7)+1))</x:f>
        <x:v>Hadley's Hope</x:v>
      </x:c>
      <x:c r="C1285" s="11" t="n">
        <x:f>IF($A1285="","",INDEX(Assumptions!$F$5:$F$12,MATCH($B1285,Assumptions!$D$5:$D$12,0)))</x:f>
        <x:v>845</x:v>
      </x:c>
      <x:c r="D1285" s="11" t="n">
        <x:f>IF($A1285="","",INDEX(Assumptions!$G$5:$G$12,MATCH($B1285,Assumptions!$D$5:$D$12,0)))</x:f>
        <x:v>80</x:v>
      </x:c>
      <x:c r="E1285" s="11" t="n">
        <x:f>IF($A1285="","",INDEX(Assumptions!$M$5:$M$11,WEEKDAY($A1285,2)))</x:f>
        <x:v>1.03</x:v>
      </x:c>
      <x:c r="F1285" s="11" t="n">
        <x:f>IF($A1285="","",Assumptions!$B$15)</x:f>
        <x:v>0.35</x:v>
      </x:c>
      <x:c r="G1285" s="11" t="n">
        <x:f>IF($A1285="","",MAX(INDEX(Assumptions!$H$5:$H$12,MATCH($B1285,Assumptions!$D$5:$D$12,0)),MIN(INDEX(Assumptions!$I$5:$I$12,MATCH($B1285,Assumptions!$D$5:$D$12,0)),($C1285+$D1285*SQRT(-2*LN(RAND()))*COS(2*PI()*RAND()))*$E1285*$J1285*$K1285)))</x:f>
        <x:v>860.2558234756857</x:v>
      </x:c>
      <x:c r="H1285" s="11" t="n">
        <x:f>IF($A1285="","",$G1285*$F1285+$C1285*(1-$F1285))</x:f>
        <x:v>850.3395382164899</x:v>
      </x:c>
      <x:c r="I1285" s="11" t="n">
        <x:f>IF($A1285="","",AVERAGE($H1285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827.1072231796715</x:v>
      </x:c>
      <x:c r="J1285" s="12" t="n">
        <x:f>IF($A1285="","",1+SUMIFS(Assumptions!$S$5:$S$10,Assumptions!$P$5:$P$10,$B1285,Assumptions!$Q$5:$Q$10,"&lt;="&amp;$A1285,Assumptions!$R$5:$R$10,"&gt;="&amp;$A1285))</x:f>
        <x:v>1</x:v>
      </x:c>
      <x:c r="K1285" s="12" t="n">
        <x:f>IF($A1285="","",1+((($A1285-Assumptions!$B$5)/30)*INDEX(Assumptions!$J$5:$J$12,MATCH($B1285,Assumptions!$D$5:$D$12,0))))</x:f>
        <x:v>1.0085333333333333</x:v>
      </x:c>
      <x:c r="L1285" t="str">
        <x:f>IF($A1285="","",IFERROR(INDEX(Assumptions!$O$5:$O$10,MATCH(1,(Assumptions!$P$5:$P$10=$B1285)*(Assumptions!$Q$5:$Q$10&lt;=$A1285)*(Assumptions!$R$5:$R$10&gt;=$A1285),0)),""))</x:f>
      </x:c>
      <x:c r="M1285" t="n">
        <x:f>--($A1285&lt;&gt;"")</x:f>
        <x:v>1</x:v>
      </x:c>
    </x:row>
    <x:row r="1286">
      <x:c r="A1286" s="10" t="n">
        <x:f>IF(Assumptions!$B$5+INT((ROW()-2)/Assumptions!$B$7)&gt;Assumptions!$B$6,"",Assumptions!$B$5+INT((ROW()-2)/Assumptions!$B$7))</x:f>
        <x:v>46279</x:v>
      </x:c>
      <x:c r="B1286" t="str">
        <x:f>IF($A1286="","",INDEX(Assumptions!$D$5:$D$12,MOD(ROW()-2,Assumptions!$B$7)+1))</x:f>
        <x:v>Yutani Ridge</x:v>
      </x:c>
      <x:c r="C1286" s="11" t="n">
        <x:f>IF($A1286="","",INDEX(Assumptions!$F$5:$F$12,MATCH($B1286,Assumptions!$D$5:$D$12,0)))</x:f>
        <x:v>1050</x:v>
      </x:c>
      <x:c r="D1286" s="11" t="n">
        <x:f>IF($A1286="","",INDEX(Assumptions!$G$5:$G$12,MATCH($B1286,Assumptions!$D$5:$D$12,0)))</x:f>
        <x:v>125</x:v>
      </x:c>
      <x:c r="E1286" s="11" t="n">
        <x:f>IF($A1286="","",INDEX(Assumptions!$M$5:$M$11,WEEKDAY($A1286,2)))</x:f>
        <x:v>1.03</x:v>
      </x:c>
      <x:c r="F1286" s="11" t="n">
        <x:f>IF($A1286="","",Assumptions!$B$15)</x:f>
        <x:v>0.35</x:v>
      </x:c>
      <x:c r="G1286" s="11" t="n">
        <x:f>IF($A1286="","",MAX(INDEX(Assumptions!$H$5:$H$12,MATCH($B1286,Assumptions!$D$5:$D$12,0)),MIN(INDEX(Assumptions!$I$5:$I$12,MATCH($B1286,Assumptions!$D$5:$D$12,0)),($C1286+$D1286*SQRT(-2*LN(RAND()))*COS(2*PI()*RAND()))*$E1286*$J1286*$K1286)))</x:f>
        <x:v>1046.9470456788588</x:v>
      </x:c>
      <x:c r="H1286" s="11" t="n">
        <x:f>IF($A1286="","",$G1286*$F1286+$C1286*(1-$F1286))</x:f>
        <x:v>1048.9314659876006</x:v>
      </x:c>
      <x:c r="I1286" s="11" t="n">
        <x:f>IF($A1286="","",AVERAGE($H1286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1058.2063436136152</x:v>
      </x:c>
      <x:c r="J1286" s="12" t="n">
        <x:f>IF($A1286="","",1+SUMIFS(Assumptions!$S$5:$S$10,Assumptions!$P$5:$P$10,$B1286,Assumptions!$Q$5:$Q$10,"&lt;="&amp;$A1286,Assumptions!$R$5:$R$10,"&gt;="&amp;$A1286))</x:f>
        <x:v>1</x:v>
      </x:c>
      <x:c r="K1286" s="12" t="n">
        <x:f>IF($A1286="","",1+((($A1286-Assumptions!$B$5)/30)*INDEX(Assumptions!$J$5:$J$12,MATCH($B1286,Assumptions!$D$5:$D$12,0))))</x:f>
        <x:v>1.0213333333333334</x:v>
      </x:c>
      <x:c r="L1286" t="str">
        <x:f>IF($A1286="","",IFERROR(INDEX(Assumptions!$O$5:$O$10,MATCH(1,(Assumptions!$P$5:$P$10=$B1286)*(Assumptions!$Q$5:$Q$10&lt;=$A1286)*(Assumptions!$R$5:$R$10&gt;=$A1286),0)),""))</x:f>
      </x:c>
      <x:c r="M1286" t="n">
        <x:f>--($A1286&lt;&gt;"")</x:f>
        <x:v>1</x:v>
      </x:c>
    </x:row>
    <x:row r="1287">
      <x:c r="A1287" s="10" t="n">
        <x:f>IF(Assumptions!$B$5+INT((ROW()-2)/Assumptions!$B$7)&gt;Assumptions!$B$6,"",Assumptions!$B$5+INT((ROW()-2)/Assumptions!$B$7))</x:f>
        <x:v>46280</x:v>
      </x:c>
      <x:c r="B1287" t="str">
        <x:f>IF($A1287="","",INDEX(Assumptions!$D$5:$D$12,MOD(ROW()-2,Assumptions!$B$7)+1))</x:f>
        <x:v>Acheron Prime</x:v>
      </x:c>
      <x:c r="C1287" s="11" t="n">
        <x:f>IF($A1287="","",INDEX(Assumptions!$F$5:$F$12,MATCH($B1287,Assumptions!$D$5:$D$12,0)))</x:f>
        <x:v>1120</x:v>
      </x:c>
      <x:c r="D1287" s="11" t="n">
        <x:f>IF($A1287="","",INDEX(Assumptions!$G$5:$G$12,MATCH($B1287,Assumptions!$D$5:$D$12,0)))</x:f>
        <x:v>115</x:v>
      </x:c>
      <x:c r="E1287" s="11" t="n">
        <x:f>IF($A1287="","",INDEX(Assumptions!$M$5:$M$11,WEEKDAY($A1287,2)))</x:f>
        <x:v>1.02</x:v>
      </x:c>
      <x:c r="F1287" s="11" t="n">
        <x:f>IF($A1287="","",Assumptions!$B$15)</x:f>
        <x:v>0.35</x:v>
      </x:c>
      <x:c r="G1287" s="11" t="n">
        <x:f>IF($A1287="","",MAX(INDEX(Assumptions!$H$5:$H$12,MATCH($B1287,Assumptions!$D$5:$D$12,0)),MIN(INDEX(Assumptions!$I$5:$I$12,MATCH($B1287,Assumptions!$D$5:$D$12,0)),($C1287+$D1287*SQRT(-2*LN(RAND()))*COS(2*PI()*RAND()))*$E1287*$J1287*$K1287)))</x:f>
        <x:v>953.4166281292427</x:v>
      </x:c>
      <x:c r="H1287" s="11" t="n">
        <x:f>IF($A1287="","",$G1287*$F1287+$C1287*(1-$F1287))</x:f>
        <x:v>1061.6958198452348</x:v>
      </x:c>
      <x:c r="I1287" s="11" t="n">
        <x:f>IF($A1287="","",AVERAGE($H1287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1097.080696070325</x:v>
      </x:c>
      <x:c r="J1287" s="12" t="n">
        <x:f>IF($A1287="","",1+SUMIFS(Assumptions!$S$5:$S$10,Assumptions!$P$5:$P$10,$B1287,Assumptions!$Q$5:$Q$10,"&lt;="&amp;$A1287,Assumptions!$R$5:$R$10,"&gt;="&amp;$A1287))</x:f>
        <x:v>1</x:v>
      </x:c>
      <x:c r="K1287" s="12" t="n">
        <x:f>IF($A1287="","",1+((($A1287-Assumptions!$B$5)/30)*INDEX(Assumptions!$J$5:$J$12,MATCH($B1287,Assumptions!$D$5:$D$12,0))))</x:f>
        <x:v>1.0171333333333332</x:v>
      </x:c>
      <x:c r="L1287" t="str">
        <x:f>IF($A1287="","",IFERROR(INDEX(Assumptions!$O$5:$O$10,MATCH(1,(Assumptions!$P$5:$P$10=$B1287)*(Assumptions!$Q$5:$Q$10&lt;=$A1287)*(Assumptions!$R$5:$R$10&gt;=$A1287),0)),""))</x:f>
      </x:c>
      <x:c r="M1287" t="n">
        <x:f>--($A1287&lt;&gt;"")</x:f>
        <x:v>1</x:v>
      </x:c>
    </x:row>
    <x:row r="1288">
      <x:c r="A1288" s="10" t="n">
        <x:f>IF(Assumptions!$B$5+INT((ROW()-2)/Assumptions!$B$7)&gt;Assumptions!$B$6,"",Assumptions!$B$5+INT((ROW()-2)/Assumptions!$B$7))</x:f>
        <x:v>46280</x:v>
      </x:c>
      <x:c r="B1288" t="str">
        <x:f>IF($A1288="","",INDEX(Assumptions!$D$5:$D$12,MOD(ROW()-2,Assumptions!$B$7)+1))</x:f>
        <x:v>LV-426 North</x:v>
      </x:c>
      <x:c r="C1288" s="11" t="n">
        <x:f>IF($A1288="","",INDEX(Assumptions!$F$5:$F$12,MATCH($B1288,Assumptions!$D$5:$D$12,0)))</x:f>
        <x:v>930</x:v>
      </x:c>
      <x:c r="D1288" s="11" t="n">
        <x:f>IF($A1288="","",INDEX(Assumptions!$G$5:$G$12,MATCH($B1288,Assumptions!$D$5:$D$12,0)))</x:f>
        <x:v>95</x:v>
      </x:c>
      <x:c r="E1288" s="11" t="n">
        <x:f>IF($A1288="","",INDEX(Assumptions!$M$5:$M$11,WEEKDAY($A1288,2)))</x:f>
        <x:v>1.02</x:v>
      </x:c>
      <x:c r="F1288" s="11" t="n">
        <x:f>IF($A1288="","",Assumptions!$B$15)</x:f>
        <x:v>0.35</x:v>
      </x:c>
      <x:c r="G1288" s="11" t="n">
        <x:f>IF($A1288="","",MAX(INDEX(Assumptions!$H$5:$H$12,MATCH($B1288,Assumptions!$D$5:$D$12,0)),MIN(INDEX(Assumptions!$I$5:$I$12,MATCH($B1288,Assumptions!$D$5:$D$12,0)),($C1288+$D1288*SQRT(-2*LN(RAND()))*COS(2*PI()*RAND()))*$E1288*$J1288*$K1288)))</x:f>
        <x:v>1051.1562318592773</x:v>
      </x:c>
      <x:c r="H1288" s="11" t="n">
        <x:f>IF($A1288="","",$G1288*$F1288+$C1288*(1-$F1288))</x:f>
        <x:v>972.404681150747</x:v>
      </x:c>
      <x:c r="I1288" s="11" t="n">
        <x:f>IF($A1288="","",AVERAGE($H1288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922.8804098345306</x:v>
      </x:c>
      <x:c r="J1288" s="12" t="n">
        <x:f>IF($A1288="","",1+SUMIFS(Assumptions!$S$5:$S$10,Assumptions!$P$5:$P$10,$B1288,Assumptions!$Q$5:$Q$10,"&lt;="&amp;$A1288,Assumptions!$R$5:$R$10,"&gt;="&amp;$A1288))</x:f>
        <x:v>1</x:v>
      </x:c>
      <x:c r="K1288" s="12" t="n">
        <x:f>IF($A1288="","",1+((($A1288-Assumptions!$B$5)/30)*INDEX(Assumptions!$J$5:$J$12,MATCH($B1288,Assumptions!$D$5:$D$12,0))))</x:f>
        <x:v>0.9914333333333334</x:v>
      </x:c>
      <x:c r="L1288" t="str">
        <x:f>IF($A1288="","",IFERROR(INDEX(Assumptions!$O$5:$O$10,MATCH(1,(Assumptions!$P$5:$P$10=$B1288)*(Assumptions!$Q$5:$Q$10&lt;=$A1288)*(Assumptions!$R$5:$R$10&gt;=$A1288),0)),""))</x:f>
      </x:c>
      <x:c r="M1288" t="n">
        <x:f>--($A1288&lt;&gt;"")</x:f>
        <x:v>1</x:v>
      </x:c>
    </x:row>
    <x:row r="1289">
      <x:c r="A1289" s="10" t="n">
        <x:f>IF(Assumptions!$B$5+INT((ROW()-2)/Assumptions!$B$7)&gt;Assumptions!$B$6,"",Assumptions!$B$5+INT((ROW()-2)/Assumptions!$B$7))</x:f>
        <x:v>46280</x:v>
      </x:c>
      <x:c r="B1289" t="str">
        <x:f>IF($A1289="","",INDEX(Assumptions!$D$5:$D$12,MOD(ROW()-2,Assumptions!$B$7)+1))</x:f>
        <x:v>Nostromo Deep</x:v>
      </x:c>
      <x:c r="C1289" s="11" t="n">
        <x:f>IF($A1289="","",INDEX(Assumptions!$F$5:$F$12,MATCH($B1289,Assumptions!$D$5:$D$12,0)))</x:f>
        <x:v>1260</x:v>
      </x:c>
      <x:c r="D1289" s="11" t="n">
        <x:f>IF($A1289="","",INDEX(Assumptions!$G$5:$G$12,MATCH($B1289,Assumptions!$D$5:$D$12,0)))</x:f>
        <x:v>145</x:v>
      </x:c>
      <x:c r="E1289" s="11" t="n">
        <x:f>IF($A1289="","",INDEX(Assumptions!$M$5:$M$11,WEEKDAY($A1289,2)))</x:f>
        <x:v>1.02</x:v>
      </x:c>
      <x:c r="F1289" s="11" t="n">
        <x:f>IF($A1289="","",Assumptions!$B$15)</x:f>
        <x:v>0.35</x:v>
      </x:c>
      <x:c r="G1289" s="11" t="n">
        <x:f>IF($A1289="","",MAX(INDEX(Assumptions!$H$5:$H$12,MATCH($B1289,Assumptions!$D$5:$D$12,0)),MIN(INDEX(Assumptions!$I$5:$I$12,MATCH($B1289,Assumptions!$D$5:$D$12,0)),($C1289+$D1289*SQRT(-2*LN(RAND()))*COS(2*PI()*RAND()))*$E1289*$J1289*$K1289)))</x:f>
        <x:v>1295.5530228173552</x:v>
      </x:c>
      <x:c r="H1289" s="11" t="n">
        <x:f>IF($A1289="","",$G1289*$F1289+$C1289*(1-$F1289))</x:f>
        <x:v>1272.4435579860742</x:v>
      </x:c>
      <x:c r="I1289" s="11" t="n">
        <x:f>IF($A1289="","",AVERAGE($H1289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1238.6402559517228</x:v>
      </x:c>
      <x:c r="J1289" s="12" t="n">
        <x:f>IF($A1289="","",1+SUMIFS(Assumptions!$S$5:$S$10,Assumptions!$P$5:$P$10,$B1289,Assumptions!$Q$5:$Q$10,"&lt;="&amp;$A1289,Assumptions!$R$5:$R$10,"&gt;="&amp;$A1289))</x:f>
        <x:v>1</x:v>
      </x:c>
      <x:c r="K1289" s="12" t="n">
        <x:f>IF($A1289="","",1+((($A1289-Assumptions!$B$5)/30)*INDEX(Assumptions!$J$5:$J$12,MATCH($B1289,Assumptions!$D$5:$D$12,0))))</x:f>
        <x:v>1.0257</x:v>
      </x:c>
      <x:c r="L1289" t="str">
        <x:f>IF($A1289="","",IFERROR(INDEX(Assumptions!$O$5:$O$10,MATCH(1,(Assumptions!$P$5:$P$10=$B1289)*(Assumptions!$Q$5:$Q$10&lt;=$A1289)*(Assumptions!$R$5:$R$10&gt;=$A1289),0)),""))</x:f>
      </x:c>
      <x:c r="M1289" t="n">
        <x:f>--($A1289&lt;&gt;"")</x:f>
        <x:v>1</x:v>
      </x:c>
    </x:row>
    <x:row r="1290">
      <x:c r="A1290" s="10" t="n">
        <x:f>IF(Assumptions!$B$5+INT((ROW()-2)/Assumptions!$B$7)&gt;Assumptions!$B$6,"",Assumptions!$B$5+INT((ROW()-2)/Assumptions!$B$7))</x:f>
        <x:v>46280</x:v>
      </x:c>
      <x:c r="B1290" t="str">
        <x:f>IF($A1290="","",INDEX(Assumptions!$D$5:$D$12,MOD(ROW()-2,Assumptions!$B$7)+1))</x:f>
        <x:v>Hadley's Hope</x:v>
      </x:c>
      <x:c r="C1290" s="11" t="n">
        <x:f>IF($A1290="","",INDEX(Assumptions!$F$5:$F$12,MATCH($B1290,Assumptions!$D$5:$D$12,0)))</x:f>
        <x:v>845</x:v>
      </x:c>
      <x:c r="D1290" s="11" t="n">
        <x:f>IF($A1290="","",INDEX(Assumptions!$G$5:$G$12,MATCH($B1290,Assumptions!$D$5:$D$12,0)))</x:f>
        <x:v>80</x:v>
      </x:c>
      <x:c r="E1290" s="11" t="n">
        <x:f>IF($A1290="","",INDEX(Assumptions!$M$5:$M$11,WEEKDAY($A1290,2)))</x:f>
        <x:v>1.02</x:v>
      </x:c>
      <x:c r="F1290" s="11" t="n">
        <x:f>IF($A1290="","",Assumptions!$B$15)</x:f>
        <x:v>0.35</x:v>
      </x:c>
      <x:c r="G1290" s="11" t="n">
        <x:f>IF($A1290="","",MAX(INDEX(Assumptions!$H$5:$H$12,MATCH($B1290,Assumptions!$D$5:$D$12,0)),MIN(INDEX(Assumptions!$I$5:$I$12,MATCH($B1290,Assumptions!$D$5:$D$12,0)),($C1290+$D1290*SQRT(-2*LN(RAND()))*COS(2*PI()*RAND()))*$E1290*$J1290*$K1290)))</x:f>
        <x:v>1040.2505628252025</x:v>
      </x:c>
      <x:c r="H1290" s="11" t="n">
        <x:f>IF($A1290="","",$G1290*$F1290+$C1290*(1-$F1290))</x:f>
        <x:v>913.3376969888209</x:v>
      </x:c>
      <x:c r="I1290" s="11" t="n">
        <x:f>IF($A1290="","",AVERAGE($H1290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834.1267296461674</x:v>
      </x:c>
      <x:c r="J1290" s="12" t="n">
        <x:f>IF($A1290="","",1+SUMIFS(Assumptions!$S$5:$S$10,Assumptions!$P$5:$P$10,$B1290,Assumptions!$Q$5:$Q$10,"&lt;="&amp;$A1290,Assumptions!$R$5:$R$10,"&gt;="&amp;$A1290))</x:f>
        <x:v>1</x:v>
      </x:c>
      <x:c r="K1290" s="12" t="n">
        <x:f>IF($A1290="","",1+((($A1290-Assumptions!$B$5)/30)*INDEX(Assumptions!$J$5:$J$12,MATCH($B1290,Assumptions!$D$5:$D$12,0))))</x:f>
        <x:v>1.0085666666666666</x:v>
      </x:c>
      <x:c r="L1290" t="str">
        <x:f>IF($A1290="","",IFERROR(INDEX(Assumptions!$O$5:$O$10,MATCH(1,(Assumptions!$P$5:$P$10=$B1290)*(Assumptions!$Q$5:$Q$10&lt;=$A1290)*(Assumptions!$R$5:$R$10&gt;=$A1290),0)),""))</x:f>
      </x:c>
      <x:c r="M1290" t="n">
        <x:f>--($A1290&lt;&gt;"")</x:f>
        <x:v>1</x:v>
      </x:c>
    </x:row>
    <x:row r="1291">
      <x:c r="A1291" s="10" t="n">
        <x:f>IF(Assumptions!$B$5+INT((ROW()-2)/Assumptions!$B$7)&gt;Assumptions!$B$6,"",Assumptions!$B$5+INT((ROW()-2)/Assumptions!$B$7))</x:f>
        <x:v>46280</x:v>
      </x:c>
      <x:c r="B1291" t="str">
        <x:f>IF($A1291="","",INDEX(Assumptions!$D$5:$D$12,MOD(ROW()-2,Assumptions!$B$7)+1))</x:f>
        <x:v>Yutani Ridge</x:v>
      </x:c>
      <x:c r="C1291" s="11" t="n">
        <x:f>IF($A1291="","",INDEX(Assumptions!$F$5:$F$12,MATCH($B1291,Assumptions!$D$5:$D$12,0)))</x:f>
        <x:v>1050</x:v>
      </x:c>
      <x:c r="D1291" s="11" t="n">
        <x:f>IF($A1291="","",INDEX(Assumptions!$G$5:$G$12,MATCH($B1291,Assumptions!$D$5:$D$12,0)))</x:f>
        <x:v>125</x:v>
      </x:c>
      <x:c r="E1291" s="11" t="n">
        <x:f>IF($A1291="","",INDEX(Assumptions!$M$5:$M$11,WEEKDAY($A1291,2)))</x:f>
        <x:v>1.02</x:v>
      </x:c>
      <x:c r="F1291" s="11" t="n">
        <x:f>IF($A1291="","",Assumptions!$B$15)</x:f>
        <x:v>0.35</x:v>
      </x:c>
      <x:c r="G1291" s="11" t="n">
        <x:f>IF($A1291="","",MAX(INDEX(Assumptions!$H$5:$H$12,MATCH($B1291,Assumptions!$D$5:$D$12,0)),MIN(INDEX(Assumptions!$I$5:$I$12,MATCH($B1291,Assumptions!$D$5:$D$12,0)),($C1291+$D1291*SQRT(-2*LN(RAND()))*COS(2*PI()*RAND()))*$E1291*$J1291*$K1291)))</x:f>
        <x:v>1265.125541969325</x:v>
      </x:c>
      <x:c r="H1291" s="11" t="n">
        <x:f>IF($A1291="","",$G1291*$F1291+$C1291*(1-$F1291))</x:f>
        <x:v>1125.2939396892637</x:v>
      </x:c>
      <x:c r="I1291" s="11" t="n">
        <x:f>IF($A1291="","",AVERAGE($H1291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1053.3027268492406</x:v>
      </x:c>
      <x:c r="J1291" s="12" t="n">
        <x:f>IF($A1291="","",1+SUMIFS(Assumptions!$S$5:$S$10,Assumptions!$P$5:$P$10,$B1291,Assumptions!$Q$5:$Q$10,"&lt;="&amp;$A1291,Assumptions!$R$5:$R$10,"&gt;="&amp;$A1291))</x:f>
        <x:v>1</x:v>
      </x:c>
      <x:c r="K1291" s="12" t="n">
        <x:f>IF($A1291="","",1+((($A1291-Assumptions!$B$5)/30)*INDEX(Assumptions!$J$5:$J$12,MATCH($B1291,Assumptions!$D$5:$D$12,0))))</x:f>
        <x:v>1.0214166666666666</x:v>
      </x:c>
      <x:c r="L1291" t="str">
        <x:f>IF($A1291="","",IFERROR(INDEX(Assumptions!$O$5:$O$10,MATCH(1,(Assumptions!$P$5:$P$10=$B1291)*(Assumptions!$Q$5:$Q$10&lt;=$A1291)*(Assumptions!$R$5:$R$10&gt;=$A1291),0)),""))</x:f>
      </x:c>
      <x:c r="M1291" t="n">
        <x:f>--($A1291&lt;&gt;"")</x:f>
        <x:v>1</x:v>
      </x:c>
    </x:row>
    <x:row r="1292">
      <x:c r="A1292" s="10" t="n">
        <x:f>IF(Assumptions!$B$5+INT((ROW()-2)/Assumptions!$B$7)&gt;Assumptions!$B$6,"",Assumptions!$B$5+INT((ROW()-2)/Assumptions!$B$7))</x:f>
        <x:v>46281</x:v>
      </x:c>
      <x:c r="B1292" t="str">
        <x:f>IF($A1292="","",INDEX(Assumptions!$D$5:$D$12,MOD(ROW()-2,Assumptions!$B$7)+1))</x:f>
        <x:v>Acheron Prime</x:v>
      </x:c>
      <x:c r="C1292" s="11" t="n">
        <x:f>IF($A1292="","",INDEX(Assumptions!$F$5:$F$12,MATCH($B1292,Assumptions!$D$5:$D$12,0)))</x:f>
        <x:v>1120</x:v>
      </x:c>
      <x:c r="D1292" s="11" t="n">
        <x:f>IF($A1292="","",INDEX(Assumptions!$G$5:$G$12,MATCH($B1292,Assumptions!$D$5:$D$12,0)))</x:f>
        <x:v>115</x:v>
      </x:c>
      <x:c r="E1292" s="11" t="n">
        <x:f>IF($A1292="","",INDEX(Assumptions!$M$5:$M$11,WEEKDAY($A1292,2)))</x:f>
        <x:v>1.01</x:v>
      </x:c>
      <x:c r="F1292" s="11" t="n">
        <x:f>IF($A1292="","",Assumptions!$B$15)</x:f>
        <x:v>0.35</x:v>
      </x:c>
      <x:c r="G1292" s="11" t="n">
        <x:f>IF($A1292="","",MAX(INDEX(Assumptions!$H$5:$H$12,MATCH($B1292,Assumptions!$D$5:$D$12,0)),MIN(INDEX(Assumptions!$I$5:$I$12,MATCH($B1292,Assumptions!$D$5:$D$12,0)),($C1292+$D1292*SQRT(-2*LN(RAND()))*COS(2*PI()*RAND()))*$E1292*$J1292*$K1292)))</x:f>
        <x:v>1272.3935232382535</x:v>
      </x:c>
      <x:c r="H1292" s="11" t="n">
        <x:f>IF($A1292="","",$G1292*$F1292+$C1292*(1-$F1292))</x:f>
        <x:v>1173.3377331333886</x:v>
      </x:c>
      <x:c r="I1292" s="11" t="n">
        <x:f>IF($A1292="","",AVERAGE($H1292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1115.944075089206</x:v>
      </x:c>
      <x:c r="J1292" s="12" t="n">
        <x:f>IF($A1292="","",1+SUMIFS(Assumptions!$S$5:$S$10,Assumptions!$P$5:$P$10,$B1292,Assumptions!$Q$5:$Q$10,"&lt;="&amp;$A1292,Assumptions!$R$5:$R$10,"&gt;="&amp;$A1292))</x:f>
        <x:v>1</x:v>
      </x:c>
      <x:c r="K1292" s="12" t="n">
        <x:f>IF($A1292="","",1+((($A1292-Assumptions!$B$5)/30)*INDEX(Assumptions!$J$5:$J$12,MATCH($B1292,Assumptions!$D$5:$D$12,0))))</x:f>
        <x:v>1.0172</x:v>
      </x:c>
      <x:c r="L1292" t="str">
        <x:f>IF($A1292="","",IFERROR(INDEX(Assumptions!$O$5:$O$10,MATCH(1,(Assumptions!$P$5:$P$10=$B1292)*(Assumptions!$Q$5:$Q$10&lt;=$A1292)*(Assumptions!$R$5:$R$10&gt;=$A1292),0)),""))</x:f>
      </x:c>
      <x:c r="M1292" t="n">
        <x:f>--($A1292&lt;&gt;"")</x:f>
        <x:v>1</x:v>
      </x:c>
    </x:row>
    <x:row r="1293">
      <x:c r="A1293" s="10" t="n">
        <x:f>IF(Assumptions!$B$5+INT((ROW()-2)/Assumptions!$B$7)&gt;Assumptions!$B$6,"",Assumptions!$B$5+INT((ROW()-2)/Assumptions!$B$7))</x:f>
        <x:v>46281</x:v>
      </x:c>
      <x:c r="B1293" t="str">
        <x:f>IF($A1293="","",INDEX(Assumptions!$D$5:$D$12,MOD(ROW()-2,Assumptions!$B$7)+1))</x:f>
        <x:v>LV-426 North</x:v>
      </x:c>
      <x:c r="C1293" s="11" t="n">
        <x:f>IF($A1293="","",INDEX(Assumptions!$F$5:$F$12,MATCH($B1293,Assumptions!$D$5:$D$12,0)))</x:f>
        <x:v>930</x:v>
      </x:c>
      <x:c r="D1293" s="11" t="n">
        <x:f>IF($A1293="","",INDEX(Assumptions!$G$5:$G$12,MATCH($B1293,Assumptions!$D$5:$D$12,0)))</x:f>
        <x:v>95</x:v>
      </x:c>
      <x:c r="E1293" s="11" t="n">
        <x:f>IF($A1293="","",INDEX(Assumptions!$M$5:$M$11,WEEKDAY($A1293,2)))</x:f>
        <x:v>1.01</x:v>
      </x:c>
      <x:c r="F1293" s="11" t="n">
        <x:f>IF($A1293="","",Assumptions!$B$15)</x:f>
        <x:v>0.35</x:v>
      </x:c>
      <x:c r="G1293" s="11" t="n">
        <x:f>IF($A1293="","",MAX(INDEX(Assumptions!$H$5:$H$12,MATCH($B1293,Assumptions!$D$5:$D$12,0)),MIN(INDEX(Assumptions!$I$5:$I$12,MATCH($B1293,Assumptions!$D$5:$D$12,0)),($C1293+$D1293*SQRT(-2*LN(RAND()))*COS(2*PI()*RAND()))*$E1293*$J1293*$K1293)))</x:f>
        <x:v>849.1354570858858</x:v>
      </x:c>
      <x:c r="H1293" s="11" t="n">
        <x:f>IF($A1293="","",$G1293*$F1293+$C1293*(1-$F1293))</x:f>
        <x:v>901.69740998006</x:v>
      </x:c>
      <x:c r="I1293" s="11" t="n">
        <x:f>IF($A1293="","",AVERAGE($H1293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920.0902780018641</x:v>
      </x:c>
      <x:c r="J1293" s="12" t="n">
        <x:f>IF($A1293="","",1+SUMIFS(Assumptions!$S$5:$S$10,Assumptions!$P$5:$P$10,$B1293,Assumptions!$Q$5:$Q$10,"&lt;="&amp;$A1293,Assumptions!$R$5:$R$10,"&gt;="&amp;$A1293))</x:f>
        <x:v>1</x:v>
      </x:c>
      <x:c r="K1293" s="12" t="n">
        <x:f>IF($A1293="","",1+((($A1293-Assumptions!$B$5)/30)*INDEX(Assumptions!$J$5:$J$12,MATCH($B1293,Assumptions!$D$5:$D$12,0))))</x:f>
        <x:v>0.9914</x:v>
      </x:c>
      <x:c r="L1293" t="str">
        <x:f>IF($A1293="","",IFERROR(INDEX(Assumptions!$O$5:$O$10,MATCH(1,(Assumptions!$P$5:$P$10=$B1293)*(Assumptions!$Q$5:$Q$10&lt;=$A1293)*(Assumptions!$R$5:$R$10&gt;=$A1293),0)),""))</x:f>
      </x:c>
      <x:c r="M1293" t="n">
        <x:f>--($A1293&lt;&gt;"")</x:f>
        <x:v>1</x:v>
      </x:c>
    </x:row>
    <x:row r="1294">
      <x:c r="A1294" s="10" t="n">
        <x:f>IF(Assumptions!$B$5+INT((ROW()-2)/Assumptions!$B$7)&gt;Assumptions!$B$6,"",Assumptions!$B$5+INT((ROW()-2)/Assumptions!$B$7))</x:f>
        <x:v>46281</x:v>
      </x:c>
      <x:c r="B1294" t="str">
        <x:f>IF($A1294="","",INDEX(Assumptions!$D$5:$D$12,MOD(ROW()-2,Assumptions!$B$7)+1))</x:f>
        <x:v>Nostromo Deep</x:v>
      </x:c>
      <x:c r="C1294" s="11" t="n">
        <x:f>IF($A1294="","",INDEX(Assumptions!$F$5:$F$12,MATCH($B1294,Assumptions!$D$5:$D$12,0)))</x:f>
        <x:v>1260</x:v>
      </x:c>
      <x:c r="D1294" s="11" t="n">
        <x:f>IF($A1294="","",INDEX(Assumptions!$G$5:$G$12,MATCH($B1294,Assumptions!$D$5:$D$12,0)))</x:f>
        <x:v>145</x:v>
      </x:c>
      <x:c r="E1294" s="11" t="n">
        <x:f>IF($A1294="","",INDEX(Assumptions!$M$5:$M$11,WEEKDAY($A1294,2)))</x:f>
        <x:v>1.01</x:v>
      </x:c>
      <x:c r="F1294" s="11" t="n">
        <x:f>IF($A1294="","",Assumptions!$B$15)</x:f>
        <x:v>0.35</x:v>
      </x:c>
      <x:c r="G1294" s="11" t="n">
        <x:f>IF($A1294="","",MAX(INDEX(Assumptions!$H$5:$H$12,MATCH($B1294,Assumptions!$D$5:$D$12,0)),MIN(INDEX(Assumptions!$I$5:$I$12,MATCH($B1294,Assumptions!$D$5:$D$12,0)),($C1294+$D1294*SQRT(-2*LN(RAND()))*COS(2*PI()*RAND()))*$E1294*$J1294*$K1294)))</x:f>
        <x:v>1305.8248939225853</x:v>
      </x:c>
      <x:c r="H1294" s="11" t="n">
        <x:f>IF($A1294="","",$G1294*$F1294+$C1294*(1-$F1294))</x:f>
        <x:v>1276.0387128729049</x:v>
      </x:c>
      <x:c r="I1294" s="11" t="n">
        <x:f>IF($A1294="","",AVERAGE($H1294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1256.5491744823667</x:v>
      </x:c>
      <x:c r="J1294" s="12" t="n">
        <x:f>IF($A1294="","",1+SUMIFS(Assumptions!$S$5:$S$10,Assumptions!$P$5:$P$10,$B1294,Assumptions!$Q$5:$Q$10,"&lt;="&amp;$A1294,Assumptions!$R$5:$R$10,"&gt;="&amp;$A1294))</x:f>
        <x:v>1</x:v>
      </x:c>
      <x:c r="K1294" s="12" t="n">
        <x:f>IF($A1294="","",1+((($A1294-Assumptions!$B$5)/30)*INDEX(Assumptions!$J$5:$J$12,MATCH($B1294,Assumptions!$D$5:$D$12,0))))</x:f>
        <x:v>1.0258</x:v>
      </x:c>
      <x:c r="L1294" t="str">
        <x:f>IF($A1294="","",IFERROR(INDEX(Assumptions!$O$5:$O$10,MATCH(1,(Assumptions!$P$5:$P$10=$B1294)*(Assumptions!$Q$5:$Q$10&lt;=$A1294)*(Assumptions!$R$5:$R$10&gt;=$A1294),0)),""))</x:f>
      </x:c>
      <x:c r="M1294" t="n">
        <x:f>--($A1294&lt;&gt;"")</x:f>
        <x:v>1</x:v>
      </x:c>
    </x:row>
    <x:row r="1295">
      <x:c r="A1295" s="10" t="n">
        <x:f>IF(Assumptions!$B$5+INT((ROW()-2)/Assumptions!$B$7)&gt;Assumptions!$B$6,"",Assumptions!$B$5+INT((ROW()-2)/Assumptions!$B$7))</x:f>
        <x:v>46281</x:v>
      </x:c>
      <x:c r="B1295" t="str">
        <x:f>IF($A1295="","",INDEX(Assumptions!$D$5:$D$12,MOD(ROW()-2,Assumptions!$B$7)+1))</x:f>
        <x:v>Hadley's Hope</x:v>
      </x:c>
      <x:c r="C1295" s="11" t="n">
        <x:f>IF($A1295="","",INDEX(Assumptions!$F$5:$F$12,MATCH($B1295,Assumptions!$D$5:$D$12,0)))</x:f>
        <x:v>845</x:v>
      </x:c>
      <x:c r="D1295" s="11" t="n">
        <x:f>IF($A1295="","",INDEX(Assumptions!$G$5:$G$12,MATCH($B1295,Assumptions!$D$5:$D$12,0)))</x:f>
        <x:v>80</x:v>
      </x:c>
      <x:c r="E1295" s="11" t="n">
        <x:f>IF($A1295="","",INDEX(Assumptions!$M$5:$M$11,WEEKDAY($A1295,2)))</x:f>
        <x:v>1.01</x:v>
      </x:c>
      <x:c r="F1295" s="11" t="n">
        <x:f>IF($A1295="","",Assumptions!$B$15)</x:f>
        <x:v>0.35</x:v>
      </x:c>
      <x:c r="G1295" s="11" t="n">
        <x:f>IF($A1295="","",MAX(INDEX(Assumptions!$H$5:$H$12,MATCH($B1295,Assumptions!$D$5:$D$12,0)),MIN(INDEX(Assumptions!$I$5:$I$12,MATCH($B1295,Assumptions!$D$5:$D$12,0)),($C1295+$D1295*SQRT(-2*LN(RAND()))*COS(2*PI()*RAND()))*$E1295*$J1295*$K1295)))</x:f>
        <x:v>818.7426001358501</x:v>
      </x:c>
      <x:c r="H1295" s="11" t="n">
        <x:f>IF($A1295="","",$G1295*$F1295+$C1295*(1-$F1295))</x:f>
        <x:v>835.8099100475475</x:v>
      </x:c>
      <x:c r="I1295" s="11" t="n">
        <x:f>IF($A1295="","",AVERAGE($H1295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833.0447694302533</x:v>
      </x:c>
      <x:c r="J1295" s="12" t="n">
        <x:f>IF($A1295="","",1+SUMIFS(Assumptions!$S$5:$S$10,Assumptions!$P$5:$P$10,$B1295,Assumptions!$Q$5:$Q$10,"&lt;="&amp;$A1295,Assumptions!$R$5:$R$10,"&gt;="&amp;$A1295))</x:f>
        <x:v>1</x:v>
      </x:c>
      <x:c r="K1295" s="12" t="n">
        <x:f>IF($A1295="","",1+((($A1295-Assumptions!$B$5)/30)*INDEX(Assumptions!$J$5:$J$12,MATCH($B1295,Assumptions!$D$5:$D$12,0))))</x:f>
        <x:v>1.0086</x:v>
      </x:c>
      <x:c r="L1295" t="str">
        <x:f>IF($A1295="","",IFERROR(INDEX(Assumptions!$O$5:$O$10,MATCH(1,(Assumptions!$P$5:$P$10=$B1295)*(Assumptions!$Q$5:$Q$10&lt;=$A1295)*(Assumptions!$R$5:$R$10&gt;=$A1295),0)),""))</x:f>
      </x:c>
      <x:c r="M1295" t="n">
        <x:f>--($A1295&lt;&gt;"")</x:f>
        <x:v>1</x:v>
      </x:c>
    </x:row>
    <x:row r="1296">
      <x:c r="A1296" s="10" t="n">
        <x:f>IF(Assumptions!$B$5+INT((ROW()-2)/Assumptions!$B$7)&gt;Assumptions!$B$6,"",Assumptions!$B$5+INT((ROW()-2)/Assumptions!$B$7))</x:f>
        <x:v>46281</x:v>
      </x:c>
      <x:c r="B1296" t="str">
        <x:f>IF($A1296="","",INDEX(Assumptions!$D$5:$D$12,MOD(ROW()-2,Assumptions!$B$7)+1))</x:f>
        <x:v>Yutani Ridge</x:v>
      </x:c>
      <x:c r="C1296" s="11" t="n">
        <x:f>IF($A1296="","",INDEX(Assumptions!$F$5:$F$12,MATCH($B1296,Assumptions!$D$5:$D$12,0)))</x:f>
        <x:v>1050</x:v>
      </x:c>
      <x:c r="D1296" s="11" t="n">
        <x:f>IF($A1296="","",INDEX(Assumptions!$G$5:$G$12,MATCH($B1296,Assumptions!$D$5:$D$12,0)))</x:f>
        <x:v>125</x:v>
      </x:c>
      <x:c r="E1296" s="11" t="n">
        <x:f>IF($A1296="","",INDEX(Assumptions!$M$5:$M$11,WEEKDAY($A1296,2)))</x:f>
        <x:v>1.01</x:v>
      </x:c>
      <x:c r="F1296" s="11" t="n">
        <x:f>IF($A1296="","",Assumptions!$B$15)</x:f>
        <x:v>0.35</x:v>
      </x:c>
      <x:c r="G1296" s="11" t="n">
        <x:f>IF($A1296="","",MAX(INDEX(Assumptions!$H$5:$H$12,MATCH($B1296,Assumptions!$D$5:$D$12,0)),MIN(INDEX(Assumptions!$I$5:$I$12,MATCH($B1296,Assumptions!$D$5:$D$12,0)),($C1296+$D1296*SQRT(-2*LN(RAND()))*COS(2*PI()*RAND()))*$E1296*$J1296*$K1296)))</x:f>
        <x:v>1145.6039906701499</x:v>
      </x:c>
      <x:c r="H1296" s="11" t="n">
        <x:f>IF($A1296="","",$G1296*$F1296+$C1296*(1-$F1296))</x:f>
        <x:v>1083.4613967345524</x:v>
      </x:c>
      <x:c r="I1296" s="11" t="n">
        <x:f>IF($A1296="","",AVERAGE($H1296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1059.5776900248154</x:v>
      </x:c>
      <x:c r="J1296" s="12" t="n">
        <x:f>IF($A1296="","",1+SUMIFS(Assumptions!$S$5:$S$10,Assumptions!$P$5:$P$10,$B1296,Assumptions!$Q$5:$Q$10,"&lt;="&amp;$A1296,Assumptions!$R$5:$R$10,"&gt;="&amp;$A1296))</x:f>
        <x:v>1</x:v>
      </x:c>
      <x:c r="K1296" s="12" t="n">
        <x:f>IF($A1296="","",1+((($A1296-Assumptions!$B$5)/30)*INDEX(Assumptions!$J$5:$J$12,MATCH($B1296,Assumptions!$D$5:$D$12,0))))</x:f>
        <x:v>1.0215</x:v>
      </x:c>
      <x:c r="L1296" t="str">
        <x:f>IF($A1296="","",IFERROR(INDEX(Assumptions!$O$5:$O$10,MATCH(1,(Assumptions!$P$5:$P$10=$B1296)*(Assumptions!$Q$5:$Q$10&lt;=$A1296)*(Assumptions!$R$5:$R$10&gt;=$A1296),0)),""))</x:f>
      </x:c>
      <x:c r="M1296" t="n">
        <x:f>--($A1296&lt;&gt;"")</x:f>
        <x:v>1</x:v>
      </x:c>
    </x:row>
    <x:row r="1297">
      <x:c r="A1297" s="10" t="n">
        <x:f>IF(Assumptions!$B$5+INT((ROW()-2)/Assumptions!$B$7)&gt;Assumptions!$B$6,"",Assumptions!$B$5+INT((ROW()-2)/Assumptions!$B$7))</x:f>
        <x:v>46282</x:v>
      </x:c>
      <x:c r="B1297" t="str">
        <x:f>IF($A1297="","",INDEX(Assumptions!$D$5:$D$12,MOD(ROW()-2,Assumptions!$B$7)+1))</x:f>
        <x:v>Acheron Prime</x:v>
      </x:c>
      <x:c r="C1297" s="11" t="n">
        <x:f>IF($A1297="","",INDEX(Assumptions!$F$5:$F$12,MATCH($B1297,Assumptions!$D$5:$D$12,0)))</x:f>
        <x:v>1120</x:v>
      </x:c>
      <x:c r="D1297" s="11" t="n">
        <x:f>IF($A1297="","",INDEX(Assumptions!$G$5:$G$12,MATCH($B1297,Assumptions!$D$5:$D$12,0)))</x:f>
        <x:v>115</x:v>
      </x:c>
      <x:c r="E1297" s="11" t="n">
        <x:f>IF($A1297="","",INDEX(Assumptions!$M$5:$M$11,WEEKDAY($A1297,2)))</x:f>
        <x:v>1</x:v>
      </x:c>
      <x:c r="F1297" s="11" t="n">
        <x:f>IF($A1297="","",Assumptions!$B$15)</x:f>
        <x:v>0.35</x:v>
      </x:c>
      <x:c r="G1297" s="11" t="n">
        <x:f>IF($A1297="","",MAX(INDEX(Assumptions!$H$5:$H$12,MATCH($B1297,Assumptions!$D$5:$D$12,0)),MIN(INDEX(Assumptions!$I$5:$I$12,MATCH($B1297,Assumptions!$D$5:$D$12,0)),($C1297+$D1297*SQRT(-2*LN(RAND()))*COS(2*PI()*RAND()))*$E1297*$J1297*$K1297)))</x:f>
        <x:v>962.5526711833128</x:v>
      </x:c>
      <x:c r="H1297" s="11" t="n">
        <x:f>IF($A1297="","",$G1297*$F1297+$C1297*(1-$F1297))</x:f>
        <x:v>1064.8934349141596</x:v>
      </x:c>
      <x:c r="I1297" s="11" t="n">
        <x:f>IF($A1297="","",AVERAGE($H1297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1106.8651576951909</x:v>
      </x:c>
      <x:c r="J1297" s="12" t="n">
        <x:f>IF($A1297="","",1+SUMIFS(Assumptions!$S$5:$S$10,Assumptions!$P$5:$P$10,$B1297,Assumptions!$Q$5:$Q$10,"&lt;="&amp;$A1297,Assumptions!$R$5:$R$10,"&gt;="&amp;$A1297))</x:f>
        <x:v>1</x:v>
      </x:c>
      <x:c r="K1297" s="12" t="n">
        <x:f>IF($A1297="","",1+((($A1297-Assumptions!$B$5)/30)*INDEX(Assumptions!$J$5:$J$12,MATCH($B1297,Assumptions!$D$5:$D$12,0))))</x:f>
        <x:v>1.0172666666666668</x:v>
      </x:c>
      <x:c r="L1297" t="str">
        <x:f>IF($A1297="","",IFERROR(INDEX(Assumptions!$O$5:$O$10,MATCH(1,(Assumptions!$P$5:$P$10=$B1297)*(Assumptions!$Q$5:$Q$10&lt;=$A1297)*(Assumptions!$R$5:$R$10&gt;=$A1297),0)),""))</x:f>
      </x:c>
      <x:c r="M1297" t="n">
        <x:f>--($A1297&lt;&gt;"")</x:f>
        <x:v>1</x:v>
      </x:c>
    </x:row>
    <x:row r="1298">
      <x:c r="A1298" s="10" t="n">
        <x:f>IF(Assumptions!$B$5+INT((ROW()-2)/Assumptions!$B$7)&gt;Assumptions!$B$6,"",Assumptions!$B$5+INT((ROW()-2)/Assumptions!$B$7))</x:f>
        <x:v>46282</x:v>
      </x:c>
      <x:c r="B1298" t="str">
        <x:f>IF($A1298="","",INDEX(Assumptions!$D$5:$D$12,MOD(ROW()-2,Assumptions!$B$7)+1))</x:f>
        <x:v>LV-426 North</x:v>
      </x:c>
      <x:c r="C1298" s="11" t="n">
        <x:f>IF($A1298="","",INDEX(Assumptions!$F$5:$F$12,MATCH($B1298,Assumptions!$D$5:$D$12,0)))</x:f>
        <x:v>930</x:v>
      </x:c>
      <x:c r="D1298" s="11" t="n">
        <x:f>IF($A1298="","",INDEX(Assumptions!$G$5:$G$12,MATCH($B1298,Assumptions!$D$5:$D$12,0)))</x:f>
        <x:v>95</x:v>
      </x:c>
      <x:c r="E1298" s="11" t="n">
        <x:f>IF($A1298="","",INDEX(Assumptions!$M$5:$M$11,WEEKDAY($A1298,2)))</x:f>
        <x:v>1</x:v>
      </x:c>
      <x:c r="F1298" s="11" t="n">
        <x:f>IF($A1298="","",Assumptions!$B$15)</x:f>
        <x:v>0.35</x:v>
      </x:c>
      <x:c r="G1298" s="11" t="n">
        <x:f>IF($A1298="","",MAX(INDEX(Assumptions!$H$5:$H$12,MATCH($B1298,Assumptions!$D$5:$D$12,0)),MIN(INDEX(Assumptions!$I$5:$I$12,MATCH($B1298,Assumptions!$D$5:$D$12,0)),($C1298+$D1298*SQRT(-2*LN(RAND()))*COS(2*PI()*RAND()))*$E1298*$J1298*$K1298)))</x:f>
        <x:v>977.770203407649</x:v>
      </x:c>
      <x:c r="H1298" s="11" t="n">
        <x:f>IF($A1298="","",$G1298*$F1298+$C1298*(1-$F1298))</x:f>
        <x:v>946.7195711926771</x:v>
      </x:c>
      <x:c r="I1298" s="11" t="n">
        <x:f>IF($A1298="","",AVERAGE($H1298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922.9039357875636</x:v>
      </x:c>
      <x:c r="J1298" s="12" t="n">
        <x:f>IF($A1298="","",1+SUMIFS(Assumptions!$S$5:$S$10,Assumptions!$P$5:$P$10,$B1298,Assumptions!$Q$5:$Q$10,"&lt;="&amp;$A1298,Assumptions!$R$5:$R$10,"&gt;="&amp;$A1298))</x:f>
        <x:v>1</x:v>
      </x:c>
      <x:c r="K1298" s="12" t="n">
        <x:f>IF($A1298="","",1+((($A1298-Assumptions!$B$5)/30)*INDEX(Assumptions!$J$5:$J$12,MATCH($B1298,Assumptions!$D$5:$D$12,0))))</x:f>
        <x:v>0.9913666666666666</x:v>
      </x:c>
      <x:c r="L1298" t="str">
        <x:f>IF($A1298="","",IFERROR(INDEX(Assumptions!$O$5:$O$10,MATCH(1,(Assumptions!$P$5:$P$10=$B1298)*(Assumptions!$Q$5:$Q$10&lt;=$A1298)*(Assumptions!$R$5:$R$10&gt;=$A1298),0)),""))</x:f>
      </x:c>
      <x:c r="M1298" t="n">
        <x:f>--($A1298&lt;&gt;"")</x:f>
        <x:v>1</x:v>
      </x:c>
    </x:row>
    <x:row r="1299">
      <x:c r="A1299" s="10" t="n">
        <x:f>IF(Assumptions!$B$5+INT((ROW()-2)/Assumptions!$B$7)&gt;Assumptions!$B$6,"",Assumptions!$B$5+INT((ROW()-2)/Assumptions!$B$7))</x:f>
        <x:v>46282</x:v>
      </x:c>
      <x:c r="B1299" t="str">
        <x:f>IF($A1299="","",INDEX(Assumptions!$D$5:$D$12,MOD(ROW()-2,Assumptions!$B$7)+1))</x:f>
        <x:v>Nostromo Deep</x:v>
      </x:c>
      <x:c r="C1299" s="11" t="n">
        <x:f>IF($A1299="","",INDEX(Assumptions!$F$5:$F$12,MATCH($B1299,Assumptions!$D$5:$D$12,0)))</x:f>
        <x:v>1260</x:v>
      </x:c>
      <x:c r="D1299" s="11" t="n">
        <x:f>IF($A1299="","",INDEX(Assumptions!$G$5:$G$12,MATCH($B1299,Assumptions!$D$5:$D$12,0)))</x:f>
        <x:v>145</x:v>
      </x:c>
      <x:c r="E1299" s="11" t="n">
        <x:f>IF($A1299="","",INDEX(Assumptions!$M$5:$M$11,WEEKDAY($A1299,2)))</x:f>
        <x:v>1</x:v>
      </x:c>
      <x:c r="F1299" s="11" t="n">
        <x:f>IF($A1299="","",Assumptions!$B$15)</x:f>
        <x:v>0.35</x:v>
      </x:c>
      <x:c r="G1299" s="11" t="n">
        <x:f>IF($A1299="","",MAX(INDEX(Assumptions!$H$5:$H$12,MATCH($B1299,Assumptions!$D$5:$D$12,0)),MIN(INDEX(Assumptions!$I$5:$I$12,MATCH($B1299,Assumptions!$D$5:$D$12,0)),($C1299+$D1299*SQRT(-2*LN(RAND()))*COS(2*PI()*RAND()))*$E1299*$J1299*$K1299)))</x:f>
        <x:v>1228.7947736777633</x:v>
      </x:c>
      <x:c r="H1299" s="11" t="n">
        <x:f>IF($A1299="","",$G1299*$F1299+$C1299*(1-$F1299))</x:f>
        <x:v>1249.078170787217</x:v>
      </x:c>
      <x:c r="I1299" s="11" t="n">
        <x:f>IF($A1299="","",AVERAGE($H1299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1252.7791867484993</x:v>
      </x:c>
      <x:c r="J1299" s="12" t="n">
        <x:f>IF($A1299="","",1+SUMIFS(Assumptions!$S$5:$S$10,Assumptions!$P$5:$P$10,$B1299,Assumptions!$Q$5:$Q$10,"&lt;="&amp;$A1299,Assumptions!$R$5:$R$10,"&gt;="&amp;$A1299))</x:f>
        <x:v>1</x:v>
      </x:c>
      <x:c r="K1299" s="12" t="n">
        <x:f>IF($A1299="","",1+((($A1299-Assumptions!$B$5)/30)*INDEX(Assumptions!$J$5:$J$12,MATCH($B1299,Assumptions!$D$5:$D$12,0))))</x:f>
        <x:v>1.0259</x:v>
      </x:c>
      <x:c r="L1299" t="str">
        <x:f>IF($A1299="","",IFERROR(INDEX(Assumptions!$O$5:$O$10,MATCH(1,(Assumptions!$P$5:$P$10=$B1299)*(Assumptions!$Q$5:$Q$10&lt;=$A1299)*(Assumptions!$R$5:$R$10&gt;=$A1299),0)),""))</x:f>
      </x:c>
      <x:c r="M1299" t="n">
        <x:f>--($A1299&lt;&gt;"")</x:f>
        <x:v>1</x:v>
      </x:c>
    </x:row>
    <x:row r="1300">
      <x:c r="A1300" s="10" t="n">
        <x:f>IF(Assumptions!$B$5+INT((ROW()-2)/Assumptions!$B$7)&gt;Assumptions!$B$6,"",Assumptions!$B$5+INT((ROW()-2)/Assumptions!$B$7))</x:f>
        <x:v>46282</x:v>
      </x:c>
      <x:c r="B1300" t="str">
        <x:f>IF($A1300="","",INDEX(Assumptions!$D$5:$D$12,MOD(ROW()-2,Assumptions!$B$7)+1))</x:f>
        <x:v>Hadley's Hope</x:v>
      </x:c>
      <x:c r="C1300" s="11" t="n">
        <x:f>IF($A1300="","",INDEX(Assumptions!$F$5:$F$12,MATCH($B1300,Assumptions!$D$5:$D$12,0)))</x:f>
        <x:v>845</x:v>
      </x:c>
      <x:c r="D1300" s="11" t="n">
        <x:f>IF($A1300="","",INDEX(Assumptions!$G$5:$G$12,MATCH($B1300,Assumptions!$D$5:$D$12,0)))</x:f>
        <x:v>80</x:v>
      </x:c>
      <x:c r="E1300" s="11" t="n">
        <x:f>IF($A1300="","",INDEX(Assumptions!$M$5:$M$11,WEEKDAY($A1300,2)))</x:f>
        <x:v>1</x:v>
      </x:c>
      <x:c r="F1300" s="11" t="n">
        <x:f>IF($A1300="","",Assumptions!$B$15)</x:f>
        <x:v>0.35</x:v>
      </x:c>
      <x:c r="G1300" s="11" t="n">
        <x:f>IF($A1300="","",MAX(INDEX(Assumptions!$H$5:$H$12,MATCH($B1300,Assumptions!$D$5:$D$12,0)),MIN(INDEX(Assumptions!$I$5:$I$12,MATCH($B1300,Assumptions!$D$5:$D$12,0)),($C1300+$D1300*SQRT(-2*LN(RAND()))*COS(2*PI()*RAND()))*$E1300*$J1300*$K1300)))</x:f>
        <x:v>805.152182415991</x:v>
      </x:c>
      <x:c r="H1300" s="11" t="n">
        <x:f>IF($A1300="","",$G1300*$F1300+$C1300*(1-$F1300))</x:f>
        <x:v>831.0532638455968</x:v>
      </x:c>
      <x:c r="I1300" s="11" t="n">
        <x:f>IF($A1300="","",AVERAGE($H1300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836.1647472607141</x:v>
      </x:c>
      <x:c r="J1300" s="12" t="n">
        <x:f>IF($A1300="","",1+SUMIFS(Assumptions!$S$5:$S$10,Assumptions!$P$5:$P$10,$B1300,Assumptions!$Q$5:$Q$10,"&lt;="&amp;$A1300,Assumptions!$R$5:$R$10,"&gt;="&amp;$A1300))</x:f>
        <x:v>1</x:v>
      </x:c>
      <x:c r="K1300" s="12" t="n">
        <x:f>IF($A1300="","",1+((($A1300-Assumptions!$B$5)/30)*INDEX(Assumptions!$J$5:$J$12,MATCH($B1300,Assumptions!$D$5:$D$12,0))))</x:f>
        <x:v>1.0086333333333333</x:v>
      </x:c>
      <x:c r="L1300" t="str">
        <x:f>IF($A1300="","",IFERROR(INDEX(Assumptions!$O$5:$O$10,MATCH(1,(Assumptions!$P$5:$P$10=$B1300)*(Assumptions!$Q$5:$Q$10&lt;=$A1300)*(Assumptions!$R$5:$R$10&gt;=$A1300),0)),""))</x:f>
      </x:c>
      <x:c r="M1300" t="n">
        <x:f>--($A1300&lt;&gt;"")</x:f>
        <x:v>1</x:v>
      </x:c>
    </x:row>
    <x:row r="1301">
      <x:c r="A1301" s="10" t="n">
        <x:f>IF(Assumptions!$B$5+INT((ROW()-2)/Assumptions!$B$7)&gt;Assumptions!$B$6,"",Assumptions!$B$5+INT((ROW()-2)/Assumptions!$B$7))</x:f>
        <x:v>46282</x:v>
      </x:c>
      <x:c r="B1301" t="str">
        <x:f>IF($A1301="","",INDEX(Assumptions!$D$5:$D$12,MOD(ROW()-2,Assumptions!$B$7)+1))</x:f>
        <x:v>Yutani Ridge</x:v>
      </x:c>
      <x:c r="C1301" s="11" t="n">
        <x:f>IF($A1301="","",INDEX(Assumptions!$F$5:$F$12,MATCH($B1301,Assumptions!$D$5:$D$12,0)))</x:f>
        <x:v>1050</x:v>
      </x:c>
      <x:c r="D1301" s="11" t="n">
        <x:f>IF($A1301="","",INDEX(Assumptions!$G$5:$G$12,MATCH($B1301,Assumptions!$D$5:$D$12,0)))</x:f>
        <x:v>125</x:v>
      </x:c>
      <x:c r="E1301" s="11" t="n">
        <x:f>IF($A1301="","",INDEX(Assumptions!$M$5:$M$11,WEEKDAY($A1301,2)))</x:f>
        <x:v>1</x:v>
      </x:c>
      <x:c r="F1301" s="11" t="n">
        <x:f>IF($A1301="","",Assumptions!$B$15)</x:f>
        <x:v>0.35</x:v>
      </x:c>
      <x:c r="G1301" s="11" t="n">
        <x:f>IF($A1301="","",MAX(INDEX(Assumptions!$H$5:$H$12,MATCH($B1301,Assumptions!$D$5:$D$12,0)),MIN(INDEX(Assumptions!$I$5:$I$12,MATCH($B1301,Assumptions!$D$5:$D$12,0)),($C1301+$D1301*SQRT(-2*LN(RAND()))*COS(2*PI()*RAND()))*$E1301*$J1301*$K1301)))</x:f>
        <x:v>851.8871472995509</x:v>
      </x:c>
      <x:c r="H1301" s="11" t="n">
        <x:f>IF($A1301="","",$G1301*$F1301+$C1301*(1-$F1301))</x:f>
        <x:v>980.6605015548428</x:v>
      </x:c>
      <x:c r="I1301" s="11" t="n">
        <x:f>IF($A1301="","",AVERAGE($H1301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1055.0791187050254</x:v>
      </x:c>
      <x:c r="J1301" s="12" t="n">
        <x:f>IF($A1301="","",1+SUMIFS(Assumptions!$S$5:$S$10,Assumptions!$P$5:$P$10,$B1301,Assumptions!$Q$5:$Q$10,"&lt;="&amp;$A1301,Assumptions!$R$5:$R$10,"&gt;="&amp;$A1301))</x:f>
        <x:v>1</x:v>
      </x:c>
      <x:c r="K1301" s="12" t="n">
        <x:f>IF($A1301="","",1+((($A1301-Assumptions!$B$5)/30)*INDEX(Assumptions!$J$5:$J$12,MATCH($B1301,Assumptions!$D$5:$D$12,0))))</x:f>
        <x:v>1.0215833333333333</x:v>
      </x:c>
      <x:c r="L1301" t="str">
        <x:f>IF($A1301="","",IFERROR(INDEX(Assumptions!$O$5:$O$10,MATCH(1,(Assumptions!$P$5:$P$10=$B1301)*(Assumptions!$Q$5:$Q$10&lt;=$A1301)*(Assumptions!$R$5:$R$10&gt;=$A1301),0)),""))</x:f>
      </x:c>
      <x:c r="M1301" t="n">
        <x:f>--($A1301&lt;&gt;"")</x:f>
        <x:v>1</x:v>
      </x:c>
    </x:row>
    <x:row r="1302">
      <x:c r="A1302" s="10" t="n">
        <x:f>IF(Assumptions!$B$5+INT((ROW()-2)/Assumptions!$B$7)&gt;Assumptions!$B$6,"",Assumptions!$B$5+INT((ROW()-2)/Assumptions!$B$7))</x:f>
        <x:v>46283</x:v>
      </x:c>
      <x:c r="B1302" t="str">
        <x:f>IF($A1302="","",INDEX(Assumptions!$D$5:$D$12,MOD(ROW()-2,Assumptions!$B$7)+1))</x:f>
        <x:v>Acheron Prime</x:v>
      </x:c>
      <x:c r="C1302" s="11" t="n">
        <x:f>IF($A1302="","",INDEX(Assumptions!$F$5:$F$12,MATCH($B1302,Assumptions!$D$5:$D$12,0)))</x:f>
        <x:v>1120</x:v>
      </x:c>
      <x:c r="D1302" s="11" t="n">
        <x:f>IF($A1302="","",INDEX(Assumptions!$G$5:$G$12,MATCH($B1302,Assumptions!$D$5:$D$12,0)))</x:f>
        <x:v>115</x:v>
      </x:c>
      <x:c r="E1302" s="11" t="n">
        <x:f>IF($A1302="","",INDEX(Assumptions!$M$5:$M$11,WEEKDAY($A1302,2)))</x:f>
        <x:v>0.98</x:v>
      </x:c>
      <x:c r="F1302" s="11" t="n">
        <x:f>IF($A1302="","",Assumptions!$B$15)</x:f>
        <x:v>0.35</x:v>
      </x:c>
      <x:c r="G1302" s="11" t="n">
        <x:f>IF($A1302="","",MAX(INDEX(Assumptions!$H$5:$H$12,MATCH($B1302,Assumptions!$D$5:$D$12,0)),MIN(INDEX(Assumptions!$I$5:$I$12,MATCH($B1302,Assumptions!$D$5:$D$12,0)),($C1302+$D1302*SQRT(-2*LN(RAND()))*COS(2*PI()*RAND()))*$E1302*$J1302*$K1302)))</x:f>
        <x:v>1272.978953775261</x:v>
      </x:c>
      <x:c r="H1302" s="11" t="n">
        <x:f>IF($A1302="","",$G1302*$F1302+$C1302*(1-$F1302))</x:f>
        <x:v>1173.5426338213413</x:v>
      </x:c>
      <x:c r="I1302" s="11" t="n">
        <x:f>IF($A1302="","",AVERAGE($H1302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1114.6333147995472</x:v>
      </x:c>
      <x:c r="J1302" s="12" t="n">
        <x:f>IF($A1302="","",1+SUMIFS(Assumptions!$S$5:$S$10,Assumptions!$P$5:$P$10,$B1302,Assumptions!$Q$5:$Q$10,"&lt;="&amp;$A1302,Assumptions!$R$5:$R$10,"&gt;="&amp;$A1302))</x:f>
        <x:v>1</x:v>
      </x:c>
      <x:c r="K1302" s="12" t="n">
        <x:f>IF($A1302="","",1+((($A1302-Assumptions!$B$5)/30)*INDEX(Assumptions!$J$5:$J$12,MATCH($B1302,Assumptions!$D$5:$D$12,0))))</x:f>
        <x:v>1.0173333333333334</x:v>
      </x:c>
      <x:c r="L1302" t="str">
        <x:f>IF($A1302="","",IFERROR(INDEX(Assumptions!$O$5:$O$10,MATCH(1,(Assumptions!$P$5:$P$10=$B1302)*(Assumptions!$Q$5:$Q$10&lt;=$A1302)*(Assumptions!$R$5:$R$10&gt;=$A1302),0)),""))</x:f>
      </x:c>
      <x:c r="M1302" t="n">
        <x:f>--($A1302&lt;&gt;"")</x:f>
        <x:v>1</x:v>
      </x:c>
    </x:row>
    <x:row r="1303">
      <x:c r="A1303" s="10" t="n">
        <x:f>IF(Assumptions!$B$5+INT((ROW()-2)/Assumptions!$B$7)&gt;Assumptions!$B$6,"",Assumptions!$B$5+INT((ROW()-2)/Assumptions!$B$7))</x:f>
        <x:v>46283</x:v>
      </x:c>
      <x:c r="B1303" t="str">
        <x:f>IF($A1303="","",INDEX(Assumptions!$D$5:$D$12,MOD(ROW()-2,Assumptions!$B$7)+1))</x:f>
        <x:v>LV-426 North</x:v>
      </x:c>
      <x:c r="C1303" s="11" t="n">
        <x:f>IF($A1303="","",INDEX(Assumptions!$F$5:$F$12,MATCH($B1303,Assumptions!$D$5:$D$12,0)))</x:f>
        <x:v>930</x:v>
      </x:c>
      <x:c r="D1303" s="11" t="n">
        <x:f>IF($A1303="","",INDEX(Assumptions!$G$5:$G$12,MATCH($B1303,Assumptions!$D$5:$D$12,0)))</x:f>
        <x:v>95</x:v>
      </x:c>
      <x:c r="E1303" s="11" t="n">
        <x:f>IF($A1303="","",INDEX(Assumptions!$M$5:$M$11,WEEKDAY($A1303,2)))</x:f>
        <x:v>0.98</x:v>
      </x:c>
      <x:c r="F1303" s="11" t="n">
        <x:f>IF($A1303="","",Assumptions!$B$15)</x:f>
        <x:v>0.35</x:v>
      </x:c>
      <x:c r="G1303" s="11" t="n">
        <x:f>IF($A1303="","",MAX(INDEX(Assumptions!$H$5:$H$12,MATCH($B1303,Assumptions!$D$5:$D$12,0)),MIN(INDEX(Assumptions!$I$5:$I$12,MATCH($B1303,Assumptions!$D$5:$D$12,0)),($C1303+$D1303*SQRT(-2*LN(RAND()))*COS(2*PI()*RAND()))*$E1303*$J1303*$K1303)))</x:f>
        <x:v>827.9779724389923</x:v>
      </x:c>
      <x:c r="H1303" s="11" t="n">
        <x:f>IF($A1303="","",$G1303*$F1303+$C1303*(1-$F1303))</x:f>
        <x:v>894.2922903536473</x:v>
      </x:c>
      <x:c r="I1303" s="11" t="n">
        <x:f>IF($A1303="","",AVERAGE($H1303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920.3386254749433</x:v>
      </x:c>
      <x:c r="J1303" s="12" t="n">
        <x:f>IF($A1303="","",1+SUMIFS(Assumptions!$S$5:$S$10,Assumptions!$P$5:$P$10,$B1303,Assumptions!$Q$5:$Q$10,"&lt;="&amp;$A1303,Assumptions!$R$5:$R$10,"&gt;="&amp;$A1303))</x:f>
        <x:v>1</x:v>
      </x:c>
      <x:c r="K1303" s="12" t="n">
        <x:f>IF($A1303="","",1+((($A1303-Assumptions!$B$5)/30)*INDEX(Assumptions!$J$5:$J$12,MATCH($B1303,Assumptions!$D$5:$D$12,0))))</x:f>
        <x:v>0.9913333333333333</x:v>
      </x:c>
      <x:c r="L1303" t="str">
        <x:f>IF($A1303="","",IFERROR(INDEX(Assumptions!$O$5:$O$10,MATCH(1,(Assumptions!$P$5:$P$10=$B1303)*(Assumptions!$Q$5:$Q$10&lt;=$A1303)*(Assumptions!$R$5:$R$10&gt;=$A1303),0)),""))</x:f>
      </x:c>
      <x:c r="M1303" t="n">
        <x:f>--($A1303&lt;&gt;"")</x:f>
        <x:v>1</x:v>
      </x:c>
    </x:row>
    <x:row r="1304">
      <x:c r="A1304" s="10" t="n">
        <x:f>IF(Assumptions!$B$5+INT((ROW()-2)/Assumptions!$B$7)&gt;Assumptions!$B$6,"",Assumptions!$B$5+INT((ROW()-2)/Assumptions!$B$7))</x:f>
        <x:v>46283</x:v>
      </x:c>
      <x:c r="B1304" t="str">
        <x:f>IF($A1304="","",INDEX(Assumptions!$D$5:$D$12,MOD(ROW()-2,Assumptions!$B$7)+1))</x:f>
        <x:v>Nostromo Deep</x:v>
      </x:c>
      <x:c r="C1304" s="11" t="n">
        <x:f>IF($A1304="","",INDEX(Assumptions!$F$5:$F$12,MATCH($B1304,Assumptions!$D$5:$D$12,0)))</x:f>
        <x:v>1260</x:v>
      </x:c>
      <x:c r="D1304" s="11" t="n">
        <x:f>IF($A1304="","",INDEX(Assumptions!$G$5:$G$12,MATCH($B1304,Assumptions!$D$5:$D$12,0)))</x:f>
        <x:v>145</x:v>
      </x:c>
      <x:c r="E1304" s="11" t="n">
        <x:f>IF($A1304="","",INDEX(Assumptions!$M$5:$M$11,WEEKDAY($A1304,2)))</x:f>
        <x:v>0.98</x:v>
      </x:c>
      <x:c r="F1304" s="11" t="n">
        <x:f>IF($A1304="","",Assumptions!$B$15)</x:f>
        <x:v>0.35</x:v>
      </x:c>
      <x:c r="G1304" s="11" t="n">
        <x:f>IF($A1304="","",MAX(INDEX(Assumptions!$H$5:$H$12,MATCH($B1304,Assumptions!$D$5:$D$12,0)),MIN(INDEX(Assumptions!$I$5:$I$12,MATCH($B1304,Assumptions!$D$5:$D$12,0)),($C1304+$D1304*SQRT(-2*LN(RAND()))*COS(2*PI()*RAND()))*$E1304*$J1304*$K1304)))</x:f>
        <x:v>1379.4050446278682</x:v>
      </x:c>
      <x:c r="H1304" s="11" t="n">
        <x:f>IF($A1304="","",$G1304*$F1304+$C1304*(1-$F1304))</x:f>
        <x:v>1301.7917656197537</x:v>
      </x:c>
      <x:c r="I1304" s="11" t="n">
        <x:f>IF($A1304="","",AVERAGE($H1304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1265.0659777553622</x:v>
      </x:c>
      <x:c r="J1304" s="12" t="n">
        <x:f>IF($A1304="","",1+SUMIFS(Assumptions!$S$5:$S$10,Assumptions!$P$5:$P$10,$B1304,Assumptions!$Q$5:$Q$10,"&lt;="&amp;$A1304,Assumptions!$R$5:$R$10,"&gt;="&amp;$A1304))</x:f>
        <x:v>1</x:v>
      </x:c>
      <x:c r="K1304" s="12" t="n">
        <x:f>IF($A1304="","",1+((($A1304-Assumptions!$B$5)/30)*INDEX(Assumptions!$J$5:$J$12,MATCH($B1304,Assumptions!$D$5:$D$12,0))))</x:f>
        <x:v>1.026</x:v>
      </x:c>
      <x:c r="L1304" t="str">
        <x:f>IF($A1304="","",IFERROR(INDEX(Assumptions!$O$5:$O$10,MATCH(1,(Assumptions!$P$5:$P$10=$B1304)*(Assumptions!$Q$5:$Q$10&lt;=$A1304)*(Assumptions!$R$5:$R$10&gt;=$A1304),0)),""))</x:f>
      </x:c>
      <x:c r="M1304" t="n">
        <x:f>--($A1304&lt;&gt;"")</x:f>
        <x:v>1</x:v>
      </x:c>
    </x:row>
    <x:row r="1305">
      <x:c r="A1305" s="10" t="n">
        <x:f>IF(Assumptions!$B$5+INT((ROW()-2)/Assumptions!$B$7)&gt;Assumptions!$B$6,"",Assumptions!$B$5+INT((ROW()-2)/Assumptions!$B$7))</x:f>
        <x:v>46283</x:v>
      </x:c>
      <x:c r="B1305" t="str">
        <x:f>IF($A1305="","",INDEX(Assumptions!$D$5:$D$12,MOD(ROW()-2,Assumptions!$B$7)+1))</x:f>
        <x:v>Hadley's Hope</x:v>
      </x:c>
      <x:c r="C1305" s="11" t="n">
        <x:f>IF($A1305="","",INDEX(Assumptions!$F$5:$F$12,MATCH($B1305,Assumptions!$D$5:$D$12,0)))</x:f>
        <x:v>845</x:v>
      </x:c>
      <x:c r="D1305" s="11" t="n">
        <x:f>IF($A1305="","",INDEX(Assumptions!$G$5:$G$12,MATCH($B1305,Assumptions!$D$5:$D$12,0)))</x:f>
        <x:v>80</x:v>
      </x:c>
      <x:c r="E1305" s="11" t="n">
        <x:f>IF($A1305="","",INDEX(Assumptions!$M$5:$M$11,WEEKDAY($A1305,2)))</x:f>
        <x:v>0.98</x:v>
      </x:c>
      <x:c r="F1305" s="11" t="n">
        <x:f>IF($A1305="","",Assumptions!$B$15)</x:f>
        <x:v>0.35</x:v>
      </x:c>
      <x:c r="G1305" s="11" t="n">
        <x:f>IF($A1305="","",MAX(INDEX(Assumptions!$H$5:$H$12,MATCH($B1305,Assumptions!$D$5:$D$12,0)),MIN(INDEX(Assumptions!$I$5:$I$12,MATCH($B1305,Assumptions!$D$5:$D$12,0)),($C1305+$D1305*SQRT(-2*LN(RAND()))*COS(2*PI()*RAND()))*$E1305*$J1305*$K1305)))</x:f>
        <x:v>910.8232593058357</x:v>
      </x:c>
      <x:c r="H1305" s="11" t="n">
        <x:f>IF($A1305="","",$G1305*$F1305+$C1305*(1-$F1305))</x:f>
        <x:v>868.0381407570425</x:v>
      </x:c>
      <x:c r="I1305" s="11" t="n">
        <x:f>IF($A1305="","",AVERAGE($H1305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842.9965373330176</x:v>
      </x:c>
      <x:c r="J1305" s="12" t="n">
        <x:f>IF($A1305="","",1+SUMIFS(Assumptions!$S$5:$S$10,Assumptions!$P$5:$P$10,$B1305,Assumptions!$Q$5:$Q$10,"&lt;="&amp;$A1305,Assumptions!$R$5:$R$10,"&gt;="&amp;$A1305))</x:f>
        <x:v>1</x:v>
      </x:c>
      <x:c r="K1305" s="12" t="n">
        <x:f>IF($A1305="","",1+((($A1305-Assumptions!$B$5)/30)*INDEX(Assumptions!$J$5:$J$12,MATCH($B1305,Assumptions!$D$5:$D$12,0))))</x:f>
        <x:v>1.0086666666666666</x:v>
      </x:c>
      <x:c r="L1305" t="str">
        <x:f>IF($A1305="","",IFERROR(INDEX(Assumptions!$O$5:$O$10,MATCH(1,(Assumptions!$P$5:$P$10=$B1305)*(Assumptions!$Q$5:$Q$10&lt;=$A1305)*(Assumptions!$R$5:$R$10&gt;=$A1305),0)),""))</x:f>
      </x:c>
      <x:c r="M1305" t="n">
        <x:f>--($A1305&lt;&gt;"")</x:f>
        <x:v>1</x:v>
      </x:c>
    </x:row>
    <x:row r="1306">
      <x:c r="A1306" s="10" t="n">
        <x:f>IF(Assumptions!$B$5+INT((ROW()-2)/Assumptions!$B$7)&gt;Assumptions!$B$6,"",Assumptions!$B$5+INT((ROW()-2)/Assumptions!$B$7))</x:f>
        <x:v>46283</x:v>
      </x:c>
      <x:c r="B1306" t="str">
        <x:f>IF($A1306="","",INDEX(Assumptions!$D$5:$D$12,MOD(ROW()-2,Assumptions!$B$7)+1))</x:f>
        <x:v>Yutani Ridge</x:v>
      </x:c>
      <x:c r="C1306" s="11" t="n">
        <x:f>IF($A1306="","",INDEX(Assumptions!$F$5:$F$12,MATCH($B1306,Assumptions!$D$5:$D$12,0)))</x:f>
        <x:v>1050</x:v>
      </x:c>
      <x:c r="D1306" s="11" t="n">
        <x:f>IF($A1306="","",INDEX(Assumptions!$G$5:$G$12,MATCH($B1306,Assumptions!$D$5:$D$12,0)))</x:f>
        <x:v>125</x:v>
      </x:c>
      <x:c r="E1306" s="11" t="n">
        <x:f>IF($A1306="","",INDEX(Assumptions!$M$5:$M$11,WEEKDAY($A1306,2)))</x:f>
        <x:v>0.98</x:v>
      </x:c>
      <x:c r="F1306" s="11" t="n">
        <x:f>IF($A1306="","",Assumptions!$B$15)</x:f>
        <x:v>0.35</x:v>
      </x:c>
      <x:c r="G1306" s="11" t="n">
        <x:f>IF($A1306="","",MAX(INDEX(Assumptions!$H$5:$H$12,MATCH($B1306,Assumptions!$D$5:$D$12,0)),MIN(INDEX(Assumptions!$I$5:$I$12,MATCH($B1306,Assumptions!$D$5:$D$12,0)),($C1306+$D1306*SQRT(-2*LN(RAND()))*COS(2*PI()*RAND()))*$E1306*$J1306*$K1306)))</x:f>
        <x:v>1015.76730691268</x:v>
      </x:c>
      <x:c r="H1306" s="11" t="n">
        <x:f>IF($A1306="","",$G1306*$F1306+$C1306*(1-$F1306))</x:f>
        <x:v>1038.018557419438</x:v>
      </x:c>
      <x:c r="I1306" s="11" t="n">
        <x:f>IF($A1306="","",AVERAGE($H1306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1050.303707401636</x:v>
      </x:c>
      <x:c r="J1306" s="12" t="n">
        <x:f>IF($A1306="","",1+SUMIFS(Assumptions!$S$5:$S$10,Assumptions!$P$5:$P$10,$B1306,Assumptions!$Q$5:$Q$10,"&lt;="&amp;$A1306,Assumptions!$R$5:$R$10,"&gt;="&amp;$A1306))</x:f>
        <x:v>1</x:v>
      </x:c>
      <x:c r="K1306" s="12" t="n">
        <x:f>IF($A1306="","",1+((($A1306-Assumptions!$B$5)/30)*INDEX(Assumptions!$J$5:$J$12,MATCH($B1306,Assumptions!$D$5:$D$12,0))))</x:f>
        <x:v>1.0216666666666667</x:v>
      </x:c>
      <x:c r="L1306" t="str">
        <x:f>IF($A1306="","",IFERROR(INDEX(Assumptions!$O$5:$O$10,MATCH(1,(Assumptions!$P$5:$P$10=$B1306)*(Assumptions!$Q$5:$Q$10&lt;=$A1306)*(Assumptions!$R$5:$R$10&gt;=$A1306),0)),""))</x:f>
      </x:c>
      <x:c r="M1306" t="n">
        <x:f>--($A1306&lt;&gt;"")</x:f>
        <x:v>1</x:v>
      </x:c>
    </x:row>
    <x:row r="1307">
      <x:c r="A1307" s="10" t="n">
        <x:f>IF(Assumptions!$B$5+INT((ROW()-2)/Assumptions!$B$7)&gt;Assumptions!$B$6,"",Assumptions!$B$5+INT((ROW()-2)/Assumptions!$B$7))</x:f>
        <x:v>46284</x:v>
      </x:c>
      <x:c r="B1307" t="str">
        <x:f>IF($A1307="","",INDEX(Assumptions!$D$5:$D$12,MOD(ROW()-2,Assumptions!$B$7)+1))</x:f>
        <x:v>Acheron Prime</x:v>
      </x:c>
      <x:c r="C1307" s="11" t="n">
        <x:f>IF($A1307="","",INDEX(Assumptions!$F$5:$F$12,MATCH($B1307,Assumptions!$D$5:$D$12,0)))</x:f>
        <x:v>1120</x:v>
      </x:c>
      <x:c r="D1307" s="11" t="n">
        <x:f>IF($A1307="","",INDEX(Assumptions!$G$5:$G$12,MATCH($B1307,Assumptions!$D$5:$D$12,0)))</x:f>
        <x:v>115</x:v>
      </x:c>
      <x:c r="E1307" s="11" t="n">
        <x:f>IF($A1307="","",INDEX(Assumptions!$M$5:$M$11,WEEKDAY($A1307,2)))</x:f>
        <x:v>0.91</x:v>
      </x:c>
      <x:c r="F1307" s="11" t="n">
        <x:f>IF($A1307="","",Assumptions!$B$15)</x:f>
        <x:v>0.35</x:v>
      </x:c>
      <x:c r="G1307" s="11" t="n">
        <x:f>IF($A1307="","",MAX(INDEX(Assumptions!$H$5:$H$12,MATCH($B1307,Assumptions!$D$5:$D$12,0)),MIN(INDEX(Assumptions!$I$5:$I$12,MATCH($B1307,Assumptions!$D$5:$D$12,0)),($C1307+$D1307*SQRT(-2*LN(RAND()))*COS(2*PI()*RAND()))*$E1307*$J1307*$K1307)))</x:f>
        <x:v>1022.4419322660951</x:v>
      </x:c>
      <x:c r="H1307" s="11" t="n">
        <x:f>IF($A1307="","",$G1307*$F1307+$C1307*(1-$F1307))</x:f>
        <x:v>1085.8546762931333</x:v>
      </x:c>
      <x:c r="I1307" s="11" t="n">
        <x:f>IF($A1307="","",AVERAGE($H1307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1114.7646685262603</x:v>
      </x:c>
      <x:c r="J1307" s="12" t="n">
        <x:f>IF($A1307="","",1+SUMIFS(Assumptions!$S$5:$S$10,Assumptions!$P$5:$P$10,$B1307,Assumptions!$Q$5:$Q$10,"&lt;="&amp;$A1307,Assumptions!$R$5:$R$10,"&gt;="&amp;$A1307))</x:f>
        <x:v>1</x:v>
      </x:c>
      <x:c r="K1307" s="12" t="n">
        <x:f>IF($A1307="","",1+((($A1307-Assumptions!$B$5)/30)*INDEX(Assumptions!$J$5:$J$12,MATCH($B1307,Assumptions!$D$5:$D$12,0))))</x:f>
        <x:v>1.0174</x:v>
      </x:c>
      <x:c r="L1307" t="str">
        <x:f>IF($A1307="","",IFERROR(INDEX(Assumptions!$O$5:$O$10,MATCH(1,(Assumptions!$P$5:$P$10=$B1307)*(Assumptions!$Q$5:$Q$10&lt;=$A1307)*(Assumptions!$R$5:$R$10&gt;=$A1307),0)),""))</x:f>
      </x:c>
      <x:c r="M1307" t="n">
        <x:f>--($A1307&lt;&gt;"")</x:f>
        <x:v>1</x:v>
      </x:c>
    </x:row>
    <x:row r="1308">
      <x:c r="A1308" s="10" t="n">
        <x:f>IF(Assumptions!$B$5+INT((ROW()-2)/Assumptions!$B$7)&gt;Assumptions!$B$6,"",Assumptions!$B$5+INT((ROW()-2)/Assumptions!$B$7))</x:f>
        <x:v>46284</x:v>
      </x:c>
      <x:c r="B1308" t="str">
        <x:f>IF($A1308="","",INDEX(Assumptions!$D$5:$D$12,MOD(ROW()-2,Assumptions!$B$7)+1))</x:f>
        <x:v>LV-426 North</x:v>
      </x:c>
      <x:c r="C1308" s="11" t="n">
        <x:f>IF($A1308="","",INDEX(Assumptions!$F$5:$F$12,MATCH($B1308,Assumptions!$D$5:$D$12,0)))</x:f>
        <x:v>930</x:v>
      </x:c>
      <x:c r="D1308" s="11" t="n">
        <x:f>IF($A1308="","",INDEX(Assumptions!$G$5:$G$12,MATCH($B1308,Assumptions!$D$5:$D$12,0)))</x:f>
        <x:v>95</x:v>
      </x:c>
      <x:c r="E1308" s="11" t="n">
        <x:f>IF($A1308="","",INDEX(Assumptions!$M$5:$M$11,WEEKDAY($A1308,2)))</x:f>
        <x:v>0.91</x:v>
      </x:c>
      <x:c r="F1308" s="11" t="n">
        <x:f>IF($A1308="","",Assumptions!$B$15)</x:f>
        <x:v>0.35</x:v>
      </x:c>
      <x:c r="G1308" s="11" t="n">
        <x:f>IF($A1308="","",MAX(INDEX(Assumptions!$H$5:$H$12,MATCH($B1308,Assumptions!$D$5:$D$12,0)),MIN(INDEX(Assumptions!$I$5:$I$12,MATCH($B1308,Assumptions!$D$5:$D$12,0)),($C1308+$D1308*SQRT(-2*LN(RAND()))*COS(2*PI()*RAND()))*$E1308*$J1308*$K1308)))</x:f>
        <x:v>696.9818272223905</x:v>
      </x:c>
      <x:c r="H1308" s="11" t="n">
        <x:f>IF($A1308="","",$G1308*$F1308+$C1308*(1-$F1308))</x:f>
        <x:v>848.4436395278367</x:v>
      </x:c>
      <x:c r="I1308" s="11" t="n">
        <x:f>IF($A1308="","",AVERAGE($H1308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913.1265065516538</x:v>
      </x:c>
      <x:c r="J1308" s="12" t="n">
        <x:f>IF($A1308="","",1+SUMIFS(Assumptions!$S$5:$S$10,Assumptions!$P$5:$P$10,$B1308,Assumptions!$Q$5:$Q$10,"&lt;="&amp;$A1308,Assumptions!$R$5:$R$10,"&gt;="&amp;$A1308))</x:f>
        <x:v>1</x:v>
      </x:c>
      <x:c r="K1308" s="12" t="n">
        <x:f>IF($A1308="","",1+((($A1308-Assumptions!$B$5)/30)*INDEX(Assumptions!$J$5:$J$12,MATCH($B1308,Assumptions!$D$5:$D$12,0))))</x:f>
        <x:v>0.9913</x:v>
      </x:c>
      <x:c r="L1308" t="str">
        <x:f>IF($A1308="","",IFERROR(INDEX(Assumptions!$O$5:$O$10,MATCH(1,(Assumptions!$P$5:$P$10=$B1308)*(Assumptions!$Q$5:$Q$10&lt;=$A1308)*(Assumptions!$R$5:$R$10&gt;=$A1308),0)),""))</x:f>
      </x:c>
      <x:c r="M1308" t="n">
        <x:f>--($A1308&lt;&gt;"")</x:f>
        <x:v>1</x:v>
      </x:c>
    </x:row>
    <x:row r="1309">
      <x:c r="A1309" s="10" t="n">
        <x:f>IF(Assumptions!$B$5+INT((ROW()-2)/Assumptions!$B$7)&gt;Assumptions!$B$6,"",Assumptions!$B$5+INT((ROW()-2)/Assumptions!$B$7))</x:f>
        <x:v>46284</x:v>
      </x:c>
      <x:c r="B1309" t="str">
        <x:f>IF($A1309="","",INDEX(Assumptions!$D$5:$D$12,MOD(ROW()-2,Assumptions!$B$7)+1))</x:f>
        <x:v>Nostromo Deep</x:v>
      </x:c>
      <x:c r="C1309" s="11" t="n">
        <x:f>IF($A1309="","",INDEX(Assumptions!$F$5:$F$12,MATCH($B1309,Assumptions!$D$5:$D$12,0)))</x:f>
        <x:v>1260</x:v>
      </x:c>
      <x:c r="D1309" s="11" t="n">
        <x:f>IF($A1309="","",INDEX(Assumptions!$G$5:$G$12,MATCH($B1309,Assumptions!$D$5:$D$12,0)))</x:f>
        <x:v>145</x:v>
      </x:c>
      <x:c r="E1309" s="11" t="n">
        <x:f>IF($A1309="","",INDEX(Assumptions!$M$5:$M$11,WEEKDAY($A1309,2)))</x:f>
        <x:v>0.91</x:v>
      </x:c>
      <x:c r="F1309" s="11" t="n">
        <x:f>IF($A1309="","",Assumptions!$B$15)</x:f>
        <x:v>0.35</x:v>
      </x:c>
      <x:c r="G1309" s="11" t="n">
        <x:f>IF($A1309="","",MAX(INDEX(Assumptions!$H$5:$H$12,MATCH($B1309,Assumptions!$D$5:$D$12,0)),MIN(INDEX(Assumptions!$I$5:$I$12,MATCH($B1309,Assumptions!$D$5:$D$12,0)),($C1309+$D1309*SQRT(-2*LN(RAND()))*COS(2*PI()*RAND()))*$E1309*$J1309*$K1309)))</x:f>
        <x:v>1253.7836592634092</x:v>
      </x:c>
      <x:c r="H1309" s="11" t="n">
        <x:f>IF($A1309="","",$G1309*$F1309+$C1309*(1-$F1309))</x:f>
        <x:v>1257.8242807421932</x:v>
      </x:c>
      <x:c r="I1309" s="11" t="n">
        <x:f>IF($A1309="","",AVERAGE($H1309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1272.1830189678856</x:v>
      </x:c>
      <x:c r="J1309" s="12" t="n">
        <x:f>IF($A1309="","",1+SUMIFS(Assumptions!$S$5:$S$10,Assumptions!$P$5:$P$10,$B1309,Assumptions!$Q$5:$Q$10,"&lt;="&amp;$A1309,Assumptions!$R$5:$R$10,"&gt;="&amp;$A1309))</x:f>
        <x:v>1</x:v>
      </x:c>
      <x:c r="K1309" s="12" t="n">
        <x:f>IF($A1309="","",1+((($A1309-Assumptions!$B$5)/30)*INDEX(Assumptions!$J$5:$J$12,MATCH($B1309,Assumptions!$D$5:$D$12,0))))</x:f>
        <x:v>1.0261</x:v>
      </x:c>
      <x:c r="L1309" t="str">
        <x:f>IF($A1309="","",IFERROR(INDEX(Assumptions!$O$5:$O$10,MATCH(1,(Assumptions!$P$5:$P$10=$B1309)*(Assumptions!$Q$5:$Q$10&lt;=$A1309)*(Assumptions!$R$5:$R$10&gt;=$A1309),0)),""))</x:f>
      </x:c>
      <x:c r="M1309" t="n">
        <x:f>--($A1309&lt;&gt;"")</x:f>
        <x:v>1</x:v>
      </x:c>
    </x:row>
    <x:row r="1310">
      <x:c r="A1310" s="10" t="n">
        <x:f>IF(Assumptions!$B$5+INT((ROW()-2)/Assumptions!$B$7)&gt;Assumptions!$B$6,"",Assumptions!$B$5+INT((ROW()-2)/Assumptions!$B$7))</x:f>
        <x:v>46284</x:v>
      </x:c>
      <x:c r="B1310" t="str">
        <x:f>IF($A1310="","",INDEX(Assumptions!$D$5:$D$12,MOD(ROW()-2,Assumptions!$B$7)+1))</x:f>
        <x:v>Hadley's Hope</x:v>
      </x:c>
      <x:c r="C1310" s="11" t="n">
        <x:f>IF($A1310="","",INDEX(Assumptions!$F$5:$F$12,MATCH($B1310,Assumptions!$D$5:$D$12,0)))</x:f>
        <x:v>845</x:v>
      </x:c>
      <x:c r="D1310" s="11" t="n">
        <x:f>IF($A1310="","",INDEX(Assumptions!$G$5:$G$12,MATCH($B1310,Assumptions!$D$5:$D$12,0)))</x:f>
        <x:v>80</x:v>
      </x:c>
      <x:c r="E1310" s="11" t="n">
        <x:f>IF($A1310="","",INDEX(Assumptions!$M$5:$M$11,WEEKDAY($A1310,2)))</x:f>
        <x:v>0.91</x:v>
      </x:c>
      <x:c r="F1310" s="11" t="n">
        <x:f>IF($A1310="","",Assumptions!$B$15)</x:f>
        <x:v>0.35</x:v>
      </x:c>
      <x:c r="G1310" s="11" t="n">
        <x:f>IF($A1310="","",MAX(INDEX(Assumptions!$H$5:$H$12,MATCH($B1310,Assumptions!$D$5:$D$12,0)),MIN(INDEX(Assumptions!$I$5:$I$12,MATCH($B1310,Assumptions!$D$5:$D$12,0)),($C1310+$D1310*SQRT(-2*LN(RAND()))*COS(2*PI()*RAND()))*$E1310*$J1310*$K1310)))</x:f>
        <x:v>878.6211234515204</x:v>
      </x:c>
      <x:c r="H1310" s="11" t="n">
        <x:f>IF($A1310="","",$G1310*$F1310+$C1310*(1-$F1310))</x:f>
        <x:v>856.7673932080321</x:v>
      </x:c>
      <x:c r="I1310" s="11" t="n">
        <x:f>IF($A1310="","",AVERAGE($H1310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857.4275935055937</x:v>
      </x:c>
      <x:c r="J1310" s="12" t="n">
        <x:f>IF($A1310="","",1+SUMIFS(Assumptions!$S$5:$S$10,Assumptions!$P$5:$P$10,$B1310,Assumptions!$Q$5:$Q$10,"&lt;="&amp;$A1310,Assumptions!$R$5:$R$10,"&gt;="&amp;$A1310))</x:f>
        <x:v>1</x:v>
      </x:c>
      <x:c r="K1310" s="12" t="n">
        <x:f>IF($A1310="","",1+((($A1310-Assumptions!$B$5)/30)*INDEX(Assumptions!$J$5:$J$12,MATCH($B1310,Assumptions!$D$5:$D$12,0))))</x:f>
        <x:v>1.0087</x:v>
      </x:c>
      <x:c r="L1310" t="str">
        <x:f>IF($A1310="","",IFERROR(INDEX(Assumptions!$O$5:$O$10,MATCH(1,(Assumptions!$P$5:$P$10=$B1310)*(Assumptions!$Q$5:$Q$10&lt;=$A1310)*(Assumptions!$R$5:$R$10&gt;=$A1310),0)),""))</x:f>
      </x:c>
      <x:c r="M1310" t="n">
        <x:f>--($A1310&lt;&gt;"")</x:f>
        <x:v>1</x:v>
      </x:c>
    </x:row>
    <x:row r="1311">
      <x:c r="A1311" s="10" t="n">
        <x:f>IF(Assumptions!$B$5+INT((ROW()-2)/Assumptions!$B$7)&gt;Assumptions!$B$6,"",Assumptions!$B$5+INT((ROW()-2)/Assumptions!$B$7))</x:f>
        <x:v>46284</x:v>
      </x:c>
      <x:c r="B1311" t="str">
        <x:f>IF($A1311="","",INDEX(Assumptions!$D$5:$D$12,MOD(ROW()-2,Assumptions!$B$7)+1))</x:f>
        <x:v>Yutani Ridge</x:v>
      </x:c>
      <x:c r="C1311" s="11" t="n">
        <x:f>IF($A1311="","",INDEX(Assumptions!$F$5:$F$12,MATCH($B1311,Assumptions!$D$5:$D$12,0)))</x:f>
        <x:v>1050</x:v>
      </x:c>
      <x:c r="D1311" s="11" t="n">
        <x:f>IF($A1311="","",INDEX(Assumptions!$G$5:$G$12,MATCH($B1311,Assumptions!$D$5:$D$12,0)))</x:f>
        <x:v>125</x:v>
      </x:c>
      <x:c r="E1311" s="11" t="n">
        <x:f>IF($A1311="","",INDEX(Assumptions!$M$5:$M$11,WEEKDAY($A1311,2)))</x:f>
        <x:v>0.91</x:v>
      </x:c>
      <x:c r="F1311" s="11" t="n">
        <x:f>IF($A1311="","",Assumptions!$B$15)</x:f>
        <x:v>0.35</x:v>
      </x:c>
      <x:c r="G1311" s="11" t="n">
        <x:f>IF($A1311="","",MAX(INDEX(Assumptions!$H$5:$H$12,MATCH($B1311,Assumptions!$D$5:$D$12,0)),MIN(INDEX(Assumptions!$I$5:$I$12,MATCH($B1311,Assumptions!$D$5:$D$12,0)),($C1311+$D1311*SQRT(-2*LN(RAND()))*COS(2*PI()*RAND()))*$E1311*$J1311*$K1311)))</x:f>
        <x:v>921.9646516579506</x:v>
      </x:c>
      <x:c r="H1311" s="11" t="n">
        <x:f>IF($A1311="","",$G1311*$F1311+$C1311*(1-$F1311))</x:f>
        <x:v>1005.1876280802827</x:v>
      </x:c>
      <x:c r="I1311" s="11" t="n">
        <x:f>IF($A1311="","",AVERAGE($H1311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1035.4780277758482</x:v>
      </x:c>
      <x:c r="J1311" s="12" t="n">
        <x:f>IF($A1311="","",1+SUMIFS(Assumptions!$S$5:$S$10,Assumptions!$P$5:$P$10,$B1311,Assumptions!$Q$5:$Q$10,"&lt;="&amp;$A1311,Assumptions!$R$5:$R$10,"&gt;="&amp;$A1311))</x:f>
        <x:v>1</x:v>
      </x:c>
      <x:c r="K1311" s="12" t="n">
        <x:f>IF($A1311="","",1+((($A1311-Assumptions!$B$5)/30)*INDEX(Assumptions!$J$5:$J$12,MATCH($B1311,Assumptions!$D$5:$D$12,0))))</x:f>
        <x:v>1.02175</x:v>
      </x:c>
      <x:c r="L1311" t="str">
        <x:f>IF($A1311="","",IFERROR(INDEX(Assumptions!$O$5:$O$10,MATCH(1,(Assumptions!$P$5:$P$10=$B1311)*(Assumptions!$Q$5:$Q$10&lt;=$A1311)*(Assumptions!$R$5:$R$10&gt;=$A1311),0)),""))</x:f>
      </x:c>
      <x:c r="M1311" t="n">
        <x:f>--($A1311&lt;&gt;"")</x:f>
        <x:v>1</x:v>
      </x:c>
    </x:row>
    <x:row r="1312">
      <x:c r="A1312" s="10" t="n">
        <x:f>IF(Assumptions!$B$5+INT((ROW()-2)/Assumptions!$B$7)&gt;Assumptions!$B$6,"",Assumptions!$B$5+INT((ROW()-2)/Assumptions!$B$7))</x:f>
        <x:v>46285</x:v>
      </x:c>
      <x:c r="B1312" t="str">
        <x:f>IF($A1312="","",INDEX(Assumptions!$D$5:$D$12,MOD(ROW()-2,Assumptions!$B$7)+1))</x:f>
        <x:v>Acheron Prime</x:v>
      </x:c>
      <x:c r="C1312" s="11" t="n">
        <x:f>IF($A1312="","",INDEX(Assumptions!$F$5:$F$12,MATCH($B1312,Assumptions!$D$5:$D$12,0)))</x:f>
        <x:v>1120</x:v>
      </x:c>
      <x:c r="D1312" s="11" t="n">
        <x:f>IF($A1312="","",INDEX(Assumptions!$G$5:$G$12,MATCH($B1312,Assumptions!$D$5:$D$12,0)))</x:f>
        <x:v>115</x:v>
      </x:c>
      <x:c r="E1312" s="11" t="n">
        <x:f>IF($A1312="","",INDEX(Assumptions!$M$5:$M$11,WEEKDAY($A1312,2)))</x:f>
        <x:v>0.87</x:v>
      </x:c>
      <x:c r="F1312" s="11" t="n">
        <x:f>IF($A1312="","",Assumptions!$B$15)</x:f>
        <x:v>0.35</x:v>
      </x:c>
      <x:c r="G1312" s="11" t="n">
        <x:f>IF($A1312="","",MAX(INDEX(Assumptions!$H$5:$H$12,MATCH($B1312,Assumptions!$D$5:$D$12,0)),MIN(INDEX(Assumptions!$I$5:$I$12,MATCH($B1312,Assumptions!$D$5:$D$12,0)),($C1312+$D1312*SQRT(-2*LN(RAND()))*COS(2*PI()*RAND()))*$E1312*$J1312*$K1312)))</x:f>
        <x:v>1011.0894799148855</x:v>
      </x:c>
      <x:c r="H1312" s="11" t="n">
        <x:f>IF($A1312="","",$G1312*$F1312+$C1312*(1-$F1312))</x:f>
        <x:v>1081.88131797021</x:v>
      </x:c>
      <x:c r="I1312" s="11" t="n">
        <x:f>IF($A1312="","",AVERAGE($H1312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1105.481022394297</x:v>
      </x:c>
      <x:c r="J1312" s="12" t="n">
        <x:f>IF($A1312="","",1+SUMIFS(Assumptions!$S$5:$S$10,Assumptions!$P$5:$P$10,$B1312,Assumptions!$Q$5:$Q$10,"&lt;="&amp;$A1312,Assumptions!$R$5:$R$10,"&gt;="&amp;$A1312))</x:f>
        <x:v>1</x:v>
      </x:c>
      <x:c r="K1312" s="12" t="n">
        <x:f>IF($A1312="","",1+((($A1312-Assumptions!$B$5)/30)*INDEX(Assumptions!$J$5:$J$12,MATCH($B1312,Assumptions!$D$5:$D$12,0))))</x:f>
        <x:v>1.0174666666666667</x:v>
      </x:c>
      <x:c r="L1312" t="str">
        <x:f>IF($A1312="","",IFERROR(INDEX(Assumptions!$O$5:$O$10,MATCH(1,(Assumptions!$P$5:$P$10=$B1312)*(Assumptions!$Q$5:$Q$10&lt;=$A1312)*(Assumptions!$R$5:$R$10&gt;=$A1312),0)),""))</x:f>
      </x:c>
      <x:c r="M1312" t="n">
        <x:f>--($A1312&lt;&gt;"")</x:f>
        <x:v>1</x:v>
      </x:c>
    </x:row>
    <x:row r="1313">
      <x:c r="A1313" s="10" t="n">
        <x:f>IF(Assumptions!$B$5+INT((ROW()-2)/Assumptions!$B$7)&gt;Assumptions!$B$6,"",Assumptions!$B$5+INT((ROW()-2)/Assumptions!$B$7))</x:f>
        <x:v>46285</x:v>
      </x:c>
      <x:c r="B1313" t="str">
        <x:f>IF($A1313="","",INDEX(Assumptions!$D$5:$D$12,MOD(ROW()-2,Assumptions!$B$7)+1))</x:f>
        <x:v>LV-426 North</x:v>
      </x:c>
      <x:c r="C1313" s="11" t="n">
        <x:f>IF($A1313="","",INDEX(Assumptions!$F$5:$F$12,MATCH($B1313,Assumptions!$D$5:$D$12,0)))</x:f>
        <x:v>930</x:v>
      </x:c>
      <x:c r="D1313" s="11" t="n">
        <x:f>IF($A1313="","",INDEX(Assumptions!$G$5:$G$12,MATCH($B1313,Assumptions!$D$5:$D$12,0)))</x:f>
        <x:v>95</x:v>
      </x:c>
      <x:c r="E1313" s="11" t="n">
        <x:f>IF($A1313="","",INDEX(Assumptions!$M$5:$M$11,WEEKDAY($A1313,2)))</x:f>
        <x:v>0.87</x:v>
      </x:c>
      <x:c r="F1313" s="11" t="n">
        <x:f>IF($A1313="","",Assumptions!$B$15)</x:f>
        <x:v>0.35</x:v>
      </x:c>
      <x:c r="G1313" s="11" t="n">
        <x:f>IF($A1313="","",MAX(INDEX(Assumptions!$H$5:$H$12,MATCH($B1313,Assumptions!$D$5:$D$12,0)),MIN(INDEX(Assumptions!$I$5:$I$12,MATCH($B1313,Assumptions!$D$5:$D$12,0)),($C1313+$D1313*SQRT(-2*LN(RAND()))*COS(2*PI()*RAND()))*$E1313*$J1313*$K1313)))</x:f>
        <x:v>653.7193902189723</x:v>
      </x:c>
      <x:c r="H1313" s="11" t="n">
        <x:f>IF($A1313="","",$G1313*$F1313+$C1313*(1-$F1313))</x:f>
        <x:v>833.3017865766403</x:v>
      </x:c>
      <x:c r="I1313" s="11" t="n">
        <x:f>IF($A1313="","",AVERAGE($H1313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902.3378165171498</x:v>
      </x:c>
      <x:c r="J1313" s="12" t="n">
        <x:f>IF($A1313="","",1+SUMIFS(Assumptions!$S$5:$S$10,Assumptions!$P$5:$P$10,$B1313,Assumptions!$Q$5:$Q$10,"&lt;="&amp;$A1313,Assumptions!$R$5:$R$10,"&gt;="&amp;$A1313))</x:f>
        <x:v>1</x:v>
      </x:c>
      <x:c r="K1313" s="12" t="n">
        <x:f>IF($A1313="","",1+((($A1313-Assumptions!$B$5)/30)*INDEX(Assumptions!$J$5:$J$12,MATCH($B1313,Assumptions!$D$5:$D$12,0))))</x:f>
        <x:v>0.9912666666666666</x:v>
      </x:c>
      <x:c r="L1313" t="str">
        <x:f>IF($A1313="","",IFERROR(INDEX(Assumptions!$O$5:$O$10,MATCH(1,(Assumptions!$P$5:$P$10=$B1313)*(Assumptions!$Q$5:$Q$10&lt;=$A1313)*(Assumptions!$R$5:$R$10&gt;=$A1313),0)),""))</x:f>
      </x:c>
      <x:c r="M1313" t="n">
        <x:f>--($A1313&lt;&gt;"")</x:f>
        <x:v>1</x:v>
      </x:c>
    </x:row>
    <x:row r="1314">
      <x:c r="A1314" s="10" t="n">
        <x:f>IF(Assumptions!$B$5+INT((ROW()-2)/Assumptions!$B$7)&gt;Assumptions!$B$6,"",Assumptions!$B$5+INT((ROW()-2)/Assumptions!$B$7))</x:f>
        <x:v>46285</x:v>
      </x:c>
      <x:c r="B1314" t="str">
        <x:f>IF($A1314="","",INDEX(Assumptions!$D$5:$D$12,MOD(ROW()-2,Assumptions!$B$7)+1))</x:f>
        <x:v>Nostromo Deep</x:v>
      </x:c>
      <x:c r="C1314" s="11" t="n">
        <x:f>IF($A1314="","",INDEX(Assumptions!$F$5:$F$12,MATCH($B1314,Assumptions!$D$5:$D$12,0)))</x:f>
        <x:v>1260</x:v>
      </x:c>
      <x:c r="D1314" s="11" t="n">
        <x:f>IF($A1314="","",INDEX(Assumptions!$G$5:$G$12,MATCH($B1314,Assumptions!$D$5:$D$12,0)))</x:f>
        <x:v>145</x:v>
      </x:c>
      <x:c r="E1314" s="11" t="n">
        <x:f>IF($A1314="","",INDEX(Assumptions!$M$5:$M$11,WEEKDAY($A1314,2)))</x:f>
        <x:v>0.87</x:v>
      </x:c>
      <x:c r="F1314" s="11" t="n">
        <x:f>IF($A1314="","",Assumptions!$B$15)</x:f>
        <x:v>0.35</x:v>
      </x:c>
      <x:c r="G1314" s="11" t="n">
        <x:f>IF($A1314="","",MAX(INDEX(Assumptions!$H$5:$H$12,MATCH($B1314,Assumptions!$D$5:$D$12,0)),MIN(INDEX(Assumptions!$I$5:$I$12,MATCH($B1314,Assumptions!$D$5:$D$12,0)),($C1314+$D1314*SQRT(-2*LN(RAND()))*COS(2*PI()*RAND()))*$E1314*$J1314*$K1314)))</x:f>
        <x:v>1217.2329845843644</x:v>
      </x:c>
      <x:c r="H1314" s="11" t="n">
        <x:f>IF($A1314="","",$G1314*$F1314+$C1314*(1-$F1314))</x:f>
        <x:v>1245.0315446045274</x:v>
      </x:c>
      <x:c r="I1314" s="11" t="n">
        <x:f>IF($A1314="","",AVERAGE($H1314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1282.1336227005665</x:v>
      </x:c>
      <x:c r="J1314" s="12" t="n">
        <x:f>IF($A1314="","",1+SUMIFS(Assumptions!$S$5:$S$10,Assumptions!$P$5:$P$10,$B1314,Assumptions!$Q$5:$Q$10,"&lt;="&amp;$A1314,Assumptions!$R$5:$R$10,"&gt;="&amp;$A1314))</x:f>
        <x:v>1</x:v>
      </x:c>
      <x:c r="K1314" s="12" t="n">
        <x:f>IF($A1314="","",1+((($A1314-Assumptions!$B$5)/30)*INDEX(Assumptions!$J$5:$J$12,MATCH($B1314,Assumptions!$D$5:$D$12,0))))</x:f>
        <x:v>1.0262</x:v>
      </x:c>
      <x:c r="L1314" t="str">
        <x:f>IF($A1314="","",IFERROR(INDEX(Assumptions!$O$5:$O$10,MATCH(1,(Assumptions!$P$5:$P$10=$B1314)*(Assumptions!$Q$5:$Q$10&lt;=$A1314)*(Assumptions!$R$5:$R$10&gt;=$A1314),0)),""))</x:f>
      </x:c>
      <x:c r="M1314" t="n">
        <x:f>--($A1314&lt;&gt;"")</x:f>
        <x:v>1</x:v>
      </x:c>
    </x:row>
    <x:row r="1315">
      <x:c r="A1315" s="10" t="n">
        <x:f>IF(Assumptions!$B$5+INT((ROW()-2)/Assumptions!$B$7)&gt;Assumptions!$B$6,"",Assumptions!$B$5+INT((ROW()-2)/Assumptions!$B$7))</x:f>
        <x:v>46285</x:v>
      </x:c>
      <x:c r="B1315" t="str">
        <x:f>IF($A1315="","",INDEX(Assumptions!$D$5:$D$12,MOD(ROW()-2,Assumptions!$B$7)+1))</x:f>
        <x:v>Hadley's Hope</x:v>
      </x:c>
      <x:c r="C1315" s="11" t="n">
        <x:f>IF($A1315="","",INDEX(Assumptions!$F$5:$F$12,MATCH($B1315,Assumptions!$D$5:$D$12,0)))</x:f>
        <x:v>845</x:v>
      </x:c>
      <x:c r="D1315" s="11" t="n">
        <x:f>IF($A1315="","",INDEX(Assumptions!$G$5:$G$12,MATCH($B1315,Assumptions!$D$5:$D$12,0)))</x:f>
        <x:v>80</x:v>
      </x:c>
      <x:c r="E1315" s="11" t="n">
        <x:f>IF($A1315="","",INDEX(Assumptions!$M$5:$M$11,WEEKDAY($A1315,2)))</x:f>
        <x:v>0.87</x:v>
      </x:c>
      <x:c r="F1315" s="11" t="n">
        <x:f>IF($A1315="","",Assumptions!$B$15)</x:f>
        <x:v>0.35</x:v>
      </x:c>
      <x:c r="G1315" s="11" t="n">
        <x:f>IF($A1315="","",MAX(INDEX(Assumptions!$H$5:$H$12,MATCH($B1315,Assumptions!$D$5:$D$12,0)),MIN(INDEX(Assumptions!$I$5:$I$12,MATCH($B1315,Assumptions!$D$5:$D$12,0)),($C1315+$D1315*SQRT(-2*LN(RAND()))*COS(2*PI()*RAND()))*$E1315*$J1315*$K1315)))</x:f>
        <x:v>837.137897909312</x:v>
      </x:c>
      <x:c r="H1315" s="11" t="n">
        <x:f>IF($A1315="","",$G1315*$F1315+$C1315*(1-$F1315))</x:f>
        <x:v>842.2482642682592</x:v>
      </x:c>
      <x:c r="I1315" s="11" t="n">
        <x:f>IF($A1315="","",AVERAGE($H1315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856.7991724759697</x:v>
      </x:c>
      <x:c r="J1315" s="12" t="n">
        <x:f>IF($A1315="","",1+SUMIFS(Assumptions!$S$5:$S$10,Assumptions!$P$5:$P$10,$B1315,Assumptions!$Q$5:$Q$10,"&lt;="&amp;$A1315,Assumptions!$R$5:$R$10,"&gt;="&amp;$A1315))</x:f>
        <x:v>1</x:v>
      </x:c>
      <x:c r="K1315" s="12" t="n">
        <x:f>IF($A1315="","",1+((($A1315-Assumptions!$B$5)/30)*INDEX(Assumptions!$J$5:$J$12,MATCH($B1315,Assumptions!$D$5:$D$12,0))))</x:f>
        <x:v>1.0087333333333333</x:v>
      </x:c>
      <x:c r="L1315" t="str">
        <x:f>IF($A1315="","",IFERROR(INDEX(Assumptions!$O$5:$O$10,MATCH(1,(Assumptions!$P$5:$P$10=$B1315)*(Assumptions!$Q$5:$Q$10&lt;=$A1315)*(Assumptions!$R$5:$R$10&gt;=$A1315),0)),""))</x:f>
      </x:c>
      <x:c r="M1315" t="n">
        <x:f>--($A1315&lt;&gt;"")</x:f>
        <x:v>1</x:v>
      </x:c>
    </x:row>
    <x:row r="1316">
      <x:c r="A1316" s="10" t="n">
        <x:f>IF(Assumptions!$B$5+INT((ROW()-2)/Assumptions!$B$7)&gt;Assumptions!$B$6,"",Assumptions!$B$5+INT((ROW()-2)/Assumptions!$B$7))</x:f>
        <x:v>46285</x:v>
      </x:c>
      <x:c r="B1316" t="str">
        <x:f>IF($A1316="","",INDEX(Assumptions!$D$5:$D$12,MOD(ROW()-2,Assumptions!$B$7)+1))</x:f>
        <x:v>Yutani Ridge</x:v>
      </x:c>
      <x:c r="C1316" s="11" t="n">
        <x:f>IF($A1316="","",INDEX(Assumptions!$F$5:$F$12,MATCH($B1316,Assumptions!$D$5:$D$12,0)))</x:f>
        <x:v>1050</x:v>
      </x:c>
      <x:c r="D1316" s="11" t="n">
        <x:f>IF($A1316="","",INDEX(Assumptions!$G$5:$G$12,MATCH($B1316,Assumptions!$D$5:$D$12,0)))</x:f>
        <x:v>125</x:v>
      </x:c>
      <x:c r="E1316" s="11" t="n">
        <x:f>IF($A1316="","",INDEX(Assumptions!$M$5:$M$11,WEEKDAY($A1316,2)))</x:f>
        <x:v>0.87</x:v>
      </x:c>
      <x:c r="F1316" s="11" t="n">
        <x:f>IF($A1316="","",Assumptions!$B$15)</x:f>
        <x:v>0.35</x:v>
      </x:c>
      <x:c r="G1316" s="11" t="n">
        <x:f>IF($A1316="","",MAX(INDEX(Assumptions!$H$5:$H$12,MATCH($B1316,Assumptions!$D$5:$D$12,0)),MIN(INDEX(Assumptions!$I$5:$I$12,MATCH($B1316,Assumptions!$D$5:$D$12,0)),($C1316+$D1316*SQRT(-2*LN(RAND()))*COS(2*PI()*RAND()))*$E1316*$J1316*$K1316)))</x:f>
        <x:v>961.7252382576987</x:v>
      </x:c>
      <x:c r="H1316" s="11" t="n">
        <x:f>IF($A1316="","",$G1316*$F1316+$C1316*(1-$F1316))</x:f>
        <x:v>1019.1038333901945</x:v>
      </x:c>
      <x:c r="I1316" s="11" t="n">
        <x:f>IF($A1316="","",AVERAGE($H1316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1042.9510461223106</x:v>
      </x:c>
      <x:c r="J1316" s="12" t="n">
        <x:f>IF($A1316="","",1+SUMIFS(Assumptions!$S$5:$S$10,Assumptions!$P$5:$P$10,$B1316,Assumptions!$Q$5:$Q$10,"&lt;="&amp;$A1316,Assumptions!$R$5:$R$10,"&gt;="&amp;$A1316))</x:f>
        <x:v>1</x:v>
      </x:c>
      <x:c r="K1316" s="12" t="n">
        <x:f>IF($A1316="","",1+((($A1316-Assumptions!$B$5)/30)*INDEX(Assumptions!$J$5:$J$12,MATCH($B1316,Assumptions!$D$5:$D$12,0))))</x:f>
        <x:v>1.0218333333333334</x:v>
      </x:c>
      <x:c r="L1316" t="str">
        <x:f>IF($A1316="","",IFERROR(INDEX(Assumptions!$O$5:$O$10,MATCH(1,(Assumptions!$P$5:$P$10=$B1316)*(Assumptions!$Q$5:$Q$10&lt;=$A1316)*(Assumptions!$R$5:$R$10&gt;=$A1316),0)),""))</x:f>
      </x:c>
      <x:c r="M1316" t="n">
        <x:f>--($A1316&lt;&gt;"")</x:f>
        <x:v>1</x:v>
      </x:c>
    </x:row>
    <x:row r="1317">
      <x:c r="A1317" s="10" t="n">
        <x:f>IF(Assumptions!$B$5+INT((ROW()-2)/Assumptions!$B$7)&gt;Assumptions!$B$6,"",Assumptions!$B$5+INT((ROW()-2)/Assumptions!$B$7))</x:f>
        <x:v>46286</x:v>
      </x:c>
      <x:c r="B1317" t="str">
        <x:f>IF($A1317="","",INDEX(Assumptions!$D$5:$D$12,MOD(ROW()-2,Assumptions!$B$7)+1))</x:f>
        <x:v>Acheron Prime</x:v>
      </x:c>
      <x:c r="C1317" s="11" t="n">
        <x:f>IF($A1317="","",INDEX(Assumptions!$F$5:$F$12,MATCH($B1317,Assumptions!$D$5:$D$12,0)))</x:f>
        <x:v>1120</x:v>
      </x:c>
      <x:c r="D1317" s="11" t="n">
        <x:f>IF($A1317="","",INDEX(Assumptions!$G$5:$G$12,MATCH($B1317,Assumptions!$D$5:$D$12,0)))</x:f>
        <x:v>115</x:v>
      </x:c>
      <x:c r="E1317" s="11" t="n">
        <x:f>IF($A1317="","",INDEX(Assumptions!$M$5:$M$11,WEEKDAY($A1317,2)))</x:f>
        <x:v>1.03</x:v>
      </x:c>
      <x:c r="F1317" s="11" t="n">
        <x:f>IF($A1317="","",Assumptions!$B$15)</x:f>
        <x:v>0.35</x:v>
      </x:c>
      <x:c r="G1317" s="11" t="n">
        <x:f>IF($A1317="","",MAX(INDEX(Assumptions!$H$5:$H$12,MATCH($B1317,Assumptions!$D$5:$D$12,0)),MIN(INDEX(Assumptions!$I$5:$I$12,MATCH($B1317,Assumptions!$D$5:$D$12,0)),($C1317+$D1317*SQRT(-2*LN(RAND()))*COS(2*PI()*RAND()))*$E1317*$J1317*$K1317)))</x:f>
        <x:v>1127.2738332647705</x:v>
      </x:c>
      <x:c r="H1317" s="11" t="n">
        <x:f>IF($A1317="","",$G1317*$F1317+$C1317*(1-$F1317))</x:f>
        <x:v>1122.5458416426695</x:v>
      </x:c>
      <x:c r="I1317" s="11" t="n">
        <x:f>IF($A1317="","",AVERAGE($H1317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1109.107351088591</x:v>
      </x:c>
      <x:c r="J1317" s="12" t="n">
        <x:f>IF($A1317="","",1+SUMIFS(Assumptions!$S$5:$S$10,Assumptions!$P$5:$P$10,$B1317,Assumptions!$Q$5:$Q$10,"&lt;="&amp;$A1317,Assumptions!$R$5:$R$10,"&gt;="&amp;$A1317))</x:f>
        <x:v>1</x:v>
      </x:c>
      <x:c r="K1317" s="12" t="n">
        <x:f>IF($A1317="","",1+((($A1317-Assumptions!$B$5)/30)*INDEX(Assumptions!$J$5:$J$12,MATCH($B1317,Assumptions!$D$5:$D$12,0))))</x:f>
        <x:v>1.0175333333333334</x:v>
      </x:c>
      <x:c r="L1317" t="str">
        <x:f>IF($A1317="","",IFERROR(INDEX(Assumptions!$O$5:$O$10,MATCH(1,(Assumptions!$P$5:$P$10=$B1317)*(Assumptions!$Q$5:$Q$10&lt;=$A1317)*(Assumptions!$R$5:$R$10&gt;=$A1317),0)),""))</x:f>
      </x:c>
      <x:c r="M1317" t="n">
        <x:f>--($A1317&lt;&gt;"")</x:f>
        <x:v>1</x:v>
      </x:c>
    </x:row>
    <x:row r="1318">
      <x:c r="A1318" s="10" t="n">
        <x:f>IF(Assumptions!$B$5+INT((ROW()-2)/Assumptions!$B$7)&gt;Assumptions!$B$6,"",Assumptions!$B$5+INT((ROW()-2)/Assumptions!$B$7))</x:f>
        <x:v>46286</x:v>
      </x:c>
      <x:c r="B1318" t="str">
        <x:f>IF($A1318="","",INDEX(Assumptions!$D$5:$D$12,MOD(ROW()-2,Assumptions!$B$7)+1))</x:f>
        <x:v>LV-426 North</x:v>
      </x:c>
      <x:c r="C1318" s="11" t="n">
        <x:f>IF($A1318="","",INDEX(Assumptions!$F$5:$F$12,MATCH($B1318,Assumptions!$D$5:$D$12,0)))</x:f>
        <x:v>930</x:v>
      </x:c>
      <x:c r="D1318" s="11" t="n">
        <x:f>IF($A1318="","",INDEX(Assumptions!$G$5:$G$12,MATCH($B1318,Assumptions!$D$5:$D$12,0)))</x:f>
        <x:v>95</x:v>
      </x:c>
      <x:c r="E1318" s="11" t="n">
        <x:f>IF($A1318="","",INDEX(Assumptions!$M$5:$M$11,WEEKDAY($A1318,2)))</x:f>
        <x:v>1.03</x:v>
      </x:c>
      <x:c r="F1318" s="11" t="n">
        <x:f>IF($A1318="","",Assumptions!$B$15)</x:f>
        <x:v>0.35</x:v>
      </x:c>
      <x:c r="G1318" s="11" t="n">
        <x:f>IF($A1318="","",MAX(INDEX(Assumptions!$H$5:$H$12,MATCH($B1318,Assumptions!$D$5:$D$12,0)),MIN(INDEX(Assumptions!$I$5:$I$12,MATCH($B1318,Assumptions!$D$5:$D$12,0)),($C1318+$D1318*SQRT(-2*LN(RAND()))*COS(2*PI()*RAND()))*$E1318*$J1318*$K1318)))</x:f>
        <x:v>926.8386717123037</x:v>
      </x:c>
      <x:c r="H1318" s="11" t="n">
        <x:f>IF($A1318="","",$G1318*$F1318+$C1318*(1-$F1318))</x:f>
        <x:v>928.8935350993063</x:v>
      </x:c>
      <x:c r="I1318" s="11" t="n">
        <x:f>IF($A1318="","",AVERAGE($H1318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903.6789876972736</x:v>
      </x:c>
      <x:c r="J1318" s="12" t="n">
        <x:f>IF($A1318="","",1+SUMIFS(Assumptions!$S$5:$S$10,Assumptions!$P$5:$P$10,$B1318,Assumptions!$Q$5:$Q$10,"&lt;="&amp;$A1318,Assumptions!$R$5:$R$10,"&gt;="&amp;$A1318))</x:f>
        <x:v>1</x:v>
      </x:c>
      <x:c r="K1318" s="12" t="n">
        <x:f>IF($A1318="","",1+((($A1318-Assumptions!$B$5)/30)*INDEX(Assumptions!$J$5:$J$12,MATCH($B1318,Assumptions!$D$5:$D$12,0))))</x:f>
        <x:v>0.9912333333333333</x:v>
      </x:c>
      <x:c r="L1318" t="str">
        <x:f>IF($A1318="","",IFERROR(INDEX(Assumptions!$O$5:$O$10,MATCH(1,(Assumptions!$P$5:$P$10=$B1318)*(Assumptions!$Q$5:$Q$10&lt;=$A1318)*(Assumptions!$R$5:$R$10&gt;=$A1318),0)),""))</x:f>
      </x:c>
      <x:c r="M1318" t="n">
        <x:f>--($A1318&lt;&gt;"")</x:f>
        <x:v>1</x:v>
      </x:c>
    </x:row>
    <x:row r="1319">
      <x:c r="A1319" s="10" t="n">
        <x:f>IF(Assumptions!$B$5+INT((ROW()-2)/Assumptions!$B$7)&gt;Assumptions!$B$6,"",Assumptions!$B$5+INT((ROW()-2)/Assumptions!$B$7))</x:f>
        <x:v>46286</x:v>
      </x:c>
      <x:c r="B1319" t="str">
        <x:f>IF($A1319="","",INDEX(Assumptions!$D$5:$D$12,MOD(ROW()-2,Assumptions!$B$7)+1))</x:f>
        <x:v>Nostromo Deep</x:v>
      </x:c>
      <x:c r="C1319" s="11" t="n">
        <x:f>IF($A1319="","",INDEX(Assumptions!$F$5:$F$12,MATCH($B1319,Assumptions!$D$5:$D$12,0)))</x:f>
        <x:v>1260</x:v>
      </x:c>
      <x:c r="D1319" s="11" t="n">
        <x:f>IF($A1319="","",INDEX(Assumptions!$G$5:$G$12,MATCH($B1319,Assumptions!$D$5:$D$12,0)))</x:f>
        <x:v>145</x:v>
      </x:c>
      <x:c r="E1319" s="11" t="n">
        <x:f>IF($A1319="","",INDEX(Assumptions!$M$5:$M$11,WEEKDAY($A1319,2)))</x:f>
        <x:v>1.03</x:v>
      </x:c>
      <x:c r="F1319" s="11" t="n">
        <x:f>IF($A1319="","",Assumptions!$B$15)</x:f>
        <x:v>0.35</x:v>
      </x:c>
      <x:c r="G1319" s="11" t="n">
        <x:f>IF($A1319="","",MAX(INDEX(Assumptions!$H$5:$H$12,MATCH($B1319,Assumptions!$D$5:$D$12,0)),MIN(INDEX(Assumptions!$I$5:$I$12,MATCH($B1319,Assumptions!$D$5:$D$12,0)),($C1319+$D1319*SQRT(-2*LN(RAND()))*COS(2*PI()*RAND()))*$E1319*$J1319*$K1319)))</x:f>
        <x:v>1424.1020319785387</x:v>
      </x:c>
      <x:c r="H1319" s="11" t="n">
        <x:f>IF($A1319="","",$G1319*$F1319+$C1319*(1-$F1319))</x:f>
        <x:v>1317.4357111924885</x:v>
      </x:c>
      <x:c r="I1319" s="11" t="n">
        <x:f>IF($A1319="","",AVERAGE($H1319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1274.2348205435942</x:v>
      </x:c>
      <x:c r="J1319" s="12" t="n">
        <x:f>IF($A1319="","",1+SUMIFS(Assumptions!$S$5:$S$10,Assumptions!$P$5:$P$10,$B1319,Assumptions!$Q$5:$Q$10,"&lt;="&amp;$A1319,Assumptions!$R$5:$R$10,"&gt;="&amp;$A1319))</x:f>
        <x:v>1</x:v>
      </x:c>
      <x:c r="K1319" s="12" t="n">
        <x:f>IF($A1319="","",1+((($A1319-Assumptions!$B$5)/30)*INDEX(Assumptions!$J$5:$J$12,MATCH($B1319,Assumptions!$D$5:$D$12,0))))</x:f>
        <x:v>1.0263</x:v>
      </x:c>
      <x:c r="L1319" t="str">
        <x:f>IF($A1319="","",IFERROR(INDEX(Assumptions!$O$5:$O$10,MATCH(1,(Assumptions!$P$5:$P$10=$B1319)*(Assumptions!$Q$5:$Q$10&lt;=$A1319)*(Assumptions!$R$5:$R$10&gt;=$A1319),0)),""))</x:f>
      </x:c>
      <x:c r="M1319" t="n">
        <x:f>--($A1319&lt;&gt;"")</x:f>
        <x:v>1</x:v>
      </x:c>
    </x:row>
    <x:row r="1320">
      <x:c r="A1320" s="10" t="n">
        <x:f>IF(Assumptions!$B$5+INT((ROW()-2)/Assumptions!$B$7)&gt;Assumptions!$B$6,"",Assumptions!$B$5+INT((ROW()-2)/Assumptions!$B$7))</x:f>
        <x:v>46286</x:v>
      </x:c>
      <x:c r="B1320" t="str">
        <x:f>IF($A1320="","",INDEX(Assumptions!$D$5:$D$12,MOD(ROW()-2,Assumptions!$B$7)+1))</x:f>
        <x:v>Hadley's Hope</x:v>
      </x:c>
      <x:c r="C1320" s="11" t="n">
        <x:f>IF($A1320="","",INDEX(Assumptions!$F$5:$F$12,MATCH($B1320,Assumptions!$D$5:$D$12,0)))</x:f>
        <x:v>845</x:v>
      </x:c>
      <x:c r="D1320" s="11" t="n">
        <x:f>IF($A1320="","",INDEX(Assumptions!$G$5:$G$12,MATCH($B1320,Assumptions!$D$5:$D$12,0)))</x:f>
        <x:v>80</x:v>
      </x:c>
      <x:c r="E1320" s="11" t="n">
        <x:f>IF($A1320="","",INDEX(Assumptions!$M$5:$M$11,WEEKDAY($A1320,2)))</x:f>
        <x:v>1.03</x:v>
      </x:c>
      <x:c r="F1320" s="11" t="n">
        <x:f>IF($A1320="","",Assumptions!$B$15)</x:f>
        <x:v>0.35</x:v>
      </x:c>
      <x:c r="G1320" s="11" t="n">
        <x:f>IF($A1320="","",MAX(INDEX(Assumptions!$H$5:$H$12,MATCH($B1320,Assumptions!$D$5:$D$12,0)),MIN(INDEX(Assumptions!$I$5:$I$12,MATCH($B1320,Assumptions!$D$5:$D$12,0)),($C1320+$D1320*SQRT(-2*LN(RAND()))*COS(2*PI()*RAND()))*$E1320*$J1320*$K1320)))</x:f>
        <x:v>978.3956084873552</x:v>
      </x:c>
      <x:c r="H1320" s="11" t="n">
        <x:f>IF($A1320="","",$G1320*$F1320+$C1320*(1-$F1320))</x:f>
        <x:v>891.6884629705743</x:v>
      </x:c>
      <x:c r="I1320" s="11" t="n">
        <x:f>IF($A1320="","",AVERAGE($H1320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862.7061617265533</x:v>
      </x:c>
      <x:c r="J1320" s="12" t="n">
        <x:f>IF($A1320="","",1+SUMIFS(Assumptions!$S$5:$S$10,Assumptions!$P$5:$P$10,$B1320,Assumptions!$Q$5:$Q$10,"&lt;="&amp;$A1320,Assumptions!$R$5:$R$10,"&gt;="&amp;$A1320))</x:f>
        <x:v>1</x:v>
      </x:c>
      <x:c r="K1320" s="12" t="n">
        <x:f>IF($A1320="","",1+((($A1320-Assumptions!$B$5)/30)*INDEX(Assumptions!$J$5:$J$12,MATCH($B1320,Assumptions!$D$5:$D$12,0))))</x:f>
        <x:v>1.0087666666666666</x:v>
      </x:c>
      <x:c r="L1320" t="str">
        <x:f>IF($A1320="","",IFERROR(INDEX(Assumptions!$O$5:$O$10,MATCH(1,(Assumptions!$P$5:$P$10=$B1320)*(Assumptions!$Q$5:$Q$10&lt;=$A1320)*(Assumptions!$R$5:$R$10&gt;=$A1320),0)),""))</x:f>
      </x:c>
      <x:c r="M1320" t="n">
        <x:f>--($A1320&lt;&gt;"")</x:f>
        <x:v>1</x:v>
      </x:c>
    </x:row>
    <x:row r="1321">
      <x:c r="A1321" s="10" t="n">
        <x:f>IF(Assumptions!$B$5+INT((ROW()-2)/Assumptions!$B$7)&gt;Assumptions!$B$6,"",Assumptions!$B$5+INT((ROW()-2)/Assumptions!$B$7))</x:f>
        <x:v>46286</x:v>
      </x:c>
      <x:c r="B1321" t="str">
        <x:f>IF($A1321="","",INDEX(Assumptions!$D$5:$D$12,MOD(ROW()-2,Assumptions!$B$7)+1))</x:f>
        <x:v>Yutani Ridge</x:v>
      </x:c>
      <x:c r="C1321" s="11" t="n">
        <x:f>IF($A1321="","",INDEX(Assumptions!$F$5:$F$12,MATCH($B1321,Assumptions!$D$5:$D$12,0)))</x:f>
        <x:v>1050</x:v>
      </x:c>
      <x:c r="D1321" s="11" t="n">
        <x:f>IF($A1321="","",INDEX(Assumptions!$G$5:$G$12,MATCH($B1321,Assumptions!$D$5:$D$12,0)))</x:f>
        <x:v>125</x:v>
      </x:c>
      <x:c r="E1321" s="11" t="n">
        <x:f>IF($A1321="","",INDEX(Assumptions!$M$5:$M$11,WEEKDAY($A1321,2)))</x:f>
        <x:v>1.03</x:v>
      </x:c>
      <x:c r="F1321" s="11" t="n">
        <x:f>IF($A1321="","",Assumptions!$B$15)</x:f>
        <x:v>0.35</x:v>
      </x:c>
      <x:c r="G1321" s="11" t="n">
        <x:f>IF($A1321="","",MAX(INDEX(Assumptions!$H$5:$H$12,MATCH($B1321,Assumptions!$D$5:$D$12,0)),MIN(INDEX(Assumptions!$I$5:$I$12,MATCH($B1321,Assumptions!$D$5:$D$12,0)),($C1321+$D1321*SQRT(-2*LN(RAND()))*COS(2*PI()*RAND()))*$E1321*$J1321*$K1321)))</x:f>
        <x:v>1078.9082828425142</x:v>
      </x:c>
      <x:c r="H1321" s="11" t="n">
        <x:f>IF($A1321="","",$G1321*$F1321+$C1321*(1-$F1321))</x:f>
        <x:v>1060.1178989948799</x:v>
      </x:c>
      <x:c r="I1321" s="11" t="n">
        <x:f>IF($A1321="","",AVERAGE($H1321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1044.5491079804935</x:v>
      </x:c>
      <x:c r="J1321" s="12" t="n">
        <x:f>IF($A1321="","",1+SUMIFS(Assumptions!$S$5:$S$10,Assumptions!$P$5:$P$10,$B1321,Assumptions!$Q$5:$Q$10,"&lt;="&amp;$A1321,Assumptions!$R$5:$R$10,"&gt;="&amp;$A1321))</x:f>
        <x:v>1</x:v>
      </x:c>
      <x:c r="K1321" s="12" t="n">
        <x:f>IF($A1321="","",1+((($A1321-Assumptions!$B$5)/30)*INDEX(Assumptions!$J$5:$J$12,MATCH($B1321,Assumptions!$D$5:$D$12,0))))</x:f>
        <x:v>1.0219166666666666</x:v>
      </x:c>
      <x:c r="L1321" t="str">
        <x:f>IF($A1321="","",IFERROR(INDEX(Assumptions!$O$5:$O$10,MATCH(1,(Assumptions!$P$5:$P$10=$B1321)*(Assumptions!$Q$5:$Q$10&lt;=$A1321)*(Assumptions!$R$5:$R$10&gt;=$A1321),0)),""))</x:f>
      </x:c>
      <x:c r="M1321" t="n">
        <x:f>--($A1321&lt;&gt;"")</x:f>
        <x:v>1</x:v>
      </x:c>
    </x:row>
    <x:row r="1322">
      <x:c r="A1322" s="10" t="n">
        <x:f>IF(Assumptions!$B$5+INT((ROW()-2)/Assumptions!$B$7)&gt;Assumptions!$B$6,"",Assumptions!$B$5+INT((ROW()-2)/Assumptions!$B$7))</x:f>
        <x:v>46287</x:v>
      </x:c>
      <x:c r="B1322" t="str">
        <x:f>IF($A1322="","",INDEX(Assumptions!$D$5:$D$12,MOD(ROW()-2,Assumptions!$B$7)+1))</x:f>
        <x:v>Acheron Prime</x:v>
      </x:c>
      <x:c r="C1322" s="11" t="n">
        <x:f>IF($A1322="","",INDEX(Assumptions!$F$5:$F$12,MATCH($B1322,Assumptions!$D$5:$D$12,0)))</x:f>
        <x:v>1120</x:v>
      </x:c>
      <x:c r="D1322" s="11" t="n">
        <x:f>IF($A1322="","",INDEX(Assumptions!$G$5:$G$12,MATCH($B1322,Assumptions!$D$5:$D$12,0)))</x:f>
        <x:v>115</x:v>
      </x:c>
      <x:c r="E1322" s="11" t="n">
        <x:f>IF($A1322="","",INDEX(Assumptions!$M$5:$M$11,WEEKDAY($A1322,2)))</x:f>
        <x:v>1.02</x:v>
      </x:c>
      <x:c r="F1322" s="11" t="n">
        <x:f>IF($A1322="","",Assumptions!$B$15)</x:f>
        <x:v>0.35</x:v>
      </x:c>
      <x:c r="G1322" s="11" t="n">
        <x:f>IF($A1322="","",MAX(INDEX(Assumptions!$H$5:$H$12,MATCH($B1322,Assumptions!$D$5:$D$12,0)),MIN(INDEX(Assumptions!$I$5:$I$12,MATCH($B1322,Assumptions!$D$5:$D$12,0)),($C1322+$D1322*SQRT(-2*LN(RAND()))*COS(2*PI()*RAND()))*$E1322*$J1322*$K1322)))</x:f>
        <x:v>859.413280904519</x:v>
      </x:c>
      <x:c r="H1322" s="11" t="n">
        <x:f>IF($A1322="","",$G1322*$F1322+$C1322*(1-$F1322))</x:f>
        <x:v>1028.7946483165815</x:v>
      </x:c>
      <x:c r="I1322" s="11" t="n">
        <x:f>IF($A1322="","",AVERAGE($H1322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1104.4071837273548</x:v>
      </x:c>
      <x:c r="J1322" s="12" t="n">
        <x:f>IF($A1322="","",1+SUMIFS(Assumptions!$S$5:$S$10,Assumptions!$P$5:$P$10,$B1322,Assumptions!$Q$5:$Q$10,"&lt;="&amp;$A1322,Assumptions!$R$5:$R$10,"&gt;="&amp;$A1322))</x:f>
        <x:v>1</x:v>
      </x:c>
      <x:c r="K1322" s="12" t="n">
        <x:f>IF($A1322="","",1+((($A1322-Assumptions!$B$5)/30)*INDEX(Assumptions!$J$5:$J$12,MATCH($B1322,Assumptions!$D$5:$D$12,0))))</x:f>
        <x:v>1.0176</x:v>
      </x:c>
      <x:c r="L1322" t="str">
        <x:f>IF($A1322="","",IFERROR(INDEX(Assumptions!$O$5:$O$10,MATCH(1,(Assumptions!$P$5:$P$10=$B1322)*(Assumptions!$Q$5:$Q$10&lt;=$A1322)*(Assumptions!$R$5:$R$10&gt;=$A1322),0)),""))</x:f>
      </x:c>
      <x:c r="M1322" t="n">
        <x:f>--($A1322&lt;&gt;"")</x:f>
        <x:v>1</x:v>
      </x:c>
    </x:row>
    <x:row r="1323">
      <x:c r="A1323" s="10" t="n">
        <x:f>IF(Assumptions!$B$5+INT((ROW()-2)/Assumptions!$B$7)&gt;Assumptions!$B$6,"",Assumptions!$B$5+INT((ROW()-2)/Assumptions!$B$7))</x:f>
        <x:v>46287</x:v>
      </x:c>
      <x:c r="B1323" t="str">
        <x:f>IF($A1323="","",INDEX(Assumptions!$D$5:$D$12,MOD(ROW()-2,Assumptions!$B$7)+1))</x:f>
        <x:v>LV-426 North</x:v>
      </x:c>
      <x:c r="C1323" s="11" t="n">
        <x:f>IF($A1323="","",INDEX(Assumptions!$F$5:$F$12,MATCH($B1323,Assumptions!$D$5:$D$12,0)))</x:f>
        <x:v>930</x:v>
      </x:c>
      <x:c r="D1323" s="11" t="n">
        <x:f>IF($A1323="","",INDEX(Assumptions!$G$5:$G$12,MATCH($B1323,Assumptions!$D$5:$D$12,0)))</x:f>
        <x:v>95</x:v>
      </x:c>
      <x:c r="E1323" s="11" t="n">
        <x:f>IF($A1323="","",INDEX(Assumptions!$M$5:$M$11,WEEKDAY($A1323,2)))</x:f>
        <x:v>1.02</x:v>
      </x:c>
      <x:c r="F1323" s="11" t="n">
        <x:f>IF($A1323="","",Assumptions!$B$15)</x:f>
        <x:v>0.35</x:v>
      </x:c>
      <x:c r="G1323" s="11" t="n">
        <x:f>IF($A1323="","",MAX(INDEX(Assumptions!$H$5:$H$12,MATCH($B1323,Assumptions!$D$5:$D$12,0)),MIN(INDEX(Assumptions!$I$5:$I$12,MATCH($B1323,Assumptions!$D$5:$D$12,0)),($C1323+$D1323*SQRT(-2*LN(RAND()))*COS(2*PI()*RAND()))*$E1323*$J1323*$K1323)))</x:f>
        <x:v>1129.2950542936953</x:v>
      </x:c>
      <x:c r="H1323" s="11" t="n">
        <x:f>IF($A1323="","",$G1323*$F1323+$C1323*(1-$F1323))</x:f>
        <x:v>999.7532690027933</x:v>
      </x:c>
      <x:c r="I1323" s="11" t="n">
        <x:f>IF($A1323="","",AVERAGE($H1323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907.5859288189944</x:v>
      </x:c>
      <x:c r="J1323" s="12" t="n">
        <x:f>IF($A1323="","",1+SUMIFS(Assumptions!$S$5:$S$10,Assumptions!$P$5:$P$10,$B1323,Assumptions!$Q$5:$Q$10,"&lt;="&amp;$A1323,Assumptions!$R$5:$R$10,"&gt;="&amp;$A1323))</x:f>
        <x:v>1</x:v>
      </x:c>
      <x:c r="K1323" s="12" t="n">
        <x:f>IF($A1323="","",1+((($A1323-Assumptions!$B$5)/30)*INDEX(Assumptions!$J$5:$J$12,MATCH($B1323,Assumptions!$D$5:$D$12,0))))</x:f>
        <x:v>0.9912</x:v>
      </x:c>
      <x:c r="L1323" t="str">
        <x:f>IF($A1323="","",IFERROR(INDEX(Assumptions!$O$5:$O$10,MATCH(1,(Assumptions!$P$5:$P$10=$B1323)*(Assumptions!$Q$5:$Q$10&lt;=$A1323)*(Assumptions!$R$5:$R$10&gt;=$A1323),0)),""))</x:f>
      </x:c>
      <x:c r="M1323" t="n">
        <x:f>--($A1323&lt;&gt;"")</x:f>
        <x:v>1</x:v>
      </x:c>
    </x:row>
    <x:row r="1324">
      <x:c r="A1324" s="10" t="n">
        <x:f>IF(Assumptions!$B$5+INT((ROW()-2)/Assumptions!$B$7)&gt;Assumptions!$B$6,"",Assumptions!$B$5+INT((ROW()-2)/Assumptions!$B$7))</x:f>
        <x:v>46287</x:v>
      </x:c>
      <x:c r="B1324" t="str">
        <x:f>IF($A1324="","",INDEX(Assumptions!$D$5:$D$12,MOD(ROW()-2,Assumptions!$B$7)+1))</x:f>
        <x:v>Nostromo Deep</x:v>
      </x:c>
      <x:c r="C1324" s="11" t="n">
        <x:f>IF($A1324="","",INDEX(Assumptions!$F$5:$F$12,MATCH($B1324,Assumptions!$D$5:$D$12,0)))</x:f>
        <x:v>1260</x:v>
      </x:c>
      <x:c r="D1324" s="11" t="n">
        <x:f>IF($A1324="","",INDEX(Assumptions!$G$5:$G$12,MATCH($B1324,Assumptions!$D$5:$D$12,0)))</x:f>
        <x:v>145</x:v>
      </x:c>
      <x:c r="E1324" s="11" t="n">
        <x:f>IF($A1324="","",INDEX(Assumptions!$M$5:$M$11,WEEKDAY($A1324,2)))</x:f>
        <x:v>1.02</x:v>
      </x:c>
      <x:c r="F1324" s="11" t="n">
        <x:f>IF($A1324="","",Assumptions!$B$15)</x:f>
        <x:v>0.35</x:v>
      </x:c>
      <x:c r="G1324" s="11" t="n">
        <x:f>IF($A1324="","",MAX(INDEX(Assumptions!$H$5:$H$12,MATCH($B1324,Assumptions!$D$5:$D$12,0)),MIN(INDEX(Assumptions!$I$5:$I$12,MATCH($B1324,Assumptions!$D$5:$D$12,0)),($C1324+$D1324*SQRT(-2*LN(RAND()))*COS(2*PI()*RAND()))*$E1324*$J1324*$K1324)))</x:f>
        <x:v>1314.2415867035113</x:v>
      </x:c>
      <x:c r="H1324" s="11" t="n">
        <x:f>IF($A1324="","",$G1324*$F1324+$C1324*(1-$F1324))</x:f>
        <x:v>1278.984555346229</x:v>
      </x:c>
      <x:c r="I1324" s="11" t="n">
        <x:f>IF($A1324="","",AVERAGE($H1324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1275.169248737902</x:v>
      </x:c>
      <x:c r="J1324" s="12" t="n">
        <x:f>IF($A1324="","",1+SUMIFS(Assumptions!$S$5:$S$10,Assumptions!$P$5:$P$10,$B1324,Assumptions!$Q$5:$Q$10,"&lt;="&amp;$A1324,Assumptions!$R$5:$R$10,"&gt;="&amp;$A1324))</x:f>
        <x:v>1</x:v>
      </x:c>
      <x:c r="K1324" s="12" t="n">
        <x:f>IF($A1324="","",1+((($A1324-Assumptions!$B$5)/30)*INDEX(Assumptions!$J$5:$J$12,MATCH($B1324,Assumptions!$D$5:$D$12,0))))</x:f>
        <x:v>1.0264</x:v>
      </x:c>
      <x:c r="L1324" t="str">
        <x:f>IF($A1324="","",IFERROR(INDEX(Assumptions!$O$5:$O$10,MATCH(1,(Assumptions!$P$5:$P$10=$B1324)*(Assumptions!$Q$5:$Q$10&lt;=$A1324)*(Assumptions!$R$5:$R$10&gt;=$A1324),0)),""))</x:f>
      </x:c>
      <x:c r="M1324" t="n">
        <x:f>--($A1324&lt;&gt;"")</x:f>
        <x:v>1</x:v>
      </x:c>
    </x:row>
    <x:row r="1325">
      <x:c r="A1325" s="10" t="n">
        <x:f>IF(Assumptions!$B$5+INT((ROW()-2)/Assumptions!$B$7)&gt;Assumptions!$B$6,"",Assumptions!$B$5+INT((ROW()-2)/Assumptions!$B$7))</x:f>
        <x:v>46287</x:v>
      </x:c>
      <x:c r="B1325" t="str">
        <x:f>IF($A1325="","",INDEX(Assumptions!$D$5:$D$12,MOD(ROW()-2,Assumptions!$B$7)+1))</x:f>
        <x:v>Hadley's Hope</x:v>
      </x:c>
      <x:c r="C1325" s="11" t="n">
        <x:f>IF($A1325="","",INDEX(Assumptions!$F$5:$F$12,MATCH($B1325,Assumptions!$D$5:$D$12,0)))</x:f>
        <x:v>845</x:v>
      </x:c>
      <x:c r="D1325" s="11" t="n">
        <x:f>IF($A1325="","",INDEX(Assumptions!$G$5:$G$12,MATCH($B1325,Assumptions!$D$5:$D$12,0)))</x:f>
        <x:v>80</x:v>
      </x:c>
      <x:c r="E1325" s="11" t="n">
        <x:f>IF($A1325="","",INDEX(Assumptions!$M$5:$M$11,WEEKDAY($A1325,2)))</x:f>
        <x:v>1.02</x:v>
      </x:c>
      <x:c r="F1325" s="11" t="n">
        <x:f>IF($A1325="","",Assumptions!$B$15)</x:f>
        <x:v>0.35</x:v>
      </x:c>
      <x:c r="G1325" s="11" t="n">
        <x:f>IF($A1325="","",MAX(INDEX(Assumptions!$H$5:$H$12,MATCH($B1325,Assumptions!$D$5:$D$12,0)),MIN(INDEX(Assumptions!$I$5:$I$12,MATCH($B1325,Assumptions!$D$5:$D$12,0)),($C1325+$D1325*SQRT(-2*LN(RAND()))*COS(2*PI()*RAND()))*$E1325*$J1325*$K1325)))</x:f>
        <x:v>926.9006557017693</x:v>
      </x:c>
      <x:c r="H1325" s="11" t="n">
        <x:f>IF($A1325="","",$G1325*$F1325+$C1325*(1-$F1325))</x:f>
        <x:v>873.6652294956193</x:v>
      </x:c>
      <x:c r="I1325" s="11" t="n">
        <x:f>IF($A1325="","",AVERAGE($H1325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857.0386663703817</x:v>
      </x:c>
      <x:c r="J1325" s="12" t="n">
        <x:f>IF($A1325="","",1+SUMIFS(Assumptions!$S$5:$S$10,Assumptions!$P$5:$P$10,$B1325,Assumptions!$Q$5:$Q$10,"&lt;="&amp;$A1325,Assumptions!$R$5:$R$10,"&gt;="&amp;$A1325))</x:f>
        <x:v>1</x:v>
      </x:c>
      <x:c r="K1325" s="12" t="n">
        <x:f>IF($A1325="","",1+((($A1325-Assumptions!$B$5)/30)*INDEX(Assumptions!$J$5:$J$12,MATCH($B1325,Assumptions!$D$5:$D$12,0))))</x:f>
        <x:v>1.0088</x:v>
      </x:c>
      <x:c r="L1325" t="str">
        <x:f>IF($A1325="","",IFERROR(INDEX(Assumptions!$O$5:$O$10,MATCH(1,(Assumptions!$P$5:$P$10=$B1325)*(Assumptions!$Q$5:$Q$10&lt;=$A1325)*(Assumptions!$R$5:$R$10&gt;=$A1325),0)),""))</x:f>
      </x:c>
      <x:c r="M1325" t="n">
        <x:f>--($A1325&lt;&gt;"")</x:f>
        <x:v>1</x:v>
      </x:c>
    </x:row>
    <x:row r="1326">
      <x:c r="A1326" s="10" t="n">
        <x:f>IF(Assumptions!$B$5+INT((ROW()-2)/Assumptions!$B$7)&gt;Assumptions!$B$6,"",Assumptions!$B$5+INT((ROW()-2)/Assumptions!$B$7))</x:f>
        <x:v>46287</x:v>
      </x:c>
      <x:c r="B1326" t="str">
        <x:f>IF($A1326="","",INDEX(Assumptions!$D$5:$D$12,MOD(ROW()-2,Assumptions!$B$7)+1))</x:f>
        <x:v>Yutani Ridge</x:v>
      </x:c>
      <x:c r="C1326" s="11" t="n">
        <x:f>IF($A1326="","",INDEX(Assumptions!$F$5:$F$12,MATCH($B1326,Assumptions!$D$5:$D$12,0)))</x:f>
        <x:v>1050</x:v>
      </x:c>
      <x:c r="D1326" s="11" t="n">
        <x:f>IF($A1326="","",INDEX(Assumptions!$G$5:$G$12,MATCH($B1326,Assumptions!$D$5:$D$12,0)))</x:f>
        <x:v>125</x:v>
      </x:c>
      <x:c r="E1326" s="11" t="n">
        <x:f>IF($A1326="","",INDEX(Assumptions!$M$5:$M$11,WEEKDAY($A1326,2)))</x:f>
        <x:v>1.02</x:v>
      </x:c>
      <x:c r="F1326" s="11" t="n">
        <x:f>IF($A1326="","",Assumptions!$B$15)</x:f>
        <x:v>0.35</x:v>
      </x:c>
      <x:c r="G1326" s="11" t="n">
        <x:f>IF($A1326="","",MAX(INDEX(Assumptions!$H$5:$H$12,MATCH($B1326,Assumptions!$D$5:$D$12,0)),MIN(INDEX(Assumptions!$I$5:$I$12,MATCH($B1326,Assumptions!$D$5:$D$12,0)),($C1326+$D1326*SQRT(-2*LN(RAND()))*COS(2*PI()*RAND()))*$E1326*$J1326*$K1326)))</x:f>
        <x:v>925.5973593922015</x:v>
      </x:c>
      <x:c r="H1326" s="11" t="n">
        <x:f>IF($A1326="","",$G1326*$F1326+$C1326*(1-$F1326))</x:f>
        <x:v>1006.4590757872704</x:v>
      </x:c>
      <x:c r="I1326" s="11" t="n">
        <x:f>IF($A1326="","",AVERAGE($H1326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1027.5726988516374</x:v>
      </x:c>
      <x:c r="J1326" s="12" t="n">
        <x:f>IF($A1326="","",1+SUMIFS(Assumptions!$S$5:$S$10,Assumptions!$P$5:$P$10,$B1326,Assumptions!$Q$5:$Q$10,"&lt;="&amp;$A1326,Assumptions!$R$5:$R$10,"&gt;="&amp;$A1326))</x:f>
        <x:v>1</x:v>
      </x:c>
      <x:c r="K1326" s="12" t="n">
        <x:f>IF($A1326="","",1+((($A1326-Assumptions!$B$5)/30)*INDEX(Assumptions!$J$5:$J$12,MATCH($B1326,Assumptions!$D$5:$D$12,0))))</x:f>
        <x:v>1.022</x:v>
      </x:c>
      <x:c r="L1326" t="str">
        <x:f>IF($A1326="","",IFERROR(INDEX(Assumptions!$O$5:$O$10,MATCH(1,(Assumptions!$P$5:$P$10=$B1326)*(Assumptions!$Q$5:$Q$10&lt;=$A1326)*(Assumptions!$R$5:$R$10&gt;=$A1326),0)),""))</x:f>
      </x:c>
      <x:c r="M1326" t="n">
        <x:f>--($A1326&lt;&gt;"")</x:f>
        <x:v>1</x:v>
      </x:c>
    </x:row>
    <x:row r="1327">
      <x:c r="A1327" s="10" t="n">
        <x:f>IF(Assumptions!$B$5+INT((ROW()-2)/Assumptions!$B$7)&gt;Assumptions!$B$6,"",Assumptions!$B$5+INT((ROW()-2)/Assumptions!$B$7))</x:f>
        <x:v>46288</x:v>
      </x:c>
      <x:c r="B1327" t="str">
        <x:f>IF($A1327="","",INDEX(Assumptions!$D$5:$D$12,MOD(ROW()-2,Assumptions!$B$7)+1))</x:f>
        <x:v>Acheron Prime</x:v>
      </x:c>
      <x:c r="C1327" s="11" t="n">
        <x:f>IF($A1327="","",INDEX(Assumptions!$F$5:$F$12,MATCH($B1327,Assumptions!$D$5:$D$12,0)))</x:f>
        <x:v>1120</x:v>
      </x:c>
      <x:c r="D1327" s="11" t="n">
        <x:f>IF($A1327="","",INDEX(Assumptions!$G$5:$G$12,MATCH($B1327,Assumptions!$D$5:$D$12,0)))</x:f>
        <x:v>115</x:v>
      </x:c>
      <x:c r="E1327" s="11" t="n">
        <x:f>IF($A1327="","",INDEX(Assumptions!$M$5:$M$11,WEEKDAY($A1327,2)))</x:f>
        <x:v>1.01</x:v>
      </x:c>
      <x:c r="F1327" s="11" t="n">
        <x:f>IF($A1327="","",Assumptions!$B$15)</x:f>
        <x:v>0.35</x:v>
      </x:c>
      <x:c r="G1327" s="11" t="n">
        <x:f>IF($A1327="","",MAX(INDEX(Assumptions!$H$5:$H$12,MATCH($B1327,Assumptions!$D$5:$D$12,0)),MIN(INDEX(Assumptions!$I$5:$I$12,MATCH($B1327,Assumptions!$D$5:$D$12,0)),($C1327+$D1327*SQRT(-2*LN(RAND()))*COS(2*PI()*RAND()))*$E1327*$J1327*$K1327)))</x:f>
        <x:v>1186.478302126104</x:v>
      </x:c>
      <x:c r="H1327" s="11" t="n">
        <x:f>IF($A1327="","",$G1327*$F1327+$C1327*(1-$F1327))</x:f>
        <x:v>1143.2674057441363</x:v>
      </x:c>
      <x:c r="I1327" s="11" t="n">
        <x:f>IF($A1327="","",AVERAGE($H1327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1100.1114226717473</x:v>
      </x:c>
      <x:c r="J1327" s="12" t="n">
        <x:f>IF($A1327="","",1+SUMIFS(Assumptions!$S$5:$S$10,Assumptions!$P$5:$P$10,$B1327,Assumptions!$Q$5:$Q$10,"&lt;="&amp;$A1327,Assumptions!$R$5:$R$10,"&gt;="&amp;$A1327))</x:f>
        <x:v>1</x:v>
      </x:c>
      <x:c r="K1327" s="12" t="n">
        <x:f>IF($A1327="","",1+((($A1327-Assumptions!$B$5)/30)*INDEX(Assumptions!$J$5:$J$12,MATCH($B1327,Assumptions!$D$5:$D$12,0))))</x:f>
        <x:v>1.0176666666666667</x:v>
      </x:c>
      <x:c r="L1327" t="str">
        <x:f>IF($A1327="","",IFERROR(INDEX(Assumptions!$O$5:$O$10,MATCH(1,(Assumptions!$P$5:$P$10=$B1327)*(Assumptions!$Q$5:$Q$10&lt;=$A1327)*(Assumptions!$R$5:$R$10&gt;=$A1327),0)),""))</x:f>
      </x:c>
      <x:c r="M1327" t="n">
        <x:f>--($A1327&lt;&gt;"")</x:f>
        <x:v>1</x:v>
      </x:c>
    </x:row>
    <x:row r="1328">
      <x:c r="A1328" s="10" t="n">
        <x:f>IF(Assumptions!$B$5+INT((ROW()-2)/Assumptions!$B$7)&gt;Assumptions!$B$6,"",Assumptions!$B$5+INT((ROW()-2)/Assumptions!$B$7))</x:f>
        <x:v>46288</x:v>
      </x:c>
      <x:c r="B1328" t="str">
        <x:f>IF($A1328="","",INDEX(Assumptions!$D$5:$D$12,MOD(ROW()-2,Assumptions!$B$7)+1))</x:f>
        <x:v>LV-426 North</x:v>
      </x:c>
      <x:c r="C1328" s="11" t="n">
        <x:f>IF($A1328="","",INDEX(Assumptions!$F$5:$F$12,MATCH($B1328,Assumptions!$D$5:$D$12,0)))</x:f>
        <x:v>930</x:v>
      </x:c>
      <x:c r="D1328" s="11" t="n">
        <x:f>IF($A1328="","",INDEX(Assumptions!$G$5:$G$12,MATCH($B1328,Assumptions!$D$5:$D$12,0)))</x:f>
        <x:v>95</x:v>
      </x:c>
      <x:c r="E1328" s="11" t="n">
        <x:f>IF($A1328="","",INDEX(Assumptions!$M$5:$M$11,WEEKDAY($A1328,2)))</x:f>
        <x:v>1.01</x:v>
      </x:c>
      <x:c r="F1328" s="11" t="n">
        <x:f>IF($A1328="","",Assumptions!$B$15)</x:f>
        <x:v>0.35</x:v>
      </x:c>
      <x:c r="G1328" s="11" t="n">
        <x:f>IF($A1328="","",MAX(INDEX(Assumptions!$H$5:$H$12,MATCH($B1328,Assumptions!$D$5:$D$12,0)),MIN(INDEX(Assumptions!$I$5:$I$12,MATCH($B1328,Assumptions!$D$5:$D$12,0)),($C1328+$D1328*SQRT(-2*LN(RAND()))*COS(2*PI()*RAND()))*$E1328*$J1328*$K1328)))</x:f>
        <x:v>816.9520717165178</x:v>
      </x:c>
      <x:c r="H1328" s="11" t="n">
        <x:f>IF($A1328="","",$G1328*$F1328+$C1328*(1-$F1328))</x:f>
        <x:v>890.4332251007812</x:v>
      </x:c>
      <x:c r="I1328" s="11" t="n">
        <x:f>IF($A1328="","",AVERAGE($H1328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905.9767595505261</x:v>
      </x:c>
      <x:c r="J1328" s="12" t="n">
        <x:f>IF($A1328="","",1+SUMIFS(Assumptions!$S$5:$S$10,Assumptions!$P$5:$P$10,$B1328,Assumptions!$Q$5:$Q$10,"&lt;="&amp;$A1328,Assumptions!$R$5:$R$10,"&gt;="&amp;$A1328))</x:f>
        <x:v>1</x:v>
      </x:c>
      <x:c r="K1328" s="12" t="n">
        <x:f>IF($A1328="","",1+((($A1328-Assumptions!$B$5)/30)*INDEX(Assumptions!$J$5:$J$12,MATCH($B1328,Assumptions!$D$5:$D$12,0))))</x:f>
        <x:v>0.9911666666666666</x:v>
      </x:c>
      <x:c r="L1328" t="str">
        <x:f>IF($A1328="","",IFERROR(INDEX(Assumptions!$O$5:$O$10,MATCH(1,(Assumptions!$P$5:$P$10=$B1328)*(Assumptions!$Q$5:$Q$10&lt;=$A1328)*(Assumptions!$R$5:$R$10&gt;=$A1328),0)),""))</x:f>
      </x:c>
      <x:c r="M1328" t="n">
        <x:f>--($A1328&lt;&gt;"")</x:f>
        <x:v>1</x:v>
      </x:c>
    </x:row>
    <x:row r="1329">
      <x:c r="A1329" s="10" t="n">
        <x:f>IF(Assumptions!$B$5+INT((ROW()-2)/Assumptions!$B$7)&gt;Assumptions!$B$6,"",Assumptions!$B$5+INT((ROW()-2)/Assumptions!$B$7))</x:f>
        <x:v>46288</x:v>
      </x:c>
      <x:c r="B1329" t="str">
        <x:f>IF($A1329="","",INDEX(Assumptions!$D$5:$D$12,MOD(ROW()-2,Assumptions!$B$7)+1))</x:f>
        <x:v>Nostromo Deep</x:v>
      </x:c>
      <x:c r="C1329" s="11" t="n">
        <x:f>IF($A1329="","",INDEX(Assumptions!$F$5:$F$12,MATCH($B1329,Assumptions!$D$5:$D$12,0)))</x:f>
        <x:v>1260</x:v>
      </x:c>
      <x:c r="D1329" s="11" t="n">
        <x:f>IF($A1329="","",INDEX(Assumptions!$G$5:$G$12,MATCH($B1329,Assumptions!$D$5:$D$12,0)))</x:f>
        <x:v>145</x:v>
      </x:c>
      <x:c r="E1329" s="11" t="n">
        <x:f>IF($A1329="","",INDEX(Assumptions!$M$5:$M$11,WEEKDAY($A1329,2)))</x:f>
        <x:v>1.01</x:v>
      </x:c>
      <x:c r="F1329" s="11" t="n">
        <x:f>IF($A1329="","",Assumptions!$B$15)</x:f>
        <x:v>0.35</x:v>
      </x:c>
      <x:c r="G1329" s="11" t="n">
        <x:f>IF($A1329="","",MAX(INDEX(Assumptions!$H$5:$H$12,MATCH($B1329,Assumptions!$D$5:$D$12,0)),MIN(INDEX(Assumptions!$I$5:$I$12,MATCH($B1329,Assumptions!$D$5:$D$12,0)),($C1329+$D1329*SQRT(-2*LN(RAND()))*COS(2*PI()*RAND()))*$E1329*$J1329*$K1329)))</x:f>
        <x:v>1199.4292048628558</x:v>
      </x:c>
      <x:c r="H1329" s="11" t="n">
        <x:f>IF($A1329="","",$G1329*$F1329+$C1329*(1-$F1329))</x:f>
        <x:v>1238.8002217019996</x:v>
      </x:c>
      <x:c r="I1329" s="11" t="n">
        <x:f>IF($A1329="","",AVERAGE($H1329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1269.8494642849157</x:v>
      </x:c>
      <x:c r="J1329" s="12" t="n">
        <x:f>IF($A1329="","",1+SUMIFS(Assumptions!$S$5:$S$10,Assumptions!$P$5:$P$10,$B1329,Assumptions!$Q$5:$Q$10,"&lt;="&amp;$A1329,Assumptions!$R$5:$R$10,"&gt;="&amp;$A1329))</x:f>
        <x:v>1</x:v>
      </x:c>
      <x:c r="K1329" s="12" t="n">
        <x:f>IF($A1329="","",1+((($A1329-Assumptions!$B$5)/30)*INDEX(Assumptions!$J$5:$J$12,MATCH($B1329,Assumptions!$D$5:$D$12,0))))</x:f>
        <x:v>1.0265</x:v>
      </x:c>
      <x:c r="L1329" t="str">
        <x:f>IF($A1329="","",IFERROR(INDEX(Assumptions!$O$5:$O$10,MATCH(1,(Assumptions!$P$5:$P$10=$B1329)*(Assumptions!$Q$5:$Q$10&lt;=$A1329)*(Assumptions!$R$5:$R$10&gt;=$A1329),0)),""))</x:f>
      </x:c>
      <x:c r="M1329" t="n">
        <x:f>--($A1329&lt;&gt;"")</x:f>
        <x:v>1</x:v>
      </x:c>
    </x:row>
    <x:row r="1330">
      <x:c r="A1330" s="10" t="n">
        <x:f>IF(Assumptions!$B$5+INT((ROW()-2)/Assumptions!$B$7)&gt;Assumptions!$B$6,"",Assumptions!$B$5+INT((ROW()-2)/Assumptions!$B$7))</x:f>
        <x:v>46288</x:v>
      </x:c>
      <x:c r="B1330" t="str">
        <x:f>IF($A1330="","",INDEX(Assumptions!$D$5:$D$12,MOD(ROW()-2,Assumptions!$B$7)+1))</x:f>
        <x:v>Hadley's Hope</x:v>
      </x:c>
      <x:c r="C1330" s="11" t="n">
        <x:f>IF($A1330="","",INDEX(Assumptions!$F$5:$F$12,MATCH($B1330,Assumptions!$D$5:$D$12,0)))</x:f>
        <x:v>845</x:v>
      </x:c>
      <x:c r="D1330" s="11" t="n">
        <x:f>IF($A1330="","",INDEX(Assumptions!$G$5:$G$12,MATCH($B1330,Assumptions!$D$5:$D$12,0)))</x:f>
        <x:v>80</x:v>
      </x:c>
      <x:c r="E1330" s="11" t="n">
        <x:f>IF($A1330="","",INDEX(Assumptions!$M$5:$M$11,WEEKDAY($A1330,2)))</x:f>
        <x:v>1.01</x:v>
      </x:c>
      <x:c r="F1330" s="11" t="n">
        <x:f>IF($A1330="","",Assumptions!$B$15)</x:f>
        <x:v>0.35</x:v>
      </x:c>
      <x:c r="G1330" s="11" t="n">
        <x:f>IF($A1330="","",MAX(INDEX(Assumptions!$H$5:$H$12,MATCH($B1330,Assumptions!$D$5:$D$12,0)),MIN(INDEX(Assumptions!$I$5:$I$12,MATCH($B1330,Assumptions!$D$5:$D$12,0)),($C1330+$D1330*SQRT(-2*LN(RAND()))*COS(2*PI()*RAND()))*$E1330*$J1330*$K1330)))</x:f>
        <x:v>797.2079202607599</x:v>
      </x:c>
      <x:c r="H1330" s="11" t="n">
        <x:f>IF($A1330="","",$G1330*$F1330+$C1330*(1-$F1330))</x:f>
        <x:v>828.272772091266</x:v>
      </x:c>
      <x:c r="I1330" s="11" t="n">
        <x:f>IF($A1330="","",AVERAGE($H1330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855.9619323766273</x:v>
      </x:c>
      <x:c r="J1330" s="12" t="n">
        <x:f>IF($A1330="","",1+SUMIFS(Assumptions!$S$5:$S$10,Assumptions!$P$5:$P$10,$B1330,Assumptions!$Q$5:$Q$10,"&lt;="&amp;$A1330,Assumptions!$R$5:$R$10,"&gt;="&amp;$A1330))</x:f>
        <x:v>1</x:v>
      </x:c>
      <x:c r="K1330" s="12" t="n">
        <x:f>IF($A1330="","",1+((($A1330-Assumptions!$B$5)/30)*INDEX(Assumptions!$J$5:$J$12,MATCH($B1330,Assumptions!$D$5:$D$12,0))))</x:f>
        <x:v>1.0088333333333332</x:v>
      </x:c>
      <x:c r="L1330" t="str">
        <x:f>IF($A1330="","",IFERROR(INDEX(Assumptions!$O$5:$O$10,MATCH(1,(Assumptions!$P$5:$P$10=$B1330)*(Assumptions!$Q$5:$Q$10&lt;=$A1330)*(Assumptions!$R$5:$R$10&gt;=$A1330),0)),""))</x:f>
      </x:c>
      <x:c r="M1330" t="n">
        <x:f>--($A1330&lt;&gt;"")</x:f>
        <x:v>1</x:v>
      </x:c>
    </x:row>
    <x:row r="1331">
      <x:c r="A1331" s="10" t="n">
        <x:f>IF(Assumptions!$B$5+INT((ROW()-2)/Assumptions!$B$7)&gt;Assumptions!$B$6,"",Assumptions!$B$5+INT((ROW()-2)/Assumptions!$B$7))</x:f>
        <x:v>46288</x:v>
      </x:c>
      <x:c r="B1331" t="str">
        <x:f>IF($A1331="","",INDEX(Assumptions!$D$5:$D$12,MOD(ROW()-2,Assumptions!$B$7)+1))</x:f>
        <x:v>Yutani Ridge</x:v>
      </x:c>
      <x:c r="C1331" s="11" t="n">
        <x:f>IF($A1331="","",INDEX(Assumptions!$F$5:$F$12,MATCH($B1331,Assumptions!$D$5:$D$12,0)))</x:f>
        <x:v>1050</x:v>
      </x:c>
      <x:c r="D1331" s="11" t="n">
        <x:f>IF($A1331="","",INDEX(Assumptions!$G$5:$G$12,MATCH($B1331,Assumptions!$D$5:$D$12,0)))</x:f>
        <x:v>125</x:v>
      </x:c>
      <x:c r="E1331" s="11" t="n">
        <x:f>IF($A1331="","",INDEX(Assumptions!$M$5:$M$11,WEEKDAY($A1331,2)))</x:f>
        <x:v>1.01</x:v>
      </x:c>
      <x:c r="F1331" s="11" t="n">
        <x:f>IF($A1331="","",Assumptions!$B$15)</x:f>
        <x:v>0.35</x:v>
      </x:c>
      <x:c r="G1331" s="11" t="n">
        <x:f>IF($A1331="","",MAX(INDEX(Assumptions!$H$5:$H$12,MATCH($B1331,Assumptions!$D$5:$D$12,0)),MIN(INDEX(Assumptions!$I$5:$I$12,MATCH($B1331,Assumptions!$D$5:$D$12,0)),($C1331+$D1331*SQRT(-2*LN(RAND()))*COS(2*PI()*RAND()))*$E1331*$J1331*$K1331)))</x:f>
        <x:v>1188.3463555541548</x:v>
      </x:c>
      <x:c r="H1331" s="11" t="n">
        <x:f>IF($A1331="","",$G1331*$F1331+$C1331*(1-$F1331))</x:f>
        <x:v>1098.421224443954</x:v>
      </x:c>
      <x:c r="I1331" s="11" t="n">
        <x:f>IF($A1331="","",AVERAGE($H1331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1029.7098170958375</x:v>
      </x:c>
      <x:c r="J1331" s="12" t="n">
        <x:f>IF($A1331="","",1+SUMIFS(Assumptions!$S$5:$S$10,Assumptions!$P$5:$P$10,$B1331,Assumptions!$Q$5:$Q$10,"&lt;="&amp;$A1331,Assumptions!$R$5:$R$10,"&gt;="&amp;$A1331))</x:f>
        <x:v>1</x:v>
      </x:c>
      <x:c r="K1331" s="12" t="n">
        <x:f>IF($A1331="","",1+((($A1331-Assumptions!$B$5)/30)*INDEX(Assumptions!$J$5:$J$12,MATCH($B1331,Assumptions!$D$5:$D$12,0))))</x:f>
        <x:v>1.0220833333333332</x:v>
      </x:c>
      <x:c r="L1331" t="str">
        <x:f>IF($A1331="","",IFERROR(INDEX(Assumptions!$O$5:$O$10,MATCH(1,(Assumptions!$P$5:$P$10=$B1331)*(Assumptions!$Q$5:$Q$10&lt;=$A1331)*(Assumptions!$R$5:$R$10&gt;=$A1331),0)),""))</x:f>
      </x:c>
      <x:c r="M1331" t="n">
        <x:f>--($A1331&lt;&gt;"")</x:f>
        <x:v>1</x:v>
      </x:c>
    </x:row>
    <x:row r="1332">
      <x:c r="A1332" s="10" t="n">
        <x:f>IF(Assumptions!$B$5+INT((ROW()-2)/Assumptions!$B$7)&gt;Assumptions!$B$6,"",Assumptions!$B$5+INT((ROW()-2)/Assumptions!$B$7))</x:f>
        <x:v>46289</x:v>
      </x:c>
      <x:c r="B1332" t="str">
        <x:f>IF($A1332="","",INDEX(Assumptions!$D$5:$D$12,MOD(ROW()-2,Assumptions!$B$7)+1))</x:f>
        <x:v>Acheron Prime</x:v>
      </x:c>
      <x:c r="C1332" s="11" t="n">
        <x:f>IF($A1332="","",INDEX(Assumptions!$F$5:$F$12,MATCH($B1332,Assumptions!$D$5:$D$12,0)))</x:f>
        <x:v>1120</x:v>
      </x:c>
      <x:c r="D1332" s="11" t="n">
        <x:f>IF($A1332="","",INDEX(Assumptions!$G$5:$G$12,MATCH($B1332,Assumptions!$D$5:$D$12,0)))</x:f>
        <x:v>115</x:v>
      </x:c>
      <x:c r="E1332" s="11" t="n">
        <x:f>IF($A1332="","",INDEX(Assumptions!$M$5:$M$11,WEEKDAY($A1332,2)))</x:f>
        <x:v>1</x:v>
      </x:c>
      <x:c r="F1332" s="11" t="n">
        <x:f>IF($A1332="","",Assumptions!$B$15)</x:f>
        <x:v>0.35</x:v>
      </x:c>
      <x:c r="G1332" s="11" t="n">
        <x:f>IF($A1332="","",MAX(INDEX(Assumptions!$H$5:$H$12,MATCH($B1332,Assumptions!$D$5:$D$12,0)),MIN(INDEX(Assumptions!$I$5:$I$12,MATCH($B1332,Assumptions!$D$5:$D$12,0)),($C1332+$D1332*SQRT(-2*LN(RAND()))*COS(2*PI()*RAND()))*$E1332*$J1332*$K1332)))</x:f>
        <x:v>1257.85064339321</x:v>
      </x:c>
      <x:c r="H1332" s="11" t="n">
        <x:f>IF($A1332="","",$G1332*$F1332+$C1332*(1-$F1332))</x:f>
        <x:v>1168.2477251876235</x:v>
      </x:c>
      <x:c r="I1332" s="11" t="n">
        <x:f>IF($A1332="","",AVERAGE($H1332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1114.876321282242</x:v>
      </x:c>
      <x:c r="J1332" s="12" t="n">
        <x:f>IF($A1332="","",1+SUMIFS(Assumptions!$S$5:$S$10,Assumptions!$P$5:$P$10,$B1332,Assumptions!$Q$5:$Q$10,"&lt;="&amp;$A1332,Assumptions!$R$5:$R$10,"&gt;="&amp;$A1332))</x:f>
        <x:v>1</x:v>
      </x:c>
      <x:c r="K1332" s="12" t="n">
        <x:f>IF($A1332="","",1+((($A1332-Assumptions!$B$5)/30)*INDEX(Assumptions!$J$5:$J$12,MATCH($B1332,Assumptions!$D$5:$D$12,0))))</x:f>
        <x:v>1.0177333333333334</x:v>
      </x:c>
      <x:c r="L1332" t="str">
        <x:f>IF($A1332="","",IFERROR(INDEX(Assumptions!$O$5:$O$10,MATCH(1,(Assumptions!$P$5:$P$10=$B1332)*(Assumptions!$Q$5:$Q$10&lt;=$A1332)*(Assumptions!$R$5:$R$10&gt;=$A1332),0)),""))</x:f>
      </x:c>
      <x:c r="M1332" t="n">
        <x:f>--($A1332&lt;&gt;"")</x:f>
        <x:v>1</x:v>
      </x:c>
    </x:row>
    <x:row r="1333">
      <x:c r="A1333" s="10" t="n">
        <x:f>IF(Assumptions!$B$5+INT((ROW()-2)/Assumptions!$B$7)&gt;Assumptions!$B$6,"",Assumptions!$B$5+INT((ROW()-2)/Assumptions!$B$7))</x:f>
        <x:v>46289</x:v>
      </x:c>
      <x:c r="B1333" t="str">
        <x:f>IF($A1333="","",INDEX(Assumptions!$D$5:$D$12,MOD(ROW()-2,Assumptions!$B$7)+1))</x:f>
        <x:v>LV-426 North</x:v>
      </x:c>
      <x:c r="C1333" s="11" t="n">
        <x:f>IF($A1333="","",INDEX(Assumptions!$F$5:$F$12,MATCH($B1333,Assumptions!$D$5:$D$12,0)))</x:f>
        <x:v>930</x:v>
      </x:c>
      <x:c r="D1333" s="11" t="n">
        <x:f>IF($A1333="","",INDEX(Assumptions!$G$5:$G$12,MATCH($B1333,Assumptions!$D$5:$D$12,0)))</x:f>
        <x:v>95</x:v>
      </x:c>
      <x:c r="E1333" s="11" t="n">
        <x:f>IF($A1333="","",INDEX(Assumptions!$M$5:$M$11,WEEKDAY($A1333,2)))</x:f>
        <x:v>1</x:v>
      </x:c>
      <x:c r="F1333" s="11" t="n">
        <x:f>IF($A1333="","",Assumptions!$B$15)</x:f>
        <x:v>0.35</x:v>
      </x:c>
      <x:c r="G1333" s="11" t="n">
        <x:f>IF($A1333="","",MAX(INDEX(Assumptions!$H$5:$H$12,MATCH($B1333,Assumptions!$D$5:$D$12,0)),MIN(INDEX(Assumptions!$I$5:$I$12,MATCH($B1333,Assumptions!$D$5:$D$12,0)),($C1333+$D1333*SQRT(-2*LN(RAND()))*COS(2*PI()*RAND()))*$E1333*$J1333*$K1333)))</x:f>
        <x:v>790.523461048114</x:v>
      </x:c>
      <x:c r="H1333" s="11" t="n">
        <x:f>IF($A1333="","",$G1333*$F1333+$C1333*(1-$F1333))</x:f>
        <x:v>881.1832113668399</x:v>
      </x:c>
      <x:c r="I1333" s="11" t="n">
        <x:f>IF($A1333="","",AVERAGE($H1333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896.6144224325492</x:v>
      </x:c>
      <x:c r="J1333" s="12" t="n">
        <x:f>IF($A1333="","",1+SUMIFS(Assumptions!$S$5:$S$10,Assumptions!$P$5:$P$10,$B1333,Assumptions!$Q$5:$Q$10,"&lt;="&amp;$A1333,Assumptions!$R$5:$R$10,"&gt;="&amp;$A1333))</x:f>
        <x:v>1</x:v>
      </x:c>
      <x:c r="K1333" s="12" t="n">
        <x:f>IF($A1333="","",1+((($A1333-Assumptions!$B$5)/30)*INDEX(Assumptions!$J$5:$J$12,MATCH($B1333,Assumptions!$D$5:$D$12,0))))</x:f>
        <x:v>0.9911333333333333</x:v>
      </x:c>
      <x:c r="L1333" t="str">
        <x:f>IF($A1333="","",IFERROR(INDEX(Assumptions!$O$5:$O$10,MATCH(1,(Assumptions!$P$5:$P$10=$B1333)*(Assumptions!$Q$5:$Q$10&lt;=$A1333)*(Assumptions!$R$5:$R$10&gt;=$A1333),0)),""))</x:f>
      </x:c>
      <x:c r="M1333" t="n">
        <x:f>--($A1333&lt;&gt;"")</x:f>
        <x:v>1</x:v>
      </x:c>
    </x:row>
    <x:row r="1334">
      <x:c r="A1334" s="10" t="n">
        <x:f>IF(Assumptions!$B$5+INT((ROW()-2)/Assumptions!$B$7)&gt;Assumptions!$B$6,"",Assumptions!$B$5+INT((ROW()-2)/Assumptions!$B$7))</x:f>
        <x:v>46289</x:v>
      </x:c>
      <x:c r="B1334" t="str">
        <x:f>IF($A1334="","",INDEX(Assumptions!$D$5:$D$12,MOD(ROW()-2,Assumptions!$B$7)+1))</x:f>
        <x:v>Nostromo Deep</x:v>
      </x:c>
      <x:c r="C1334" s="11" t="n">
        <x:f>IF($A1334="","",INDEX(Assumptions!$F$5:$F$12,MATCH($B1334,Assumptions!$D$5:$D$12,0)))</x:f>
        <x:v>1260</x:v>
      </x:c>
      <x:c r="D1334" s="11" t="n">
        <x:f>IF($A1334="","",INDEX(Assumptions!$G$5:$G$12,MATCH($B1334,Assumptions!$D$5:$D$12,0)))</x:f>
        <x:v>145</x:v>
      </x:c>
      <x:c r="E1334" s="11" t="n">
        <x:f>IF($A1334="","",INDEX(Assumptions!$M$5:$M$11,WEEKDAY($A1334,2)))</x:f>
        <x:v>1</x:v>
      </x:c>
      <x:c r="F1334" s="11" t="n">
        <x:f>IF($A1334="","",Assumptions!$B$15)</x:f>
        <x:v>0.35</x:v>
      </x:c>
      <x:c r="G1334" s="11" t="n">
        <x:f>IF($A1334="","",MAX(INDEX(Assumptions!$H$5:$H$12,MATCH($B1334,Assumptions!$D$5:$D$12,0)),MIN(INDEX(Assumptions!$I$5:$I$12,MATCH($B1334,Assumptions!$D$5:$D$12,0)),($C1334+$D1334*SQRT(-2*LN(RAND()))*COS(2*PI()*RAND()))*$E1334*$J1334*$K1334)))</x:f>
        <x:v>1284.4011208526392</x:v>
      </x:c>
      <x:c r="H1334" s="11" t="n">
        <x:f>IF($A1334="","",$G1334*$F1334+$C1334*(1-$F1334))</x:f>
        <x:v>1268.5403922984237</x:v>
      </x:c>
      <x:c r="I1334" s="11" t="n">
        <x:f>IF($A1334="","",AVERAGE($H1334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1272.6297816436595</x:v>
      </x:c>
      <x:c r="J1334" s="12" t="n">
        <x:f>IF($A1334="","",1+SUMIFS(Assumptions!$S$5:$S$10,Assumptions!$P$5:$P$10,$B1334,Assumptions!$Q$5:$Q$10,"&lt;="&amp;$A1334,Assumptions!$R$5:$R$10,"&gt;="&amp;$A1334))</x:f>
        <x:v>1</x:v>
      </x:c>
      <x:c r="K1334" s="12" t="n">
        <x:f>IF($A1334="","",1+((($A1334-Assumptions!$B$5)/30)*INDEX(Assumptions!$J$5:$J$12,MATCH($B1334,Assumptions!$D$5:$D$12,0))))</x:f>
        <x:v>1.0266</x:v>
      </x:c>
      <x:c r="L1334" t="str">
        <x:f>IF($A1334="","",IFERROR(INDEX(Assumptions!$O$5:$O$10,MATCH(1,(Assumptions!$P$5:$P$10=$B1334)*(Assumptions!$Q$5:$Q$10&lt;=$A1334)*(Assumptions!$R$5:$R$10&gt;=$A1334),0)),""))</x:f>
      </x:c>
      <x:c r="M1334" t="n">
        <x:f>--($A1334&lt;&gt;"")</x:f>
        <x:v>1</x:v>
      </x:c>
    </x:row>
    <x:row r="1335">
      <x:c r="A1335" s="10" t="n">
        <x:f>IF(Assumptions!$B$5+INT((ROW()-2)/Assumptions!$B$7)&gt;Assumptions!$B$6,"",Assumptions!$B$5+INT((ROW()-2)/Assumptions!$B$7))</x:f>
        <x:v>46289</x:v>
      </x:c>
      <x:c r="B1335" t="str">
        <x:f>IF($A1335="","",INDEX(Assumptions!$D$5:$D$12,MOD(ROW()-2,Assumptions!$B$7)+1))</x:f>
        <x:v>Hadley's Hope</x:v>
      </x:c>
      <x:c r="C1335" s="11" t="n">
        <x:f>IF($A1335="","",INDEX(Assumptions!$F$5:$F$12,MATCH($B1335,Assumptions!$D$5:$D$12,0)))</x:f>
        <x:v>845</x:v>
      </x:c>
      <x:c r="D1335" s="11" t="n">
        <x:f>IF($A1335="","",INDEX(Assumptions!$G$5:$G$12,MATCH($B1335,Assumptions!$D$5:$D$12,0)))</x:f>
        <x:v>80</x:v>
      </x:c>
      <x:c r="E1335" s="11" t="n">
        <x:f>IF($A1335="","",INDEX(Assumptions!$M$5:$M$11,WEEKDAY($A1335,2)))</x:f>
        <x:v>1</x:v>
      </x:c>
      <x:c r="F1335" s="11" t="n">
        <x:f>IF($A1335="","",Assumptions!$B$15)</x:f>
        <x:v>0.35</x:v>
      </x:c>
      <x:c r="G1335" s="11" t="n">
        <x:f>IF($A1335="","",MAX(INDEX(Assumptions!$H$5:$H$12,MATCH($B1335,Assumptions!$D$5:$D$12,0)),MIN(INDEX(Assumptions!$I$5:$I$12,MATCH($B1335,Assumptions!$D$5:$D$12,0)),($C1335+$D1335*SQRT(-2*LN(RAND()))*COS(2*PI()*RAND()))*$E1335*$J1335*$K1335)))</x:f>
        <x:v>847.432081115137</x:v>
      </x:c>
      <x:c r="H1335" s="11" t="n">
        <x:f>IF($A1335="","",$G1335*$F1335+$C1335*(1-$F1335))</x:f>
        <x:v>845.8512283902979</x:v>
      </x:c>
      <x:c r="I1335" s="11" t="n">
        <x:f>IF($A1335="","",AVERAGE($H1335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858.0759273115845</x:v>
      </x:c>
      <x:c r="J1335" s="12" t="n">
        <x:f>IF($A1335="","",1+SUMIFS(Assumptions!$S$5:$S$10,Assumptions!$P$5:$P$10,$B1335,Assumptions!$Q$5:$Q$10,"&lt;="&amp;$A1335,Assumptions!$R$5:$R$10,"&gt;="&amp;$A1335))</x:f>
        <x:v>1</x:v>
      </x:c>
      <x:c r="K1335" s="12" t="n">
        <x:f>IF($A1335="","",1+((($A1335-Assumptions!$B$5)/30)*INDEX(Assumptions!$J$5:$J$12,MATCH($B1335,Assumptions!$D$5:$D$12,0))))</x:f>
        <x:v>1.0088666666666666</x:v>
      </x:c>
      <x:c r="L1335" t="str">
        <x:f>IF($A1335="","",IFERROR(INDEX(Assumptions!$O$5:$O$10,MATCH(1,(Assumptions!$P$5:$P$10=$B1335)*(Assumptions!$Q$5:$Q$10&lt;=$A1335)*(Assumptions!$R$5:$R$10&gt;=$A1335),0)),""))</x:f>
      </x:c>
      <x:c r="M1335" t="n">
        <x:f>--($A1335&lt;&gt;"")</x:f>
        <x:v>1</x:v>
      </x:c>
    </x:row>
    <x:row r="1336">
      <x:c r="A1336" s="10" t="n">
        <x:f>IF(Assumptions!$B$5+INT((ROW()-2)/Assumptions!$B$7)&gt;Assumptions!$B$6,"",Assumptions!$B$5+INT((ROW()-2)/Assumptions!$B$7))</x:f>
        <x:v>46289</x:v>
      </x:c>
      <x:c r="B1336" t="str">
        <x:f>IF($A1336="","",INDEX(Assumptions!$D$5:$D$12,MOD(ROW()-2,Assumptions!$B$7)+1))</x:f>
        <x:v>Yutani Ridge</x:v>
      </x:c>
      <x:c r="C1336" s="11" t="n">
        <x:f>IF($A1336="","",INDEX(Assumptions!$F$5:$F$12,MATCH($B1336,Assumptions!$D$5:$D$12,0)))</x:f>
        <x:v>1050</x:v>
      </x:c>
      <x:c r="D1336" s="11" t="n">
        <x:f>IF($A1336="","",INDEX(Assumptions!$G$5:$G$12,MATCH($B1336,Assumptions!$D$5:$D$12,0)))</x:f>
        <x:v>125</x:v>
      </x:c>
      <x:c r="E1336" s="11" t="n">
        <x:f>IF($A1336="","",INDEX(Assumptions!$M$5:$M$11,WEEKDAY($A1336,2)))</x:f>
        <x:v>1</x:v>
      </x:c>
      <x:c r="F1336" s="11" t="n">
        <x:f>IF($A1336="","",Assumptions!$B$15)</x:f>
        <x:v>0.35</x:v>
      </x:c>
      <x:c r="G1336" s="11" t="n">
        <x:f>IF($A1336="","",MAX(INDEX(Assumptions!$H$5:$H$12,MATCH($B1336,Assumptions!$D$5:$D$12,0)),MIN(INDEX(Assumptions!$I$5:$I$12,MATCH($B1336,Assumptions!$D$5:$D$12,0)),($C1336+$D1336*SQRT(-2*LN(RAND()))*COS(2*PI()*RAND()))*$E1336*$J1336*$K1336)))</x:f>
        <x:v>1117.1676859228523</x:v>
      </x:c>
      <x:c r="H1336" s="11" t="n">
        <x:f>IF($A1336="","",$G1336*$F1336+$C1336*(1-$F1336))</x:f>
        <x:v>1073.5086900729984</x:v>
      </x:c>
      <x:c r="I1336" s="11" t="n">
        <x:f>IF($A1336="","",AVERAGE($H1336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1042.9738440270025</x:v>
      </x:c>
      <x:c r="J1336" s="12" t="n">
        <x:f>IF($A1336="","",1+SUMIFS(Assumptions!$S$5:$S$10,Assumptions!$P$5:$P$10,$B1336,Assumptions!$Q$5:$Q$10,"&lt;="&amp;$A1336,Assumptions!$R$5:$R$10,"&gt;="&amp;$A1336))</x:f>
        <x:v>1</x:v>
      </x:c>
      <x:c r="K1336" s="12" t="n">
        <x:f>IF($A1336="","",1+((($A1336-Assumptions!$B$5)/30)*INDEX(Assumptions!$J$5:$J$12,MATCH($B1336,Assumptions!$D$5:$D$12,0))))</x:f>
        <x:v>1.0221666666666667</x:v>
      </x:c>
      <x:c r="L1336" t="str">
        <x:f>IF($A1336="","",IFERROR(INDEX(Assumptions!$O$5:$O$10,MATCH(1,(Assumptions!$P$5:$P$10=$B1336)*(Assumptions!$Q$5:$Q$10&lt;=$A1336)*(Assumptions!$R$5:$R$10&gt;=$A1336),0)),""))</x:f>
      </x:c>
      <x:c r="M1336" t="n">
        <x:f>--($A1336&lt;&gt;"")</x:f>
        <x:v>1</x:v>
      </x:c>
    </x:row>
    <x:row r="1337">
      <x:c r="A1337" s="10" t="n">
        <x:f>IF(Assumptions!$B$5+INT((ROW()-2)/Assumptions!$B$7)&gt;Assumptions!$B$6,"",Assumptions!$B$5+INT((ROW()-2)/Assumptions!$B$7))</x:f>
        <x:v>46290</x:v>
      </x:c>
      <x:c r="B1337" t="str">
        <x:f>IF($A1337="","",INDEX(Assumptions!$D$5:$D$12,MOD(ROW()-2,Assumptions!$B$7)+1))</x:f>
        <x:v>Acheron Prime</x:v>
      </x:c>
      <x:c r="C1337" s="11" t="n">
        <x:f>IF($A1337="","",INDEX(Assumptions!$F$5:$F$12,MATCH($B1337,Assumptions!$D$5:$D$12,0)))</x:f>
        <x:v>1120</x:v>
      </x:c>
      <x:c r="D1337" s="11" t="n">
        <x:f>IF($A1337="","",INDEX(Assumptions!$G$5:$G$12,MATCH($B1337,Assumptions!$D$5:$D$12,0)))</x:f>
        <x:v>115</x:v>
      </x:c>
      <x:c r="E1337" s="11" t="n">
        <x:f>IF($A1337="","",INDEX(Assumptions!$M$5:$M$11,WEEKDAY($A1337,2)))</x:f>
        <x:v>0.98</x:v>
      </x:c>
      <x:c r="F1337" s="11" t="n">
        <x:f>IF($A1337="","",Assumptions!$B$15)</x:f>
        <x:v>0.35</x:v>
      </x:c>
      <x:c r="G1337" s="11" t="n">
        <x:f>IF($A1337="","",MAX(INDEX(Assumptions!$H$5:$H$12,MATCH($B1337,Assumptions!$D$5:$D$12,0)),MIN(INDEX(Assumptions!$I$5:$I$12,MATCH($B1337,Assumptions!$D$5:$D$12,0)),($C1337+$D1337*SQRT(-2*LN(RAND()))*COS(2*PI()*RAND()))*$E1337*$J1337*$K1337)))</x:f>
        <x:v>1281.8415398631694</x:v>
      </x:c>
      <x:c r="H1337" s="11" t="n">
        <x:f>IF($A1337="","",$G1337*$F1337+$C1337*(1-$F1337))</x:f>
        <x:v>1176.6445389521093</x:v>
      </x:c>
      <x:c r="I1337" s="11" t="n">
        <x:f>IF($A1337="","",AVERAGE($H1337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1115.3194505866377</x:v>
      </x:c>
      <x:c r="J1337" s="12" t="n">
        <x:f>IF($A1337="","",1+SUMIFS(Assumptions!$S$5:$S$10,Assumptions!$P$5:$P$10,$B1337,Assumptions!$Q$5:$Q$10,"&lt;="&amp;$A1337,Assumptions!$R$5:$R$10,"&gt;="&amp;$A1337))</x:f>
        <x:v>1</x:v>
      </x:c>
      <x:c r="K1337" s="12" t="n">
        <x:f>IF($A1337="","",1+((($A1337-Assumptions!$B$5)/30)*INDEX(Assumptions!$J$5:$J$12,MATCH($B1337,Assumptions!$D$5:$D$12,0))))</x:f>
        <x:v>1.0178</x:v>
      </x:c>
      <x:c r="L1337" t="str">
        <x:f>IF($A1337="","",IFERROR(INDEX(Assumptions!$O$5:$O$10,MATCH(1,(Assumptions!$P$5:$P$10=$B1337)*(Assumptions!$Q$5:$Q$10&lt;=$A1337)*(Assumptions!$R$5:$R$10&gt;=$A1337),0)),""))</x:f>
      </x:c>
      <x:c r="M1337" t="n">
        <x:f>--($A1337&lt;&gt;"")</x:f>
        <x:v>1</x:v>
      </x:c>
    </x:row>
    <x:row r="1338">
      <x:c r="A1338" s="10" t="n">
        <x:f>IF(Assumptions!$B$5+INT((ROW()-2)/Assumptions!$B$7)&gt;Assumptions!$B$6,"",Assumptions!$B$5+INT((ROW()-2)/Assumptions!$B$7))</x:f>
        <x:v>46290</x:v>
      </x:c>
      <x:c r="B1338" t="str">
        <x:f>IF($A1338="","",INDEX(Assumptions!$D$5:$D$12,MOD(ROW()-2,Assumptions!$B$7)+1))</x:f>
        <x:v>LV-426 North</x:v>
      </x:c>
      <x:c r="C1338" s="11" t="n">
        <x:f>IF($A1338="","",INDEX(Assumptions!$F$5:$F$12,MATCH($B1338,Assumptions!$D$5:$D$12,0)))</x:f>
        <x:v>930</x:v>
      </x:c>
      <x:c r="D1338" s="11" t="n">
        <x:f>IF($A1338="","",INDEX(Assumptions!$G$5:$G$12,MATCH($B1338,Assumptions!$D$5:$D$12,0)))</x:f>
        <x:v>95</x:v>
      </x:c>
      <x:c r="E1338" s="11" t="n">
        <x:f>IF($A1338="","",INDEX(Assumptions!$M$5:$M$11,WEEKDAY($A1338,2)))</x:f>
        <x:v>0.98</x:v>
      </x:c>
      <x:c r="F1338" s="11" t="n">
        <x:f>IF($A1338="","",Assumptions!$B$15)</x:f>
        <x:v>0.35</x:v>
      </x:c>
      <x:c r="G1338" s="11" t="n">
        <x:f>IF($A1338="","",MAX(INDEX(Assumptions!$H$5:$H$12,MATCH($B1338,Assumptions!$D$5:$D$12,0)),MIN(INDEX(Assumptions!$I$5:$I$12,MATCH($B1338,Assumptions!$D$5:$D$12,0)),($C1338+$D1338*SQRT(-2*LN(RAND()))*COS(2*PI()*RAND()))*$E1338*$J1338*$K1338)))</x:f>
        <x:v>757.3247431810763</x:v>
      </x:c>
      <x:c r="H1338" s="11" t="n">
        <x:f>IF($A1338="","",$G1338*$F1338+$C1338*(1-$F1338))</x:f>
        <x:v>869.5636601133767</x:v>
      </x:c>
      <x:c r="I1338" s="11" t="n">
        <x:f>IF($A1338="","",AVERAGE($H1338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893.0817609696535</x:v>
      </x:c>
      <x:c r="J1338" s="12" t="n">
        <x:f>IF($A1338="","",1+SUMIFS(Assumptions!$S$5:$S$10,Assumptions!$P$5:$P$10,$B1338,Assumptions!$Q$5:$Q$10,"&lt;="&amp;$A1338,Assumptions!$R$5:$R$10,"&gt;="&amp;$A1338))</x:f>
        <x:v>1</x:v>
      </x:c>
      <x:c r="K1338" s="12" t="n">
        <x:f>IF($A1338="","",1+((($A1338-Assumptions!$B$5)/30)*INDEX(Assumptions!$J$5:$J$12,MATCH($B1338,Assumptions!$D$5:$D$12,0))))</x:f>
        <x:v>0.9911</x:v>
      </x:c>
      <x:c r="L1338" t="str">
        <x:f>IF($A1338="","",IFERROR(INDEX(Assumptions!$O$5:$O$10,MATCH(1,(Assumptions!$P$5:$P$10=$B1338)*(Assumptions!$Q$5:$Q$10&lt;=$A1338)*(Assumptions!$R$5:$R$10&gt;=$A1338),0)),""))</x:f>
      </x:c>
      <x:c r="M1338" t="n">
        <x:f>--($A1338&lt;&gt;"")</x:f>
        <x:v>1</x:v>
      </x:c>
    </x:row>
    <x:row r="1339">
      <x:c r="A1339" s="10" t="n">
        <x:f>IF(Assumptions!$B$5+INT((ROW()-2)/Assumptions!$B$7)&gt;Assumptions!$B$6,"",Assumptions!$B$5+INT((ROW()-2)/Assumptions!$B$7))</x:f>
        <x:v>46290</x:v>
      </x:c>
      <x:c r="B1339" t="str">
        <x:f>IF($A1339="","",INDEX(Assumptions!$D$5:$D$12,MOD(ROW()-2,Assumptions!$B$7)+1))</x:f>
        <x:v>Nostromo Deep</x:v>
      </x:c>
      <x:c r="C1339" s="11" t="n">
        <x:f>IF($A1339="","",INDEX(Assumptions!$F$5:$F$12,MATCH($B1339,Assumptions!$D$5:$D$12,0)))</x:f>
        <x:v>1260</x:v>
      </x:c>
      <x:c r="D1339" s="11" t="n">
        <x:f>IF($A1339="","",INDEX(Assumptions!$G$5:$G$12,MATCH($B1339,Assumptions!$D$5:$D$12,0)))</x:f>
        <x:v>145</x:v>
      </x:c>
      <x:c r="E1339" s="11" t="n">
        <x:f>IF($A1339="","",INDEX(Assumptions!$M$5:$M$11,WEEKDAY($A1339,2)))</x:f>
        <x:v>0.98</x:v>
      </x:c>
      <x:c r="F1339" s="11" t="n">
        <x:f>IF($A1339="","",Assumptions!$B$15)</x:f>
        <x:v>0.35</x:v>
      </x:c>
      <x:c r="G1339" s="11" t="n">
        <x:f>IF($A1339="","",MAX(INDEX(Assumptions!$H$5:$H$12,MATCH($B1339,Assumptions!$D$5:$D$12,0)),MIN(INDEX(Assumptions!$I$5:$I$12,MATCH($B1339,Assumptions!$D$5:$D$12,0)),($C1339+$D1339*SQRT(-2*LN(RAND()))*COS(2*PI()*RAND()))*$E1339*$J1339*$K1339)))</x:f>
        <x:v>1330.4199761705495</x:v>
      </x:c>
      <x:c r="H1339" s="11" t="n">
        <x:f>IF($A1339="","",$G1339*$F1339+$C1339*(1-$F1339))</x:f>
        <x:v>1284.6469916596923</x:v>
      </x:c>
      <x:c r="I1339" s="11" t="n">
        <x:f>IF($A1339="","",AVERAGE($H1339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1270.1805282207933</x:v>
      </x:c>
      <x:c r="J1339" s="12" t="n">
        <x:f>IF($A1339="","",1+SUMIFS(Assumptions!$S$5:$S$10,Assumptions!$P$5:$P$10,$B1339,Assumptions!$Q$5:$Q$10,"&lt;="&amp;$A1339,Assumptions!$R$5:$R$10,"&gt;="&amp;$A1339))</x:f>
        <x:v>1</x:v>
      </x:c>
      <x:c r="K1339" s="12" t="n">
        <x:f>IF($A1339="","",1+((($A1339-Assumptions!$B$5)/30)*INDEX(Assumptions!$J$5:$J$12,MATCH($B1339,Assumptions!$D$5:$D$12,0))))</x:f>
        <x:v>1.0267</x:v>
      </x:c>
      <x:c r="L1339" t="str">
        <x:f>IF($A1339="","",IFERROR(INDEX(Assumptions!$O$5:$O$10,MATCH(1,(Assumptions!$P$5:$P$10=$B1339)*(Assumptions!$Q$5:$Q$10&lt;=$A1339)*(Assumptions!$R$5:$R$10&gt;=$A1339),0)),""))</x:f>
      </x:c>
      <x:c r="M1339" t="n">
        <x:f>--($A1339&lt;&gt;"")</x:f>
        <x:v>1</x:v>
      </x:c>
    </x:row>
    <x:row r="1340">
      <x:c r="A1340" s="10" t="n">
        <x:f>IF(Assumptions!$B$5+INT((ROW()-2)/Assumptions!$B$7)&gt;Assumptions!$B$6,"",Assumptions!$B$5+INT((ROW()-2)/Assumptions!$B$7))</x:f>
        <x:v>46290</x:v>
      </x:c>
      <x:c r="B1340" t="str">
        <x:f>IF($A1340="","",INDEX(Assumptions!$D$5:$D$12,MOD(ROW()-2,Assumptions!$B$7)+1))</x:f>
        <x:v>Hadley's Hope</x:v>
      </x:c>
      <x:c r="C1340" s="11" t="n">
        <x:f>IF($A1340="","",INDEX(Assumptions!$F$5:$F$12,MATCH($B1340,Assumptions!$D$5:$D$12,0)))</x:f>
        <x:v>845</x:v>
      </x:c>
      <x:c r="D1340" s="11" t="n">
        <x:f>IF($A1340="","",INDEX(Assumptions!$G$5:$G$12,MATCH($B1340,Assumptions!$D$5:$D$12,0)))</x:f>
        <x:v>80</x:v>
      </x:c>
      <x:c r="E1340" s="11" t="n">
        <x:f>IF($A1340="","",INDEX(Assumptions!$M$5:$M$11,WEEKDAY($A1340,2)))</x:f>
        <x:v>0.98</x:v>
      </x:c>
      <x:c r="F1340" s="11" t="n">
        <x:f>IF($A1340="","",Assumptions!$B$15)</x:f>
        <x:v>0.35</x:v>
      </x:c>
      <x:c r="G1340" s="11" t="n">
        <x:f>IF($A1340="","",MAX(INDEX(Assumptions!$H$5:$H$12,MATCH($B1340,Assumptions!$D$5:$D$12,0)),MIN(INDEX(Assumptions!$I$5:$I$12,MATCH($B1340,Assumptions!$D$5:$D$12,0)),($C1340+$D1340*SQRT(-2*LN(RAND()))*COS(2*PI()*RAND()))*$E1340*$J1340*$K1340)))</x:f>
        <x:v>873.5876374732419</x:v>
      </x:c>
      <x:c r="H1340" s="11" t="n">
        <x:f>IF($A1340="","",$G1340*$F1340+$C1340*(1-$F1340))</x:f>
        <x:v>855.0056731156346</x:v>
      </x:c>
      <x:c r="I1340" s="11" t="n">
        <x:f>IF($A1340="","",AVERAGE($H1340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856.2141462199548</x:v>
      </x:c>
      <x:c r="J1340" s="12" t="n">
        <x:f>IF($A1340="","",1+SUMIFS(Assumptions!$S$5:$S$10,Assumptions!$P$5:$P$10,$B1340,Assumptions!$Q$5:$Q$10,"&lt;="&amp;$A1340,Assumptions!$R$5:$R$10,"&gt;="&amp;$A1340))</x:f>
        <x:v>1</x:v>
      </x:c>
      <x:c r="K1340" s="12" t="n">
        <x:f>IF($A1340="","",1+((($A1340-Assumptions!$B$5)/30)*INDEX(Assumptions!$J$5:$J$12,MATCH($B1340,Assumptions!$D$5:$D$12,0))))</x:f>
        <x:v>1.0089</x:v>
      </x:c>
      <x:c r="L1340" t="str">
        <x:f>IF($A1340="","",IFERROR(INDEX(Assumptions!$O$5:$O$10,MATCH(1,(Assumptions!$P$5:$P$10=$B1340)*(Assumptions!$Q$5:$Q$10&lt;=$A1340)*(Assumptions!$R$5:$R$10&gt;=$A1340),0)),""))</x:f>
      </x:c>
      <x:c r="M1340" t="n">
        <x:f>--($A1340&lt;&gt;"")</x:f>
        <x:v>1</x:v>
      </x:c>
    </x:row>
    <x:row r="1341">
      <x:c r="A1341" s="10" t="n">
        <x:f>IF(Assumptions!$B$5+INT((ROW()-2)/Assumptions!$B$7)&gt;Assumptions!$B$6,"",Assumptions!$B$5+INT((ROW()-2)/Assumptions!$B$7))</x:f>
        <x:v>46290</x:v>
      </x:c>
      <x:c r="B1341" t="str">
        <x:f>IF($A1341="","",INDEX(Assumptions!$D$5:$D$12,MOD(ROW()-2,Assumptions!$B$7)+1))</x:f>
        <x:v>Yutani Ridge</x:v>
      </x:c>
      <x:c r="C1341" s="11" t="n">
        <x:f>IF($A1341="","",INDEX(Assumptions!$F$5:$F$12,MATCH($B1341,Assumptions!$D$5:$D$12,0)))</x:f>
        <x:v>1050</x:v>
      </x:c>
      <x:c r="D1341" s="11" t="n">
        <x:f>IF($A1341="","",INDEX(Assumptions!$G$5:$G$12,MATCH($B1341,Assumptions!$D$5:$D$12,0)))</x:f>
        <x:v>125</x:v>
      </x:c>
      <x:c r="E1341" s="11" t="n">
        <x:f>IF($A1341="","",INDEX(Assumptions!$M$5:$M$11,WEEKDAY($A1341,2)))</x:f>
        <x:v>0.98</x:v>
      </x:c>
      <x:c r="F1341" s="11" t="n">
        <x:f>IF($A1341="","",Assumptions!$B$15)</x:f>
        <x:v>0.35</x:v>
      </x:c>
      <x:c r="G1341" s="11" t="n">
        <x:f>IF($A1341="","",MAX(INDEX(Assumptions!$H$5:$H$12,MATCH($B1341,Assumptions!$D$5:$D$12,0)),MIN(INDEX(Assumptions!$I$5:$I$12,MATCH($B1341,Assumptions!$D$5:$D$12,0)),($C1341+$D1341*SQRT(-2*LN(RAND()))*COS(2*PI()*RAND()))*$E1341*$J1341*$K1341)))</x:f>
        <x:v>1004.9806717167265</x:v>
      </x:c>
      <x:c r="H1341" s="11" t="n">
        <x:f>IF($A1341="","",$G1341*$F1341+$C1341*(1-$F1341))</x:f>
        <x:v>1034.2432351008542</x:v>
      </x:c>
      <x:c r="I1341" s="11" t="n">
        <x:f>IF($A1341="","",AVERAGE($H1341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1042.434512267205</x:v>
      </x:c>
      <x:c r="J1341" s="12" t="n">
        <x:f>IF($A1341="","",1+SUMIFS(Assumptions!$S$5:$S$10,Assumptions!$P$5:$P$10,$B1341,Assumptions!$Q$5:$Q$10,"&lt;="&amp;$A1341,Assumptions!$R$5:$R$10,"&gt;="&amp;$A1341))</x:f>
        <x:v>1</x:v>
      </x:c>
      <x:c r="K1341" s="12" t="n">
        <x:f>IF($A1341="","",1+((($A1341-Assumptions!$B$5)/30)*INDEX(Assumptions!$J$5:$J$12,MATCH($B1341,Assumptions!$D$5:$D$12,0))))</x:f>
        <x:v>1.02225</x:v>
      </x:c>
      <x:c r="L1341" t="str">
        <x:f>IF($A1341="","",IFERROR(INDEX(Assumptions!$O$5:$O$10,MATCH(1,(Assumptions!$P$5:$P$10=$B1341)*(Assumptions!$Q$5:$Q$10&lt;=$A1341)*(Assumptions!$R$5:$R$10&gt;=$A1341),0)),""))</x:f>
      </x:c>
      <x:c r="M1341" t="n">
        <x:f>--($A1341&lt;&gt;"")</x:f>
        <x:v>1</x:v>
      </x:c>
    </x:row>
    <x:row r="1342">
      <x:c r="A1342" s="10" t="n">
        <x:f>IF(Assumptions!$B$5+INT((ROW()-2)/Assumptions!$B$7)&gt;Assumptions!$B$6,"",Assumptions!$B$5+INT((ROW()-2)/Assumptions!$B$7))</x:f>
        <x:v>46291</x:v>
      </x:c>
      <x:c r="B1342" t="str">
        <x:f>IF($A1342="","",INDEX(Assumptions!$D$5:$D$12,MOD(ROW()-2,Assumptions!$B$7)+1))</x:f>
        <x:v>Acheron Prime</x:v>
      </x:c>
      <x:c r="C1342" s="11" t="n">
        <x:f>IF($A1342="","",INDEX(Assumptions!$F$5:$F$12,MATCH($B1342,Assumptions!$D$5:$D$12,0)))</x:f>
        <x:v>1120</x:v>
      </x:c>
      <x:c r="D1342" s="11" t="n">
        <x:f>IF($A1342="","",INDEX(Assumptions!$G$5:$G$12,MATCH($B1342,Assumptions!$D$5:$D$12,0)))</x:f>
        <x:v>115</x:v>
      </x:c>
      <x:c r="E1342" s="11" t="n">
        <x:f>IF($A1342="","",INDEX(Assumptions!$M$5:$M$11,WEEKDAY($A1342,2)))</x:f>
        <x:v>0.91</x:v>
      </x:c>
      <x:c r="F1342" s="11" t="n">
        <x:f>IF($A1342="","",Assumptions!$B$15)</x:f>
        <x:v>0.35</x:v>
      </x:c>
      <x:c r="G1342" s="11" t="n">
        <x:f>IF($A1342="","",MAX(INDEX(Assumptions!$H$5:$H$12,MATCH($B1342,Assumptions!$D$5:$D$12,0)),MIN(INDEX(Assumptions!$I$5:$I$12,MATCH($B1342,Assumptions!$D$5:$D$12,0)),($C1342+$D1342*SQRT(-2*LN(RAND()))*COS(2*PI()*RAND()))*$E1342*$J1342*$K1342)))</x:f>
        <x:v>1243.4232228734859</x:v>
      </x:c>
      <x:c r="H1342" s="11" t="n">
        <x:f>IF($A1342="","",$G1342*$F1342+$C1342*(1-$F1342))</x:f>
        <x:v>1163.19812800572</x:v>
      </x:c>
      <x:c r="I1342" s="11" t="n">
        <x:f>IF($A1342="","",AVERAGE($H1342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1126.368515117007</x:v>
      </x:c>
      <x:c r="J1342" s="12" t="n">
        <x:f>IF($A1342="","",1+SUMIFS(Assumptions!$S$5:$S$10,Assumptions!$P$5:$P$10,$B1342,Assumptions!$Q$5:$Q$10,"&lt;="&amp;$A1342,Assumptions!$R$5:$R$10,"&gt;="&amp;$A1342))</x:f>
        <x:v>1</x:v>
      </x:c>
      <x:c r="K1342" s="12" t="n">
        <x:f>IF($A1342="","",1+((($A1342-Assumptions!$B$5)/30)*INDEX(Assumptions!$J$5:$J$12,MATCH($B1342,Assumptions!$D$5:$D$12,0))))</x:f>
        <x:v>1.0178666666666667</x:v>
      </x:c>
      <x:c r="L1342" t="str">
        <x:f>IF($A1342="","",IFERROR(INDEX(Assumptions!$O$5:$O$10,MATCH(1,(Assumptions!$P$5:$P$10=$B1342)*(Assumptions!$Q$5:$Q$10&lt;=$A1342)*(Assumptions!$R$5:$R$10&gt;=$A1342),0)),""))</x:f>
      </x:c>
      <x:c r="M1342" t="n">
        <x:f>--($A1342&lt;&gt;"")</x:f>
        <x:v>1</x:v>
      </x:c>
    </x:row>
    <x:row r="1343">
      <x:c r="A1343" s="10" t="n">
        <x:f>IF(Assumptions!$B$5+INT((ROW()-2)/Assumptions!$B$7)&gt;Assumptions!$B$6,"",Assumptions!$B$5+INT((ROW()-2)/Assumptions!$B$7))</x:f>
        <x:v>46291</x:v>
      </x:c>
      <x:c r="B1343" t="str">
        <x:f>IF($A1343="","",INDEX(Assumptions!$D$5:$D$12,MOD(ROW()-2,Assumptions!$B$7)+1))</x:f>
        <x:v>LV-426 North</x:v>
      </x:c>
      <x:c r="C1343" s="11" t="n">
        <x:f>IF($A1343="","",INDEX(Assumptions!$F$5:$F$12,MATCH($B1343,Assumptions!$D$5:$D$12,0)))</x:f>
        <x:v>930</x:v>
      </x:c>
      <x:c r="D1343" s="11" t="n">
        <x:f>IF($A1343="","",INDEX(Assumptions!$G$5:$G$12,MATCH($B1343,Assumptions!$D$5:$D$12,0)))</x:f>
        <x:v>95</x:v>
      </x:c>
      <x:c r="E1343" s="11" t="n">
        <x:f>IF($A1343="","",INDEX(Assumptions!$M$5:$M$11,WEEKDAY($A1343,2)))</x:f>
        <x:v>0.91</x:v>
      </x:c>
      <x:c r="F1343" s="11" t="n">
        <x:f>IF($A1343="","",Assumptions!$B$15)</x:f>
        <x:v>0.35</x:v>
      </x:c>
      <x:c r="G1343" s="11" t="n">
        <x:f>IF($A1343="","",MAX(INDEX(Assumptions!$H$5:$H$12,MATCH($B1343,Assumptions!$D$5:$D$12,0)),MIN(INDEX(Assumptions!$I$5:$I$12,MATCH($B1343,Assumptions!$D$5:$D$12,0)),($C1343+$D1343*SQRT(-2*LN(RAND()))*COS(2*PI()*RAND()))*$E1343*$J1343*$K1343)))</x:f>
        <x:v>819.4529636625005</x:v>
      </x:c>
      <x:c r="H1343" s="11" t="n">
        <x:f>IF($A1343="","",$G1343*$F1343+$C1343*(1-$F1343))</x:f>
        <x:v>891.3085372818751</x:v>
      </x:c>
      <x:c r="I1343" s="11" t="n">
        <x:f>IF($A1343="","",AVERAGE($H1343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899.205317791659</x:v>
      </x:c>
      <x:c r="J1343" s="12" t="n">
        <x:f>IF($A1343="","",1+SUMIFS(Assumptions!$S$5:$S$10,Assumptions!$P$5:$P$10,$B1343,Assumptions!$Q$5:$Q$10,"&lt;="&amp;$A1343,Assumptions!$R$5:$R$10,"&gt;="&amp;$A1343))</x:f>
        <x:v>1</x:v>
      </x:c>
      <x:c r="K1343" s="12" t="n">
        <x:f>IF($A1343="","",1+((($A1343-Assumptions!$B$5)/30)*INDEX(Assumptions!$J$5:$J$12,MATCH($B1343,Assumptions!$D$5:$D$12,0))))</x:f>
        <x:v>0.9910666666666667</x:v>
      </x:c>
      <x:c r="L1343" t="str">
        <x:f>IF($A1343="","",IFERROR(INDEX(Assumptions!$O$5:$O$10,MATCH(1,(Assumptions!$P$5:$P$10=$B1343)*(Assumptions!$Q$5:$Q$10&lt;=$A1343)*(Assumptions!$R$5:$R$10&gt;=$A1343),0)),""))</x:f>
      </x:c>
      <x:c r="M1343" t="n">
        <x:f>--($A1343&lt;&gt;"")</x:f>
        <x:v>1</x:v>
      </x:c>
    </x:row>
    <x:row r="1344">
      <x:c r="A1344" s="10" t="n">
        <x:f>IF(Assumptions!$B$5+INT((ROW()-2)/Assumptions!$B$7)&gt;Assumptions!$B$6,"",Assumptions!$B$5+INT((ROW()-2)/Assumptions!$B$7))</x:f>
        <x:v>46291</x:v>
      </x:c>
      <x:c r="B1344" t="str">
        <x:f>IF($A1344="","",INDEX(Assumptions!$D$5:$D$12,MOD(ROW()-2,Assumptions!$B$7)+1))</x:f>
        <x:v>Nostromo Deep</x:v>
      </x:c>
      <x:c r="C1344" s="11" t="n">
        <x:f>IF($A1344="","",INDEX(Assumptions!$F$5:$F$12,MATCH($B1344,Assumptions!$D$5:$D$12,0)))</x:f>
        <x:v>1260</x:v>
      </x:c>
      <x:c r="D1344" s="11" t="n">
        <x:f>IF($A1344="","",INDEX(Assumptions!$G$5:$G$12,MATCH($B1344,Assumptions!$D$5:$D$12,0)))</x:f>
        <x:v>145</x:v>
      </x:c>
      <x:c r="E1344" s="11" t="n">
        <x:f>IF($A1344="","",INDEX(Assumptions!$M$5:$M$11,WEEKDAY($A1344,2)))</x:f>
        <x:v>0.91</x:v>
      </x:c>
      <x:c r="F1344" s="11" t="n">
        <x:f>IF($A1344="","",Assumptions!$B$15)</x:f>
        <x:v>0.35</x:v>
      </x:c>
      <x:c r="G1344" s="11" t="n">
        <x:f>IF($A1344="","",MAX(INDEX(Assumptions!$H$5:$H$12,MATCH($B1344,Assumptions!$D$5:$D$12,0)),MIN(INDEX(Assumptions!$I$5:$I$12,MATCH($B1344,Assumptions!$D$5:$D$12,0)),($C1344+$D1344*SQRT(-2*LN(RAND()))*COS(2*PI()*RAND()))*$E1344*$J1344*$K1344)))</x:f>
        <x:v>1128.1475467325656</x:v>
      </x:c>
      <x:c r="H1344" s="11" t="n">
        <x:f>IF($A1344="","",$G1344*$F1344+$C1344*(1-$F1344))</x:f>
        <x:v>1213.851641356398</x:v>
      </x:c>
      <x:c r="I1344" s="11" t="n">
        <x:f>IF($A1344="","",AVERAGE($H1344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1263.8987225942512</x:v>
      </x:c>
      <x:c r="J1344" s="12" t="n">
        <x:f>IF($A1344="","",1+SUMIFS(Assumptions!$S$5:$S$10,Assumptions!$P$5:$P$10,$B1344,Assumptions!$Q$5:$Q$10,"&lt;="&amp;$A1344,Assumptions!$R$5:$R$10,"&gt;="&amp;$A1344))</x:f>
        <x:v>1</x:v>
      </x:c>
      <x:c r="K1344" s="12" t="n">
        <x:f>IF($A1344="","",1+((($A1344-Assumptions!$B$5)/30)*INDEX(Assumptions!$J$5:$J$12,MATCH($B1344,Assumptions!$D$5:$D$12,0))))</x:f>
        <x:v>1.0268</x:v>
      </x:c>
      <x:c r="L1344" t="str">
        <x:f>IF($A1344="","",IFERROR(INDEX(Assumptions!$O$5:$O$10,MATCH(1,(Assumptions!$P$5:$P$10=$B1344)*(Assumptions!$Q$5:$Q$10&lt;=$A1344)*(Assumptions!$R$5:$R$10&gt;=$A1344),0)),""))</x:f>
      </x:c>
      <x:c r="M1344" t="n">
        <x:f>--($A1344&lt;&gt;"")</x:f>
        <x:v>1</x:v>
      </x:c>
    </x:row>
    <x:row r="1345">
      <x:c r="A1345" s="10" t="n">
        <x:f>IF(Assumptions!$B$5+INT((ROW()-2)/Assumptions!$B$7)&gt;Assumptions!$B$6,"",Assumptions!$B$5+INT((ROW()-2)/Assumptions!$B$7))</x:f>
        <x:v>46291</x:v>
      </x:c>
      <x:c r="B1345" t="str">
        <x:f>IF($A1345="","",INDEX(Assumptions!$D$5:$D$12,MOD(ROW()-2,Assumptions!$B$7)+1))</x:f>
        <x:v>Hadley's Hope</x:v>
      </x:c>
      <x:c r="C1345" s="11" t="n">
        <x:f>IF($A1345="","",INDEX(Assumptions!$F$5:$F$12,MATCH($B1345,Assumptions!$D$5:$D$12,0)))</x:f>
        <x:v>845</x:v>
      </x:c>
      <x:c r="D1345" s="11" t="n">
        <x:f>IF($A1345="","",INDEX(Assumptions!$G$5:$G$12,MATCH($B1345,Assumptions!$D$5:$D$12,0)))</x:f>
        <x:v>80</x:v>
      </x:c>
      <x:c r="E1345" s="11" t="n">
        <x:f>IF($A1345="","",INDEX(Assumptions!$M$5:$M$11,WEEKDAY($A1345,2)))</x:f>
        <x:v>0.91</x:v>
      </x:c>
      <x:c r="F1345" s="11" t="n">
        <x:f>IF($A1345="","",Assumptions!$B$15)</x:f>
        <x:v>0.35</x:v>
      </x:c>
      <x:c r="G1345" s="11" t="n">
        <x:f>IF($A1345="","",MAX(INDEX(Assumptions!$H$5:$H$12,MATCH($B1345,Assumptions!$D$5:$D$12,0)),MIN(INDEX(Assumptions!$I$5:$I$12,MATCH($B1345,Assumptions!$D$5:$D$12,0)),($C1345+$D1345*SQRT(-2*LN(RAND()))*COS(2*PI()*RAND()))*$E1345*$J1345*$K1345)))</x:f>
        <x:v>762.8731647296617</x:v>
      </x:c>
      <x:c r="H1345" s="11" t="n">
        <x:f>IF($A1345="","",$G1345*$F1345+$C1345*(1-$F1345))</x:f>
        <x:v>816.2556076553815</x:v>
      </x:c>
      <x:c r="I1345" s="11" t="n">
        <x:f>IF($A1345="","",AVERAGE($H1345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850.4267482838619</x:v>
      </x:c>
      <x:c r="J1345" s="12" t="n">
        <x:f>IF($A1345="","",1+SUMIFS(Assumptions!$S$5:$S$10,Assumptions!$P$5:$P$10,$B1345,Assumptions!$Q$5:$Q$10,"&lt;="&amp;$A1345,Assumptions!$R$5:$R$10,"&gt;="&amp;$A1345))</x:f>
        <x:v>1</x:v>
      </x:c>
      <x:c r="K1345" s="12" t="n">
        <x:f>IF($A1345="","",1+((($A1345-Assumptions!$B$5)/30)*INDEX(Assumptions!$J$5:$J$12,MATCH($B1345,Assumptions!$D$5:$D$12,0))))</x:f>
        <x:v>1.0089333333333332</x:v>
      </x:c>
      <x:c r="L1345" t="str">
        <x:f>IF($A1345="","",IFERROR(INDEX(Assumptions!$O$5:$O$10,MATCH(1,(Assumptions!$P$5:$P$10=$B1345)*(Assumptions!$Q$5:$Q$10&lt;=$A1345)*(Assumptions!$R$5:$R$10&gt;=$A1345),0)),""))</x:f>
      </x:c>
      <x:c r="M1345" t="n">
        <x:f>--($A1345&lt;&gt;"")</x:f>
        <x:v>1</x:v>
      </x:c>
    </x:row>
    <x:row r="1346">
      <x:c r="A1346" s="10" t="n">
        <x:f>IF(Assumptions!$B$5+INT((ROW()-2)/Assumptions!$B$7)&gt;Assumptions!$B$6,"",Assumptions!$B$5+INT((ROW()-2)/Assumptions!$B$7))</x:f>
        <x:v>46291</x:v>
      </x:c>
      <x:c r="B1346" t="str">
        <x:f>IF($A1346="","",INDEX(Assumptions!$D$5:$D$12,MOD(ROW()-2,Assumptions!$B$7)+1))</x:f>
        <x:v>Yutani Ridge</x:v>
      </x:c>
      <x:c r="C1346" s="11" t="n">
        <x:f>IF($A1346="","",INDEX(Assumptions!$F$5:$F$12,MATCH($B1346,Assumptions!$D$5:$D$12,0)))</x:f>
        <x:v>1050</x:v>
      </x:c>
      <x:c r="D1346" s="11" t="n">
        <x:f>IF($A1346="","",INDEX(Assumptions!$G$5:$G$12,MATCH($B1346,Assumptions!$D$5:$D$12,0)))</x:f>
        <x:v>125</x:v>
      </x:c>
      <x:c r="E1346" s="11" t="n">
        <x:f>IF($A1346="","",INDEX(Assumptions!$M$5:$M$11,WEEKDAY($A1346,2)))</x:f>
        <x:v>0.91</x:v>
      </x:c>
      <x:c r="F1346" s="11" t="n">
        <x:f>IF($A1346="","",Assumptions!$B$15)</x:f>
        <x:v>0.35</x:v>
      </x:c>
      <x:c r="G1346" s="11" t="n">
        <x:f>IF($A1346="","",MAX(INDEX(Assumptions!$H$5:$H$12,MATCH($B1346,Assumptions!$D$5:$D$12,0)),MIN(INDEX(Assumptions!$I$5:$I$12,MATCH($B1346,Assumptions!$D$5:$D$12,0)),($C1346+$D1346*SQRT(-2*LN(RAND()))*COS(2*PI()*RAND()))*$E1346*$J1346*$K1346)))</x:f>
        <x:v>992.1303198920328</x:v>
      </x:c>
      <x:c r="H1346" s="11" t="n">
        <x:f>IF($A1346="","",$G1346*$F1346+$C1346*(1-$F1346))</x:f>
        <x:v>1029.7456119622116</x:v>
      </x:c>
      <x:c r="I1346" s="11" t="n">
        <x:f>IF($A1346="","",AVERAGE($H1346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1045.942795678909</x:v>
      </x:c>
      <x:c r="J1346" s="12" t="n">
        <x:f>IF($A1346="","",1+SUMIFS(Assumptions!$S$5:$S$10,Assumptions!$P$5:$P$10,$B1346,Assumptions!$Q$5:$Q$10,"&lt;="&amp;$A1346,Assumptions!$R$5:$R$10,"&gt;="&amp;$A1346))</x:f>
        <x:v>1</x:v>
      </x:c>
      <x:c r="K1346" s="12" t="n">
        <x:f>IF($A1346="","",1+((($A1346-Assumptions!$B$5)/30)*INDEX(Assumptions!$J$5:$J$12,MATCH($B1346,Assumptions!$D$5:$D$12,0))))</x:f>
        <x:v>1.0223333333333333</x:v>
      </x:c>
      <x:c r="L1346" t="str">
        <x:f>IF($A1346="","",IFERROR(INDEX(Assumptions!$O$5:$O$10,MATCH(1,(Assumptions!$P$5:$P$10=$B1346)*(Assumptions!$Q$5:$Q$10&lt;=$A1346)*(Assumptions!$R$5:$R$10&gt;=$A1346),0)),""))</x:f>
      </x:c>
      <x:c r="M1346" t="n">
        <x:f>--($A1346&lt;&gt;"")</x:f>
        <x:v>1</x:v>
      </x:c>
    </x:row>
    <x:row r="1347">
      <x:c r="A1347" s="10" t="n">
        <x:f>IF(Assumptions!$B$5+INT((ROW()-2)/Assumptions!$B$7)&gt;Assumptions!$B$6,"",Assumptions!$B$5+INT((ROW()-2)/Assumptions!$B$7))</x:f>
        <x:v>46292</x:v>
      </x:c>
      <x:c r="B1347" t="str">
        <x:f>IF($A1347="","",INDEX(Assumptions!$D$5:$D$12,MOD(ROW()-2,Assumptions!$B$7)+1))</x:f>
        <x:v>Acheron Prime</x:v>
      </x:c>
      <x:c r="C1347" s="11" t="n">
        <x:f>IF($A1347="","",INDEX(Assumptions!$F$5:$F$12,MATCH($B1347,Assumptions!$D$5:$D$12,0)))</x:f>
        <x:v>1120</x:v>
      </x:c>
      <x:c r="D1347" s="11" t="n">
        <x:f>IF($A1347="","",INDEX(Assumptions!$G$5:$G$12,MATCH($B1347,Assumptions!$D$5:$D$12,0)))</x:f>
        <x:v>115</x:v>
      </x:c>
      <x:c r="E1347" s="11" t="n">
        <x:f>IF($A1347="","",INDEX(Assumptions!$M$5:$M$11,WEEKDAY($A1347,2)))</x:f>
        <x:v>0.87</x:v>
      </x:c>
      <x:c r="F1347" s="11" t="n">
        <x:f>IF($A1347="","",Assumptions!$B$15)</x:f>
        <x:v>0.35</x:v>
      </x:c>
      <x:c r="G1347" s="11" t="n">
        <x:f>IF($A1347="","",MAX(INDEX(Assumptions!$H$5:$H$12,MATCH($B1347,Assumptions!$D$5:$D$12,0)),MIN(INDEX(Assumptions!$I$5:$I$12,MATCH($B1347,Assumptions!$D$5:$D$12,0)),($C1347+$D1347*SQRT(-2*LN(RAND()))*COS(2*PI()*RAND()))*$E1347*$J1347*$K1347)))</x:f>
        <x:v>1002.293329650974</x:v>
      </x:c>
      <x:c r="H1347" s="11" t="n">
        <x:f>IF($A1347="","",$G1347*$F1347+$C1347*(1-$F1347))</x:f>
        <x:v>1078.8026653778409</x:v>
      </x:c>
      <x:c r="I1347" s="11" t="n">
        <x:f>IF($A1347="","",AVERAGE($H1347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1125.9287076038115</x:v>
      </x:c>
      <x:c r="J1347" s="12" t="n">
        <x:f>IF($A1347="","",1+SUMIFS(Assumptions!$S$5:$S$10,Assumptions!$P$5:$P$10,$B1347,Assumptions!$Q$5:$Q$10,"&lt;="&amp;$A1347,Assumptions!$R$5:$R$10,"&gt;="&amp;$A1347))</x:f>
        <x:v>1</x:v>
      </x:c>
      <x:c r="K1347" s="12" t="n">
        <x:f>IF($A1347="","",1+((($A1347-Assumptions!$B$5)/30)*INDEX(Assumptions!$J$5:$J$12,MATCH($B1347,Assumptions!$D$5:$D$12,0))))</x:f>
        <x:v>1.0179333333333334</x:v>
      </x:c>
      <x:c r="L1347" t="str">
        <x:f>IF($A1347="","",IFERROR(INDEX(Assumptions!$O$5:$O$10,MATCH(1,(Assumptions!$P$5:$P$10=$B1347)*(Assumptions!$Q$5:$Q$10&lt;=$A1347)*(Assumptions!$R$5:$R$10&gt;=$A1347),0)),""))</x:f>
      </x:c>
      <x:c r="M1347" t="n">
        <x:f>--($A1347&lt;&gt;"")</x:f>
        <x:v>1</x:v>
      </x:c>
    </x:row>
    <x:row r="1348">
      <x:c r="A1348" s="10" t="n">
        <x:f>IF(Assumptions!$B$5+INT((ROW()-2)/Assumptions!$B$7)&gt;Assumptions!$B$6,"",Assumptions!$B$5+INT((ROW()-2)/Assumptions!$B$7))</x:f>
        <x:v>46292</x:v>
      </x:c>
      <x:c r="B1348" t="str">
        <x:f>IF($A1348="","",INDEX(Assumptions!$D$5:$D$12,MOD(ROW()-2,Assumptions!$B$7)+1))</x:f>
        <x:v>LV-426 North</x:v>
      </x:c>
      <x:c r="C1348" s="11" t="n">
        <x:f>IF($A1348="","",INDEX(Assumptions!$F$5:$F$12,MATCH($B1348,Assumptions!$D$5:$D$12,0)))</x:f>
        <x:v>930</x:v>
      </x:c>
      <x:c r="D1348" s="11" t="n">
        <x:f>IF($A1348="","",INDEX(Assumptions!$G$5:$G$12,MATCH($B1348,Assumptions!$D$5:$D$12,0)))</x:f>
        <x:v>95</x:v>
      </x:c>
      <x:c r="E1348" s="11" t="n">
        <x:f>IF($A1348="","",INDEX(Assumptions!$M$5:$M$11,WEEKDAY($A1348,2)))</x:f>
        <x:v>0.87</x:v>
      </x:c>
      <x:c r="F1348" s="11" t="n">
        <x:f>IF($A1348="","",Assumptions!$B$15)</x:f>
        <x:v>0.35</x:v>
      </x:c>
      <x:c r="G1348" s="11" t="n">
        <x:f>IF($A1348="","",MAX(INDEX(Assumptions!$H$5:$H$12,MATCH($B1348,Assumptions!$D$5:$D$12,0)),MIN(INDEX(Assumptions!$I$5:$I$12,MATCH($B1348,Assumptions!$D$5:$D$12,0)),($C1348+$D1348*SQRT(-2*LN(RAND()))*COS(2*PI()*RAND()))*$E1348*$J1348*$K1348)))</x:f>
        <x:v>809.8279437156982</x:v>
      </x:c>
      <x:c r="H1348" s="11" t="n">
        <x:f>IF($A1348="","",$G1348*$F1348+$C1348*(1-$F1348))</x:f>
        <x:v>887.9397803004944</x:v>
      </x:c>
      <x:c r="I1348" s="11" t="n">
        <x:f>IF($A1348="","",AVERAGE($H1348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907.0107454664951</x:v>
      </x:c>
      <x:c r="J1348" s="12" t="n">
        <x:f>IF($A1348="","",1+SUMIFS(Assumptions!$S$5:$S$10,Assumptions!$P$5:$P$10,$B1348,Assumptions!$Q$5:$Q$10,"&lt;="&amp;$A1348,Assumptions!$R$5:$R$10,"&gt;="&amp;$A1348))</x:f>
        <x:v>1</x:v>
      </x:c>
      <x:c r="K1348" s="12" t="n">
        <x:f>IF($A1348="","",1+((($A1348-Assumptions!$B$5)/30)*INDEX(Assumptions!$J$5:$J$12,MATCH($B1348,Assumptions!$D$5:$D$12,0))))</x:f>
        <x:v>0.9910333333333333</x:v>
      </x:c>
      <x:c r="L1348" t="str">
        <x:f>IF($A1348="","",IFERROR(INDEX(Assumptions!$O$5:$O$10,MATCH(1,(Assumptions!$P$5:$P$10=$B1348)*(Assumptions!$Q$5:$Q$10&lt;=$A1348)*(Assumptions!$R$5:$R$10&gt;=$A1348),0)),""))</x:f>
      </x:c>
      <x:c r="M1348" t="n">
        <x:f>--($A1348&lt;&gt;"")</x:f>
        <x:v>1</x:v>
      </x:c>
    </x:row>
    <x:row r="1349">
      <x:c r="A1349" s="10" t="n">
        <x:f>IF(Assumptions!$B$5+INT((ROW()-2)/Assumptions!$B$7)&gt;Assumptions!$B$6,"",Assumptions!$B$5+INT((ROW()-2)/Assumptions!$B$7))</x:f>
        <x:v>46292</x:v>
      </x:c>
      <x:c r="B1349" t="str">
        <x:f>IF($A1349="","",INDEX(Assumptions!$D$5:$D$12,MOD(ROW()-2,Assumptions!$B$7)+1))</x:f>
        <x:v>Nostromo Deep</x:v>
      </x:c>
      <x:c r="C1349" s="11" t="n">
        <x:f>IF($A1349="","",INDEX(Assumptions!$F$5:$F$12,MATCH($B1349,Assumptions!$D$5:$D$12,0)))</x:f>
        <x:v>1260</x:v>
      </x:c>
      <x:c r="D1349" s="11" t="n">
        <x:f>IF($A1349="","",INDEX(Assumptions!$G$5:$G$12,MATCH($B1349,Assumptions!$D$5:$D$12,0)))</x:f>
        <x:v>145</x:v>
      </x:c>
      <x:c r="E1349" s="11" t="n">
        <x:f>IF($A1349="","",INDEX(Assumptions!$M$5:$M$11,WEEKDAY($A1349,2)))</x:f>
        <x:v>0.87</x:v>
      </x:c>
      <x:c r="F1349" s="11" t="n">
        <x:f>IF($A1349="","",Assumptions!$B$15)</x:f>
        <x:v>0.35</x:v>
      </x:c>
      <x:c r="G1349" s="11" t="n">
        <x:f>IF($A1349="","",MAX(INDEX(Assumptions!$H$5:$H$12,MATCH($B1349,Assumptions!$D$5:$D$12,0)),MIN(INDEX(Assumptions!$I$5:$I$12,MATCH($B1349,Assumptions!$D$5:$D$12,0)),($C1349+$D1349*SQRT(-2*LN(RAND()))*COS(2*PI()*RAND()))*$E1349*$J1349*$K1349)))</x:f>
        <x:v>1103.4881188641482</x:v>
      </x:c>
      <x:c r="H1349" s="11" t="n">
        <x:f>IF($A1349="","",$G1349*$F1349+$C1349*(1-$F1349))</x:f>
        <x:v>1205.2208416024519</x:v>
      </x:c>
      <x:c r="I1349" s="11" t="n">
        <x:f>IF($A1349="","",AVERAGE($H1349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1258.2114793082403</x:v>
      </x:c>
      <x:c r="J1349" s="12" t="n">
        <x:f>IF($A1349="","",1+SUMIFS(Assumptions!$S$5:$S$10,Assumptions!$P$5:$P$10,$B1349,Assumptions!$Q$5:$Q$10,"&lt;="&amp;$A1349,Assumptions!$R$5:$R$10,"&gt;="&amp;$A1349))</x:f>
        <x:v>1</x:v>
      </x:c>
      <x:c r="K1349" s="12" t="n">
        <x:f>IF($A1349="","",1+((($A1349-Assumptions!$B$5)/30)*INDEX(Assumptions!$J$5:$J$12,MATCH($B1349,Assumptions!$D$5:$D$12,0))))</x:f>
        <x:v>1.0269</x:v>
      </x:c>
      <x:c r="L1349" t="str">
        <x:f>IF($A1349="","",IFERROR(INDEX(Assumptions!$O$5:$O$10,MATCH(1,(Assumptions!$P$5:$P$10=$B1349)*(Assumptions!$Q$5:$Q$10&lt;=$A1349)*(Assumptions!$R$5:$R$10&gt;=$A1349),0)),""))</x:f>
      </x:c>
      <x:c r="M1349" t="n">
        <x:f>--($A1349&lt;&gt;"")</x:f>
        <x:v>1</x:v>
      </x:c>
    </x:row>
    <x:row r="1350">
      <x:c r="A1350" s="10" t="n">
        <x:f>IF(Assumptions!$B$5+INT((ROW()-2)/Assumptions!$B$7)&gt;Assumptions!$B$6,"",Assumptions!$B$5+INT((ROW()-2)/Assumptions!$B$7))</x:f>
        <x:v>46292</x:v>
      </x:c>
      <x:c r="B1350" t="str">
        <x:f>IF($A1350="","",INDEX(Assumptions!$D$5:$D$12,MOD(ROW()-2,Assumptions!$B$7)+1))</x:f>
        <x:v>Hadley's Hope</x:v>
      </x:c>
      <x:c r="C1350" s="11" t="n">
        <x:f>IF($A1350="","",INDEX(Assumptions!$F$5:$F$12,MATCH($B1350,Assumptions!$D$5:$D$12,0)))</x:f>
        <x:v>845</x:v>
      </x:c>
      <x:c r="D1350" s="11" t="n">
        <x:f>IF($A1350="","",INDEX(Assumptions!$G$5:$G$12,MATCH($B1350,Assumptions!$D$5:$D$12,0)))</x:f>
        <x:v>80</x:v>
      </x:c>
      <x:c r="E1350" s="11" t="n">
        <x:f>IF($A1350="","",INDEX(Assumptions!$M$5:$M$11,WEEKDAY($A1350,2)))</x:f>
        <x:v>0.87</x:v>
      </x:c>
      <x:c r="F1350" s="11" t="n">
        <x:f>IF($A1350="","",Assumptions!$B$15)</x:f>
        <x:v>0.35</x:v>
      </x:c>
      <x:c r="G1350" s="11" t="n">
        <x:f>IF($A1350="","",MAX(INDEX(Assumptions!$H$5:$H$12,MATCH($B1350,Assumptions!$D$5:$D$12,0)),MIN(INDEX(Assumptions!$I$5:$I$12,MATCH($B1350,Assumptions!$D$5:$D$12,0)),($C1350+$D1350*SQRT(-2*LN(RAND()))*COS(2*PI()*RAND()))*$E1350*$J1350*$K1350)))</x:f>
        <x:v>703.5880735081871</x:v>
      </x:c>
      <x:c r="H1350" s="11" t="n">
        <x:f>IF($A1350="","",$G1350*$F1350+$C1350*(1-$F1350))</x:f>
        <x:v>795.5058257278655</x:v>
      </x:c>
      <x:c r="I1350" s="11" t="n">
        <x:f>IF($A1350="","",AVERAGE($H1350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843.7492570638057</x:v>
      </x:c>
      <x:c r="J1350" s="12" t="n">
        <x:f>IF($A1350="","",1+SUMIFS(Assumptions!$S$5:$S$10,Assumptions!$P$5:$P$10,$B1350,Assumptions!$Q$5:$Q$10,"&lt;="&amp;$A1350,Assumptions!$R$5:$R$10,"&gt;="&amp;$A1350))</x:f>
        <x:v>1</x:v>
      </x:c>
      <x:c r="K1350" s="12" t="n">
        <x:f>IF($A1350="","",1+((($A1350-Assumptions!$B$5)/30)*INDEX(Assumptions!$J$5:$J$12,MATCH($B1350,Assumptions!$D$5:$D$12,0))))</x:f>
        <x:v>1.0089666666666666</x:v>
      </x:c>
      <x:c r="L1350" t="str">
        <x:f>IF($A1350="","",IFERROR(INDEX(Assumptions!$O$5:$O$10,MATCH(1,(Assumptions!$P$5:$P$10=$B1350)*(Assumptions!$Q$5:$Q$10&lt;=$A1350)*(Assumptions!$R$5:$R$10&gt;=$A1350),0)),""))</x:f>
      </x:c>
      <x:c r="M1350" t="n">
        <x:f>--($A1350&lt;&gt;"")</x:f>
        <x:v>1</x:v>
      </x:c>
    </x:row>
    <x:row r="1351">
      <x:c r="A1351" s="10" t="n">
        <x:f>IF(Assumptions!$B$5+INT((ROW()-2)/Assumptions!$B$7)&gt;Assumptions!$B$6,"",Assumptions!$B$5+INT((ROW()-2)/Assumptions!$B$7))</x:f>
        <x:v>46292</x:v>
      </x:c>
      <x:c r="B1351" t="str">
        <x:f>IF($A1351="","",INDEX(Assumptions!$D$5:$D$12,MOD(ROW()-2,Assumptions!$B$7)+1))</x:f>
        <x:v>Yutani Ridge</x:v>
      </x:c>
      <x:c r="C1351" s="11" t="n">
        <x:f>IF($A1351="","",INDEX(Assumptions!$F$5:$F$12,MATCH($B1351,Assumptions!$D$5:$D$12,0)))</x:f>
        <x:v>1050</x:v>
      </x:c>
      <x:c r="D1351" s="11" t="n">
        <x:f>IF($A1351="","",INDEX(Assumptions!$G$5:$G$12,MATCH($B1351,Assumptions!$D$5:$D$12,0)))</x:f>
        <x:v>125</x:v>
      </x:c>
      <x:c r="E1351" s="11" t="n">
        <x:f>IF($A1351="","",INDEX(Assumptions!$M$5:$M$11,WEEKDAY($A1351,2)))</x:f>
        <x:v>0.87</x:v>
      </x:c>
      <x:c r="F1351" s="11" t="n">
        <x:f>IF($A1351="","",Assumptions!$B$15)</x:f>
        <x:v>0.35</x:v>
      </x:c>
      <x:c r="G1351" s="11" t="n">
        <x:f>IF($A1351="","",MAX(INDEX(Assumptions!$H$5:$H$12,MATCH($B1351,Assumptions!$D$5:$D$12,0)),MIN(INDEX(Assumptions!$I$5:$I$12,MATCH($B1351,Assumptions!$D$5:$D$12,0)),($C1351+$D1351*SQRT(-2*LN(RAND()))*COS(2*PI()*RAND()))*$E1351*$J1351*$K1351)))</x:f>
        <x:v>1007.9553454124327</x:v>
      </x:c>
      <x:c r="H1351" s="11" t="n">
        <x:f>IF($A1351="","",$G1351*$F1351+$C1351*(1-$F1351))</x:f>
        <x:v>1035.2843708943515</x:v>
      </x:c>
      <x:c r="I1351" s="11" t="n">
        <x:f>IF($A1351="","",AVERAGE($H1351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1048.2543010366458</x:v>
      </x:c>
      <x:c r="J1351" s="12" t="n">
        <x:f>IF($A1351="","",1+SUMIFS(Assumptions!$S$5:$S$10,Assumptions!$P$5:$P$10,$B1351,Assumptions!$Q$5:$Q$10,"&lt;="&amp;$A1351,Assumptions!$R$5:$R$10,"&gt;="&amp;$A1351))</x:f>
        <x:v>1</x:v>
      </x:c>
      <x:c r="K1351" s="12" t="n">
        <x:f>IF($A1351="","",1+((($A1351-Assumptions!$B$5)/30)*INDEX(Assumptions!$J$5:$J$12,MATCH($B1351,Assumptions!$D$5:$D$12,0))))</x:f>
        <x:v>1.0224166666666668</x:v>
      </x:c>
      <x:c r="L1351" t="str">
        <x:f>IF($A1351="","",IFERROR(INDEX(Assumptions!$O$5:$O$10,MATCH(1,(Assumptions!$P$5:$P$10=$B1351)*(Assumptions!$Q$5:$Q$10&lt;=$A1351)*(Assumptions!$R$5:$R$10&gt;=$A1351),0)),""))</x:f>
      </x:c>
      <x:c r="M1351" t="n">
        <x:f>--($A1351&lt;&gt;"")</x:f>
        <x:v>1</x:v>
      </x:c>
    </x:row>
    <x:row r="1352">
      <x:c r="A1352" s="10" t="n">
        <x:f>IF(Assumptions!$B$5+INT((ROW()-2)/Assumptions!$B$7)&gt;Assumptions!$B$6,"",Assumptions!$B$5+INT((ROW()-2)/Assumptions!$B$7))</x:f>
        <x:v>46293</x:v>
      </x:c>
      <x:c r="B1352" t="str">
        <x:f>IF($A1352="","",INDEX(Assumptions!$D$5:$D$12,MOD(ROW()-2,Assumptions!$B$7)+1))</x:f>
        <x:v>Acheron Prime</x:v>
      </x:c>
      <x:c r="C1352" s="11" t="n">
        <x:f>IF($A1352="","",INDEX(Assumptions!$F$5:$F$12,MATCH($B1352,Assumptions!$D$5:$D$12,0)))</x:f>
        <x:v>1120</x:v>
      </x:c>
      <x:c r="D1352" s="11" t="n">
        <x:f>IF($A1352="","",INDEX(Assumptions!$G$5:$G$12,MATCH($B1352,Assumptions!$D$5:$D$12,0)))</x:f>
        <x:v>115</x:v>
      </x:c>
      <x:c r="E1352" s="11" t="n">
        <x:f>IF($A1352="","",INDEX(Assumptions!$M$5:$M$11,WEEKDAY($A1352,2)))</x:f>
        <x:v>1.03</x:v>
      </x:c>
      <x:c r="F1352" s="11" t="n">
        <x:f>IF($A1352="","",Assumptions!$B$15)</x:f>
        <x:v>0.35</x:v>
      </x:c>
      <x:c r="G1352" s="11" t="n">
        <x:f>IF($A1352="","",MAX(INDEX(Assumptions!$H$5:$H$12,MATCH($B1352,Assumptions!$D$5:$D$12,0)),MIN(INDEX(Assumptions!$I$5:$I$12,MATCH($B1352,Assumptions!$D$5:$D$12,0)),($C1352+$D1352*SQRT(-2*LN(RAND()))*COS(2*PI()*RAND()))*$E1352*$J1352*$K1352)))</x:f>
        <x:v>1308.4069017676838</x:v>
      </x:c>
      <x:c r="H1352" s="11" t="n">
        <x:f>IF($A1352="","",$G1352*$F1352+$C1352*(1-$F1352))</x:f>
        <x:v>1185.9424156186892</x:v>
      </x:c>
      <x:c r="I1352" s="11" t="n">
        <x:f>IF($A1352="","",AVERAGE($H1352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1134.9853610289572</x:v>
      </x:c>
      <x:c r="J1352" s="12" t="n">
        <x:f>IF($A1352="","",1+SUMIFS(Assumptions!$S$5:$S$10,Assumptions!$P$5:$P$10,$B1352,Assumptions!$Q$5:$Q$10,"&lt;="&amp;$A1352,Assumptions!$R$5:$R$10,"&gt;="&amp;$A1352))</x:f>
        <x:v>1</x:v>
      </x:c>
      <x:c r="K1352" s="12" t="n">
        <x:f>IF($A1352="","",1+((($A1352-Assumptions!$B$5)/30)*INDEX(Assumptions!$J$5:$J$12,MATCH($B1352,Assumptions!$D$5:$D$12,0))))</x:f>
        <x:v>1.018</x:v>
      </x:c>
      <x:c r="L1352" t="str">
        <x:f>IF($A1352="","",IFERROR(INDEX(Assumptions!$O$5:$O$10,MATCH(1,(Assumptions!$P$5:$P$10=$B1352)*(Assumptions!$Q$5:$Q$10&lt;=$A1352)*(Assumptions!$R$5:$R$10&gt;=$A1352),0)),""))</x:f>
      </x:c>
      <x:c r="M1352" t="n">
        <x:f>--($A1352&lt;&gt;"")</x:f>
        <x:v>1</x:v>
      </x:c>
    </x:row>
    <x:row r="1353">
      <x:c r="A1353" s="10" t="n">
        <x:f>IF(Assumptions!$B$5+INT((ROW()-2)/Assumptions!$B$7)&gt;Assumptions!$B$6,"",Assumptions!$B$5+INT((ROW()-2)/Assumptions!$B$7))</x:f>
        <x:v>46293</x:v>
      </x:c>
      <x:c r="B1353" t="str">
        <x:f>IF($A1353="","",INDEX(Assumptions!$D$5:$D$12,MOD(ROW()-2,Assumptions!$B$7)+1))</x:f>
        <x:v>LV-426 North</x:v>
      </x:c>
      <x:c r="C1353" s="11" t="n">
        <x:f>IF($A1353="","",INDEX(Assumptions!$F$5:$F$12,MATCH($B1353,Assumptions!$D$5:$D$12,0)))</x:f>
        <x:v>930</x:v>
      </x:c>
      <x:c r="D1353" s="11" t="n">
        <x:f>IF($A1353="","",INDEX(Assumptions!$G$5:$G$12,MATCH($B1353,Assumptions!$D$5:$D$12,0)))</x:f>
        <x:v>95</x:v>
      </x:c>
      <x:c r="E1353" s="11" t="n">
        <x:f>IF($A1353="","",INDEX(Assumptions!$M$5:$M$11,WEEKDAY($A1353,2)))</x:f>
        <x:v>1.03</x:v>
      </x:c>
      <x:c r="F1353" s="11" t="n">
        <x:f>IF($A1353="","",Assumptions!$B$15)</x:f>
        <x:v>0.35</x:v>
      </x:c>
      <x:c r="G1353" s="11" t="n">
        <x:f>IF($A1353="","",MAX(INDEX(Assumptions!$H$5:$H$12,MATCH($B1353,Assumptions!$D$5:$D$12,0)),MIN(INDEX(Assumptions!$I$5:$I$12,MATCH($B1353,Assumptions!$D$5:$D$12,0)),($C1353+$D1353*SQRT(-2*LN(RAND()))*COS(2*PI()*RAND()))*$E1353*$J1353*$K1353)))</x:f>
        <x:v>878.6967599615452</x:v>
      </x:c>
      <x:c r="H1353" s="11" t="n">
        <x:f>IF($A1353="","",$G1353*$F1353+$C1353*(1-$F1353))</x:f>
        <x:v>912.0438659865408</x:v>
      </x:c>
      <x:c r="I1353" s="11" t="n">
        <x:f>IF($A1353="","",AVERAGE($H1353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904.6036498789573</x:v>
      </x:c>
      <x:c r="J1353" s="12" t="n">
        <x:f>IF($A1353="","",1+SUMIFS(Assumptions!$S$5:$S$10,Assumptions!$P$5:$P$10,$B1353,Assumptions!$Q$5:$Q$10,"&lt;="&amp;$A1353,Assumptions!$R$5:$R$10,"&gt;="&amp;$A1353))</x:f>
        <x:v>1</x:v>
      </x:c>
      <x:c r="K1353" s="12" t="n">
        <x:f>IF($A1353="","",1+((($A1353-Assumptions!$B$5)/30)*INDEX(Assumptions!$J$5:$J$12,MATCH($B1353,Assumptions!$D$5:$D$12,0))))</x:f>
        <x:v>0.991</x:v>
      </x:c>
      <x:c r="L1353" t="str">
        <x:f>IF($A1353="","",IFERROR(INDEX(Assumptions!$O$5:$O$10,MATCH(1,(Assumptions!$P$5:$P$10=$B1353)*(Assumptions!$Q$5:$Q$10&lt;=$A1353)*(Assumptions!$R$5:$R$10&gt;=$A1353),0)),""))</x:f>
      </x:c>
      <x:c r="M1353" t="n">
        <x:f>--($A1353&lt;&gt;"")</x:f>
        <x:v>1</x:v>
      </x:c>
    </x:row>
    <x:row r="1354">
      <x:c r="A1354" s="10" t="n">
        <x:f>IF(Assumptions!$B$5+INT((ROW()-2)/Assumptions!$B$7)&gt;Assumptions!$B$6,"",Assumptions!$B$5+INT((ROW()-2)/Assumptions!$B$7))</x:f>
        <x:v>46293</x:v>
      </x:c>
      <x:c r="B1354" t="str">
        <x:f>IF($A1354="","",INDEX(Assumptions!$D$5:$D$12,MOD(ROW()-2,Assumptions!$B$7)+1))</x:f>
        <x:v>Nostromo Deep</x:v>
      </x:c>
      <x:c r="C1354" s="11" t="n">
        <x:f>IF($A1354="","",INDEX(Assumptions!$F$5:$F$12,MATCH($B1354,Assumptions!$D$5:$D$12,0)))</x:f>
        <x:v>1260</x:v>
      </x:c>
      <x:c r="D1354" s="11" t="n">
        <x:f>IF($A1354="","",INDEX(Assumptions!$G$5:$G$12,MATCH($B1354,Assumptions!$D$5:$D$12,0)))</x:f>
        <x:v>145</x:v>
      </x:c>
      <x:c r="E1354" s="11" t="n">
        <x:f>IF($A1354="","",INDEX(Assumptions!$M$5:$M$11,WEEKDAY($A1354,2)))</x:f>
        <x:v>1.03</x:v>
      </x:c>
      <x:c r="F1354" s="11" t="n">
        <x:f>IF($A1354="","",Assumptions!$B$15)</x:f>
        <x:v>0.35</x:v>
      </x:c>
      <x:c r="G1354" s="11" t="n">
        <x:f>IF($A1354="","",MAX(INDEX(Assumptions!$H$5:$H$12,MATCH($B1354,Assumptions!$D$5:$D$12,0)),MIN(INDEX(Assumptions!$I$5:$I$12,MATCH($B1354,Assumptions!$D$5:$D$12,0)),($C1354+$D1354*SQRT(-2*LN(RAND()))*COS(2*PI()*RAND()))*$E1354*$J1354*$K1354)))</x:f>
        <x:v>1285.244382730386</x:v>
      </x:c>
      <x:c r="H1354" s="11" t="n">
        <x:f>IF($A1354="","",$G1354*$F1354+$C1354*(1-$F1354))</x:f>
        <x:v>1268.8355339556351</x:v>
      </x:c>
      <x:c r="I1354" s="11" t="n">
        <x:f>IF($A1354="","",AVERAGE($H1354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1251.2685968458325</x:v>
      </x:c>
      <x:c r="J1354" s="12" t="n">
        <x:f>IF($A1354="","",1+SUMIFS(Assumptions!$S$5:$S$10,Assumptions!$P$5:$P$10,$B1354,Assumptions!$Q$5:$Q$10,"&lt;="&amp;$A1354,Assumptions!$R$5:$R$10,"&gt;="&amp;$A1354))</x:f>
        <x:v>1</x:v>
      </x:c>
      <x:c r="K1354" s="12" t="n">
        <x:f>IF($A1354="","",1+((($A1354-Assumptions!$B$5)/30)*INDEX(Assumptions!$J$5:$J$12,MATCH($B1354,Assumptions!$D$5:$D$12,0))))</x:f>
        <x:v>1.027</x:v>
      </x:c>
      <x:c r="L1354" t="str">
        <x:f>IF($A1354="","",IFERROR(INDEX(Assumptions!$O$5:$O$10,MATCH(1,(Assumptions!$P$5:$P$10=$B1354)*(Assumptions!$Q$5:$Q$10&lt;=$A1354)*(Assumptions!$R$5:$R$10&gt;=$A1354),0)),""))</x:f>
      </x:c>
      <x:c r="M1354" t="n">
        <x:f>--($A1354&lt;&gt;"")</x:f>
        <x:v>1</x:v>
      </x:c>
    </x:row>
    <x:row r="1355">
      <x:c r="A1355" s="10" t="n">
        <x:f>IF(Assumptions!$B$5+INT((ROW()-2)/Assumptions!$B$7)&gt;Assumptions!$B$6,"",Assumptions!$B$5+INT((ROW()-2)/Assumptions!$B$7))</x:f>
        <x:v>46293</x:v>
      </x:c>
      <x:c r="B1355" t="str">
        <x:f>IF($A1355="","",INDEX(Assumptions!$D$5:$D$12,MOD(ROW()-2,Assumptions!$B$7)+1))</x:f>
        <x:v>Hadley's Hope</x:v>
      </x:c>
      <x:c r="C1355" s="11" t="n">
        <x:f>IF($A1355="","",INDEX(Assumptions!$F$5:$F$12,MATCH($B1355,Assumptions!$D$5:$D$12,0)))</x:f>
        <x:v>845</x:v>
      </x:c>
      <x:c r="D1355" s="11" t="n">
        <x:f>IF($A1355="","",INDEX(Assumptions!$G$5:$G$12,MATCH($B1355,Assumptions!$D$5:$D$12,0)))</x:f>
        <x:v>80</x:v>
      </x:c>
      <x:c r="E1355" s="11" t="n">
        <x:f>IF($A1355="","",INDEX(Assumptions!$M$5:$M$11,WEEKDAY($A1355,2)))</x:f>
        <x:v>1.03</x:v>
      </x:c>
      <x:c r="F1355" s="11" t="n">
        <x:f>IF($A1355="","",Assumptions!$B$15)</x:f>
        <x:v>0.35</x:v>
      </x:c>
      <x:c r="G1355" s="11" t="n">
        <x:f>IF($A1355="","",MAX(INDEX(Assumptions!$H$5:$H$12,MATCH($B1355,Assumptions!$D$5:$D$12,0)),MIN(INDEX(Assumptions!$I$5:$I$12,MATCH($B1355,Assumptions!$D$5:$D$12,0)),($C1355+$D1355*SQRT(-2*LN(RAND()))*COS(2*PI()*RAND()))*$E1355*$J1355*$K1355)))</x:f>
        <x:v>953.6855069611299</x:v>
      </x:c>
      <x:c r="H1355" s="11" t="n">
        <x:f>IF($A1355="","",$G1355*$F1355+$C1355*(1-$F1355))</x:f>
        <x:v>883.0399274363954</x:v>
      </x:c>
      <x:c r="I1355" s="11" t="n">
        <x:f>IF($A1355="","",AVERAGE($H1355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842.5137519874944</x:v>
      </x:c>
      <x:c r="J1355" s="12" t="n">
        <x:f>IF($A1355="","",1+SUMIFS(Assumptions!$S$5:$S$10,Assumptions!$P$5:$P$10,$B1355,Assumptions!$Q$5:$Q$10,"&lt;="&amp;$A1355,Assumptions!$R$5:$R$10,"&gt;="&amp;$A1355))</x:f>
        <x:v>1</x:v>
      </x:c>
      <x:c r="K1355" s="12" t="n">
        <x:f>IF($A1355="","",1+((($A1355-Assumptions!$B$5)/30)*INDEX(Assumptions!$J$5:$J$12,MATCH($B1355,Assumptions!$D$5:$D$12,0))))</x:f>
        <x:v>1.009</x:v>
      </x:c>
      <x:c r="L1355" t="str">
        <x:f>IF($A1355="","",IFERROR(INDEX(Assumptions!$O$5:$O$10,MATCH(1,(Assumptions!$P$5:$P$10=$B1355)*(Assumptions!$Q$5:$Q$10&lt;=$A1355)*(Assumptions!$R$5:$R$10&gt;=$A1355),0)),""))</x:f>
      </x:c>
      <x:c r="M1355" t="n">
        <x:f>--($A1355&lt;&gt;"")</x:f>
        <x:v>1</x:v>
      </x:c>
    </x:row>
    <x:row r="1356">
      <x:c r="A1356" s="10" t="n">
        <x:f>IF(Assumptions!$B$5+INT((ROW()-2)/Assumptions!$B$7)&gt;Assumptions!$B$6,"",Assumptions!$B$5+INT((ROW()-2)/Assumptions!$B$7))</x:f>
        <x:v>46293</x:v>
      </x:c>
      <x:c r="B1356" t="str">
        <x:f>IF($A1356="","",INDEX(Assumptions!$D$5:$D$12,MOD(ROW()-2,Assumptions!$B$7)+1))</x:f>
        <x:v>Yutani Ridge</x:v>
      </x:c>
      <x:c r="C1356" s="11" t="n">
        <x:f>IF($A1356="","",INDEX(Assumptions!$F$5:$F$12,MATCH($B1356,Assumptions!$D$5:$D$12,0)))</x:f>
        <x:v>1050</x:v>
      </x:c>
      <x:c r="D1356" s="11" t="n">
        <x:f>IF($A1356="","",INDEX(Assumptions!$G$5:$G$12,MATCH($B1356,Assumptions!$D$5:$D$12,0)))</x:f>
        <x:v>125</x:v>
      </x:c>
      <x:c r="E1356" s="11" t="n">
        <x:f>IF($A1356="","",INDEX(Assumptions!$M$5:$M$11,WEEKDAY($A1356,2)))</x:f>
        <x:v>1.03</x:v>
      </x:c>
      <x:c r="F1356" s="11" t="n">
        <x:f>IF($A1356="","",Assumptions!$B$15)</x:f>
        <x:v>0.35</x:v>
      </x:c>
      <x:c r="G1356" s="11" t="n">
        <x:f>IF($A1356="","",MAX(INDEX(Assumptions!$H$5:$H$12,MATCH($B1356,Assumptions!$D$5:$D$12,0)),MIN(INDEX(Assumptions!$I$5:$I$12,MATCH($B1356,Assumptions!$D$5:$D$12,0)),($C1356+$D1356*SQRT(-2*LN(RAND()))*COS(2*PI()*RAND()))*$E1356*$J1356*$K1356)))</x:f>
        <x:v>991.4862671822784</x:v>
      </x:c>
      <x:c r="H1356" s="11" t="n">
        <x:f>IF($A1356="","",$G1356*$F1356+$C1356*(1-$F1356))</x:f>
        <x:v>1029.5201935137975</x:v>
      </x:c>
      <x:c r="I1356" s="11" t="n">
        <x:f>IF($A1356="","",AVERAGE($H1356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1043.883200253634</x:v>
      </x:c>
      <x:c r="J1356" s="12" t="n">
        <x:f>IF($A1356="","",1+SUMIFS(Assumptions!$S$5:$S$10,Assumptions!$P$5:$P$10,$B1356,Assumptions!$Q$5:$Q$10,"&lt;="&amp;$A1356,Assumptions!$R$5:$R$10,"&gt;="&amp;$A1356))</x:f>
        <x:v>1</x:v>
      </x:c>
      <x:c r="K1356" s="12" t="n">
        <x:f>IF($A1356="","",1+((($A1356-Assumptions!$B$5)/30)*INDEX(Assumptions!$J$5:$J$12,MATCH($B1356,Assumptions!$D$5:$D$12,0))))</x:f>
        <x:v>1.0225</x:v>
      </x:c>
      <x:c r="L1356" t="str">
        <x:f>IF($A1356="","",IFERROR(INDEX(Assumptions!$O$5:$O$10,MATCH(1,(Assumptions!$P$5:$P$10=$B1356)*(Assumptions!$Q$5:$Q$10&lt;=$A1356)*(Assumptions!$R$5:$R$10&gt;=$A1356),0)),""))</x:f>
      </x:c>
      <x:c r="M1356" t="n">
        <x:f>--($A1356&lt;&gt;"")</x:f>
        <x:v>1</x:v>
      </x:c>
    </x:row>
    <x:row r="1357">
      <x:c r="A1357" s="10" t="n">
        <x:f>IF(Assumptions!$B$5+INT((ROW()-2)/Assumptions!$B$7)&gt;Assumptions!$B$6,"",Assumptions!$B$5+INT((ROW()-2)/Assumptions!$B$7))</x:f>
        <x:v>46294</x:v>
      </x:c>
      <x:c r="B1357" t="str">
        <x:f>IF($A1357="","",INDEX(Assumptions!$D$5:$D$12,MOD(ROW()-2,Assumptions!$B$7)+1))</x:f>
        <x:v>Acheron Prime</x:v>
      </x:c>
      <x:c r="C1357" s="11" t="n">
        <x:f>IF($A1357="","",INDEX(Assumptions!$F$5:$F$12,MATCH($B1357,Assumptions!$D$5:$D$12,0)))</x:f>
        <x:v>1120</x:v>
      </x:c>
      <x:c r="D1357" s="11" t="n">
        <x:f>IF($A1357="","",INDEX(Assumptions!$G$5:$G$12,MATCH($B1357,Assumptions!$D$5:$D$12,0)))</x:f>
        <x:v>115</x:v>
      </x:c>
      <x:c r="E1357" s="11" t="n">
        <x:f>IF($A1357="","",INDEX(Assumptions!$M$5:$M$11,WEEKDAY($A1357,2)))</x:f>
        <x:v>1.02</x:v>
      </x:c>
      <x:c r="F1357" s="11" t="n">
        <x:f>IF($A1357="","",Assumptions!$B$15)</x:f>
        <x:v>0.35</x:v>
      </x:c>
      <x:c r="G1357" s="11" t="n">
        <x:f>IF($A1357="","",MAX(INDEX(Assumptions!$H$5:$H$12,MATCH($B1357,Assumptions!$D$5:$D$12,0)),MIN(INDEX(Assumptions!$I$5:$I$12,MATCH($B1357,Assumptions!$D$5:$D$12,0)),($C1357+$D1357*SQRT(-2*LN(RAND()))*COS(2*PI()*RAND()))*$E1357*$J1357*$K1357)))</x:f>
        <x:v>1166.309786205679</x:v>
      </x:c>
      <x:c r="H1357" s="11" t="n">
        <x:f>IF($A1357="","",$G1357*$F1357+$C1357*(1-$F1357))</x:f>
        <x:v>1136.2084251719875</x:v>
      </x:c>
      <x:c r="I1357" s="11" t="n">
        <x:f>IF($A1357="","",AVERAGE($H1357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1150.3301862940152</x:v>
      </x:c>
      <x:c r="J1357" s="12" t="n">
        <x:f>IF($A1357="","",1+SUMIFS(Assumptions!$S$5:$S$10,Assumptions!$P$5:$P$10,$B1357,Assumptions!$Q$5:$Q$10,"&lt;="&amp;$A1357,Assumptions!$R$5:$R$10,"&gt;="&amp;$A1357))</x:f>
        <x:v>1</x:v>
      </x:c>
      <x:c r="K1357" s="12" t="n">
        <x:f>IF($A1357="","",1+((($A1357-Assumptions!$B$5)/30)*INDEX(Assumptions!$J$5:$J$12,MATCH($B1357,Assumptions!$D$5:$D$12,0))))</x:f>
        <x:v>1.0180666666666667</x:v>
      </x:c>
      <x:c r="L1357" t="str">
        <x:f>IF($A1357="","",IFERROR(INDEX(Assumptions!$O$5:$O$10,MATCH(1,(Assumptions!$P$5:$P$10=$B1357)*(Assumptions!$Q$5:$Q$10&lt;=$A1357)*(Assumptions!$R$5:$R$10&gt;=$A1357),0)),""))</x:f>
      </x:c>
      <x:c r="M1357" t="n">
        <x:f>--($A1357&lt;&gt;"")</x:f>
        <x:v>1</x:v>
      </x:c>
    </x:row>
    <x:row r="1358">
      <x:c r="A1358" s="10" t="n">
        <x:f>IF(Assumptions!$B$5+INT((ROW()-2)/Assumptions!$B$7)&gt;Assumptions!$B$6,"",Assumptions!$B$5+INT((ROW()-2)/Assumptions!$B$7))</x:f>
        <x:v>46294</x:v>
      </x:c>
      <x:c r="B1358" t="str">
        <x:f>IF($A1358="","",INDEX(Assumptions!$D$5:$D$12,MOD(ROW()-2,Assumptions!$B$7)+1))</x:f>
        <x:v>LV-426 North</x:v>
      </x:c>
      <x:c r="C1358" s="11" t="n">
        <x:f>IF($A1358="","",INDEX(Assumptions!$F$5:$F$12,MATCH($B1358,Assumptions!$D$5:$D$12,0)))</x:f>
        <x:v>930</x:v>
      </x:c>
      <x:c r="D1358" s="11" t="n">
        <x:f>IF($A1358="","",INDEX(Assumptions!$G$5:$G$12,MATCH($B1358,Assumptions!$D$5:$D$12,0)))</x:f>
        <x:v>95</x:v>
      </x:c>
      <x:c r="E1358" s="11" t="n">
        <x:f>IF($A1358="","",INDEX(Assumptions!$M$5:$M$11,WEEKDAY($A1358,2)))</x:f>
        <x:v>1.02</x:v>
      </x:c>
      <x:c r="F1358" s="11" t="n">
        <x:f>IF($A1358="","",Assumptions!$B$15)</x:f>
        <x:v>0.35</x:v>
      </x:c>
      <x:c r="G1358" s="11" t="n">
        <x:f>IF($A1358="","",MAX(INDEX(Assumptions!$H$5:$H$12,MATCH($B1358,Assumptions!$D$5:$D$12,0)),MIN(INDEX(Assumptions!$I$5:$I$12,MATCH($B1358,Assumptions!$D$5:$D$12,0)),($C1358+$D1358*SQRT(-2*LN(RAND()))*COS(2*PI()*RAND()))*$E1358*$J1358*$K1358)))</x:f>
        <x:v>823.7307065659866</x:v>
      </x:c>
      <x:c r="H1358" s="11" t="n">
        <x:f>IF($A1358="","",$G1358*$F1358+$C1358*(1-$F1358))</x:f>
        <x:v>892.8057472980953</x:v>
      </x:c>
      <x:c r="I1358" s="11" t="n">
        <x:f>IF($A1358="","",AVERAGE($H1358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889.3254324925718</x:v>
      </x:c>
      <x:c r="J1358" s="12" t="n">
        <x:f>IF($A1358="","",1+SUMIFS(Assumptions!$S$5:$S$10,Assumptions!$P$5:$P$10,$B1358,Assumptions!$Q$5:$Q$10,"&lt;="&amp;$A1358,Assumptions!$R$5:$R$10,"&gt;="&amp;$A1358))</x:f>
        <x:v>1</x:v>
      </x:c>
      <x:c r="K1358" s="12" t="n">
        <x:f>IF($A1358="","",1+((($A1358-Assumptions!$B$5)/30)*INDEX(Assumptions!$J$5:$J$12,MATCH($B1358,Assumptions!$D$5:$D$12,0))))</x:f>
        <x:v>0.9909666666666667</x:v>
      </x:c>
      <x:c r="L1358" t="str">
        <x:f>IF($A1358="","",IFERROR(INDEX(Assumptions!$O$5:$O$10,MATCH(1,(Assumptions!$P$5:$P$10=$B1358)*(Assumptions!$Q$5:$Q$10&lt;=$A1358)*(Assumptions!$R$5:$R$10&gt;=$A1358),0)),""))</x:f>
      </x:c>
      <x:c r="M1358" t="n">
        <x:f>--($A1358&lt;&gt;"")</x:f>
        <x:v>1</x:v>
      </x:c>
    </x:row>
    <x:row r="1359">
      <x:c r="A1359" s="10" t="n">
        <x:f>IF(Assumptions!$B$5+INT((ROW()-2)/Assumptions!$B$7)&gt;Assumptions!$B$6,"",Assumptions!$B$5+INT((ROW()-2)/Assumptions!$B$7))</x:f>
        <x:v>46294</x:v>
      </x:c>
      <x:c r="B1359" t="str">
        <x:f>IF($A1359="","",INDEX(Assumptions!$D$5:$D$12,MOD(ROW()-2,Assumptions!$B$7)+1))</x:f>
        <x:v>Nostromo Deep</x:v>
      </x:c>
      <x:c r="C1359" s="11" t="n">
        <x:f>IF($A1359="","",INDEX(Assumptions!$F$5:$F$12,MATCH($B1359,Assumptions!$D$5:$D$12,0)))</x:f>
        <x:v>1260</x:v>
      </x:c>
      <x:c r="D1359" s="11" t="n">
        <x:f>IF($A1359="","",INDEX(Assumptions!$G$5:$G$12,MATCH($B1359,Assumptions!$D$5:$D$12,0)))</x:f>
        <x:v>145</x:v>
      </x:c>
      <x:c r="E1359" s="11" t="n">
        <x:f>IF($A1359="","",INDEX(Assumptions!$M$5:$M$11,WEEKDAY($A1359,2)))</x:f>
        <x:v>1.02</x:v>
      </x:c>
      <x:c r="F1359" s="11" t="n">
        <x:f>IF($A1359="","",Assumptions!$B$15)</x:f>
        <x:v>0.35</x:v>
      </x:c>
      <x:c r="G1359" s="11" t="n">
        <x:f>IF($A1359="","",MAX(INDEX(Assumptions!$H$5:$H$12,MATCH($B1359,Assumptions!$D$5:$D$12,0)),MIN(INDEX(Assumptions!$I$5:$I$12,MATCH($B1359,Assumptions!$D$5:$D$12,0)),($C1359+$D1359*SQRT(-2*LN(RAND()))*COS(2*PI()*RAND()))*$E1359*$J1359*$K1359)))</x:f>
        <x:v>1278.2342150202446</x:v>
      </x:c>
      <x:c r="H1359" s="11" t="n">
        <x:f>IF($A1359="","",$G1359*$F1359+$C1359*(1-$F1359))</x:f>
        <x:v>1266.3819752570855</x:v>
      </x:c>
      <x:c r="I1359" s="11" t="n">
        <x:f>IF($A1359="","",AVERAGE($H1359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1249.4682282616698</x:v>
      </x:c>
      <x:c r="J1359" s="12" t="n">
        <x:f>IF($A1359="","",1+SUMIFS(Assumptions!$S$5:$S$10,Assumptions!$P$5:$P$10,$B1359,Assumptions!$Q$5:$Q$10,"&lt;="&amp;$A1359,Assumptions!$R$5:$R$10,"&gt;="&amp;$A1359))</x:f>
        <x:v>1</x:v>
      </x:c>
      <x:c r="K1359" s="12" t="n">
        <x:f>IF($A1359="","",1+((($A1359-Assumptions!$B$5)/30)*INDEX(Assumptions!$J$5:$J$12,MATCH($B1359,Assumptions!$D$5:$D$12,0))))</x:f>
        <x:v>1.0271</x:v>
      </x:c>
      <x:c r="L1359" t="str">
        <x:f>IF($A1359="","",IFERROR(INDEX(Assumptions!$O$5:$O$10,MATCH(1,(Assumptions!$P$5:$P$10=$B1359)*(Assumptions!$Q$5:$Q$10&lt;=$A1359)*(Assumptions!$R$5:$R$10&gt;=$A1359),0)),""))</x:f>
      </x:c>
      <x:c r="M1359" t="n">
        <x:f>--($A1359&lt;&gt;"")</x:f>
        <x:v>1</x:v>
      </x:c>
    </x:row>
    <x:row r="1360">
      <x:c r="A1360" s="10" t="n">
        <x:f>IF(Assumptions!$B$5+INT((ROW()-2)/Assumptions!$B$7)&gt;Assumptions!$B$6,"",Assumptions!$B$5+INT((ROW()-2)/Assumptions!$B$7))</x:f>
        <x:v>46294</x:v>
      </x:c>
      <x:c r="B1360" t="str">
        <x:f>IF($A1360="","",INDEX(Assumptions!$D$5:$D$12,MOD(ROW()-2,Assumptions!$B$7)+1))</x:f>
        <x:v>Hadley's Hope</x:v>
      </x:c>
      <x:c r="C1360" s="11" t="n">
        <x:f>IF($A1360="","",INDEX(Assumptions!$F$5:$F$12,MATCH($B1360,Assumptions!$D$5:$D$12,0)))</x:f>
        <x:v>845</x:v>
      </x:c>
      <x:c r="D1360" s="11" t="n">
        <x:f>IF($A1360="","",INDEX(Assumptions!$G$5:$G$12,MATCH($B1360,Assumptions!$D$5:$D$12,0)))</x:f>
        <x:v>80</x:v>
      </x:c>
      <x:c r="E1360" s="11" t="n">
        <x:f>IF($A1360="","",INDEX(Assumptions!$M$5:$M$11,WEEKDAY($A1360,2)))</x:f>
        <x:v>1.02</x:v>
      </x:c>
      <x:c r="F1360" s="11" t="n">
        <x:f>IF($A1360="","",Assumptions!$B$15)</x:f>
        <x:v>0.35</x:v>
      </x:c>
      <x:c r="G1360" s="11" t="n">
        <x:f>IF($A1360="","",MAX(INDEX(Assumptions!$H$5:$H$12,MATCH($B1360,Assumptions!$D$5:$D$12,0)),MIN(INDEX(Assumptions!$I$5:$I$12,MATCH($B1360,Assumptions!$D$5:$D$12,0)),($C1360+$D1360*SQRT(-2*LN(RAND()))*COS(2*PI()*RAND()))*$E1360*$J1360*$K1360)))</x:f>
        <x:v>865.2210159674838</x:v>
      </x:c>
      <x:c r="H1360" s="11" t="n">
        <x:f>IF($A1360="","",$G1360*$F1360+$C1360*(1-$F1360))</x:f>
        <x:v>852.0773555886193</x:v>
      </x:c>
      <x:c r="I1360" s="11" t="n">
        <x:f>IF($A1360="","",AVERAGE($H1360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839.4297700007802</x:v>
      </x:c>
      <x:c r="J1360" s="12" t="n">
        <x:f>IF($A1360="","",1+SUMIFS(Assumptions!$S$5:$S$10,Assumptions!$P$5:$P$10,$B1360,Assumptions!$Q$5:$Q$10,"&lt;="&amp;$A1360,Assumptions!$R$5:$R$10,"&gt;="&amp;$A1360))</x:f>
        <x:v>1</x:v>
      </x:c>
      <x:c r="K1360" s="12" t="n">
        <x:f>IF($A1360="","",1+((($A1360-Assumptions!$B$5)/30)*INDEX(Assumptions!$J$5:$J$12,MATCH($B1360,Assumptions!$D$5:$D$12,0))))</x:f>
        <x:v>1.0090333333333332</x:v>
      </x:c>
      <x:c r="L1360" t="str">
        <x:f>IF($A1360="","",IFERROR(INDEX(Assumptions!$O$5:$O$10,MATCH(1,(Assumptions!$P$5:$P$10=$B1360)*(Assumptions!$Q$5:$Q$10&lt;=$A1360)*(Assumptions!$R$5:$R$10&gt;=$A1360),0)),""))</x:f>
      </x:c>
      <x:c r="M1360" t="n">
        <x:f>--($A1360&lt;&gt;"")</x:f>
        <x:v>1</x:v>
      </x:c>
    </x:row>
    <x:row r="1361">
      <x:c r="A1361" s="10" t="n">
        <x:f>IF(Assumptions!$B$5+INT((ROW()-2)/Assumptions!$B$7)&gt;Assumptions!$B$6,"",Assumptions!$B$5+INT((ROW()-2)/Assumptions!$B$7))</x:f>
        <x:v>46294</x:v>
      </x:c>
      <x:c r="B1361" t="str">
        <x:f>IF($A1361="","",INDEX(Assumptions!$D$5:$D$12,MOD(ROW()-2,Assumptions!$B$7)+1))</x:f>
        <x:v>Yutani Ridge</x:v>
      </x:c>
      <x:c r="C1361" s="11" t="n">
        <x:f>IF($A1361="","",INDEX(Assumptions!$F$5:$F$12,MATCH($B1361,Assumptions!$D$5:$D$12,0)))</x:f>
        <x:v>1050</x:v>
      </x:c>
      <x:c r="D1361" s="11" t="n">
        <x:f>IF($A1361="","",INDEX(Assumptions!$G$5:$G$12,MATCH($B1361,Assumptions!$D$5:$D$12,0)))</x:f>
        <x:v>125</x:v>
      </x:c>
      <x:c r="E1361" s="11" t="n">
        <x:f>IF($A1361="","",INDEX(Assumptions!$M$5:$M$11,WEEKDAY($A1361,2)))</x:f>
        <x:v>1.02</x:v>
      </x:c>
      <x:c r="F1361" s="11" t="n">
        <x:f>IF($A1361="","",Assumptions!$B$15)</x:f>
        <x:v>0.35</x:v>
      </x:c>
      <x:c r="G1361" s="11" t="n">
        <x:f>IF($A1361="","",MAX(INDEX(Assumptions!$H$5:$H$12,MATCH($B1361,Assumptions!$D$5:$D$12,0)),MIN(INDEX(Assumptions!$I$5:$I$12,MATCH($B1361,Assumptions!$D$5:$D$12,0)),($C1361+$D1361*SQRT(-2*LN(RAND()))*COS(2*PI()*RAND()))*$E1361*$J1361*$K1361)))</x:f>
        <x:v>1135.0929892951467</x:v>
      </x:c>
      <x:c r="H1361" s="11" t="n">
        <x:f>IF($A1361="","",$G1361*$F1361+$C1361*(1-$F1361))</x:f>
        <x:v>1079.7825462533015</x:v>
      </x:c>
      <x:c r="I1361" s="11" t="n">
        <x:f>IF($A1361="","",AVERAGE($H1361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1054.3579817487812</x:v>
      </x:c>
      <x:c r="J1361" s="12" t="n">
        <x:f>IF($A1361="","",1+SUMIFS(Assumptions!$S$5:$S$10,Assumptions!$P$5:$P$10,$B1361,Assumptions!$Q$5:$Q$10,"&lt;="&amp;$A1361,Assumptions!$R$5:$R$10,"&gt;="&amp;$A1361))</x:f>
        <x:v>1</x:v>
      </x:c>
      <x:c r="K1361" s="12" t="n">
        <x:f>IF($A1361="","",1+((($A1361-Assumptions!$B$5)/30)*INDEX(Assumptions!$J$5:$J$12,MATCH($B1361,Assumptions!$D$5:$D$12,0))))</x:f>
        <x:v>1.0225833333333334</x:v>
      </x:c>
      <x:c r="L1361" t="str">
        <x:f>IF($A1361="","",IFERROR(INDEX(Assumptions!$O$5:$O$10,MATCH(1,(Assumptions!$P$5:$P$10=$B1361)*(Assumptions!$Q$5:$Q$10&lt;=$A1361)*(Assumptions!$R$5:$R$10&gt;=$A1361),0)),""))</x:f>
      </x:c>
      <x:c r="M1361" t="n">
        <x:f>--($A1361&lt;&gt;"")</x:f>
        <x:v>1</x:v>
      </x:c>
    </x:row>
    <x:row r="1362">
      <x:c r="A1362" s="10" t="n">
        <x:f>IF(Assumptions!$B$5+INT((ROW()-2)/Assumptions!$B$7)&gt;Assumptions!$B$6,"",Assumptions!$B$5+INT((ROW()-2)/Assumptions!$B$7))</x:f>
        <x:v>46295</x:v>
      </x:c>
      <x:c r="B1362" t="str">
        <x:f>IF($A1362="","",INDEX(Assumptions!$D$5:$D$12,MOD(ROW()-2,Assumptions!$B$7)+1))</x:f>
        <x:v>Acheron Prime</x:v>
      </x:c>
      <x:c r="C1362" s="11" t="n">
        <x:f>IF($A1362="","",INDEX(Assumptions!$F$5:$F$12,MATCH($B1362,Assumptions!$D$5:$D$12,0)))</x:f>
        <x:v>1120</x:v>
      </x:c>
      <x:c r="D1362" s="11" t="n">
        <x:f>IF($A1362="","",INDEX(Assumptions!$G$5:$G$12,MATCH($B1362,Assumptions!$D$5:$D$12,0)))</x:f>
        <x:v>115</x:v>
      </x:c>
      <x:c r="E1362" s="11" t="n">
        <x:f>IF($A1362="","",INDEX(Assumptions!$M$5:$M$11,WEEKDAY($A1362,2)))</x:f>
        <x:v>1.01</x:v>
      </x:c>
      <x:c r="F1362" s="11" t="n">
        <x:f>IF($A1362="","",Assumptions!$B$15)</x:f>
        <x:v>0.35</x:v>
      </x:c>
      <x:c r="G1362" s="11" t="n">
        <x:f>IF($A1362="","",MAX(INDEX(Assumptions!$H$5:$H$12,MATCH($B1362,Assumptions!$D$5:$D$12,0)),MIN(INDEX(Assumptions!$I$5:$I$12,MATCH($B1362,Assumptions!$D$5:$D$12,0)),($C1362+$D1362*SQRT(-2*LN(RAND()))*COS(2*PI()*RAND()))*$E1362*$J1362*$K1362)))</x:f>
        <x:v>1197.7787232449662</x:v>
      </x:c>
      <x:c r="H1362" s="11" t="n">
        <x:f>IF($A1362="","",$G1362*$F1362+$C1362*(1-$F1362))</x:f>
        <x:v>1147.222553135738</x:v>
      </x:c>
      <x:c r="I1362" s="11" t="n">
        <x:f>IF($A1362="","",AVERAGE($H1362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1150.8952073499584</x:v>
      </x:c>
      <x:c r="J1362" s="12" t="n">
        <x:f>IF($A1362="","",1+SUMIFS(Assumptions!$S$5:$S$10,Assumptions!$P$5:$P$10,$B1362,Assumptions!$Q$5:$Q$10,"&lt;="&amp;$A1362,Assumptions!$R$5:$R$10,"&gt;="&amp;$A1362))</x:f>
        <x:v>1</x:v>
      </x:c>
      <x:c r="K1362" s="12" t="n">
        <x:f>IF($A1362="","",1+((($A1362-Assumptions!$B$5)/30)*INDEX(Assumptions!$J$5:$J$12,MATCH($B1362,Assumptions!$D$5:$D$12,0))))</x:f>
        <x:v>1.0181333333333333</x:v>
      </x:c>
      <x:c r="L1362" t="str">
        <x:f>IF($A1362="","",IFERROR(INDEX(Assumptions!$O$5:$O$10,MATCH(1,(Assumptions!$P$5:$P$10=$B1362)*(Assumptions!$Q$5:$Q$10&lt;=$A1362)*(Assumptions!$R$5:$R$10&gt;=$A1362),0)),""))</x:f>
      </x:c>
      <x:c r="M1362" t="n">
        <x:f>--($A1362&lt;&gt;"")</x:f>
        <x:v>1</x:v>
      </x:c>
    </x:row>
    <x:row r="1363">
      <x:c r="A1363" s="10" t="n">
        <x:f>IF(Assumptions!$B$5+INT((ROW()-2)/Assumptions!$B$7)&gt;Assumptions!$B$6,"",Assumptions!$B$5+INT((ROW()-2)/Assumptions!$B$7))</x:f>
        <x:v>46295</x:v>
      </x:c>
      <x:c r="B1363" t="str">
        <x:f>IF($A1363="","",INDEX(Assumptions!$D$5:$D$12,MOD(ROW()-2,Assumptions!$B$7)+1))</x:f>
        <x:v>LV-426 North</x:v>
      </x:c>
      <x:c r="C1363" s="11" t="n">
        <x:f>IF($A1363="","",INDEX(Assumptions!$F$5:$F$12,MATCH($B1363,Assumptions!$D$5:$D$12,0)))</x:f>
        <x:v>930</x:v>
      </x:c>
      <x:c r="D1363" s="11" t="n">
        <x:f>IF($A1363="","",INDEX(Assumptions!$G$5:$G$12,MATCH($B1363,Assumptions!$D$5:$D$12,0)))</x:f>
        <x:v>95</x:v>
      </x:c>
      <x:c r="E1363" s="11" t="n">
        <x:f>IF($A1363="","",INDEX(Assumptions!$M$5:$M$11,WEEKDAY($A1363,2)))</x:f>
        <x:v>1.01</x:v>
      </x:c>
      <x:c r="F1363" s="11" t="n">
        <x:f>IF($A1363="","",Assumptions!$B$15)</x:f>
        <x:v>0.35</x:v>
      </x:c>
      <x:c r="G1363" s="11" t="n">
        <x:f>IF($A1363="","",MAX(INDEX(Assumptions!$H$5:$H$12,MATCH($B1363,Assumptions!$D$5:$D$12,0)),MIN(INDEX(Assumptions!$I$5:$I$12,MATCH($B1363,Assumptions!$D$5:$D$12,0)),($C1363+$D1363*SQRT(-2*LN(RAND()))*COS(2*PI()*RAND()))*$E1363*$J1363*$K1363)))</x:f>
        <x:v>875.4262402358188</x:v>
      </x:c>
      <x:c r="H1363" s="11" t="n">
        <x:f>IF($A1363="","",$G1363*$F1363+$C1363*(1-$F1363))</x:f>
        <x:v>910.8991840825365</x:v>
      </x:c>
      <x:c r="I1363" s="11" t="n">
        <x:f>IF($A1363="","",AVERAGE($H1363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892.2491409185369</x:v>
      </x:c>
      <x:c r="J1363" s="12" t="n">
        <x:f>IF($A1363="","",1+SUMIFS(Assumptions!$S$5:$S$10,Assumptions!$P$5:$P$10,$B1363,Assumptions!$Q$5:$Q$10,"&lt;="&amp;$A1363,Assumptions!$R$5:$R$10,"&gt;="&amp;$A1363))</x:f>
        <x:v>1</x:v>
      </x:c>
      <x:c r="K1363" s="12" t="n">
        <x:f>IF($A1363="","",1+((($A1363-Assumptions!$B$5)/30)*INDEX(Assumptions!$J$5:$J$12,MATCH($B1363,Assumptions!$D$5:$D$12,0))))</x:f>
        <x:v>0.9909333333333333</x:v>
      </x:c>
      <x:c r="L1363" t="str">
        <x:f>IF($A1363="","",IFERROR(INDEX(Assumptions!$O$5:$O$10,MATCH(1,(Assumptions!$P$5:$P$10=$B1363)*(Assumptions!$Q$5:$Q$10&lt;=$A1363)*(Assumptions!$R$5:$R$10&gt;=$A1363),0)),""))</x:f>
      </x:c>
      <x:c r="M1363" t="n">
        <x:f>--($A1363&lt;&gt;"")</x:f>
        <x:v>1</x:v>
      </x:c>
    </x:row>
    <x:row r="1364">
      <x:c r="A1364" s="10" t="n">
        <x:f>IF(Assumptions!$B$5+INT((ROW()-2)/Assumptions!$B$7)&gt;Assumptions!$B$6,"",Assumptions!$B$5+INT((ROW()-2)/Assumptions!$B$7))</x:f>
        <x:v>46295</x:v>
      </x:c>
      <x:c r="B1364" t="str">
        <x:f>IF($A1364="","",INDEX(Assumptions!$D$5:$D$12,MOD(ROW()-2,Assumptions!$B$7)+1))</x:f>
        <x:v>Nostromo Deep</x:v>
      </x:c>
      <x:c r="C1364" s="11" t="n">
        <x:f>IF($A1364="","",INDEX(Assumptions!$F$5:$F$12,MATCH($B1364,Assumptions!$D$5:$D$12,0)))</x:f>
        <x:v>1260</x:v>
      </x:c>
      <x:c r="D1364" s="11" t="n">
        <x:f>IF($A1364="","",INDEX(Assumptions!$G$5:$G$12,MATCH($B1364,Assumptions!$D$5:$D$12,0)))</x:f>
        <x:v>145</x:v>
      </x:c>
      <x:c r="E1364" s="11" t="n">
        <x:f>IF($A1364="","",INDEX(Assumptions!$M$5:$M$11,WEEKDAY($A1364,2)))</x:f>
        <x:v>1.01</x:v>
      </x:c>
      <x:c r="F1364" s="11" t="n">
        <x:f>IF($A1364="","",Assumptions!$B$15)</x:f>
        <x:v>0.35</x:v>
      </x:c>
      <x:c r="G1364" s="11" t="n">
        <x:f>IF($A1364="","",MAX(INDEX(Assumptions!$H$5:$H$12,MATCH($B1364,Assumptions!$D$5:$D$12,0)),MIN(INDEX(Assumptions!$I$5:$I$12,MATCH($B1364,Assumptions!$D$5:$D$12,0)),($C1364+$D1364*SQRT(-2*LN(RAND()))*COS(2*PI()*RAND()))*$E1364*$J1364*$K1364)))</x:f>
        <x:v>1392.634619929976</x:v>
      </x:c>
      <x:c r="H1364" s="11" t="n">
        <x:f>IF($A1364="","",$G1364*$F1364+$C1364*(1-$F1364))</x:f>
        <x:v>1306.4221169754915</x:v>
      </x:c>
      <x:c r="I1364" s="11" t="n">
        <x:f>IF($A1364="","",AVERAGE($H1364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1259.1284990150255</x:v>
      </x:c>
      <x:c r="J1364" s="12" t="n">
        <x:f>IF($A1364="","",1+SUMIFS(Assumptions!$S$5:$S$10,Assumptions!$P$5:$P$10,$B1364,Assumptions!$Q$5:$Q$10,"&lt;="&amp;$A1364,Assumptions!$R$5:$R$10,"&gt;="&amp;$A1364))</x:f>
        <x:v>1</x:v>
      </x:c>
      <x:c r="K1364" s="12" t="n">
        <x:f>IF($A1364="","",1+((($A1364-Assumptions!$B$5)/30)*INDEX(Assumptions!$J$5:$J$12,MATCH($B1364,Assumptions!$D$5:$D$12,0))))</x:f>
        <x:v>1.0272</x:v>
      </x:c>
      <x:c r="L1364" t="str">
        <x:f>IF($A1364="","",IFERROR(INDEX(Assumptions!$O$5:$O$10,MATCH(1,(Assumptions!$P$5:$P$10=$B1364)*(Assumptions!$Q$5:$Q$10&lt;=$A1364)*(Assumptions!$R$5:$R$10&gt;=$A1364),0)),""))</x:f>
      </x:c>
      <x:c r="M1364" t="n">
        <x:f>--($A1364&lt;&gt;"")</x:f>
        <x:v>1</x:v>
      </x:c>
    </x:row>
    <x:row r="1365">
      <x:c r="A1365" s="10" t="n">
        <x:f>IF(Assumptions!$B$5+INT((ROW()-2)/Assumptions!$B$7)&gt;Assumptions!$B$6,"",Assumptions!$B$5+INT((ROW()-2)/Assumptions!$B$7))</x:f>
        <x:v>46295</x:v>
      </x:c>
      <x:c r="B1365" t="str">
        <x:f>IF($A1365="","",INDEX(Assumptions!$D$5:$D$12,MOD(ROW()-2,Assumptions!$B$7)+1))</x:f>
        <x:v>Hadley's Hope</x:v>
      </x:c>
      <x:c r="C1365" s="11" t="n">
        <x:f>IF($A1365="","",INDEX(Assumptions!$F$5:$F$12,MATCH($B1365,Assumptions!$D$5:$D$12,0)))</x:f>
        <x:v>845</x:v>
      </x:c>
      <x:c r="D1365" s="11" t="n">
        <x:f>IF($A1365="","",INDEX(Assumptions!$G$5:$G$12,MATCH($B1365,Assumptions!$D$5:$D$12,0)))</x:f>
        <x:v>80</x:v>
      </x:c>
      <x:c r="E1365" s="11" t="n">
        <x:f>IF($A1365="","",INDEX(Assumptions!$M$5:$M$11,WEEKDAY($A1365,2)))</x:f>
        <x:v>1.01</x:v>
      </x:c>
      <x:c r="F1365" s="11" t="n">
        <x:f>IF($A1365="","",Assumptions!$B$15)</x:f>
        <x:v>0.35</x:v>
      </x:c>
      <x:c r="G1365" s="11" t="n">
        <x:f>IF($A1365="","",MAX(INDEX(Assumptions!$H$5:$H$12,MATCH($B1365,Assumptions!$D$5:$D$12,0)),MIN(INDEX(Assumptions!$I$5:$I$12,MATCH($B1365,Assumptions!$D$5:$D$12,0)),($C1365+$D1365*SQRT(-2*LN(RAND()))*COS(2*PI()*RAND()))*$E1365*$J1365*$K1365)))</x:f>
        <x:v>940.2503362044338</x:v>
      </x:c>
      <x:c r="H1365" s="11" t="n">
        <x:f>IF($A1365="","",$G1365*$F1365+$C1365*(1-$F1365))</x:f>
        <x:v>878.3376176715518</x:v>
      </x:c>
      <x:c r="I1365" s="11" t="n">
        <x:f>IF($A1365="","",AVERAGE($H1365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846.5818907979638</x:v>
      </x:c>
      <x:c r="J1365" s="12" t="n">
        <x:f>IF($A1365="","",1+SUMIFS(Assumptions!$S$5:$S$10,Assumptions!$P$5:$P$10,$B1365,Assumptions!$Q$5:$Q$10,"&lt;="&amp;$A1365,Assumptions!$R$5:$R$10,"&gt;="&amp;$A1365))</x:f>
        <x:v>1</x:v>
      </x:c>
      <x:c r="K1365" s="12" t="n">
        <x:f>IF($A1365="","",1+((($A1365-Assumptions!$B$5)/30)*INDEX(Assumptions!$J$5:$J$12,MATCH($B1365,Assumptions!$D$5:$D$12,0))))</x:f>
        <x:v>1.0090666666666666</x:v>
      </x:c>
      <x:c r="L1365" t="str">
        <x:f>IF($A1365="","",IFERROR(INDEX(Assumptions!$O$5:$O$10,MATCH(1,(Assumptions!$P$5:$P$10=$B1365)*(Assumptions!$Q$5:$Q$10&lt;=$A1365)*(Assumptions!$R$5:$R$10&gt;=$A1365),0)),""))</x:f>
      </x:c>
      <x:c r="M1365" t="n">
        <x:f>--($A1365&lt;&gt;"")</x:f>
        <x:v>1</x:v>
      </x:c>
    </x:row>
    <x:row r="1366">
      <x:c r="A1366" s="10" t="n">
        <x:f>IF(Assumptions!$B$5+INT((ROW()-2)/Assumptions!$B$7)&gt;Assumptions!$B$6,"",Assumptions!$B$5+INT((ROW()-2)/Assumptions!$B$7))</x:f>
        <x:v>46295</x:v>
      </x:c>
      <x:c r="B1366" t="str">
        <x:f>IF($A1366="","",INDEX(Assumptions!$D$5:$D$12,MOD(ROW()-2,Assumptions!$B$7)+1))</x:f>
        <x:v>Yutani Ridge</x:v>
      </x:c>
      <x:c r="C1366" s="11" t="n">
        <x:f>IF($A1366="","",INDEX(Assumptions!$F$5:$F$12,MATCH($B1366,Assumptions!$D$5:$D$12,0)))</x:f>
        <x:v>1050</x:v>
      </x:c>
      <x:c r="D1366" s="11" t="n">
        <x:f>IF($A1366="","",INDEX(Assumptions!$G$5:$G$12,MATCH($B1366,Assumptions!$D$5:$D$12,0)))</x:f>
        <x:v>125</x:v>
      </x:c>
      <x:c r="E1366" s="11" t="n">
        <x:f>IF($A1366="","",INDEX(Assumptions!$M$5:$M$11,WEEKDAY($A1366,2)))</x:f>
        <x:v>1.01</x:v>
      </x:c>
      <x:c r="F1366" s="11" t="n">
        <x:f>IF($A1366="","",Assumptions!$B$15)</x:f>
        <x:v>0.35</x:v>
      </x:c>
      <x:c r="G1366" s="11" t="n">
        <x:f>IF($A1366="","",MAX(INDEX(Assumptions!$H$5:$H$12,MATCH($B1366,Assumptions!$D$5:$D$12,0)),MIN(INDEX(Assumptions!$I$5:$I$12,MATCH($B1366,Assumptions!$D$5:$D$12,0)),($C1366+$D1366*SQRT(-2*LN(RAND()))*COS(2*PI()*RAND()))*$E1366*$J1366*$K1366)))</x:f>
        <x:v>1131.7681251785662</x:v>
      </x:c>
      <x:c r="H1366" s="11" t="n">
        <x:f>IF($A1366="","",$G1366*$F1366+$C1366*(1-$F1366))</x:f>
        <x:v>1078.6188438124982</x:v>
      </x:c>
      <x:c r="I1366" s="11" t="n">
        <x:f>IF($A1366="","",AVERAGE($H1366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1051.529070230002</x:v>
      </x:c>
      <x:c r="J1366" s="12" t="n">
        <x:f>IF($A1366="","",1+SUMIFS(Assumptions!$S$5:$S$10,Assumptions!$P$5:$P$10,$B1366,Assumptions!$Q$5:$Q$10,"&lt;="&amp;$A1366,Assumptions!$R$5:$R$10,"&gt;="&amp;$A1366))</x:f>
        <x:v>1</x:v>
      </x:c>
      <x:c r="K1366" s="12" t="n">
        <x:f>IF($A1366="","",1+((($A1366-Assumptions!$B$5)/30)*INDEX(Assumptions!$J$5:$J$12,MATCH($B1366,Assumptions!$D$5:$D$12,0))))</x:f>
        <x:v>1.0226666666666666</x:v>
      </x:c>
      <x:c r="L1366" t="str">
        <x:f>IF($A1366="","",IFERROR(INDEX(Assumptions!$O$5:$O$10,MATCH(1,(Assumptions!$P$5:$P$10=$B1366)*(Assumptions!$Q$5:$Q$10&lt;=$A1366)*(Assumptions!$R$5:$R$10&gt;=$A1366),0)),""))</x:f>
      </x:c>
      <x:c r="M1366" t="n">
        <x:f>--($A1366&lt;&gt;"")</x:f>
        <x:v>1</x:v>
      </x:c>
    </x:row>
    <x:row r="1367">
      <x:c r="A1367" s="10" t="n">
        <x:f>IF(Assumptions!$B$5+INT((ROW()-2)/Assumptions!$B$7)&gt;Assumptions!$B$6,"",Assumptions!$B$5+INT((ROW()-2)/Assumptions!$B$7))</x:f>
        <x:v>46296</x:v>
      </x:c>
      <x:c r="B1367" t="str">
        <x:f>IF($A1367="","",INDEX(Assumptions!$D$5:$D$12,MOD(ROW()-2,Assumptions!$B$7)+1))</x:f>
        <x:v>Acheron Prime</x:v>
      </x:c>
      <x:c r="C1367" s="11" t="n">
        <x:f>IF($A1367="","",INDEX(Assumptions!$F$5:$F$12,MATCH($B1367,Assumptions!$D$5:$D$12,0)))</x:f>
        <x:v>1120</x:v>
      </x:c>
      <x:c r="D1367" s="11" t="n">
        <x:f>IF($A1367="","",INDEX(Assumptions!$G$5:$G$12,MATCH($B1367,Assumptions!$D$5:$D$12,0)))</x:f>
        <x:v>115</x:v>
      </x:c>
      <x:c r="E1367" s="11" t="n">
        <x:f>IF($A1367="","",INDEX(Assumptions!$M$5:$M$11,WEEKDAY($A1367,2)))</x:f>
        <x:v>1</x:v>
      </x:c>
      <x:c r="F1367" s="11" t="n">
        <x:f>IF($A1367="","",Assumptions!$B$15)</x:f>
        <x:v>0.35</x:v>
      </x:c>
      <x:c r="G1367" s="11" t="n">
        <x:f>IF($A1367="","",MAX(INDEX(Assumptions!$H$5:$H$12,MATCH($B1367,Assumptions!$D$5:$D$12,0)),MIN(INDEX(Assumptions!$I$5:$I$12,MATCH($B1367,Assumptions!$D$5:$D$12,0)),($C1367+$D1367*SQRT(-2*LN(RAND()))*COS(2*PI()*RAND()))*$E1367*$J1367*$K1367)))</x:f>
        <x:v>1075.3633303788847</x:v>
      </x:c>
      <x:c r="H1367" s="11" t="n">
        <x:f>IF($A1367="","",$G1367*$F1367+$C1367*(1-$F1367))</x:f>
        <x:v>1104.3771656326096</x:v>
      </x:c>
      <x:c r="I1367" s="11" t="n">
        <x:f>IF($A1367="","",AVERAGE($H1367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1141.770841699242</x:v>
      </x:c>
      <x:c r="J1367" s="12" t="n">
        <x:f>IF($A1367="","",1+SUMIFS(Assumptions!$S$5:$S$10,Assumptions!$P$5:$P$10,$B1367,Assumptions!$Q$5:$Q$10,"&lt;="&amp;$A1367,Assumptions!$R$5:$R$10,"&gt;="&amp;$A1367))</x:f>
        <x:v>1</x:v>
      </x:c>
      <x:c r="K1367" s="12" t="n">
        <x:f>IF($A1367="","",1+((($A1367-Assumptions!$B$5)/30)*INDEX(Assumptions!$J$5:$J$12,MATCH($B1367,Assumptions!$D$5:$D$12,0))))</x:f>
        <x:v>1.0182</x:v>
      </x:c>
      <x:c r="L1367" t="str">
        <x:f>IF($A1367="","",IFERROR(INDEX(Assumptions!$O$5:$O$10,MATCH(1,(Assumptions!$P$5:$P$10=$B1367)*(Assumptions!$Q$5:$Q$10&lt;=$A1367)*(Assumptions!$R$5:$R$10&gt;=$A1367),0)),""))</x:f>
      </x:c>
      <x:c r="M1367" t="n">
        <x:f>--($A1367&lt;&gt;"")</x:f>
        <x:v>1</x:v>
      </x:c>
    </x:row>
    <x:row r="1368">
      <x:c r="A1368" s="10" t="n">
        <x:f>IF(Assumptions!$B$5+INT((ROW()-2)/Assumptions!$B$7)&gt;Assumptions!$B$6,"",Assumptions!$B$5+INT((ROW()-2)/Assumptions!$B$7))</x:f>
        <x:v>46296</x:v>
      </x:c>
      <x:c r="B1368" t="str">
        <x:f>IF($A1368="","",INDEX(Assumptions!$D$5:$D$12,MOD(ROW()-2,Assumptions!$B$7)+1))</x:f>
        <x:v>LV-426 North</x:v>
      </x:c>
      <x:c r="C1368" s="11" t="n">
        <x:f>IF($A1368="","",INDEX(Assumptions!$F$5:$F$12,MATCH($B1368,Assumptions!$D$5:$D$12,0)))</x:f>
        <x:v>930</x:v>
      </x:c>
      <x:c r="D1368" s="11" t="n">
        <x:f>IF($A1368="","",INDEX(Assumptions!$G$5:$G$12,MATCH($B1368,Assumptions!$D$5:$D$12,0)))</x:f>
        <x:v>95</x:v>
      </x:c>
      <x:c r="E1368" s="11" t="n">
        <x:f>IF($A1368="","",INDEX(Assumptions!$M$5:$M$11,WEEKDAY($A1368,2)))</x:f>
        <x:v>1</x:v>
      </x:c>
      <x:c r="F1368" s="11" t="n">
        <x:f>IF($A1368="","",Assumptions!$B$15)</x:f>
        <x:v>0.35</x:v>
      </x:c>
      <x:c r="G1368" s="11" t="n">
        <x:f>IF($A1368="","",MAX(INDEX(Assumptions!$H$5:$H$12,MATCH($B1368,Assumptions!$D$5:$D$12,0)),MIN(INDEX(Assumptions!$I$5:$I$12,MATCH($B1368,Assumptions!$D$5:$D$12,0)),($C1368+$D1368*SQRT(-2*LN(RAND()))*COS(2*PI()*RAND()))*$E1368*$J1368*$K1368)))</x:f>
        <x:v>1049.543075928679</x:v>
      </x:c>
      <x:c r="H1368" s="11" t="n">
        <x:f>IF($A1368="","",$G1368*$F1368+$C1368*(1-$F1368))</x:f>
        <x:v>971.8400765750375</x:v>
      </x:c>
      <x:c r="I1368" s="11" t="n">
        <x:f>IF($A1368="","",AVERAGE($H1368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905.2001216625652</x:v>
      </x:c>
      <x:c r="J1368" s="12" t="n">
        <x:f>IF($A1368="","",1+SUMIFS(Assumptions!$S$5:$S$10,Assumptions!$P$5:$P$10,$B1368,Assumptions!$Q$5:$Q$10,"&lt;="&amp;$A1368,Assumptions!$R$5:$R$10,"&gt;="&amp;$A1368))</x:f>
        <x:v>1</x:v>
      </x:c>
      <x:c r="K1368" s="12" t="n">
        <x:f>IF($A1368="","",1+((($A1368-Assumptions!$B$5)/30)*INDEX(Assumptions!$J$5:$J$12,MATCH($B1368,Assumptions!$D$5:$D$12,0))))</x:f>
        <x:v>0.9909</x:v>
      </x:c>
      <x:c r="L1368" t="str">
        <x:f>IF($A1368="","",IFERROR(INDEX(Assumptions!$O$5:$O$10,MATCH(1,(Assumptions!$P$5:$P$10=$B1368)*(Assumptions!$Q$5:$Q$10&lt;=$A1368)*(Assumptions!$R$5:$R$10&gt;=$A1368),0)),""))</x:f>
      </x:c>
      <x:c r="M1368" t="n">
        <x:f>--($A1368&lt;&gt;"")</x:f>
        <x:v>1</x:v>
      </x:c>
    </x:row>
    <x:row r="1369">
      <x:c r="A1369" s="10" t="n">
        <x:f>IF(Assumptions!$B$5+INT((ROW()-2)/Assumptions!$B$7)&gt;Assumptions!$B$6,"",Assumptions!$B$5+INT((ROW()-2)/Assumptions!$B$7))</x:f>
        <x:v>46296</x:v>
      </x:c>
      <x:c r="B1369" t="str">
        <x:f>IF($A1369="","",INDEX(Assumptions!$D$5:$D$12,MOD(ROW()-2,Assumptions!$B$7)+1))</x:f>
        <x:v>Nostromo Deep</x:v>
      </x:c>
      <x:c r="C1369" s="11" t="n">
        <x:f>IF($A1369="","",INDEX(Assumptions!$F$5:$F$12,MATCH($B1369,Assumptions!$D$5:$D$12,0)))</x:f>
        <x:v>1260</x:v>
      </x:c>
      <x:c r="D1369" s="11" t="n">
        <x:f>IF($A1369="","",INDEX(Assumptions!$G$5:$G$12,MATCH($B1369,Assumptions!$D$5:$D$12,0)))</x:f>
        <x:v>145</x:v>
      </x:c>
      <x:c r="E1369" s="11" t="n">
        <x:f>IF($A1369="","",INDEX(Assumptions!$M$5:$M$11,WEEKDAY($A1369,2)))</x:f>
        <x:v>1</x:v>
      </x:c>
      <x:c r="F1369" s="11" t="n">
        <x:f>IF($A1369="","",Assumptions!$B$15)</x:f>
        <x:v>0.35</x:v>
      </x:c>
      <x:c r="G1369" s="11" t="n">
        <x:f>IF($A1369="","",MAX(INDEX(Assumptions!$H$5:$H$12,MATCH($B1369,Assumptions!$D$5:$D$12,0)),MIN(INDEX(Assumptions!$I$5:$I$12,MATCH($B1369,Assumptions!$D$5:$D$12,0)),($C1369+$D1369*SQRT(-2*LN(RAND()))*COS(2*PI()*RAND()))*$E1369*$J1369*$K1369)))</x:f>
        <x:v>1348.8229738767411</x:v>
      </x:c>
      <x:c r="H1369" s="11" t="n">
        <x:f>IF($A1369="","",$G1369*$F1369+$C1369*(1-$F1369))</x:f>
        <x:v>1291.0880408568594</x:v>
      </x:c>
      <x:c r="I1369" s="11" t="n">
        <x:f>IF($A1369="","",AVERAGE($H1369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1262.3495916662305</x:v>
      </x:c>
      <x:c r="J1369" s="12" t="n">
        <x:f>IF($A1369="","",1+SUMIFS(Assumptions!$S$5:$S$10,Assumptions!$P$5:$P$10,$B1369,Assumptions!$Q$5:$Q$10,"&lt;="&amp;$A1369,Assumptions!$R$5:$R$10,"&gt;="&amp;$A1369))</x:f>
        <x:v>1</x:v>
      </x:c>
      <x:c r="K1369" s="12" t="n">
        <x:f>IF($A1369="","",1+((($A1369-Assumptions!$B$5)/30)*INDEX(Assumptions!$J$5:$J$12,MATCH($B1369,Assumptions!$D$5:$D$12,0))))</x:f>
        <x:v>1.0273</x:v>
      </x:c>
      <x:c r="L1369" t="str">
        <x:f>IF($A1369="","",IFERROR(INDEX(Assumptions!$O$5:$O$10,MATCH(1,(Assumptions!$P$5:$P$10=$B1369)*(Assumptions!$Q$5:$Q$10&lt;=$A1369)*(Assumptions!$R$5:$R$10&gt;=$A1369),0)),""))</x:f>
      </x:c>
      <x:c r="M1369" t="n">
        <x:f>--($A1369&lt;&gt;"")</x:f>
        <x:v>1</x:v>
      </x:c>
    </x:row>
    <x:row r="1370">
      <x:c r="A1370" s="10" t="n">
        <x:f>IF(Assumptions!$B$5+INT((ROW()-2)/Assumptions!$B$7)&gt;Assumptions!$B$6,"",Assumptions!$B$5+INT((ROW()-2)/Assumptions!$B$7))</x:f>
        <x:v>46296</x:v>
      </x:c>
      <x:c r="B1370" t="str">
        <x:f>IF($A1370="","",INDEX(Assumptions!$D$5:$D$12,MOD(ROW()-2,Assumptions!$B$7)+1))</x:f>
        <x:v>Hadley's Hope</x:v>
      </x:c>
      <x:c r="C1370" s="11" t="n">
        <x:f>IF($A1370="","",INDEX(Assumptions!$F$5:$F$12,MATCH($B1370,Assumptions!$D$5:$D$12,0)))</x:f>
        <x:v>845</x:v>
      </x:c>
      <x:c r="D1370" s="11" t="n">
        <x:f>IF($A1370="","",INDEX(Assumptions!$G$5:$G$12,MATCH($B1370,Assumptions!$D$5:$D$12,0)))</x:f>
        <x:v>80</x:v>
      </x:c>
      <x:c r="E1370" s="11" t="n">
        <x:f>IF($A1370="","",INDEX(Assumptions!$M$5:$M$11,WEEKDAY($A1370,2)))</x:f>
        <x:v>1</x:v>
      </x:c>
      <x:c r="F1370" s="11" t="n">
        <x:f>IF($A1370="","",Assumptions!$B$15)</x:f>
        <x:v>0.35</x:v>
      </x:c>
      <x:c r="G1370" s="11" t="n">
        <x:f>IF($A1370="","",MAX(INDEX(Assumptions!$H$5:$H$12,MATCH($B1370,Assumptions!$D$5:$D$12,0)),MIN(INDEX(Assumptions!$I$5:$I$12,MATCH($B1370,Assumptions!$D$5:$D$12,0)),($C1370+$D1370*SQRT(-2*LN(RAND()))*COS(2*PI()*RAND()))*$E1370*$J1370*$K1370)))</x:f>
        <x:v>988.270526205118</x:v>
      </x:c>
      <x:c r="H1370" s="11" t="n">
        <x:f>IF($A1370="","",$G1370*$F1370+$C1370*(1-$F1370))</x:f>
        <x:v>895.1446841717914</x:v>
      </x:c>
      <x:c r="I1370" s="11" t="n">
        <x:f>IF($A1370="","",AVERAGE($H1370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853.6238130524627</x:v>
      </x:c>
      <x:c r="J1370" s="12" t="n">
        <x:f>IF($A1370="","",1+SUMIFS(Assumptions!$S$5:$S$10,Assumptions!$P$5:$P$10,$B1370,Assumptions!$Q$5:$Q$10,"&lt;="&amp;$A1370,Assumptions!$R$5:$R$10,"&gt;="&amp;$A1370))</x:f>
        <x:v>1</x:v>
      </x:c>
      <x:c r="K1370" s="12" t="n">
        <x:f>IF($A1370="","",1+((($A1370-Assumptions!$B$5)/30)*INDEX(Assumptions!$J$5:$J$12,MATCH($B1370,Assumptions!$D$5:$D$12,0))))</x:f>
        <x:v>1.0091</x:v>
      </x:c>
      <x:c r="L1370" t="str">
        <x:f>IF($A1370="","",IFERROR(INDEX(Assumptions!$O$5:$O$10,MATCH(1,(Assumptions!$P$5:$P$10=$B1370)*(Assumptions!$Q$5:$Q$10&lt;=$A1370)*(Assumptions!$R$5:$R$10&gt;=$A1370),0)),""))</x:f>
      </x:c>
      <x:c r="M1370" t="n">
        <x:f>--($A1370&lt;&gt;"")</x:f>
        <x:v>1</x:v>
      </x:c>
    </x:row>
    <x:row r="1371">
      <x:c r="A1371" s="10" t="n">
        <x:f>IF(Assumptions!$B$5+INT((ROW()-2)/Assumptions!$B$7)&gt;Assumptions!$B$6,"",Assumptions!$B$5+INT((ROW()-2)/Assumptions!$B$7))</x:f>
        <x:v>46296</x:v>
      </x:c>
      <x:c r="B1371" t="str">
        <x:f>IF($A1371="","",INDEX(Assumptions!$D$5:$D$12,MOD(ROW()-2,Assumptions!$B$7)+1))</x:f>
        <x:v>Yutani Ridge</x:v>
      </x:c>
      <x:c r="C1371" s="11" t="n">
        <x:f>IF($A1371="","",INDEX(Assumptions!$F$5:$F$12,MATCH($B1371,Assumptions!$D$5:$D$12,0)))</x:f>
        <x:v>1050</x:v>
      </x:c>
      <x:c r="D1371" s="11" t="n">
        <x:f>IF($A1371="","",INDEX(Assumptions!$G$5:$G$12,MATCH($B1371,Assumptions!$D$5:$D$12,0)))</x:f>
        <x:v>125</x:v>
      </x:c>
      <x:c r="E1371" s="11" t="n">
        <x:f>IF($A1371="","",INDEX(Assumptions!$M$5:$M$11,WEEKDAY($A1371,2)))</x:f>
        <x:v>1</x:v>
      </x:c>
      <x:c r="F1371" s="11" t="n">
        <x:f>IF($A1371="","",Assumptions!$B$15)</x:f>
        <x:v>0.35</x:v>
      </x:c>
      <x:c r="G1371" s="11" t="n">
        <x:f>IF($A1371="","",MAX(INDEX(Assumptions!$H$5:$H$12,MATCH($B1371,Assumptions!$D$5:$D$12,0)),MIN(INDEX(Assumptions!$I$5:$I$12,MATCH($B1371,Assumptions!$D$5:$D$12,0)),($C1371+$D1371*SQRT(-2*LN(RAND()))*COS(2*PI()*RAND()))*$E1371*$J1371*$K1371)))</x:f>
        <x:v>1086.4666033168237</x:v>
      </x:c>
      <x:c r="H1371" s="11" t="n">
        <x:f>IF($A1371="","",$G1371*$F1371+$C1371*(1-$F1371))</x:f>
        <x:v>1062.7633111608884</x:v>
      </x:c>
      <x:c r="I1371" s="11" t="n">
        <x:f>IF($A1371="","",AVERAGE($H1371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1049.9940160997</x:v>
      </x:c>
      <x:c r="J1371" s="12" t="n">
        <x:f>IF($A1371="","",1+SUMIFS(Assumptions!$S$5:$S$10,Assumptions!$P$5:$P$10,$B1371,Assumptions!$Q$5:$Q$10,"&lt;="&amp;$A1371,Assumptions!$R$5:$R$10,"&gt;="&amp;$A1371))</x:f>
        <x:v>1</x:v>
      </x:c>
      <x:c r="K1371" s="12" t="n">
        <x:f>IF($A1371="","",1+((($A1371-Assumptions!$B$5)/30)*INDEX(Assumptions!$J$5:$J$12,MATCH($B1371,Assumptions!$D$5:$D$12,0))))</x:f>
        <x:v>1.02275</x:v>
      </x:c>
      <x:c r="L1371" t="str">
        <x:f>IF($A1371="","",IFERROR(INDEX(Assumptions!$O$5:$O$10,MATCH(1,(Assumptions!$P$5:$P$10=$B1371)*(Assumptions!$Q$5:$Q$10&lt;=$A1371)*(Assumptions!$R$5:$R$10&gt;=$A1371),0)),""))</x:f>
      </x:c>
      <x:c r="M1371" t="n">
        <x:f>--($A1371&lt;&gt;"")</x:f>
        <x:v>1</x:v>
      </x:c>
    </x:row>
    <x:row r="1372">
      <x:c r="A1372" s="10" t="n">
        <x:f>IF(Assumptions!$B$5+INT((ROW()-2)/Assumptions!$B$7)&gt;Assumptions!$B$6,"",Assumptions!$B$5+INT((ROW()-2)/Assumptions!$B$7))</x:f>
        <x:v>46297</x:v>
      </x:c>
      <x:c r="B1372" t="str">
        <x:f>IF($A1372="","",INDEX(Assumptions!$D$5:$D$12,MOD(ROW()-2,Assumptions!$B$7)+1))</x:f>
        <x:v>Acheron Prime</x:v>
      </x:c>
      <x:c r="C1372" s="11" t="n">
        <x:f>IF($A1372="","",INDEX(Assumptions!$F$5:$F$12,MATCH($B1372,Assumptions!$D$5:$D$12,0)))</x:f>
        <x:v>1120</x:v>
      </x:c>
      <x:c r="D1372" s="11" t="n">
        <x:f>IF($A1372="","",INDEX(Assumptions!$G$5:$G$12,MATCH($B1372,Assumptions!$D$5:$D$12,0)))</x:f>
        <x:v>115</x:v>
      </x:c>
      <x:c r="E1372" s="11" t="n">
        <x:f>IF($A1372="","",INDEX(Assumptions!$M$5:$M$11,WEEKDAY($A1372,2)))</x:f>
        <x:v>0.98</x:v>
      </x:c>
      <x:c r="F1372" s="11" t="n">
        <x:f>IF($A1372="","",Assumptions!$B$15)</x:f>
        <x:v>0.35</x:v>
      </x:c>
      <x:c r="G1372" s="11" t="n">
        <x:f>IF($A1372="","",MAX(INDEX(Assumptions!$H$5:$H$12,MATCH($B1372,Assumptions!$D$5:$D$12,0)),MIN(INDEX(Assumptions!$I$5:$I$12,MATCH($B1372,Assumptions!$D$5:$D$12,0)),($C1372+$D1372*SQRT(-2*LN(RAND()))*COS(2*PI()*RAND()))*$E1372*$J1372*$K1372)))</x:f>
        <x:v>1083.803885262998</x:v>
      </x:c>
      <x:c r="H1372" s="11" t="n">
        <x:f>IF($A1372="","",$G1372*$F1372+$C1372*(1-$F1372))</x:f>
        <x:v>1107.3313598420493</x:v>
      </x:c>
      <x:c r="I1372" s="11" t="n">
        <x:f>IF($A1372="","",AVERAGE($H1372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1131.8689589692333</x:v>
      </x:c>
      <x:c r="J1372" s="12" t="n">
        <x:f>IF($A1372="","",1+SUMIFS(Assumptions!$S$5:$S$10,Assumptions!$P$5:$P$10,$B1372,Assumptions!$Q$5:$Q$10,"&lt;="&amp;$A1372,Assumptions!$R$5:$R$10,"&gt;="&amp;$A1372))</x:f>
        <x:v>1</x:v>
      </x:c>
      <x:c r="K1372" s="12" t="n">
        <x:f>IF($A1372="","",1+((($A1372-Assumptions!$B$5)/30)*INDEX(Assumptions!$J$5:$J$12,MATCH($B1372,Assumptions!$D$5:$D$12,0))))</x:f>
        <x:v>1.0182666666666667</x:v>
      </x:c>
      <x:c r="L1372" t="str">
        <x:f>IF($A1372="","",IFERROR(INDEX(Assumptions!$O$5:$O$10,MATCH(1,(Assumptions!$P$5:$P$10=$B1372)*(Assumptions!$Q$5:$Q$10&lt;=$A1372)*(Assumptions!$R$5:$R$10&gt;=$A1372),0)),""))</x:f>
      </x:c>
      <x:c r="M1372" t="n">
        <x:f>--($A1372&lt;&gt;"")</x:f>
        <x:v>1</x:v>
      </x:c>
    </x:row>
    <x:row r="1373">
      <x:c r="A1373" s="10" t="n">
        <x:f>IF(Assumptions!$B$5+INT((ROW()-2)/Assumptions!$B$7)&gt;Assumptions!$B$6,"",Assumptions!$B$5+INT((ROW()-2)/Assumptions!$B$7))</x:f>
        <x:v>46297</x:v>
      </x:c>
      <x:c r="B1373" t="str">
        <x:f>IF($A1373="","",INDEX(Assumptions!$D$5:$D$12,MOD(ROW()-2,Assumptions!$B$7)+1))</x:f>
        <x:v>LV-426 North</x:v>
      </x:c>
      <x:c r="C1373" s="11" t="n">
        <x:f>IF($A1373="","",INDEX(Assumptions!$F$5:$F$12,MATCH($B1373,Assumptions!$D$5:$D$12,0)))</x:f>
        <x:v>930</x:v>
      </x:c>
      <x:c r="D1373" s="11" t="n">
        <x:f>IF($A1373="","",INDEX(Assumptions!$G$5:$G$12,MATCH($B1373,Assumptions!$D$5:$D$12,0)))</x:f>
        <x:v>95</x:v>
      </x:c>
      <x:c r="E1373" s="11" t="n">
        <x:f>IF($A1373="","",INDEX(Assumptions!$M$5:$M$11,WEEKDAY($A1373,2)))</x:f>
        <x:v>0.98</x:v>
      </x:c>
      <x:c r="F1373" s="11" t="n">
        <x:f>IF($A1373="","",Assumptions!$B$15)</x:f>
        <x:v>0.35</x:v>
      </x:c>
      <x:c r="G1373" s="11" t="n">
        <x:f>IF($A1373="","",MAX(INDEX(Assumptions!$H$5:$H$12,MATCH($B1373,Assumptions!$D$5:$D$12,0)),MIN(INDEX(Assumptions!$I$5:$I$12,MATCH($B1373,Assumptions!$D$5:$D$12,0)),($C1373+$D1373*SQRT(-2*LN(RAND()))*COS(2*PI()*RAND()))*$E1373*$J1373*$K1373)))</x:f>
        <x:v>830.6218291724847</x:v>
      </x:c>
      <x:c r="H1373" s="11" t="n">
        <x:f>IF($A1373="","",$G1373*$F1373+$C1373*(1-$F1373))</x:f>
        <x:v>895.2176402103696</x:v>
      </x:c>
      <x:c r="I1373" s="11" t="n">
        <x:f>IF($A1373="","",AVERAGE($H1373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908.8649759621356</x:v>
      </x:c>
      <x:c r="J1373" s="12" t="n">
        <x:f>IF($A1373="","",1+SUMIFS(Assumptions!$S$5:$S$10,Assumptions!$P$5:$P$10,$B1373,Assumptions!$Q$5:$Q$10,"&lt;="&amp;$A1373,Assumptions!$R$5:$R$10,"&gt;="&amp;$A1373))</x:f>
        <x:v>1</x:v>
      </x:c>
      <x:c r="K1373" s="12" t="n">
        <x:f>IF($A1373="","",1+((($A1373-Assumptions!$B$5)/30)*INDEX(Assumptions!$J$5:$J$12,MATCH($B1373,Assumptions!$D$5:$D$12,0))))</x:f>
        <x:v>0.9908666666666667</x:v>
      </x:c>
      <x:c r="L1373" t="str">
        <x:f>IF($A1373="","",IFERROR(INDEX(Assumptions!$O$5:$O$10,MATCH(1,(Assumptions!$P$5:$P$10=$B1373)*(Assumptions!$Q$5:$Q$10&lt;=$A1373)*(Assumptions!$R$5:$R$10&gt;=$A1373),0)),""))</x:f>
      </x:c>
      <x:c r="M1373" t="n">
        <x:f>--($A1373&lt;&gt;"")</x:f>
        <x:v>1</x:v>
      </x:c>
    </x:row>
    <x:row r="1374">
      <x:c r="A1374" s="10" t="n">
        <x:f>IF(Assumptions!$B$5+INT((ROW()-2)/Assumptions!$B$7)&gt;Assumptions!$B$6,"",Assumptions!$B$5+INT((ROW()-2)/Assumptions!$B$7))</x:f>
        <x:v>46297</x:v>
      </x:c>
      <x:c r="B1374" t="str">
        <x:f>IF($A1374="","",INDEX(Assumptions!$D$5:$D$12,MOD(ROW()-2,Assumptions!$B$7)+1))</x:f>
        <x:v>Nostromo Deep</x:v>
      </x:c>
      <x:c r="C1374" s="11" t="n">
        <x:f>IF($A1374="","",INDEX(Assumptions!$F$5:$F$12,MATCH($B1374,Assumptions!$D$5:$D$12,0)))</x:f>
        <x:v>1260</x:v>
      </x:c>
      <x:c r="D1374" s="11" t="n">
        <x:f>IF($A1374="","",INDEX(Assumptions!$G$5:$G$12,MATCH($B1374,Assumptions!$D$5:$D$12,0)))</x:f>
        <x:v>145</x:v>
      </x:c>
      <x:c r="E1374" s="11" t="n">
        <x:f>IF($A1374="","",INDEX(Assumptions!$M$5:$M$11,WEEKDAY($A1374,2)))</x:f>
        <x:v>0.98</x:v>
      </x:c>
      <x:c r="F1374" s="11" t="n">
        <x:f>IF($A1374="","",Assumptions!$B$15)</x:f>
        <x:v>0.35</x:v>
      </x:c>
      <x:c r="G1374" s="11" t="n">
        <x:f>IF($A1374="","",MAX(INDEX(Assumptions!$H$5:$H$12,MATCH($B1374,Assumptions!$D$5:$D$12,0)),MIN(INDEX(Assumptions!$I$5:$I$12,MATCH($B1374,Assumptions!$D$5:$D$12,0)),($C1374+$D1374*SQRT(-2*LN(RAND()))*COS(2*PI()*RAND()))*$E1374*$J1374*$K1374)))</x:f>
        <x:v>1108.2540034266206</x:v>
      </x:c>
      <x:c r="H1374" s="11" t="n">
        <x:f>IF($A1374="","",$G1374*$F1374+$C1374*(1-$F1374))</x:f>
        <x:v>1206.8889011993172</x:v>
      </x:c>
      <x:c r="I1374" s="11" t="n">
        <x:f>IF($A1374="","",AVERAGE($H1374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1251.2412930290338</x:v>
      </x:c>
      <x:c r="J1374" s="12" t="n">
        <x:f>IF($A1374="","",1+SUMIFS(Assumptions!$S$5:$S$10,Assumptions!$P$5:$P$10,$B1374,Assumptions!$Q$5:$Q$10,"&lt;="&amp;$A1374,Assumptions!$R$5:$R$10,"&gt;="&amp;$A1374))</x:f>
        <x:v>1</x:v>
      </x:c>
      <x:c r="K1374" s="12" t="n">
        <x:f>IF($A1374="","",1+((($A1374-Assumptions!$B$5)/30)*INDEX(Assumptions!$J$5:$J$12,MATCH($B1374,Assumptions!$D$5:$D$12,0))))</x:f>
        <x:v>1.0274</x:v>
      </x:c>
      <x:c r="L1374" t="str">
        <x:f>IF($A1374="","",IFERROR(INDEX(Assumptions!$O$5:$O$10,MATCH(1,(Assumptions!$P$5:$P$10=$B1374)*(Assumptions!$Q$5:$Q$10&lt;=$A1374)*(Assumptions!$R$5:$R$10&gt;=$A1374),0)),""))</x:f>
      </x:c>
      <x:c r="M1374" t="n">
        <x:f>--($A1374&lt;&gt;"")</x:f>
        <x:v>1</x:v>
      </x:c>
    </x:row>
    <x:row r="1375">
      <x:c r="A1375" s="10" t="n">
        <x:f>IF(Assumptions!$B$5+INT((ROW()-2)/Assumptions!$B$7)&gt;Assumptions!$B$6,"",Assumptions!$B$5+INT((ROW()-2)/Assumptions!$B$7))</x:f>
        <x:v>46297</x:v>
      </x:c>
      <x:c r="B1375" t="str">
        <x:f>IF($A1375="","",INDEX(Assumptions!$D$5:$D$12,MOD(ROW()-2,Assumptions!$B$7)+1))</x:f>
        <x:v>Hadley's Hope</x:v>
      </x:c>
      <x:c r="C1375" s="11" t="n">
        <x:f>IF($A1375="","",INDEX(Assumptions!$F$5:$F$12,MATCH($B1375,Assumptions!$D$5:$D$12,0)))</x:f>
        <x:v>845</x:v>
      </x:c>
      <x:c r="D1375" s="11" t="n">
        <x:f>IF($A1375="","",INDEX(Assumptions!$G$5:$G$12,MATCH($B1375,Assumptions!$D$5:$D$12,0)))</x:f>
        <x:v>80</x:v>
      </x:c>
      <x:c r="E1375" s="11" t="n">
        <x:f>IF($A1375="","",INDEX(Assumptions!$M$5:$M$11,WEEKDAY($A1375,2)))</x:f>
        <x:v>0.98</x:v>
      </x:c>
      <x:c r="F1375" s="11" t="n">
        <x:f>IF($A1375="","",Assumptions!$B$15)</x:f>
        <x:v>0.35</x:v>
      </x:c>
      <x:c r="G1375" s="11" t="n">
        <x:f>IF($A1375="","",MAX(INDEX(Assumptions!$H$5:$H$12,MATCH($B1375,Assumptions!$D$5:$D$12,0)),MIN(INDEX(Assumptions!$I$5:$I$12,MATCH($B1375,Assumptions!$D$5:$D$12,0)),($C1375+$D1375*SQRT(-2*LN(RAND()))*COS(2*PI()*RAND()))*$E1375*$J1375*$K1375)))</x:f>
        <x:v>720.3081168435017</x:v>
      </x:c>
      <x:c r="H1375" s="11" t="n">
        <x:f>IF($A1375="","",$G1375*$F1375+$C1375*(1-$F1375))</x:f>
        <x:v>801.3578408952255</x:v>
      </x:c>
      <x:c r="I1375" s="11" t="n">
        <x:f>IF($A1375="","",AVERAGE($H1375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845.9598370209757</x:v>
      </x:c>
      <x:c r="J1375" s="12" t="n">
        <x:f>IF($A1375="","",1+SUMIFS(Assumptions!$S$5:$S$10,Assumptions!$P$5:$P$10,$B1375,Assumptions!$Q$5:$Q$10,"&lt;="&amp;$A1375,Assumptions!$R$5:$R$10,"&gt;="&amp;$A1375))</x:f>
        <x:v>1</x:v>
      </x:c>
      <x:c r="K1375" s="12" t="n">
        <x:f>IF($A1375="","",1+((($A1375-Assumptions!$B$5)/30)*INDEX(Assumptions!$J$5:$J$12,MATCH($B1375,Assumptions!$D$5:$D$12,0))))</x:f>
        <x:v>1.0091333333333334</x:v>
      </x:c>
      <x:c r="L1375" t="str">
        <x:f>IF($A1375="","",IFERROR(INDEX(Assumptions!$O$5:$O$10,MATCH(1,(Assumptions!$P$5:$P$10=$B1375)*(Assumptions!$Q$5:$Q$10&lt;=$A1375)*(Assumptions!$R$5:$R$10&gt;=$A1375),0)),""))</x:f>
      </x:c>
      <x:c r="M1375" t="n">
        <x:f>--($A1375&lt;&gt;"")</x:f>
        <x:v>1</x:v>
      </x:c>
    </x:row>
    <x:row r="1376">
      <x:c r="A1376" s="10" t="n">
        <x:f>IF(Assumptions!$B$5+INT((ROW()-2)/Assumptions!$B$7)&gt;Assumptions!$B$6,"",Assumptions!$B$5+INT((ROW()-2)/Assumptions!$B$7))</x:f>
        <x:v>46297</x:v>
      </x:c>
      <x:c r="B1376" t="str">
        <x:f>IF($A1376="","",INDEX(Assumptions!$D$5:$D$12,MOD(ROW()-2,Assumptions!$B$7)+1))</x:f>
        <x:v>Yutani Ridge</x:v>
      </x:c>
      <x:c r="C1376" s="11" t="n">
        <x:f>IF($A1376="","",INDEX(Assumptions!$F$5:$F$12,MATCH($B1376,Assumptions!$D$5:$D$12,0)))</x:f>
        <x:v>1050</x:v>
      </x:c>
      <x:c r="D1376" s="11" t="n">
        <x:f>IF($A1376="","",INDEX(Assumptions!$G$5:$G$12,MATCH($B1376,Assumptions!$D$5:$D$12,0)))</x:f>
        <x:v>125</x:v>
      </x:c>
      <x:c r="E1376" s="11" t="n">
        <x:f>IF($A1376="","",INDEX(Assumptions!$M$5:$M$11,WEEKDAY($A1376,2)))</x:f>
        <x:v>0.98</x:v>
      </x:c>
      <x:c r="F1376" s="11" t="n">
        <x:f>IF($A1376="","",Assumptions!$B$15)</x:f>
        <x:v>0.35</x:v>
      </x:c>
      <x:c r="G1376" s="11" t="n">
        <x:f>IF($A1376="","",MAX(INDEX(Assumptions!$H$5:$H$12,MATCH($B1376,Assumptions!$D$5:$D$12,0)),MIN(INDEX(Assumptions!$I$5:$I$12,MATCH($B1376,Assumptions!$D$5:$D$12,0)),($C1376+$D1376*SQRT(-2*LN(RAND()))*COS(2*PI()*RAND()))*$E1376*$J1376*$K1376)))</x:f>
        <x:v>1102.7750678178527</x:v>
      </x:c>
      <x:c r="H1376" s="11" t="n">
        <x:f>IF($A1376="","",$G1376*$F1376+$C1376*(1-$F1376))</x:f>
        <x:v>1068.4712737362483</x:v>
      </x:c>
      <x:c r="I1376" s="11" t="n">
        <x:f>IF($A1376="","",AVERAGE($H1376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1054.8837359047568</x:v>
      </x:c>
      <x:c r="J1376" s="12" t="n">
        <x:f>IF($A1376="","",1+SUMIFS(Assumptions!$S$5:$S$10,Assumptions!$P$5:$P$10,$B1376,Assumptions!$Q$5:$Q$10,"&lt;="&amp;$A1376,Assumptions!$R$5:$R$10,"&gt;="&amp;$A1376))</x:f>
        <x:v>1</x:v>
      </x:c>
      <x:c r="K1376" s="12" t="n">
        <x:f>IF($A1376="","",1+((($A1376-Assumptions!$B$5)/30)*INDEX(Assumptions!$J$5:$J$12,MATCH($B1376,Assumptions!$D$5:$D$12,0))))</x:f>
        <x:v>1.0228333333333333</x:v>
      </x:c>
      <x:c r="L1376" t="str">
        <x:f>IF($A1376="","",IFERROR(INDEX(Assumptions!$O$5:$O$10,MATCH(1,(Assumptions!$P$5:$P$10=$B1376)*(Assumptions!$Q$5:$Q$10&lt;=$A1376)*(Assumptions!$R$5:$R$10&gt;=$A1376),0)),""))</x:f>
      </x:c>
      <x:c r="M1376" t="n">
        <x:f>--($A1376&lt;&gt;"")</x:f>
        <x:v>1</x:v>
      </x:c>
    </x:row>
    <x:row r="1377">
      <x:c r="A1377" s="10" t="n">
        <x:f>IF(Assumptions!$B$5+INT((ROW()-2)/Assumptions!$B$7)&gt;Assumptions!$B$6,"",Assumptions!$B$5+INT((ROW()-2)/Assumptions!$B$7))</x:f>
        <x:v>46298</x:v>
      </x:c>
      <x:c r="B1377" t="str">
        <x:f>IF($A1377="","",INDEX(Assumptions!$D$5:$D$12,MOD(ROW()-2,Assumptions!$B$7)+1))</x:f>
        <x:v>Acheron Prime</x:v>
      </x:c>
      <x:c r="C1377" s="11" t="n">
        <x:f>IF($A1377="","",INDEX(Assumptions!$F$5:$F$12,MATCH($B1377,Assumptions!$D$5:$D$12,0)))</x:f>
        <x:v>1120</x:v>
      </x:c>
      <x:c r="D1377" s="11" t="n">
        <x:f>IF($A1377="","",INDEX(Assumptions!$G$5:$G$12,MATCH($B1377,Assumptions!$D$5:$D$12,0)))</x:f>
        <x:v>115</x:v>
      </x:c>
      <x:c r="E1377" s="11" t="n">
        <x:f>IF($A1377="","",INDEX(Assumptions!$M$5:$M$11,WEEKDAY($A1377,2)))</x:f>
        <x:v>0.91</x:v>
      </x:c>
      <x:c r="F1377" s="11" t="n">
        <x:f>IF($A1377="","",Assumptions!$B$15)</x:f>
        <x:v>0.35</x:v>
      </x:c>
      <x:c r="G1377" s="11" t="n">
        <x:f>IF($A1377="","",MAX(INDEX(Assumptions!$H$5:$H$12,MATCH($B1377,Assumptions!$D$5:$D$12,0)),MIN(INDEX(Assumptions!$I$5:$I$12,MATCH($B1377,Assumptions!$D$5:$D$12,0)),($C1377+$D1377*SQRT(-2*LN(RAND()))*COS(2*PI()*RAND()))*$E1377*$J1377*$K1377)))</x:f>
        <x:v>969.3728065381981</x:v>
      </x:c>
      <x:c r="H1377" s="11" t="n">
        <x:f>IF($A1377="","",$G1377*$F1377+$C1377*(1-$F1377))</x:f>
        <x:v>1067.2804822883693</x:v>
      </x:c>
      <x:c r="I1377" s="11" t="n">
        <x:f>IF($A1377="","",AVERAGE($H1377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1118.166438152469</x:v>
      </x:c>
      <x:c r="J1377" s="12" t="n">
        <x:f>IF($A1377="","",1+SUMIFS(Assumptions!$S$5:$S$10,Assumptions!$P$5:$P$10,$B1377,Assumptions!$Q$5:$Q$10,"&lt;="&amp;$A1377,Assumptions!$R$5:$R$10,"&gt;="&amp;$A1377))</x:f>
        <x:v>1</x:v>
      </x:c>
      <x:c r="K1377" s="12" t="n">
        <x:f>IF($A1377="","",1+((($A1377-Assumptions!$B$5)/30)*INDEX(Assumptions!$J$5:$J$12,MATCH($B1377,Assumptions!$D$5:$D$12,0))))</x:f>
        <x:v>1.0183333333333333</x:v>
      </x:c>
      <x:c r="L1377" t="str">
        <x:f>IF($A1377="","",IFERROR(INDEX(Assumptions!$O$5:$O$10,MATCH(1,(Assumptions!$P$5:$P$10=$B1377)*(Assumptions!$Q$5:$Q$10&lt;=$A1377)*(Assumptions!$R$5:$R$10&gt;=$A1377),0)),""))</x:f>
      </x:c>
      <x:c r="M1377" t="n">
        <x:f>--($A1377&lt;&gt;"")</x:f>
        <x:v>1</x:v>
      </x:c>
    </x:row>
    <x:row r="1378">
      <x:c r="A1378" s="10" t="n">
        <x:f>IF(Assumptions!$B$5+INT((ROW()-2)/Assumptions!$B$7)&gt;Assumptions!$B$6,"",Assumptions!$B$5+INT((ROW()-2)/Assumptions!$B$7))</x:f>
        <x:v>46298</x:v>
      </x:c>
      <x:c r="B1378" t="str">
        <x:f>IF($A1378="","",INDEX(Assumptions!$D$5:$D$12,MOD(ROW()-2,Assumptions!$B$7)+1))</x:f>
        <x:v>LV-426 North</x:v>
      </x:c>
      <x:c r="C1378" s="11" t="n">
        <x:f>IF($A1378="","",INDEX(Assumptions!$F$5:$F$12,MATCH($B1378,Assumptions!$D$5:$D$12,0)))</x:f>
        <x:v>930</x:v>
      </x:c>
      <x:c r="D1378" s="11" t="n">
        <x:f>IF($A1378="","",INDEX(Assumptions!$G$5:$G$12,MATCH($B1378,Assumptions!$D$5:$D$12,0)))</x:f>
        <x:v>95</x:v>
      </x:c>
      <x:c r="E1378" s="11" t="n">
        <x:f>IF($A1378="","",INDEX(Assumptions!$M$5:$M$11,WEEKDAY($A1378,2)))</x:f>
        <x:v>0.91</x:v>
      </x:c>
      <x:c r="F1378" s="11" t="n">
        <x:f>IF($A1378="","",Assumptions!$B$15)</x:f>
        <x:v>0.35</x:v>
      </x:c>
      <x:c r="G1378" s="11" t="n">
        <x:f>IF($A1378="","",MAX(INDEX(Assumptions!$H$5:$H$12,MATCH($B1378,Assumptions!$D$5:$D$12,0)),MIN(INDEX(Assumptions!$I$5:$I$12,MATCH($B1378,Assumptions!$D$5:$D$12,0)),($C1378+$D1378*SQRT(-2*LN(RAND()))*COS(2*PI()*RAND()))*$E1378*$J1378*$K1378)))</x:f>
        <x:v>952.8431506957577</x:v>
      </x:c>
      <x:c r="H1378" s="11" t="n">
        <x:f>IF($A1378="","",$G1378*$F1378+$C1378*(1-$F1378))</x:f>
        <x:v>937.9951027435152</x:v>
      </x:c>
      <x:c r="I1378" s="11" t="n">
        <x:f>IF($A1378="","",AVERAGE($H1378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915.5344853137984</x:v>
      </x:c>
      <x:c r="J1378" s="12" t="n">
        <x:f>IF($A1378="","",1+SUMIFS(Assumptions!$S$5:$S$10,Assumptions!$P$5:$P$10,$B1378,Assumptions!$Q$5:$Q$10,"&lt;="&amp;$A1378,Assumptions!$R$5:$R$10,"&gt;="&amp;$A1378))</x:f>
        <x:v>1</x:v>
      </x:c>
      <x:c r="K1378" s="12" t="n">
        <x:f>IF($A1378="","",1+((($A1378-Assumptions!$B$5)/30)*INDEX(Assumptions!$J$5:$J$12,MATCH($B1378,Assumptions!$D$5:$D$12,0))))</x:f>
        <x:v>0.9908333333333333</x:v>
      </x:c>
      <x:c r="L1378" t="str">
        <x:f>IF($A1378="","",IFERROR(INDEX(Assumptions!$O$5:$O$10,MATCH(1,(Assumptions!$P$5:$P$10=$B1378)*(Assumptions!$Q$5:$Q$10&lt;=$A1378)*(Assumptions!$R$5:$R$10&gt;=$A1378),0)),""))</x:f>
      </x:c>
      <x:c r="M1378" t="n">
        <x:f>--($A1378&lt;&gt;"")</x:f>
        <x:v>1</x:v>
      </x:c>
    </x:row>
    <x:row r="1379">
      <x:c r="A1379" s="10" t="n">
        <x:f>IF(Assumptions!$B$5+INT((ROW()-2)/Assumptions!$B$7)&gt;Assumptions!$B$6,"",Assumptions!$B$5+INT((ROW()-2)/Assumptions!$B$7))</x:f>
        <x:v>46298</x:v>
      </x:c>
      <x:c r="B1379" t="str">
        <x:f>IF($A1379="","",INDEX(Assumptions!$D$5:$D$12,MOD(ROW()-2,Assumptions!$B$7)+1))</x:f>
        <x:v>Nostromo Deep</x:v>
      </x:c>
      <x:c r="C1379" s="11" t="n">
        <x:f>IF($A1379="","",INDEX(Assumptions!$F$5:$F$12,MATCH($B1379,Assumptions!$D$5:$D$12,0)))</x:f>
        <x:v>1260</x:v>
      </x:c>
      <x:c r="D1379" s="11" t="n">
        <x:f>IF($A1379="","",INDEX(Assumptions!$G$5:$G$12,MATCH($B1379,Assumptions!$D$5:$D$12,0)))</x:f>
        <x:v>145</x:v>
      </x:c>
      <x:c r="E1379" s="11" t="n">
        <x:f>IF($A1379="","",INDEX(Assumptions!$M$5:$M$11,WEEKDAY($A1379,2)))</x:f>
        <x:v>0.91</x:v>
      </x:c>
      <x:c r="F1379" s="11" t="n">
        <x:f>IF($A1379="","",Assumptions!$B$15)</x:f>
        <x:v>0.35</x:v>
      </x:c>
      <x:c r="G1379" s="11" t="n">
        <x:f>IF($A1379="","",MAX(INDEX(Assumptions!$H$5:$H$12,MATCH($B1379,Assumptions!$D$5:$D$12,0)),MIN(INDEX(Assumptions!$I$5:$I$12,MATCH($B1379,Assumptions!$D$5:$D$12,0)),($C1379+$D1379*SQRT(-2*LN(RAND()))*COS(2*PI()*RAND()))*$E1379*$J1379*$K1379)))</x:f>
        <x:v>1278.6831099339763</x:v>
      </x:c>
      <x:c r="H1379" s="11" t="n">
        <x:f>IF($A1379="","",$G1379*$F1379+$C1379*(1-$F1379))</x:f>
        <x:v>1266.5390884768917</x:v>
      </x:c>
      <x:c r="I1379" s="11" t="n">
        <x:f>IF($A1379="","",AVERAGE($H1379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1258.7680711891044</x:v>
      </x:c>
      <x:c r="J1379" s="12" t="n">
        <x:f>IF($A1379="","",1+SUMIFS(Assumptions!$S$5:$S$10,Assumptions!$P$5:$P$10,$B1379,Assumptions!$Q$5:$Q$10,"&lt;="&amp;$A1379,Assumptions!$R$5:$R$10,"&gt;="&amp;$A1379))</x:f>
        <x:v>1</x:v>
      </x:c>
      <x:c r="K1379" s="12" t="n">
        <x:f>IF($A1379="","",1+((($A1379-Assumptions!$B$5)/30)*INDEX(Assumptions!$J$5:$J$12,MATCH($B1379,Assumptions!$D$5:$D$12,0))))</x:f>
        <x:v>1.0275</x:v>
      </x:c>
      <x:c r="L1379" t="str">
        <x:f>IF($A1379="","",IFERROR(INDEX(Assumptions!$O$5:$O$10,MATCH(1,(Assumptions!$P$5:$P$10=$B1379)*(Assumptions!$Q$5:$Q$10&lt;=$A1379)*(Assumptions!$R$5:$R$10&gt;=$A1379),0)),""))</x:f>
      </x:c>
      <x:c r="M1379" t="n">
        <x:f>--($A1379&lt;&gt;"")</x:f>
        <x:v>1</x:v>
      </x:c>
    </x:row>
    <x:row r="1380">
      <x:c r="A1380" s="10" t="n">
        <x:f>IF(Assumptions!$B$5+INT((ROW()-2)/Assumptions!$B$7)&gt;Assumptions!$B$6,"",Assumptions!$B$5+INT((ROW()-2)/Assumptions!$B$7))</x:f>
        <x:v>46298</x:v>
      </x:c>
      <x:c r="B1380" t="str">
        <x:f>IF($A1380="","",INDEX(Assumptions!$D$5:$D$12,MOD(ROW()-2,Assumptions!$B$7)+1))</x:f>
        <x:v>Hadley's Hope</x:v>
      </x:c>
      <x:c r="C1380" s="11" t="n">
        <x:f>IF($A1380="","",INDEX(Assumptions!$F$5:$F$12,MATCH($B1380,Assumptions!$D$5:$D$12,0)))</x:f>
        <x:v>845</x:v>
      </x:c>
      <x:c r="D1380" s="11" t="n">
        <x:f>IF($A1380="","",INDEX(Assumptions!$G$5:$G$12,MATCH($B1380,Assumptions!$D$5:$D$12,0)))</x:f>
        <x:v>80</x:v>
      </x:c>
      <x:c r="E1380" s="11" t="n">
        <x:f>IF($A1380="","",INDEX(Assumptions!$M$5:$M$11,WEEKDAY($A1380,2)))</x:f>
        <x:v>0.91</x:v>
      </x:c>
      <x:c r="F1380" s="11" t="n">
        <x:f>IF($A1380="","",Assumptions!$B$15)</x:f>
        <x:v>0.35</x:v>
      </x:c>
      <x:c r="G1380" s="11" t="n">
        <x:f>IF($A1380="","",MAX(INDEX(Assumptions!$H$5:$H$12,MATCH($B1380,Assumptions!$D$5:$D$12,0)),MIN(INDEX(Assumptions!$I$5:$I$12,MATCH($B1380,Assumptions!$D$5:$D$12,0)),($C1380+$D1380*SQRT(-2*LN(RAND()))*COS(2*PI()*RAND()))*$E1380*$J1380*$K1380)))</x:f>
        <x:v>768.1774386356346</x:v>
      </x:c>
      <x:c r="H1380" s="11" t="n">
        <x:f>IF($A1380="","",$G1380*$F1380+$C1380*(1-$F1380))</x:f>
        <x:v>818.1121035224721</x:v>
      </x:c>
      <x:c r="I1380" s="11" t="n">
        <x:f>IF($A1380="","",AVERAGE($H1380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846.2250507162744</x:v>
      </x:c>
      <x:c r="J1380" s="12" t="n">
        <x:f>IF($A1380="","",1+SUMIFS(Assumptions!$S$5:$S$10,Assumptions!$P$5:$P$10,$B1380,Assumptions!$Q$5:$Q$10,"&lt;="&amp;$A1380,Assumptions!$R$5:$R$10,"&gt;="&amp;$A1380))</x:f>
        <x:v>1</x:v>
      </x:c>
      <x:c r="K1380" s="12" t="n">
        <x:f>IF($A1380="","",1+((($A1380-Assumptions!$B$5)/30)*INDEX(Assumptions!$J$5:$J$12,MATCH($B1380,Assumptions!$D$5:$D$12,0))))</x:f>
        <x:v>1.0091666666666668</x:v>
      </x:c>
      <x:c r="L1380" t="str">
        <x:f>IF($A1380="","",IFERROR(INDEX(Assumptions!$O$5:$O$10,MATCH(1,(Assumptions!$P$5:$P$10=$B1380)*(Assumptions!$Q$5:$Q$10&lt;=$A1380)*(Assumptions!$R$5:$R$10&gt;=$A1380),0)),""))</x:f>
      </x:c>
      <x:c r="M1380" t="n">
        <x:f>--($A1380&lt;&gt;"")</x:f>
        <x:v>1</x:v>
      </x:c>
    </x:row>
    <x:row r="1381">
      <x:c r="A1381" s="10" t="n">
        <x:f>IF(Assumptions!$B$5+INT((ROW()-2)/Assumptions!$B$7)&gt;Assumptions!$B$6,"",Assumptions!$B$5+INT((ROW()-2)/Assumptions!$B$7))</x:f>
        <x:v>46298</x:v>
      </x:c>
      <x:c r="B1381" t="str">
        <x:f>IF($A1381="","",INDEX(Assumptions!$D$5:$D$12,MOD(ROW()-2,Assumptions!$B$7)+1))</x:f>
        <x:v>Yutani Ridge</x:v>
      </x:c>
      <x:c r="C1381" s="11" t="n">
        <x:f>IF($A1381="","",INDEX(Assumptions!$F$5:$F$12,MATCH($B1381,Assumptions!$D$5:$D$12,0)))</x:f>
        <x:v>1050</x:v>
      </x:c>
      <x:c r="D1381" s="11" t="n">
        <x:f>IF($A1381="","",INDEX(Assumptions!$G$5:$G$12,MATCH($B1381,Assumptions!$D$5:$D$12,0)))</x:f>
        <x:v>125</x:v>
      </x:c>
      <x:c r="E1381" s="11" t="n">
        <x:f>IF($A1381="","",INDEX(Assumptions!$M$5:$M$11,WEEKDAY($A1381,2)))</x:f>
        <x:v>0.91</x:v>
      </x:c>
      <x:c r="F1381" s="11" t="n">
        <x:f>IF($A1381="","",Assumptions!$B$15)</x:f>
        <x:v>0.35</x:v>
      </x:c>
      <x:c r="G1381" s="11" t="n">
        <x:f>IF($A1381="","",MAX(INDEX(Assumptions!$H$5:$H$12,MATCH($B1381,Assumptions!$D$5:$D$12,0)),MIN(INDEX(Assumptions!$I$5:$I$12,MATCH($B1381,Assumptions!$D$5:$D$12,0)),($C1381+$D1381*SQRT(-2*LN(RAND()))*COS(2*PI()*RAND()))*$E1381*$J1381*$K1381)))</x:f>
        <x:v>872.7481747701584</x:v>
      </x:c>
      <x:c r="H1381" s="11" t="n">
        <x:f>IF($A1381="","",$G1381*$F1381+$C1381*(1-$F1381))</x:f>
        <x:v>987.9618611695554</x:v>
      </x:c>
      <x:c r="I1381" s="11" t="n">
        <x:f>IF($A1381="","",AVERAGE($H1381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1048.914628648663</x:v>
      </x:c>
      <x:c r="J1381" s="12" t="n">
        <x:f>IF($A1381="","",1+SUMIFS(Assumptions!$S$5:$S$10,Assumptions!$P$5:$P$10,$B1381,Assumptions!$Q$5:$Q$10,"&lt;="&amp;$A1381,Assumptions!$R$5:$R$10,"&gt;="&amp;$A1381))</x:f>
        <x:v>1</x:v>
      </x:c>
      <x:c r="K1381" s="12" t="n">
        <x:f>IF($A1381="","",1+((($A1381-Assumptions!$B$5)/30)*INDEX(Assumptions!$J$5:$J$12,MATCH($B1381,Assumptions!$D$5:$D$12,0))))</x:f>
        <x:v>1.0229166666666667</x:v>
      </x:c>
      <x:c r="L1381" t="str">
        <x:f>IF($A1381="","",IFERROR(INDEX(Assumptions!$O$5:$O$10,MATCH(1,(Assumptions!$P$5:$P$10=$B1381)*(Assumptions!$Q$5:$Q$10&lt;=$A1381)*(Assumptions!$R$5:$R$10&gt;=$A1381),0)),""))</x:f>
      </x:c>
      <x:c r="M1381" t="n">
        <x:f>--($A1381&lt;&gt;"")</x:f>
        <x:v>1</x:v>
      </x:c>
    </x:row>
    <x:row r="1382">
      <x:c r="A1382" s="10" t="n">
        <x:f>IF(Assumptions!$B$5+INT((ROW()-2)/Assumptions!$B$7)&gt;Assumptions!$B$6,"",Assumptions!$B$5+INT((ROW()-2)/Assumptions!$B$7))</x:f>
        <x:v>46299</x:v>
      </x:c>
      <x:c r="B1382" t="str">
        <x:f>IF($A1382="","",INDEX(Assumptions!$D$5:$D$12,MOD(ROW()-2,Assumptions!$B$7)+1))</x:f>
        <x:v>Acheron Prime</x:v>
      </x:c>
      <x:c r="C1382" s="11" t="n">
        <x:f>IF($A1382="","",INDEX(Assumptions!$F$5:$F$12,MATCH($B1382,Assumptions!$D$5:$D$12,0)))</x:f>
        <x:v>1120</x:v>
      </x:c>
      <x:c r="D1382" s="11" t="n">
        <x:f>IF($A1382="","",INDEX(Assumptions!$G$5:$G$12,MATCH($B1382,Assumptions!$D$5:$D$12,0)))</x:f>
        <x:v>115</x:v>
      </x:c>
      <x:c r="E1382" s="11" t="n">
        <x:f>IF($A1382="","",INDEX(Assumptions!$M$5:$M$11,WEEKDAY($A1382,2)))</x:f>
        <x:v>0.87</x:v>
      </x:c>
      <x:c r="F1382" s="11" t="n">
        <x:f>IF($A1382="","",Assumptions!$B$15)</x:f>
        <x:v>0.35</x:v>
      </x:c>
      <x:c r="G1382" s="11" t="n">
        <x:f>IF($A1382="","",MAX(INDEX(Assumptions!$H$5:$H$12,MATCH($B1382,Assumptions!$D$5:$D$12,0)),MIN(INDEX(Assumptions!$I$5:$I$12,MATCH($B1382,Assumptions!$D$5:$D$12,0)),($C1382+$D1382*SQRT(-2*LN(RAND()))*COS(2*PI()*RAND()))*$E1382*$J1382*$K1382)))</x:f>
        <x:v>875.5644424136331</x:v>
      </x:c>
      <x:c r="H1382" s="11" t="n">
        <x:f>IF($A1382="","",$G1382*$F1382+$C1382*(1-$F1382))</x:f>
        <x:v>1034.4475548447715</x:v>
      </x:c>
      <x:c r="I1382" s="11" t="n">
        <x:f>IF($A1382="","",AVERAGE($H1382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1111.829993790602</x:v>
      </x:c>
      <x:c r="J1382" s="12" t="n">
        <x:f>IF($A1382="","",1+SUMIFS(Assumptions!$S$5:$S$10,Assumptions!$P$5:$P$10,$B1382,Assumptions!$Q$5:$Q$10,"&lt;="&amp;$A1382,Assumptions!$R$5:$R$10,"&gt;="&amp;$A1382))</x:f>
        <x:v>1</x:v>
      </x:c>
      <x:c r="K1382" s="12" t="n">
        <x:f>IF($A1382="","",1+((($A1382-Assumptions!$B$5)/30)*INDEX(Assumptions!$J$5:$J$12,MATCH($B1382,Assumptions!$D$5:$D$12,0))))</x:f>
        <x:v>1.0184</x:v>
      </x:c>
      <x:c r="L1382" t="str">
        <x:f>IF($A1382="","",IFERROR(INDEX(Assumptions!$O$5:$O$10,MATCH(1,(Assumptions!$P$5:$P$10=$B1382)*(Assumptions!$Q$5:$Q$10&lt;=$A1382)*(Assumptions!$R$5:$R$10&gt;=$A1382),0)),""))</x:f>
      </x:c>
      <x:c r="M1382" t="n">
        <x:f>--($A1382&lt;&gt;"")</x:f>
        <x:v>1</x:v>
      </x:c>
    </x:row>
    <x:row r="1383">
      <x:c r="A1383" s="10" t="n">
        <x:f>IF(Assumptions!$B$5+INT((ROW()-2)/Assumptions!$B$7)&gt;Assumptions!$B$6,"",Assumptions!$B$5+INT((ROW()-2)/Assumptions!$B$7))</x:f>
        <x:v>46299</x:v>
      </x:c>
      <x:c r="B1383" t="str">
        <x:f>IF($A1383="","",INDEX(Assumptions!$D$5:$D$12,MOD(ROW()-2,Assumptions!$B$7)+1))</x:f>
        <x:v>LV-426 North</x:v>
      </x:c>
      <x:c r="C1383" s="11" t="n">
        <x:f>IF($A1383="","",INDEX(Assumptions!$F$5:$F$12,MATCH($B1383,Assumptions!$D$5:$D$12,0)))</x:f>
        <x:v>930</x:v>
      </x:c>
      <x:c r="D1383" s="11" t="n">
        <x:f>IF($A1383="","",INDEX(Assumptions!$G$5:$G$12,MATCH($B1383,Assumptions!$D$5:$D$12,0)))</x:f>
        <x:v>95</x:v>
      </x:c>
      <x:c r="E1383" s="11" t="n">
        <x:f>IF($A1383="","",INDEX(Assumptions!$M$5:$M$11,WEEKDAY($A1383,2)))</x:f>
        <x:v>0.87</x:v>
      </x:c>
      <x:c r="F1383" s="11" t="n">
        <x:f>IF($A1383="","",Assumptions!$B$15)</x:f>
        <x:v>0.35</x:v>
      </x:c>
      <x:c r="G1383" s="11" t="n">
        <x:f>IF($A1383="","",MAX(INDEX(Assumptions!$H$5:$H$12,MATCH($B1383,Assumptions!$D$5:$D$12,0)),MIN(INDEX(Assumptions!$I$5:$I$12,MATCH($B1383,Assumptions!$D$5:$D$12,0)),($C1383+$D1383*SQRT(-2*LN(RAND()))*COS(2*PI()*RAND()))*$E1383*$J1383*$K1383)))</x:f>
        <x:v>844.0552990641869</x:v>
      </x:c>
      <x:c r="H1383" s="11" t="n">
        <x:f>IF($A1383="","",$G1383*$F1383+$C1383*(1-$F1383))</x:f>
        <x:v>899.9193546724654</x:v>
      </x:c>
      <x:c r="I1383" s="11" t="n">
        <x:f>IF($A1383="","",AVERAGE($H1383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917.2458530812229</x:v>
      </x:c>
      <x:c r="J1383" s="12" t="n">
        <x:f>IF($A1383="","",1+SUMIFS(Assumptions!$S$5:$S$10,Assumptions!$P$5:$P$10,$B1383,Assumptions!$Q$5:$Q$10,"&lt;="&amp;$A1383,Assumptions!$R$5:$R$10,"&gt;="&amp;$A1383))</x:f>
        <x:v>1</x:v>
      </x:c>
      <x:c r="K1383" s="12" t="n">
        <x:f>IF($A1383="","",1+((($A1383-Assumptions!$B$5)/30)*INDEX(Assumptions!$J$5:$J$12,MATCH($B1383,Assumptions!$D$5:$D$12,0))))</x:f>
        <x:v>0.9908</x:v>
      </x:c>
      <x:c r="L1383" t="str">
        <x:f>IF($A1383="","",IFERROR(INDEX(Assumptions!$O$5:$O$10,MATCH(1,(Assumptions!$P$5:$P$10=$B1383)*(Assumptions!$Q$5:$Q$10&lt;=$A1383)*(Assumptions!$R$5:$R$10&gt;=$A1383),0)),""))</x:f>
      </x:c>
      <x:c r="M1383" t="n">
        <x:f>--($A1383&lt;&gt;"")</x:f>
        <x:v>1</x:v>
      </x:c>
    </x:row>
    <x:row r="1384">
      <x:c r="A1384" s="10" t="n">
        <x:f>IF(Assumptions!$B$5+INT((ROW()-2)/Assumptions!$B$7)&gt;Assumptions!$B$6,"",Assumptions!$B$5+INT((ROW()-2)/Assumptions!$B$7))</x:f>
        <x:v>46299</x:v>
      </x:c>
      <x:c r="B1384" t="str">
        <x:f>IF($A1384="","",INDEX(Assumptions!$D$5:$D$12,MOD(ROW()-2,Assumptions!$B$7)+1))</x:f>
        <x:v>Nostromo Deep</x:v>
      </x:c>
      <x:c r="C1384" s="11" t="n">
        <x:f>IF($A1384="","",INDEX(Assumptions!$F$5:$F$12,MATCH($B1384,Assumptions!$D$5:$D$12,0)))</x:f>
        <x:v>1260</x:v>
      </x:c>
      <x:c r="D1384" s="11" t="n">
        <x:f>IF($A1384="","",INDEX(Assumptions!$G$5:$G$12,MATCH($B1384,Assumptions!$D$5:$D$12,0)))</x:f>
        <x:v>145</x:v>
      </x:c>
      <x:c r="E1384" s="11" t="n">
        <x:f>IF($A1384="","",INDEX(Assumptions!$M$5:$M$11,WEEKDAY($A1384,2)))</x:f>
        <x:v>0.87</x:v>
      </x:c>
      <x:c r="F1384" s="11" t="n">
        <x:f>IF($A1384="","",Assumptions!$B$15)</x:f>
        <x:v>0.35</x:v>
      </x:c>
      <x:c r="G1384" s="11" t="n">
        <x:f>IF($A1384="","",MAX(INDEX(Assumptions!$H$5:$H$12,MATCH($B1384,Assumptions!$D$5:$D$12,0)),MIN(INDEX(Assumptions!$I$5:$I$12,MATCH($B1384,Assumptions!$D$5:$D$12,0)),($C1384+$D1384*SQRT(-2*LN(RAND()))*COS(2*PI()*RAND()))*$E1384*$J1384*$K1384)))</x:f>
        <x:v>908.6000844981666</x:v>
      </x:c>
      <x:c r="H1384" s="11" t="n">
        <x:f>IF($A1384="","",$G1384*$F1384+$C1384*(1-$F1384))</x:f>
        <x:v>1137.0100295743582</x:v>
      </x:c>
      <x:c r="I1384" s="11" t="n">
        <x:f>IF($A1384="","",AVERAGE($H1384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1249.0236694708053</x:v>
      </x:c>
      <x:c r="J1384" s="12" t="n">
        <x:f>IF($A1384="","",1+SUMIFS(Assumptions!$S$5:$S$10,Assumptions!$P$5:$P$10,$B1384,Assumptions!$Q$5:$Q$10,"&lt;="&amp;$A1384,Assumptions!$R$5:$R$10,"&gt;="&amp;$A1384))</x:f>
        <x:v>1</x:v>
      </x:c>
      <x:c r="K1384" s="12" t="n">
        <x:f>IF($A1384="","",1+((($A1384-Assumptions!$B$5)/30)*INDEX(Assumptions!$J$5:$J$12,MATCH($B1384,Assumptions!$D$5:$D$12,0))))</x:f>
        <x:v>1.0276</x:v>
      </x:c>
      <x:c r="L1384" t="str">
        <x:f>IF($A1384="","",IFERROR(INDEX(Assumptions!$O$5:$O$10,MATCH(1,(Assumptions!$P$5:$P$10=$B1384)*(Assumptions!$Q$5:$Q$10&lt;=$A1384)*(Assumptions!$R$5:$R$10&gt;=$A1384),0)),""))</x:f>
      </x:c>
      <x:c r="M1384" t="n">
        <x:f>--($A1384&lt;&gt;"")</x:f>
        <x:v>1</x:v>
      </x:c>
    </x:row>
    <x:row r="1385">
      <x:c r="A1385" s="10" t="n">
        <x:f>IF(Assumptions!$B$5+INT((ROW()-2)/Assumptions!$B$7)&gt;Assumptions!$B$6,"",Assumptions!$B$5+INT((ROW()-2)/Assumptions!$B$7))</x:f>
        <x:v>46299</x:v>
      </x:c>
      <x:c r="B1385" t="str">
        <x:f>IF($A1385="","",INDEX(Assumptions!$D$5:$D$12,MOD(ROW()-2,Assumptions!$B$7)+1))</x:f>
        <x:v>Hadley's Hope</x:v>
      </x:c>
      <x:c r="C1385" s="11" t="n">
        <x:f>IF($A1385="","",INDEX(Assumptions!$F$5:$F$12,MATCH($B1385,Assumptions!$D$5:$D$12,0)))</x:f>
        <x:v>845</x:v>
      </x:c>
      <x:c r="D1385" s="11" t="n">
        <x:f>IF($A1385="","",INDEX(Assumptions!$G$5:$G$12,MATCH($B1385,Assumptions!$D$5:$D$12,0)))</x:f>
        <x:v>80</x:v>
      </x:c>
      <x:c r="E1385" s="11" t="n">
        <x:f>IF($A1385="","",INDEX(Assumptions!$M$5:$M$11,WEEKDAY($A1385,2)))</x:f>
        <x:v>0.87</x:v>
      </x:c>
      <x:c r="F1385" s="11" t="n">
        <x:f>IF($A1385="","",Assumptions!$B$15)</x:f>
        <x:v>0.35</x:v>
      </x:c>
      <x:c r="G1385" s="11" t="n">
        <x:f>IF($A1385="","",MAX(INDEX(Assumptions!$H$5:$H$12,MATCH($B1385,Assumptions!$D$5:$D$12,0)),MIN(INDEX(Assumptions!$I$5:$I$12,MATCH($B1385,Assumptions!$D$5:$D$12,0)),($C1385+$D1385*SQRT(-2*LN(RAND()))*COS(2*PI()*RAND()))*$E1385*$J1385*$K1385)))</x:f>
        <x:v>615.3437026700612</x:v>
      </x:c>
      <x:c r="H1385" s="11" t="n">
        <x:f>IF($A1385="","",$G1385*$F1385+$C1385*(1-$F1385))</x:f>
        <x:v>764.6202959345214</x:v>
      </x:c>
      <x:c r="I1385" s="11" t="n">
        <x:f>IF($A1385="","",AVERAGE($H1385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841.812832174368</x:v>
      </x:c>
      <x:c r="J1385" s="12" t="n">
        <x:f>IF($A1385="","",1+SUMIFS(Assumptions!$S$5:$S$10,Assumptions!$P$5:$P$10,$B1385,Assumptions!$Q$5:$Q$10,"&lt;="&amp;$A1385,Assumptions!$R$5:$R$10,"&gt;="&amp;$A1385))</x:f>
        <x:v>1</x:v>
      </x:c>
      <x:c r="K1385" s="12" t="n">
        <x:f>IF($A1385="","",1+((($A1385-Assumptions!$B$5)/30)*INDEX(Assumptions!$J$5:$J$12,MATCH($B1385,Assumptions!$D$5:$D$12,0))))</x:f>
        <x:v>1.0092</x:v>
      </x:c>
      <x:c r="L1385" t="str">
        <x:f>IF($A1385="","",IFERROR(INDEX(Assumptions!$O$5:$O$10,MATCH(1,(Assumptions!$P$5:$P$10=$B1385)*(Assumptions!$Q$5:$Q$10&lt;=$A1385)*(Assumptions!$R$5:$R$10&gt;=$A1385),0)),""))</x:f>
      </x:c>
      <x:c r="M1385" t="n">
        <x:f>--($A1385&lt;&gt;"")</x:f>
        <x:v>1</x:v>
      </x:c>
    </x:row>
    <x:row r="1386">
      <x:c r="A1386" s="10" t="n">
        <x:f>IF(Assumptions!$B$5+INT((ROW()-2)/Assumptions!$B$7)&gt;Assumptions!$B$6,"",Assumptions!$B$5+INT((ROW()-2)/Assumptions!$B$7))</x:f>
        <x:v>46299</x:v>
      </x:c>
      <x:c r="B1386" t="str">
        <x:f>IF($A1386="","",INDEX(Assumptions!$D$5:$D$12,MOD(ROW()-2,Assumptions!$B$7)+1))</x:f>
        <x:v>Yutani Ridge</x:v>
      </x:c>
      <x:c r="C1386" s="11" t="n">
        <x:f>IF($A1386="","",INDEX(Assumptions!$F$5:$F$12,MATCH($B1386,Assumptions!$D$5:$D$12,0)))</x:f>
        <x:v>1050</x:v>
      </x:c>
      <x:c r="D1386" s="11" t="n">
        <x:f>IF($A1386="","",INDEX(Assumptions!$G$5:$G$12,MATCH($B1386,Assumptions!$D$5:$D$12,0)))</x:f>
        <x:v>125</x:v>
      </x:c>
      <x:c r="E1386" s="11" t="n">
        <x:f>IF($A1386="","",INDEX(Assumptions!$M$5:$M$11,WEEKDAY($A1386,2)))</x:f>
        <x:v>0.87</x:v>
      </x:c>
      <x:c r="F1386" s="11" t="n">
        <x:f>IF($A1386="","",Assumptions!$B$15)</x:f>
        <x:v>0.35</x:v>
      </x:c>
      <x:c r="G1386" s="11" t="n">
        <x:f>IF($A1386="","",MAX(INDEX(Assumptions!$H$5:$H$12,MATCH($B1386,Assumptions!$D$5:$D$12,0)),MIN(INDEX(Assumptions!$I$5:$I$12,MATCH($B1386,Assumptions!$D$5:$D$12,0)),($C1386+$D1386*SQRT(-2*LN(RAND()))*COS(2*PI()*RAND()))*$E1386*$J1386*$K1386)))</x:f>
        <x:v>994.8951594977732</x:v>
      </x:c>
      <x:c r="H1386" s="11" t="n">
        <x:f>IF($A1386="","",$G1386*$F1386+$C1386*(1-$F1386))</x:f>
        <x:v>1030.7133058242207</x:v>
      </x:c>
      <x:c r="I1386" s="11" t="n">
        <x:f>IF($A1386="","",AVERAGE($H1386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1048.26161935293</x:v>
      </x:c>
      <x:c r="J1386" s="12" t="n">
        <x:f>IF($A1386="","",1+SUMIFS(Assumptions!$S$5:$S$10,Assumptions!$P$5:$P$10,$B1386,Assumptions!$Q$5:$Q$10,"&lt;="&amp;$A1386,Assumptions!$R$5:$R$10,"&gt;="&amp;$A1386))</x:f>
        <x:v>1</x:v>
      </x:c>
      <x:c r="K1386" s="12" t="n">
        <x:f>IF($A1386="","",1+((($A1386-Assumptions!$B$5)/30)*INDEX(Assumptions!$J$5:$J$12,MATCH($B1386,Assumptions!$D$5:$D$12,0))))</x:f>
        <x:v>1.023</x:v>
      </x:c>
      <x:c r="L1386" t="str">
        <x:f>IF($A1386="","",IFERROR(INDEX(Assumptions!$O$5:$O$10,MATCH(1,(Assumptions!$P$5:$P$10=$B1386)*(Assumptions!$Q$5:$Q$10&lt;=$A1386)*(Assumptions!$R$5:$R$10&gt;=$A1386),0)),""))</x:f>
      </x:c>
      <x:c r="M1386" t="n">
        <x:f>--($A1386&lt;&gt;"")</x:f>
        <x:v>1</x:v>
      </x:c>
    </x:row>
    <x:row r="1387">
      <x:c r="A1387" s="10" t="n">
        <x:f>IF(Assumptions!$B$5+INT((ROW()-2)/Assumptions!$B$7)&gt;Assumptions!$B$6,"",Assumptions!$B$5+INT((ROW()-2)/Assumptions!$B$7))</x:f>
        <x:v>46300</x:v>
      </x:c>
      <x:c r="B1387" t="str">
        <x:f>IF($A1387="","",INDEX(Assumptions!$D$5:$D$12,MOD(ROW()-2,Assumptions!$B$7)+1))</x:f>
        <x:v>Acheron Prime</x:v>
      </x:c>
      <x:c r="C1387" s="11" t="n">
        <x:f>IF($A1387="","",INDEX(Assumptions!$F$5:$F$12,MATCH($B1387,Assumptions!$D$5:$D$12,0)))</x:f>
        <x:v>1120</x:v>
      </x:c>
      <x:c r="D1387" s="11" t="n">
        <x:f>IF($A1387="","",INDEX(Assumptions!$G$5:$G$12,MATCH($B1387,Assumptions!$D$5:$D$12,0)))</x:f>
        <x:v>115</x:v>
      </x:c>
      <x:c r="E1387" s="11" t="n">
        <x:f>IF($A1387="","",INDEX(Assumptions!$M$5:$M$11,WEEKDAY($A1387,2)))</x:f>
        <x:v>1.03</x:v>
      </x:c>
      <x:c r="F1387" s="11" t="n">
        <x:f>IF($A1387="","",Assumptions!$B$15)</x:f>
        <x:v>0.35</x:v>
      </x:c>
      <x:c r="G1387" s="11" t="n">
        <x:f>IF($A1387="","",MAX(INDEX(Assumptions!$H$5:$H$12,MATCH($B1387,Assumptions!$D$5:$D$12,0)),MIN(INDEX(Assumptions!$I$5:$I$12,MATCH($B1387,Assumptions!$D$5:$D$12,0)),($C1387+$D1387*SQRT(-2*LN(RAND()))*COS(2*PI()*RAND()))*$E1387*$J1387*$K1387)))</x:f>
        <x:v>1268.6841881575983</x:v>
      </x:c>
      <x:c r="H1387" s="11" t="n">
        <x:f>IF($A1387="","",$G1387*$F1387+$C1387*(1-$F1387))</x:f>
        <x:v>1172.0394658551595</x:v>
      </x:c>
      <x:c r="I1387" s="11" t="n">
        <x:f>IF($A1387="","",AVERAGE($H1387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1109.843858110098</x:v>
      </x:c>
      <x:c r="J1387" s="12" t="n">
        <x:f>IF($A1387="","",1+SUMIFS(Assumptions!$S$5:$S$10,Assumptions!$P$5:$P$10,$B1387,Assumptions!$Q$5:$Q$10,"&lt;="&amp;$A1387,Assumptions!$R$5:$R$10,"&gt;="&amp;$A1387))</x:f>
        <x:v>1</x:v>
      </x:c>
      <x:c r="K1387" s="12" t="n">
        <x:f>IF($A1387="","",1+((($A1387-Assumptions!$B$5)/30)*INDEX(Assumptions!$J$5:$J$12,MATCH($B1387,Assumptions!$D$5:$D$12,0))))</x:f>
        <x:v>1.0184666666666666</x:v>
      </x:c>
      <x:c r="L1387" t="str">
        <x:f>IF($A1387="","",IFERROR(INDEX(Assumptions!$O$5:$O$10,MATCH(1,(Assumptions!$P$5:$P$10=$B1387)*(Assumptions!$Q$5:$Q$10&lt;=$A1387)*(Assumptions!$R$5:$R$10&gt;=$A1387),0)),""))</x:f>
      </x:c>
      <x:c r="M1387" t="n">
        <x:f>--($A1387&lt;&gt;"")</x:f>
        <x:v>1</x:v>
      </x:c>
    </x:row>
    <x:row r="1388">
      <x:c r="A1388" s="10" t="n">
        <x:f>IF(Assumptions!$B$5+INT((ROW()-2)/Assumptions!$B$7)&gt;Assumptions!$B$6,"",Assumptions!$B$5+INT((ROW()-2)/Assumptions!$B$7))</x:f>
        <x:v>46300</x:v>
      </x:c>
      <x:c r="B1388" t="str">
        <x:f>IF($A1388="","",INDEX(Assumptions!$D$5:$D$12,MOD(ROW()-2,Assumptions!$B$7)+1))</x:f>
        <x:v>LV-426 North</x:v>
      </x:c>
      <x:c r="C1388" s="11" t="n">
        <x:f>IF($A1388="","",INDEX(Assumptions!$F$5:$F$12,MATCH($B1388,Assumptions!$D$5:$D$12,0)))</x:f>
        <x:v>930</x:v>
      </x:c>
      <x:c r="D1388" s="11" t="n">
        <x:f>IF($A1388="","",INDEX(Assumptions!$G$5:$G$12,MATCH($B1388,Assumptions!$D$5:$D$12,0)))</x:f>
        <x:v>95</x:v>
      </x:c>
      <x:c r="E1388" s="11" t="n">
        <x:f>IF($A1388="","",INDEX(Assumptions!$M$5:$M$11,WEEKDAY($A1388,2)))</x:f>
        <x:v>1.03</x:v>
      </x:c>
      <x:c r="F1388" s="11" t="n">
        <x:f>IF($A1388="","",Assumptions!$B$15)</x:f>
        <x:v>0.35</x:v>
      </x:c>
      <x:c r="G1388" s="11" t="n">
        <x:f>IF($A1388="","",MAX(INDEX(Assumptions!$H$5:$H$12,MATCH($B1388,Assumptions!$D$5:$D$12,0)),MIN(INDEX(Assumptions!$I$5:$I$12,MATCH($B1388,Assumptions!$D$5:$D$12,0)),($C1388+$D1388*SQRT(-2*LN(RAND()))*COS(2*PI()*RAND()))*$E1388*$J1388*$K1388)))</x:f>
        <x:v>997.288341807816</x:v>
      </x:c>
      <x:c r="H1388" s="11" t="n">
        <x:f>IF($A1388="","",$G1388*$F1388+$C1388*(1-$F1388))</x:f>
        <x:v>953.5509196327356</x:v>
      </x:c>
      <x:c r="I1388" s="11" t="n">
        <x:f>IF($A1388="","",AVERAGE($H1388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923.1754321735364</x:v>
      </x:c>
      <x:c r="J1388" s="12" t="n">
        <x:f>IF($A1388="","",1+SUMIFS(Assumptions!$S$5:$S$10,Assumptions!$P$5:$P$10,$B1388,Assumptions!$Q$5:$Q$10,"&lt;="&amp;$A1388,Assumptions!$R$5:$R$10,"&gt;="&amp;$A1388))</x:f>
        <x:v>1</x:v>
      </x:c>
      <x:c r="K1388" s="12" t="n">
        <x:f>IF($A1388="","",1+((($A1388-Assumptions!$B$5)/30)*INDEX(Assumptions!$J$5:$J$12,MATCH($B1388,Assumptions!$D$5:$D$12,0))))</x:f>
        <x:v>0.9907666666666667</x:v>
      </x:c>
      <x:c r="L1388" t="str">
        <x:f>IF($A1388="","",IFERROR(INDEX(Assumptions!$O$5:$O$10,MATCH(1,(Assumptions!$P$5:$P$10=$B1388)*(Assumptions!$Q$5:$Q$10&lt;=$A1388)*(Assumptions!$R$5:$R$10&gt;=$A1388),0)),""))</x:f>
      </x:c>
      <x:c r="M1388" t="n">
        <x:f>--($A1388&lt;&gt;"")</x:f>
        <x:v>1</x:v>
      </x:c>
    </x:row>
    <x:row r="1389">
      <x:c r="A1389" s="10" t="n">
        <x:f>IF(Assumptions!$B$5+INT((ROW()-2)/Assumptions!$B$7)&gt;Assumptions!$B$6,"",Assumptions!$B$5+INT((ROW()-2)/Assumptions!$B$7))</x:f>
        <x:v>46300</x:v>
      </x:c>
      <x:c r="B1389" t="str">
        <x:f>IF($A1389="","",INDEX(Assumptions!$D$5:$D$12,MOD(ROW()-2,Assumptions!$B$7)+1))</x:f>
        <x:v>Nostromo Deep</x:v>
      </x:c>
      <x:c r="C1389" s="11" t="n">
        <x:f>IF($A1389="","",INDEX(Assumptions!$F$5:$F$12,MATCH($B1389,Assumptions!$D$5:$D$12,0)))</x:f>
        <x:v>1260</x:v>
      </x:c>
      <x:c r="D1389" s="11" t="n">
        <x:f>IF($A1389="","",INDEX(Assumptions!$G$5:$G$12,MATCH($B1389,Assumptions!$D$5:$D$12,0)))</x:f>
        <x:v>145</x:v>
      </x:c>
      <x:c r="E1389" s="11" t="n">
        <x:f>IF($A1389="","",INDEX(Assumptions!$M$5:$M$11,WEEKDAY($A1389,2)))</x:f>
        <x:v>1.03</x:v>
      </x:c>
      <x:c r="F1389" s="11" t="n">
        <x:f>IF($A1389="","",Assumptions!$B$15)</x:f>
        <x:v>0.35</x:v>
      </x:c>
      <x:c r="G1389" s="11" t="n">
        <x:f>IF($A1389="","",MAX(INDEX(Assumptions!$H$5:$H$12,MATCH($B1389,Assumptions!$D$5:$D$12,0)),MIN(INDEX(Assumptions!$I$5:$I$12,MATCH($B1389,Assumptions!$D$5:$D$12,0)),($C1389+$D1389*SQRT(-2*LN(RAND()))*COS(2*PI()*RAND()))*$E1389*$J1389*$K1389)))</x:f>
        <x:v>1522.6795778989401</x:v>
      </x:c>
      <x:c r="H1389" s="11" t="n">
        <x:f>IF($A1389="","",$G1389*$F1389+$C1389*(1-$F1389))</x:f>
        <x:v>1351.9378522646289</x:v>
      </x:c>
      <x:c r="I1389" s="11" t="n">
        <x:f>IF($A1389="","",AVERAGE($H1389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1260.895429229233</x:v>
      </x:c>
      <x:c r="J1389" s="12" t="n">
        <x:f>IF($A1389="","",1+SUMIFS(Assumptions!$S$5:$S$10,Assumptions!$P$5:$P$10,$B1389,Assumptions!$Q$5:$Q$10,"&lt;="&amp;$A1389,Assumptions!$R$5:$R$10,"&gt;="&amp;$A1389))</x:f>
        <x:v>1</x:v>
      </x:c>
      <x:c r="K1389" s="12" t="n">
        <x:f>IF($A1389="","",1+((($A1389-Assumptions!$B$5)/30)*INDEX(Assumptions!$J$5:$J$12,MATCH($B1389,Assumptions!$D$5:$D$12,0))))</x:f>
        <x:v>1.0277</x:v>
      </x:c>
      <x:c r="L1389" t="str">
        <x:f>IF($A1389="","",IFERROR(INDEX(Assumptions!$O$5:$O$10,MATCH(1,(Assumptions!$P$5:$P$10=$B1389)*(Assumptions!$Q$5:$Q$10&lt;=$A1389)*(Assumptions!$R$5:$R$10&gt;=$A1389),0)),""))</x:f>
      </x:c>
      <x:c r="M1389" t="n">
        <x:f>--($A1389&lt;&gt;"")</x:f>
        <x:v>1</x:v>
      </x:c>
    </x:row>
    <x:row r="1390">
      <x:c r="A1390" s="10" t="n">
        <x:f>IF(Assumptions!$B$5+INT((ROW()-2)/Assumptions!$B$7)&gt;Assumptions!$B$6,"",Assumptions!$B$5+INT((ROW()-2)/Assumptions!$B$7))</x:f>
        <x:v>46300</x:v>
      </x:c>
      <x:c r="B1390" t="str">
        <x:f>IF($A1390="","",INDEX(Assumptions!$D$5:$D$12,MOD(ROW()-2,Assumptions!$B$7)+1))</x:f>
        <x:v>Hadley's Hope</x:v>
      </x:c>
      <x:c r="C1390" s="11" t="n">
        <x:f>IF($A1390="","",INDEX(Assumptions!$F$5:$F$12,MATCH($B1390,Assumptions!$D$5:$D$12,0)))</x:f>
        <x:v>845</x:v>
      </x:c>
      <x:c r="D1390" s="11" t="n">
        <x:f>IF($A1390="","",INDEX(Assumptions!$G$5:$G$12,MATCH($B1390,Assumptions!$D$5:$D$12,0)))</x:f>
        <x:v>80</x:v>
      </x:c>
      <x:c r="E1390" s="11" t="n">
        <x:f>IF($A1390="","",INDEX(Assumptions!$M$5:$M$11,WEEKDAY($A1390,2)))</x:f>
        <x:v>1.03</x:v>
      </x:c>
      <x:c r="F1390" s="11" t="n">
        <x:f>IF($A1390="","",Assumptions!$B$15)</x:f>
        <x:v>0.35</x:v>
      </x:c>
      <x:c r="G1390" s="11" t="n">
        <x:f>IF($A1390="","",MAX(INDEX(Assumptions!$H$5:$H$12,MATCH($B1390,Assumptions!$D$5:$D$12,0)),MIN(INDEX(Assumptions!$I$5:$I$12,MATCH($B1390,Assumptions!$D$5:$D$12,0)),($C1390+$D1390*SQRT(-2*LN(RAND()))*COS(2*PI()*RAND()))*$E1390*$J1390*$K1390)))</x:f>
        <x:v>853.8448756052641</x:v>
      </x:c>
      <x:c r="H1390" s="11" t="n">
        <x:f>IF($A1390="","",$G1390*$F1390+$C1390*(1-$F1390))</x:f>
        <x:v>848.0957064618424</x:v>
      </x:c>
      <x:c r="I1390" s="11" t="n">
        <x:f>IF($A1390="","",AVERAGE($H1390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836.8208006065748</x:v>
      </x:c>
      <x:c r="J1390" s="12" t="n">
        <x:f>IF($A1390="","",1+SUMIFS(Assumptions!$S$5:$S$10,Assumptions!$P$5:$P$10,$B1390,Assumptions!$Q$5:$Q$10,"&lt;="&amp;$A1390,Assumptions!$R$5:$R$10,"&gt;="&amp;$A1390))</x:f>
        <x:v>1</x:v>
      </x:c>
      <x:c r="K1390" s="12" t="n">
        <x:f>IF($A1390="","",1+((($A1390-Assumptions!$B$5)/30)*INDEX(Assumptions!$J$5:$J$12,MATCH($B1390,Assumptions!$D$5:$D$12,0))))</x:f>
        <x:v>1.0092333333333334</x:v>
      </x:c>
      <x:c r="L1390" t="str">
        <x:f>IF($A1390="","",IFERROR(INDEX(Assumptions!$O$5:$O$10,MATCH(1,(Assumptions!$P$5:$P$10=$B1390)*(Assumptions!$Q$5:$Q$10&lt;=$A1390)*(Assumptions!$R$5:$R$10&gt;=$A1390),0)),""))</x:f>
      </x:c>
      <x:c r="M1390" t="n">
        <x:f>--($A1390&lt;&gt;"")</x:f>
        <x:v>1</x:v>
      </x:c>
    </x:row>
    <x:row r="1391">
      <x:c r="A1391" s="10" t="n">
        <x:f>IF(Assumptions!$B$5+INT((ROW()-2)/Assumptions!$B$7)&gt;Assumptions!$B$6,"",Assumptions!$B$5+INT((ROW()-2)/Assumptions!$B$7))</x:f>
        <x:v>46300</x:v>
      </x:c>
      <x:c r="B1391" t="str">
        <x:f>IF($A1391="","",INDEX(Assumptions!$D$5:$D$12,MOD(ROW()-2,Assumptions!$B$7)+1))</x:f>
        <x:v>Yutani Ridge</x:v>
      </x:c>
      <x:c r="C1391" s="11" t="n">
        <x:f>IF($A1391="","",INDEX(Assumptions!$F$5:$F$12,MATCH($B1391,Assumptions!$D$5:$D$12,0)))</x:f>
        <x:v>1050</x:v>
      </x:c>
      <x:c r="D1391" s="11" t="n">
        <x:f>IF($A1391="","",INDEX(Assumptions!$G$5:$G$12,MATCH($B1391,Assumptions!$D$5:$D$12,0)))</x:f>
        <x:v>125</x:v>
      </x:c>
      <x:c r="E1391" s="11" t="n">
        <x:f>IF($A1391="","",INDEX(Assumptions!$M$5:$M$11,WEEKDAY($A1391,2)))</x:f>
        <x:v>1.03</x:v>
      </x:c>
      <x:c r="F1391" s="11" t="n">
        <x:f>IF($A1391="","",Assumptions!$B$15)</x:f>
        <x:v>0.35</x:v>
      </x:c>
      <x:c r="G1391" s="11" t="n">
        <x:f>IF($A1391="","",MAX(INDEX(Assumptions!$H$5:$H$12,MATCH($B1391,Assumptions!$D$5:$D$12,0)),MIN(INDEX(Assumptions!$I$5:$I$12,MATCH($B1391,Assumptions!$D$5:$D$12,0)),($C1391+$D1391*SQRT(-2*LN(RAND()))*COS(2*PI()*RAND()))*$E1391*$J1391*$K1391)))</x:f>
        <x:v>1255.9755778508388</x:v>
      </x:c>
      <x:c r="H1391" s="11" t="n">
        <x:f>IF($A1391="","",$G1391*$F1391+$C1391*(1-$F1391))</x:f>
        <x:v>1122.0914522477935</x:v>
      </x:c>
      <x:c r="I1391" s="11" t="n">
        <x:f>IF($A1391="","",AVERAGE($H1391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1061.486084886358</x:v>
      </x:c>
      <x:c r="J1391" s="12" t="n">
        <x:f>IF($A1391="","",1+SUMIFS(Assumptions!$S$5:$S$10,Assumptions!$P$5:$P$10,$B1391,Assumptions!$Q$5:$Q$10,"&lt;="&amp;$A1391,Assumptions!$R$5:$R$10,"&gt;="&amp;$A1391))</x:f>
        <x:v>1</x:v>
      </x:c>
      <x:c r="K1391" s="12" t="n">
        <x:f>IF($A1391="","",1+((($A1391-Assumptions!$B$5)/30)*INDEX(Assumptions!$J$5:$J$12,MATCH($B1391,Assumptions!$D$5:$D$12,0))))</x:f>
        <x:v>1.0230833333333333</x:v>
      </x:c>
      <x:c r="L1391" t="str">
        <x:f>IF($A1391="","",IFERROR(INDEX(Assumptions!$O$5:$O$10,MATCH(1,(Assumptions!$P$5:$P$10=$B1391)*(Assumptions!$Q$5:$Q$10&lt;=$A1391)*(Assumptions!$R$5:$R$10&gt;=$A1391),0)),""))</x:f>
      </x:c>
      <x:c r="M1391" t="n">
        <x:f>--($A1391&lt;&gt;"")</x:f>
        <x:v>1</x:v>
      </x:c>
    </x:row>
    <x:row r="1392">
      <x:c r="A1392" s="10" t="n">
        <x:f>IF(Assumptions!$B$5+INT((ROW()-2)/Assumptions!$B$7)&gt;Assumptions!$B$6,"",Assumptions!$B$5+INT((ROW()-2)/Assumptions!$B$7))</x:f>
        <x:v>46301</x:v>
      </x:c>
      <x:c r="B1392" t="str">
        <x:f>IF($A1392="","",INDEX(Assumptions!$D$5:$D$12,MOD(ROW()-2,Assumptions!$B$7)+1))</x:f>
        <x:v>Acheron Prime</x:v>
      </x:c>
      <x:c r="C1392" s="11" t="n">
        <x:f>IF($A1392="","",INDEX(Assumptions!$F$5:$F$12,MATCH($B1392,Assumptions!$D$5:$D$12,0)))</x:f>
        <x:v>1120</x:v>
      </x:c>
      <x:c r="D1392" s="11" t="n">
        <x:f>IF($A1392="","",INDEX(Assumptions!$G$5:$G$12,MATCH($B1392,Assumptions!$D$5:$D$12,0)))</x:f>
        <x:v>115</x:v>
      </x:c>
      <x:c r="E1392" s="11" t="n">
        <x:f>IF($A1392="","",INDEX(Assumptions!$M$5:$M$11,WEEKDAY($A1392,2)))</x:f>
        <x:v>1.02</x:v>
      </x:c>
      <x:c r="F1392" s="11" t="n">
        <x:f>IF($A1392="","",Assumptions!$B$15)</x:f>
        <x:v>0.35</x:v>
      </x:c>
      <x:c r="G1392" s="11" t="n">
        <x:f>IF($A1392="","",MAX(INDEX(Assumptions!$H$5:$H$12,MATCH($B1392,Assumptions!$D$5:$D$12,0)),MIN(INDEX(Assumptions!$I$5:$I$12,MATCH($B1392,Assumptions!$D$5:$D$12,0)),($C1392+$D1392*SQRT(-2*LN(RAND()))*COS(2*PI()*RAND()))*$E1392*$J1392*$K1392)))</x:f>
        <x:v>1141.3650325893786</x:v>
      </x:c>
      <x:c r="H1392" s="11" t="n">
        <x:f>IF($A1392="","",$G1392*$F1392+$C1392*(1-$F1392))</x:f>
        <x:v>1127.4777614062825</x:v>
      </x:c>
      <x:c r="I1392" s="11" t="n">
        <x:f>IF($A1392="","",AVERAGE($H1392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1108.596620429283</x:v>
      </x:c>
      <x:c r="J1392" s="12" t="n">
        <x:f>IF($A1392="","",1+SUMIFS(Assumptions!$S$5:$S$10,Assumptions!$P$5:$P$10,$B1392,Assumptions!$Q$5:$Q$10,"&lt;="&amp;$A1392,Assumptions!$R$5:$R$10,"&gt;="&amp;$A1392))</x:f>
        <x:v>1</x:v>
      </x:c>
      <x:c r="K1392" s="12" t="n">
        <x:f>IF($A1392="","",1+((($A1392-Assumptions!$B$5)/30)*INDEX(Assumptions!$J$5:$J$12,MATCH($B1392,Assumptions!$D$5:$D$12,0))))</x:f>
        <x:v>1.0185333333333333</x:v>
      </x:c>
      <x:c r="L1392" t="str">
        <x:f>IF($A1392="","",IFERROR(INDEX(Assumptions!$O$5:$O$10,MATCH(1,(Assumptions!$P$5:$P$10=$B1392)*(Assumptions!$Q$5:$Q$10&lt;=$A1392)*(Assumptions!$R$5:$R$10&gt;=$A1392),0)),""))</x:f>
      </x:c>
      <x:c r="M1392" t="n">
        <x:f>--($A1392&lt;&gt;"")</x:f>
        <x:v>1</x:v>
      </x:c>
    </x:row>
    <x:row r="1393">
      <x:c r="A1393" s="10" t="n">
        <x:f>IF(Assumptions!$B$5+INT((ROW()-2)/Assumptions!$B$7)&gt;Assumptions!$B$6,"",Assumptions!$B$5+INT((ROW()-2)/Assumptions!$B$7))</x:f>
        <x:v>46301</x:v>
      </x:c>
      <x:c r="B1393" t="str">
        <x:f>IF($A1393="","",INDEX(Assumptions!$D$5:$D$12,MOD(ROW()-2,Assumptions!$B$7)+1))</x:f>
        <x:v>LV-426 North</x:v>
      </x:c>
      <x:c r="C1393" s="11" t="n">
        <x:f>IF($A1393="","",INDEX(Assumptions!$F$5:$F$12,MATCH($B1393,Assumptions!$D$5:$D$12,0)))</x:f>
        <x:v>930</x:v>
      </x:c>
      <x:c r="D1393" s="11" t="n">
        <x:f>IF($A1393="","",INDEX(Assumptions!$G$5:$G$12,MATCH($B1393,Assumptions!$D$5:$D$12,0)))</x:f>
        <x:v>95</x:v>
      </x:c>
      <x:c r="E1393" s="11" t="n">
        <x:f>IF($A1393="","",INDEX(Assumptions!$M$5:$M$11,WEEKDAY($A1393,2)))</x:f>
        <x:v>1.02</x:v>
      </x:c>
      <x:c r="F1393" s="11" t="n">
        <x:f>IF($A1393="","",Assumptions!$B$15)</x:f>
        <x:v>0.35</x:v>
      </x:c>
      <x:c r="G1393" s="11" t="n">
        <x:f>IF($A1393="","",MAX(INDEX(Assumptions!$H$5:$H$12,MATCH($B1393,Assumptions!$D$5:$D$12,0)),MIN(INDEX(Assumptions!$I$5:$I$12,MATCH($B1393,Assumptions!$D$5:$D$12,0)),($C1393+$D1393*SQRT(-2*LN(RAND()))*COS(2*PI()*RAND()))*$E1393*$J1393*$K1393)))</x:f>
        <x:v>820.7206604738927</x:v>
      </x:c>
      <x:c r="H1393" s="11" t="n">
        <x:f>IF($A1393="","",$G1393*$F1393+$C1393*(1-$F1393))</x:f>
        <x:v>891.7522311658624</x:v>
      </x:c>
      <x:c r="I1393" s="11" t="n">
        <x:f>IF($A1393="","",AVERAGE($H1393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923.0249298689317</x:v>
      </x:c>
      <x:c r="J1393" s="12" t="n">
        <x:f>IF($A1393="","",1+SUMIFS(Assumptions!$S$5:$S$10,Assumptions!$P$5:$P$10,$B1393,Assumptions!$Q$5:$Q$10,"&lt;="&amp;$A1393,Assumptions!$R$5:$R$10,"&gt;="&amp;$A1393))</x:f>
        <x:v>1</x:v>
      </x:c>
      <x:c r="K1393" s="12" t="n">
        <x:f>IF($A1393="","",1+((($A1393-Assumptions!$B$5)/30)*INDEX(Assumptions!$J$5:$J$12,MATCH($B1393,Assumptions!$D$5:$D$12,0))))</x:f>
        <x:v>0.9907333333333334</x:v>
      </x:c>
      <x:c r="L1393" t="str">
        <x:f>IF($A1393="","",IFERROR(INDEX(Assumptions!$O$5:$O$10,MATCH(1,(Assumptions!$P$5:$P$10=$B1393)*(Assumptions!$Q$5:$Q$10&lt;=$A1393)*(Assumptions!$R$5:$R$10&gt;=$A1393),0)),""))</x:f>
      </x:c>
      <x:c r="M1393" t="n">
        <x:f>--($A1393&lt;&gt;"")</x:f>
        <x:v>1</x:v>
      </x:c>
    </x:row>
    <x:row r="1394">
      <x:c r="A1394" s="10" t="n">
        <x:f>IF(Assumptions!$B$5+INT((ROW()-2)/Assumptions!$B$7)&gt;Assumptions!$B$6,"",Assumptions!$B$5+INT((ROW()-2)/Assumptions!$B$7))</x:f>
        <x:v>46301</x:v>
      </x:c>
      <x:c r="B1394" t="str">
        <x:f>IF($A1394="","",INDEX(Assumptions!$D$5:$D$12,MOD(ROW()-2,Assumptions!$B$7)+1))</x:f>
        <x:v>Nostromo Deep</x:v>
      </x:c>
      <x:c r="C1394" s="11" t="n">
        <x:f>IF($A1394="","",INDEX(Assumptions!$F$5:$F$12,MATCH($B1394,Assumptions!$D$5:$D$12,0)))</x:f>
        <x:v>1260</x:v>
      </x:c>
      <x:c r="D1394" s="11" t="n">
        <x:f>IF($A1394="","",INDEX(Assumptions!$G$5:$G$12,MATCH($B1394,Assumptions!$D$5:$D$12,0)))</x:f>
        <x:v>145</x:v>
      </x:c>
      <x:c r="E1394" s="11" t="n">
        <x:f>IF($A1394="","",INDEX(Assumptions!$M$5:$M$11,WEEKDAY($A1394,2)))</x:f>
        <x:v>1.02</x:v>
      </x:c>
      <x:c r="F1394" s="11" t="n">
        <x:f>IF($A1394="","",Assumptions!$B$15)</x:f>
        <x:v>0.35</x:v>
      </x:c>
      <x:c r="G1394" s="11" t="n">
        <x:f>IF($A1394="","",MAX(INDEX(Assumptions!$H$5:$H$12,MATCH($B1394,Assumptions!$D$5:$D$12,0)),MIN(INDEX(Assumptions!$I$5:$I$12,MATCH($B1394,Assumptions!$D$5:$D$12,0)),($C1394+$D1394*SQRT(-2*LN(RAND()))*COS(2*PI()*RAND()))*$E1394*$J1394*$K1394)))</x:f>
        <x:v>1331.5297919193183</x:v>
      </x:c>
      <x:c r="H1394" s="11" t="n">
        <x:f>IF($A1394="","",$G1394*$F1394+$C1394*(1-$F1394))</x:f>
        <x:v>1285.0354271717615</x:v>
      </x:c>
      <x:c r="I1394" s="11" t="n">
        <x:f>IF($A1394="","",AVERAGE($H1394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1263.560208074187</x:v>
      </x:c>
      <x:c r="J1394" s="12" t="n">
        <x:f>IF($A1394="","",1+SUMIFS(Assumptions!$S$5:$S$10,Assumptions!$P$5:$P$10,$B1394,Assumptions!$Q$5:$Q$10,"&lt;="&amp;$A1394,Assumptions!$R$5:$R$10,"&gt;="&amp;$A1394))</x:f>
        <x:v>1</x:v>
      </x:c>
      <x:c r="K1394" s="12" t="n">
        <x:f>IF($A1394="","",1+((($A1394-Assumptions!$B$5)/30)*INDEX(Assumptions!$J$5:$J$12,MATCH($B1394,Assumptions!$D$5:$D$12,0))))</x:f>
        <x:v>1.0278</x:v>
      </x:c>
      <x:c r="L1394" t="str">
        <x:f>IF($A1394="","",IFERROR(INDEX(Assumptions!$O$5:$O$10,MATCH(1,(Assumptions!$P$5:$P$10=$B1394)*(Assumptions!$Q$5:$Q$10&lt;=$A1394)*(Assumptions!$R$5:$R$10&gt;=$A1394),0)),""))</x:f>
      </x:c>
      <x:c r="M1394" t="n">
        <x:f>--($A1394&lt;&gt;"")</x:f>
        <x:v>1</x:v>
      </x:c>
    </x:row>
    <x:row r="1395">
      <x:c r="A1395" s="10" t="n">
        <x:f>IF(Assumptions!$B$5+INT((ROW()-2)/Assumptions!$B$7)&gt;Assumptions!$B$6,"",Assumptions!$B$5+INT((ROW()-2)/Assumptions!$B$7))</x:f>
        <x:v>46301</x:v>
      </x:c>
      <x:c r="B1395" t="str">
        <x:f>IF($A1395="","",INDEX(Assumptions!$D$5:$D$12,MOD(ROW()-2,Assumptions!$B$7)+1))</x:f>
        <x:v>Hadley's Hope</x:v>
      </x:c>
      <x:c r="C1395" s="11" t="n">
        <x:f>IF($A1395="","",INDEX(Assumptions!$F$5:$F$12,MATCH($B1395,Assumptions!$D$5:$D$12,0)))</x:f>
        <x:v>845</x:v>
      </x:c>
      <x:c r="D1395" s="11" t="n">
        <x:f>IF($A1395="","",INDEX(Assumptions!$G$5:$G$12,MATCH($B1395,Assumptions!$D$5:$D$12,0)))</x:f>
        <x:v>80</x:v>
      </x:c>
      <x:c r="E1395" s="11" t="n">
        <x:f>IF($A1395="","",INDEX(Assumptions!$M$5:$M$11,WEEKDAY($A1395,2)))</x:f>
        <x:v>1.02</x:v>
      </x:c>
      <x:c r="F1395" s="11" t="n">
        <x:f>IF($A1395="","",Assumptions!$B$15)</x:f>
        <x:v>0.35</x:v>
      </x:c>
      <x:c r="G1395" s="11" t="n">
        <x:f>IF($A1395="","",MAX(INDEX(Assumptions!$H$5:$H$12,MATCH($B1395,Assumptions!$D$5:$D$12,0)),MIN(INDEX(Assumptions!$I$5:$I$12,MATCH($B1395,Assumptions!$D$5:$D$12,0)),($C1395+$D1395*SQRT(-2*LN(RAND()))*COS(2*PI()*RAND()))*$E1395*$J1395*$K1395)))</x:f>
        <x:v>751.8548299265514</x:v>
      </x:c>
      <x:c r="H1395" s="11" t="n">
        <x:f>IF($A1395="","",$G1395*$F1395+$C1395*(1-$F1395))</x:f>
        <x:v>812.3991904742929</x:v>
      </x:c>
      <x:c r="I1395" s="11" t="n">
        <x:f>IF($A1395="","",AVERAGE($H1395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831.1524913045283</x:v>
      </x:c>
      <x:c r="J1395" s="12" t="n">
        <x:f>IF($A1395="","",1+SUMIFS(Assumptions!$S$5:$S$10,Assumptions!$P$5:$P$10,$B1395,Assumptions!$Q$5:$Q$10,"&lt;="&amp;$A1395,Assumptions!$R$5:$R$10,"&gt;="&amp;$A1395))</x:f>
        <x:v>1</x:v>
      </x:c>
      <x:c r="K1395" s="12" t="n">
        <x:f>IF($A1395="","",1+((($A1395-Assumptions!$B$5)/30)*INDEX(Assumptions!$J$5:$J$12,MATCH($B1395,Assumptions!$D$5:$D$12,0))))</x:f>
        <x:v>1.0092666666666668</x:v>
      </x:c>
      <x:c r="L1395" t="str">
        <x:f>IF($A1395="","",IFERROR(INDEX(Assumptions!$O$5:$O$10,MATCH(1,(Assumptions!$P$5:$P$10=$B1395)*(Assumptions!$Q$5:$Q$10&lt;=$A1395)*(Assumptions!$R$5:$R$10&gt;=$A1395),0)),""))</x:f>
      </x:c>
      <x:c r="M1395" t="n">
        <x:f>--($A1395&lt;&gt;"")</x:f>
        <x:v>1</x:v>
      </x:c>
    </x:row>
    <x:row r="1396">
      <x:c r="A1396" s="10" t="n">
        <x:f>IF(Assumptions!$B$5+INT((ROW()-2)/Assumptions!$B$7)&gt;Assumptions!$B$6,"",Assumptions!$B$5+INT((ROW()-2)/Assumptions!$B$7))</x:f>
        <x:v>46301</x:v>
      </x:c>
      <x:c r="B1396" t="str">
        <x:f>IF($A1396="","",INDEX(Assumptions!$D$5:$D$12,MOD(ROW()-2,Assumptions!$B$7)+1))</x:f>
        <x:v>Yutani Ridge</x:v>
      </x:c>
      <x:c r="C1396" s="11" t="n">
        <x:f>IF($A1396="","",INDEX(Assumptions!$F$5:$F$12,MATCH($B1396,Assumptions!$D$5:$D$12,0)))</x:f>
        <x:v>1050</x:v>
      </x:c>
      <x:c r="D1396" s="11" t="n">
        <x:f>IF($A1396="","",INDEX(Assumptions!$G$5:$G$12,MATCH($B1396,Assumptions!$D$5:$D$12,0)))</x:f>
        <x:v>125</x:v>
      </x:c>
      <x:c r="E1396" s="11" t="n">
        <x:f>IF($A1396="","",INDEX(Assumptions!$M$5:$M$11,WEEKDAY($A1396,2)))</x:f>
        <x:v>1.02</x:v>
      </x:c>
      <x:c r="F1396" s="11" t="n">
        <x:f>IF($A1396="","",Assumptions!$B$15)</x:f>
        <x:v>0.35</x:v>
      </x:c>
      <x:c r="G1396" s="11" t="n">
        <x:f>IF($A1396="","",MAX(INDEX(Assumptions!$H$5:$H$12,MATCH($B1396,Assumptions!$D$5:$D$12,0)),MIN(INDEX(Assumptions!$I$5:$I$12,MATCH($B1396,Assumptions!$D$5:$D$12,0)),($C1396+$D1396*SQRT(-2*LN(RAND()))*COS(2*PI()*RAND()))*$E1396*$J1396*$K1396)))</x:f>
        <x:v>1055.9407065834391</x:v>
      </x:c>
      <x:c r="H1396" s="11" t="n">
        <x:f>IF($A1396="","",$G1396*$F1396+$C1396*(1-$F1396))</x:f>
        <x:v>1052.0792473042036</x:v>
      </x:c>
      <x:c r="I1396" s="11" t="n">
        <x:f>IF($A1396="","",AVERAGE($H1396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1057.5284707507724</x:v>
      </x:c>
      <x:c r="J1396" s="12" t="n">
        <x:f>IF($A1396="","",1+SUMIFS(Assumptions!$S$5:$S$10,Assumptions!$P$5:$P$10,$B1396,Assumptions!$Q$5:$Q$10,"&lt;="&amp;$A1396,Assumptions!$R$5:$R$10,"&gt;="&amp;$A1396))</x:f>
        <x:v>1</x:v>
      </x:c>
      <x:c r="K1396" s="12" t="n">
        <x:f>IF($A1396="","",1+((($A1396-Assumptions!$B$5)/30)*INDEX(Assumptions!$J$5:$J$12,MATCH($B1396,Assumptions!$D$5:$D$12,0))))</x:f>
        <x:v>1.0231666666666666</x:v>
      </x:c>
      <x:c r="L1396" t="str">
        <x:f>IF($A1396="","",IFERROR(INDEX(Assumptions!$O$5:$O$10,MATCH(1,(Assumptions!$P$5:$P$10=$B1396)*(Assumptions!$Q$5:$Q$10&lt;=$A1396)*(Assumptions!$R$5:$R$10&gt;=$A1396),0)),""))</x:f>
      </x:c>
      <x:c r="M1396" t="n">
        <x:f>--($A1396&lt;&gt;"")</x:f>
        <x:v>1</x:v>
      </x:c>
    </x:row>
    <x:row r="1397">
      <x:c r="A1397" s="10" t="n">
        <x:f>IF(Assumptions!$B$5+INT((ROW()-2)/Assumptions!$B$7)&gt;Assumptions!$B$6,"",Assumptions!$B$5+INT((ROW()-2)/Assumptions!$B$7))</x:f>
        <x:v>46302</x:v>
      </x:c>
      <x:c r="B1397" t="str">
        <x:f>IF($A1397="","",INDEX(Assumptions!$D$5:$D$12,MOD(ROW()-2,Assumptions!$B$7)+1))</x:f>
        <x:v>Acheron Prime</x:v>
      </x:c>
      <x:c r="C1397" s="11" t="n">
        <x:f>IF($A1397="","",INDEX(Assumptions!$F$5:$F$12,MATCH($B1397,Assumptions!$D$5:$D$12,0)))</x:f>
        <x:v>1120</x:v>
      </x:c>
      <x:c r="D1397" s="11" t="n">
        <x:f>IF($A1397="","",INDEX(Assumptions!$G$5:$G$12,MATCH($B1397,Assumptions!$D$5:$D$12,0)))</x:f>
        <x:v>115</x:v>
      </x:c>
      <x:c r="E1397" s="11" t="n">
        <x:f>IF($A1397="","",INDEX(Assumptions!$M$5:$M$11,WEEKDAY($A1397,2)))</x:f>
        <x:v>1.01</x:v>
      </x:c>
      <x:c r="F1397" s="11" t="n">
        <x:f>IF($A1397="","",Assumptions!$B$15)</x:f>
        <x:v>0.35</x:v>
      </x:c>
      <x:c r="G1397" s="11" t="n">
        <x:f>IF($A1397="","",MAX(INDEX(Assumptions!$H$5:$H$12,MATCH($B1397,Assumptions!$D$5:$D$12,0)),MIN(INDEX(Assumptions!$I$5:$I$12,MATCH($B1397,Assumptions!$D$5:$D$12,0)),($C1397+$D1397*SQRT(-2*LN(RAND()))*COS(2*PI()*RAND()))*$E1397*$J1397*$K1397)))</x:f>
        <x:v>1155.947722497512</x:v>
      </x:c>
      <x:c r="H1397" s="11" t="n">
        <x:f>IF($A1397="","",$G1397*$F1397+$C1397*(1-$F1397))</x:f>
        <x:v>1132.5817028741292</x:v>
      </x:c>
      <x:c r="I1397" s="11" t="n">
        <x:f>IF($A1397="","",AVERAGE($H1397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1106.50507039191</x:v>
      </x:c>
      <x:c r="J1397" s="12" t="n">
        <x:f>IF($A1397="","",1+SUMIFS(Assumptions!$S$5:$S$10,Assumptions!$P$5:$P$10,$B1397,Assumptions!$Q$5:$Q$10,"&lt;="&amp;$A1397,Assumptions!$R$5:$R$10,"&gt;="&amp;$A1397))</x:f>
        <x:v>1</x:v>
      </x:c>
      <x:c r="K1397" s="12" t="n">
        <x:f>IF($A1397="","",1+((($A1397-Assumptions!$B$5)/30)*INDEX(Assumptions!$J$5:$J$12,MATCH($B1397,Assumptions!$D$5:$D$12,0))))</x:f>
        <x:v>1.0186</x:v>
      </x:c>
      <x:c r="L1397" t="str">
        <x:f>IF($A1397="","",IFERROR(INDEX(Assumptions!$O$5:$O$10,MATCH(1,(Assumptions!$P$5:$P$10=$B1397)*(Assumptions!$Q$5:$Q$10&lt;=$A1397)*(Assumptions!$R$5:$R$10&gt;=$A1397),0)),""))</x:f>
      </x:c>
      <x:c r="M1397" t="n">
        <x:f>--($A1397&lt;&gt;"")</x:f>
        <x:v>1</x:v>
      </x:c>
    </x:row>
    <x:row r="1398">
      <x:c r="A1398" s="10" t="n">
        <x:f>IF(Assumptions!$B$5+INT((ROW()-2)/Assumptions!$B$7)&gt;Assumptions!$B$6,"",Assumptions!$B$5+INT((ROW()-2)/Assumptions!$B$7))</x:f>
        <x:v>46302</x:v>
      </x:c>
      <x:c r="B1398" t="str">
        <x:f>IF($A1398="","",INDEX(Assumptions!$D$5:$D$12,MOD(ROW()-2,Assumptions!$B$7)+1))</x:f>
        <x:v>LV-426 North</x:v>
      </x:c>
      <x:c r="C1398" s="11" t="n">
        <x:f>IF($A1398="","",INDEX(Assumptions!$F$5:$F$12,MATCH($B1398,Assumptions!$D$5:$D$12,0)))</x:f>
        <x:v>930</x:v>
      </x:c>
      <x:c r="D1398" s="11" t="n">
        <x:f>IF($A1398="","",INDEX(Assumptions!$G$5:$G$12,MATCH($B1398,Assumptions!$D$5:$D$12,0)))</x:f>
        <x:v>95</x:v>
      </x:c>
      <x:c r="E1398" s="11" t="n">
        <x:f>IF($A1398="","",INDEX(Assumptions!$M$5:$M$11,WEEKDAY($A1398,2)))</x:f>
        <x:v>1.01</x:v>
      </x:c>
      <x:c r="F1398" s="11" t="n">
        <x:f>IF($A1398="","",Assumptions!$B$15)</x:f>
        <x:v>0.35</x:v>
      </x:c>
      <x:c r="G1398" s="11" t="n">
        <x:f>IF($A1398="","",MAX(INDEX(Assumptions!$H$5:$H$12,MATCH($B1398,Assumptions!$D$5:$D$12,0)),MIN(INDEX(Assumptions!$I$5:$I$12,MATCH($B1398,Assumptions!$D$5:$D$12,0)),($C1398+$D1398*SQRT(-2*LN(RAND()))*COS(2*PI()*RAND()))*$E1398*$J1398*$K1398)))</x:f>
        <x:v>828.6443534872947</x:v>
      </x:c>
      <x:c r="H1398" s="11" t="n">
        <x:f>IF($A1398="","",$G1398*$F1398+$C1398*(1-$F1398))</x:f>
        <x:v>894.5255237205531</x:v>
      </x:c>
      <x:c r="I1398" s="11" t="n">
        <x:f>IF($A1398="","",AVERAGE($H1398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920.6858355315055</x:v>
      </x:c>
      <x:c r="J1398" s="12" t="n">
        <x:f>IF($A1398="","",1+SUMIFS(Assumptions!$S$5:$S$10,Assumptions!$P$5:$P$10,$B1398,Assumptions!$Q$5:$Q$10,"&lt;="&amp;$A1398,Assumptions!$R$5:$R$10,"&gt;="&amp;$A1398))</x:f>
        <x:v>1</x:v>
      </x:c>
      <x:c r="K1398" s="12" t="n">
        <x:f>IF($A1398="","",1+((($A1398-Assumptions!$B$5)/30)*INDEX(Assumptions!$J$5:$J$12,MATCH($B1398,Assumptions!$D$5:$D$12,0))))</x:f>
        <x:v>0.9907</x:v>
      </x:c>
      <x:c r="L1398" t="str">
        <x:f>IF($A1398="","",IFERROR(INDEX(Assumptions!$O$5:$O$10,MATCH(1,(Assumptions!$P$5:$P$10=$B1398)*(Assumptions!$Q$5:$Q$10&lt;=$A1398)*(Assumptions!$R$5:$R$10&gt;=$A1398),0)),""))</x:f>
      </x:c>
      <x:c r="M1398" t="n">
        <x:f>--($A1398&lt;&gt;"")</x:f>
        <x:v>1</x:v>
      </x:c>
    </x:row>
    <x:row r="1399">
      <x:c r="A1399" s="10" t="n">
        <x:f>IF(Assumptions!$B$5+INT((ROW()-2)/Assumptions!$B$7)&gt;Assumptions!$B$6,"",Assumptions!$B$5+INT((ROW()-2)/Assumptions!$B$7))</x:f>
        <x:v>46302</x:v>
      </x:c>
      <x:c r="B1399" t="str">
        <x:f>IF($A1399="","",INDEX(Assumptions!$D$5:$D$12,MOD(ROW()-2,Assumptions!$B$7)+1))</x:f>
        <x:v>Nostromo Deep</x:v>
      </x:c>
      <x:c r="C1399" s="11" t="n">
        <x:f>IF($A1399="","",INDEX(Assumptions!$F$5:$F$12,MATCH($B1399,Assumptions!$D$5:$D$12,0)))</x:f>
        <x:v>1260</x:v>
      </x:c>
      <x:c r="D1399" s="11" t="n">
        <x:f>IF($A1399="","",INDEX(Assumptions!$G$5:$G$12,MATCH($B1399,Assumptions!$D$5:$D$12,0)))</x:f>
        <x:v>145</x:v>
      </x:c>
      <x:c r="E1399" s="11" t="n">
        <x:f>IF($A1399="","",INDEX(Assumptions!$M$5:$M$11,WEEKDAY($A1399,2)))</x:f>
        <x:v>1.01</x:v>
      </x:c>
      <x:c r="F1399" s="11" t="n">
        <x:f>IF($A1399="","",Assumptions!$B$15)</x:f>
        <x:v>0.35</x:v>
      </x:c>
      <x:c r="G1399" s="11" t="n">
        <x:f>IF($A1399="","",MAX(INDEX(Assumptions!$H$5:$H$12,MATCH($B1399,Assumptions!$D$5:$D$12,0)),MIN(INDEX(Assumptions!$I$5:$I$12,MATCH($B1399,Assumptions!$D$5:$D$12,0)),($C1399+$D1399*SQRT(-2*LN(RAND()))*COS(2*PI()*RAND()))*$E1399*$J1399*$K1399)))</x:f>
        <x:v>1172.9338573308332</x:v>
      </x:c>
      <x:c r="H1399" s="11" t="n">
        <x:f>IF($A1399="","",$G1399*$F1399+$C1399*(1-$F1399))</x:f>
        <x:v>1229.5268500657917</x:v>
      </x:c>
      <x:c r="I1399" s="11" t="n">
        <x:f>IF($A1399="","",AVERAGE($H1399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1252.5751699442299</x:v>
      </x:c>
      <x:c r="J1399" s="12" t="n">
        <x:f>IF($A1399="","",1+SUMIFS(Assumptions!$S$5:$S$10,Assumptions!$P$5:$P$10,$B1399,Assumptions!$Q$5:$Q$10,"&lt;="&amp;$A1399,Assumptions!$R$5:$R$10,"&gt;="&amp;$A1399))</x:f>
        <x:v>1</x:v>
      </x:c>
      <x:c r="K1399" s="12" t="n">
        <x:f>IF($A1399="","",1+((($A1399-Assumptions!$B$5)/30)*INDEX(Assumptions!$J$5:$J$12,MATCH($B1399,Assumptions!$D$5:$D$12,0))))</x:f>
        <x:v>1.0279</x:v>
      </x:c>
      <x:c r="L1399" t="str">
        <x:f>IF($A1399="","",IFERROR(INDEX(Assumptions!$O$5:$O$10,MATCH(1,(Assumptions!$P$5:$P$10=$B1399)*(Assumptions!$Q$5:$Q$10&lt;=$A1399)*(Assumptions!$R$5:$R$10&gt;=$A1399),0)),""))</x:f>
      </x:c>
      <x:c r="M1399" t="n">
        <x:f>--($A1399&lt;&gt;"")</x:f>
        <x:v>1</x:v>
      </x:c>
    </x:row>
    <x:row r="1400">
      <x:c r="A1400" s="10" t="n">
        <x:f>IF(Assumptions!$B$5+INT((ROW()-2)/Assumptions!$B$7)&gt;Assumptions!$B$6,"",Assumptions!$B$5+INT((ROW()-2)/Assumptions!$B$7))</x:f>
        <x:v>46302</x:v>
      </x:c>
      <x:c r="B1400" t="str">
        <x:f>IF($A1400="","",INDEX(Assumptions!$D$5:$D$12,MOD(ROW()-2,Assumptions!$B$7)+1))</x:f>
        <x:v>Hadley's Hope</x:v>
      </x:c>
      <x:c r="C1400" s="11" t="n">
        <x:f>IF($A1400="","",INDEX(Assumptions!$F$5:$F$12,MATCH($B1400,Assumptions!$D$5:$D$12,0)))</x:f>
        <x:v>845</x:v>
      </x:c>
      <x:c r="D1400" s="11" t="n">
        <x:f>IF($A1400="","",INDEX(Assumptions!$G$5:$G$12,MATCH($B1400,Assumptions!$D$5:$D$12,0)))</x:f>
        <x:v>80</x:v>
      </x:c>
      <x:c r="E1400" s="11" t="n">
        <x:f>IF($A1400="","",INDEX(Assumptions!$M$5:$M$11,WEEKDAY($A1400,2)))</x:f>
        <x:v>1.01</x:v>
      </x:c>
      <x:c r="F1400" s="11" t="n">
        <x:f>IF($A1400="","",Assumptions!$B$15)</x:f>
        <x:v>0.35</x:v>
      </x:c>
      <x:c r="G1400" s="11" t="n">
        <x:f>IF($A1400="","",MAX(INDEX(Assumptions!$H$5:$H$12,MATCH($B1400,Assumptions!$D$5:$D$12,0)),MIN(INDEX(Assumptions!$I$5:$I$12,MATCH($B1400,Assumptions!$D$5:$D$12,0)),($C1400+$D1400*SQRT(-2*LN(RAND()))*COS(2*PI()*RAND()))*$E1400*$J1400*$K1400)))</x:f>
        <x:v>894.9046223217047</x:v>
      </x:c>
      <x:c r="H1400" s="11" t="n">
        <x:f>IF($A1400="","",$G1400*$F1400+$C1400*(1-$F1400))</x:f>
        <x:v>862.4666178125966</x:v>
      </x:c>
      <x:c r="I1400" s="11" t="n">
        <x:f>IF($A1400="","",AVERAGE($H1400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828.8852056103917</x:v>
      </x:c>
      <x:c r="J1400" s="12" t="n">
        <x:f>IF($A1400="","",1+SUMIFS(Assumptions!$S$5:$S$10,Assumptions!$P$5:$P$10,$B1400,Assumptions!$Q$5:$Q$10,"&lt;="&amp;$A1400,Assumptions!$R$5:$R$10,"&gt;="&amp;$A1400))</x:f>
        <x:v>1</x:v>
      </x:c>
      <x:c r="K1400" s="12" t="n">
        <x:f>IF($A1400="","",1+((($A1400-Assumptions!$B$5)/30)*INDEX(Assumptions!$J$5:$J$12,MATCH($B1400,Assumptions!$D$5:$D$12,0))))</x:f>
        <x:v>1.0093</x:v>
      </x:c>
      <x:c r="L1400" t="str">
        <x:f>IF($A1400="","",IFERROR(INDEX(Assumptions!$O$5:$O$10,MATCH(1,(Assumptions!$P$5:$P$10=$B1400)*(Assumptions!$Q$5:$Q$10&lt;=$A1400)*(Assumptions!$R$5:$R$10&gt;=$A1400),0)),""))</x:f>
      </x:c>
      <x:c r="M1400" t="n">
        <x:f>--($A1400&lt;&gt;"")</x:f>
        <x:v>1</x:v>
      </x:c>
    </x:row>
    <x:row r="1401">
      <x:c r="A1401" s="10" t="n">
        <x:f>IF(Assumptions!$B$5+INT((ROW()-2)/Assumptions!$B$7)&gt;Assumptions!$B$6,"",Assumptions!$B$5+INT((ROW()-2)/Assumptions!$B$7))</x:f>
        <x:v>46302</x:v>
      </x:c>
      <x:c r="B1401" t="str">
        <x:f>IF($A1401="","",INDEX(Assumptions!$D$5:$D$12,MOD(ROW()-2,Assumptions!$B$7)+1))</x:f>
        <x:v>Yutani Ridge</x:v>
      </x:c>
      <x:c r="C1401" s="11" t="n">
        <x:f>IF($A1401="","",INDEX(Assumptions!$F$5:$F$12,MATCH($B1401,Assumptions!$D$5:$D$12,0)))</x:f>
        <x:v>1050</x:v>
      </x:c>
      <x:c r="D1401" s="11" t="n">
        <x:f>IF($A1401="","",INDEX(Assumptions!$G$5:$G$12,MATCH($B1401,Assumptions!$D$5:$D$12,0)))</x:f>
        <x:v>125</x:v>
      </x:c>
      <x:c r="E1401" s="11" t="n">
        <x:f>IF($A1401="","",INDEX(Assumptions!$M$5:$M$11,WEEKDAY($A1401,2)))</x:f>
        <x:v>1.01</x:v>
      </x:c>
      <x:c r="F1401" s="11" t="n">
        <x:f>IF($A1401="","",Assumptions!$B$15)</x:f>
        <x:v>0.35</x:v>
      </x:c>
      <x:c r="G1401" s="11" t="n">
        <x:f>IF($A1401="","",MAX(INDEX(Assumptions!$H$5:$H$12,MATCH($B1401,Assumptions!$D$5:$D$12,0)),MIN(INDEX(Assumptions!$I$5:$I$12,MATCH($B1401,Assumptions!$D$5:$D$12,0)),($C1401+$D1401*SQRT(-2*LN(RAND()))*COS(2*PI()*RAND()))*$E1401*$J1401*$K1401)))</x:f>
        <x:v>1263.693938840977</x:v>
      </x:c>
      <x:c r="H1401" s="11" t="n">
        <x:f>IF($A1401="","",$G1401*$F1401+$C1401*(1-$F1401))</x:f>
        <x:v>1124.7928785943418</x:v>
      </x:c>
      <x:c r="I1401" s="11" t="n">
        <x:f>IF($A1401="","",AVERAGE($H1401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1064.1247614338931</x:v>
      </x:c>
      <x:c r="J1401" s="12" t="n">
        <x:f>IF($A1401="","",1+SUMIFS(Assumptions!$S$5:$S$10,Assumptions!$P$5:$P$10,$B1401,Assumptions!$Q$5:$Q$10,"&lt;="&amp;$A1401,Assumptions!$R$5:$R$10,"&gt;="&amp;$A1401))</x:f>
        <x:v>1</x:v>
      </x:c>
      <x:c r="K1401" s="12" t="n">
        <x:f>IF($A1401="","",1+((($A1401-Assumptions!$B$5)/30)*INDEX(Assumptions!$J$5:$J$12,MATCH($B1401,Assumptions!$D$5:$D$12,0))))</x:f>
        <x:v>1.02325</x:v>
      </x:c>
      <x:c r="L1401" t="str">
        <x:f>IF($A1401="","",IFERROR(INDEX(Assumptions!$O$5:$O$10,MATCH(1,(Assumptions!$P$5:$P$10=$B1401)*(Assumptions!$Q$5:$Q$10&lt;=$A1401)*(Assumptions!$R$5:$R$10&gt;=$A1401),0)),""))</x:f>
      </x:c>
      <x:c r="M1401" t="n">
        <x:f>--($A1401&lt;&gt;"")</x:f>
        <x:v>1</x:v>
      </x:c>
    </x:row>
    <x:row r="1402">
      <x:c r="A1402" s="10" t="n">
        <x:f>IF(Assumptions!$B$5+INT((ROW()-2)/Assumptions!$B$7)&gt;Assumptions!$B$6,"",Assumptions!$B$5+INT((ROW()-2)/Assumptions!$B$7))</x:f>
        <x:v>46303</x:v>
      </x:c>
      <x:c r="B1402" t="str">
        <x:f>IF($A1402="","",INDEX(Assumptions!$D$5:$D$12,MOD(ROW()-2,Assumptions!$B$7)+1))</x:f>
        <x:v>Acheron Prime</x:v>
      </x:c>
      <x:c r="C1402" s="11" t="n">
        <x:f>IF($A1402="","",INDEX(Assumptions!$F$5:$F$12,MATCH($B1402,Assumptions!$D$5:$D$12,0)))</x:f>
        <x:v>1120</x:v>
      </x:c>
      <x:c r="D1402" s="11" t="n">
        <x:f>IF($A1402="","",INDEX(Assumptions!$G$5:$G$12,MATCH($B1402,Assumptions!$D$5:$D$12,0)))</x:f>
        <x:v>115</x:v>
      </x:c>
      <x:c r="E1402" s="11" t="n">
        <x:f>IF($A1402="","",INDEX(Assumptions!$M$5:$M$11,WEEKDAY($A1402,2)))</x:f>
        <x:v>1</x:v>
      </x:c>
      <x:c r="F1402" s="11" t="n">
        <x:f>IF($A1402="","",Assumptions!$B$15)</x:f>
        <x:v>0.35</x:v>
      </x:c>
      <x:c r="G1402" s="11" t="n">
        <x:f>IF($A1402="","",MAX(INDEX(Assumptions!$H$5:$H$12,MATCH($B1402,Assumptions!$D$5:$D$12,0)),MIN(INDEX(Assumptions!$I$5:$I$12,MATCH($B1402,Assumptions!$D$5:$D$12,0)),($C1402+$D1402*SQRT(-2*LN(RAND()))*COS(2*PI()*RAND()))*$E1402*$J1402*$K1402)))</x:f>
        <x:v>1308.7085642018185</x:v>
      </x:c>
      <x:c r="H1402" s="11" t="n">
        <x:f>IF($A1402="","",$G1402*$F1402+$C1402*(1-$F1402))</x:f>
        <x:v>1186.0479974706363</x:v>
      </x:c>
      <x:c r="I1402" s="11" t="n">
        <x:f>IF($A1402="","",AVERAGE($H1402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1118.1723320830567</x:v>
      </x:c>
      <x:c r="J1402" s="12" t="n">
        <x:f>IF($A1402="","",1+SUMIFS(Assumptions!$S$5:$S$10,Assumptions!$P$5:$P$10,$B1402,Assumptions!$Q$5:$Q$10,"&lt;="&amp;$A1402,Assumptions!$R$5:$R$10,"&gt;="&amp;$A1402))</x:f>
        <x:v>1</x:v>
      </x:c>
      <x:c r="K1402" s="12" t="n">
        <x:f>IF($A1402="","",1+((($A1402-Assumptions!$B$5)/30)*INDEX(Assumptions!$J$5:$J$12,MATCH($B1402,Assumptions!$D$5:$D$12,0))))</x:f>
        <x:v>1.0186666666666666</x:v>
      </x:c>
      <x:c r="L1402" t="str">
        <x:f>IF($A1402="","",IFERROR(INDEX(Assumptions!$O$5:$O$10,MATCH(1,(Assumptions!$P$5:$P$10=$B1402)*(Assumptions!$Q$5:$Q$10&lt;=$A1402)*(Assumptions!$R$5:$R$10&gt;=$A1402),0)),""))</x:f>
      </x:c>
      <x:c r="M1402" t="n">
        <x:f>--($A1402&lt;&gt;"")</x:f>
        <x:v>1</x:v>
      </x:c>
    </x:row>
    <x:row r="1403">
      <x:c r="A1403" s="10" t="n">
        <x:f>IF(Assumptions!$B$5+INT((ROW()-2)/Assumptions!$B$7)&gt;Assumptions!$B$6,"",Assumptions!$B$5+INT((ROW()-2)/Assumptions!$B$7))</x:f>
        <x:v>46303</x:v>
      </x:c>
      <x:c r="B1403" t="str">
        <x:f>IF($A1403="","",INDEX(Assumptions!$D$5:$D$12,MOD(ROW()-2,Assumptions!$B$7)+1))</x:f>
        <x:v>LV-426 North</x:v>
      </x:c>
      <x:c r="C1403" s="11" t="n">
        <x:f>IF($A1403="","",INDEX(Assumptions!$F$5:$F$12,MATCH($B1403,Assumptions!$D$5:$D$12,0)))</x:f>
        <x:v>930</x:v>
      </x:c>
      <x:c r="D1403" s="11" t="n">
        <x:f>IF($A1403="","",INDEX(Assumptions!$G$5:$G$12,MATCH($B1403,Assumptions!$D$5:$D$12,0)))</x:f>
        <x:v>95</x:v>
      </x:c>
      <x:c r="E1403" s="11" t="n">
        <x:f>IF($A1403="","",INDEX(Assumptions!$M$5:$M$11,WEEKDAY($A1403,2)))</x:f>
        <x:v>1</x:v>
      </x:c>
      <x:c r="F1403" s="11" t="n">
        <x:f>IF($A1403="","",Assumptions!$B$15)</x:f>
        <x:v>0.35</x:v>
      </x:c>
      <x:c r="G1403" s="11" t="n">
        <x:f>IF($A1403="","",MAX(INDEX(Assumptions!$H$5:$H$12,MATCH($B1403,Assumptions!$D$5:$D$12,0)),MIN(INDEX(Assumptions!$I$5:$I$12,MATCH($B1403,Assumptions!$D$5:$D$12,0)),($C1403+$D1403*SQRT(-2*LN(RAND()))*COS(2*PI()*RAND()))*$E1403*$J1403*$K1403)))</x:f>
        <x:v>949.3521575491496</x:v>
      </x:c>
      <x:c r="H1403" s="11" t="n">
        <x:f>IF($A1403="","",$G1403*$F1403+$C1403*(1-$F1403))</x:f>
        <x:v>936.7732551422023</x:v>
      </x:c>
      <x:c r="I1403" s="11" t="n">
        <x:f>IF($A1403="","",AVERAGE($H1403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915.6762896125291</x:v>
      </x:c>
      <x:c r="J1403" s="12" t="n">
        <x:f>IF($A1403="","",1+SUMIFS(Assumptions!$S$5:$S$10,Assumptions!$P$5:$P$10,$B1403,Assumptions!$Q$5:$Q$10,"&lt;="&amp;$A1403,Assumptions!$R$5:$R$10,"&gt;="&amp;$A1403))</x:f>
        <x:v>1</x:v>
      </x:c>
      <x:c r="K1403" s="12" t="n">
        <x:f>IF($A1403="","",1+((($A1403-Assumptions!$B$5)/30)*INDEX(Assumptions!$J$5:$J$12,MATCH($B1403,Assumptions!$D$5:$D$12,0))))</x:f>
        <x:v>0.9906666666666667</x:v>
      </x:c>
      <x:c r="L1403" t="str">
        <x:f>IF($A1403="","",IFERROR(INDEX(Assumptions!$O$5:$O$10,MATCH(1,(Assumptions!$P$5:$P$10=$B1403)*(Assumptions!$Q$5:$Q$10&lt;=$A1403)*(Assumptions!$R$5:$R$10&gt;=$A1403),0)),""))</x:f>
      </x:c>
      <x:c r="M1403" t="n">
        <x:f>--($A1403&lt;&gt;"")</x:f>
        <x:v>1</x:v>
      </x:c>
    </x:row>
    <x:row r="1404">
      <x:c r="A1404" s="10" t="n">
        <x:f>IF(Assumptions!$B$5+INT((ROW()-2)/Assumptions!$B$7)&gt;Assumptions!$B$6,"",Assumptions!$B$5+INT((ROW()-2)/Assumptions!$B$7))</x:f>
        <x:v>46303</x:v>
      </x:c>
      <x:c r="B1404" t="str">
        <x:f>IF($A1404="","",INDEX(Assumptions!$D$5:$D$12,MOD(ROW()-2,Assumptions!$B$7)+1))</x:f>
        <x:v>Nostromo Deep</x:v>
      </x:c>
      <x:c r="C1404" s="11" t="n">
        <x:f>IF($A1404="","",INDEX(Assumptions!$F$5:$F$12,MATCH($B1404,Assumptions!$D$5:$D$12,0)))</x:f>
        <x:v>1260</x:v>
      </x:c>
      <x:c r="D1404" s="11" t="n">
        <x:f>IF($A1404="","",INDEX(Assumptions!$G$5:$G$12,MATCH($B1404,Assumptions!$D$5:$D$12,0)))</x:f>
        <x:v>145</x:v>
      </x:c>
      <x:c r="E1404" s="11" t="n">
        <x:f>IF($A1404="","",INDEX(Assumptions!$M$5:$M$11,WEEKDAY($A1404,2)))</x:f>
        <x:v>1</x:v>
      </x:c>
      <x:c r="F1404" s="11" t="n">
        <x:f>IF($A1404="","",Assumptions!$B$15)</x:f>
        <x:v>0.35</x:v>
      </x:c>
      <x:c r="G1404" s="11" t="n">
        <x:f>IF($A1404="","",MAX(INDEX(Assumptions!$H$5:$H$12,MATCH($B1404,Assumptions!$D$5:$D$12,0)),MIN(INDEX(Assumptions!$I$5:$I$12,MATCH($B1404,Assumptions!$D$5:$D$12,0)),($C1404+$D1404*SQRT(-2*LN(RAND()))*COS(2*PI()*RAND()))*$E1404*$J1404*$K1404)))</x:f>
        <x:v>1188.297930930903</x:v>
      </x:c>
      <x:c r="H1404" s="11" t="n">
        <x:f>IF($A1404="","",$G1404*$F1404+$C1404*(1-$F1404))</x:f>
        <x:v>1234.904275825816</x:v>
      </x:c>
      <x:c r="I1404" s="11" t="n">
        <x:f>IF($A1404="","",AVERAGE($H1404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1244.5489177969378</x:v>
      </x:c>
      <x:c r="J1404" s="12" t="n">
        <x:f>IF($A1404="","",1+SUMIFS(Assumptions!$S$5:$S$10,Assumptions!$P$5:$P$10,$B1404,Assumptions!$Q$5:$Q$10,"&lt;="&amp;$A1404,Assumptions!$R$5:$R$10,"&gt;="&amp;$A1404))</x:f>
        <x:v>1</x:v>
      </x:c>
      <x:c r="K1404" s="12" t="n">
        <x:f>IF($A1404="","",1+((($A1404-Assumptions!$B$5)/30)*INDEX(Assumptions!$J$5:$J$12,MATCH($B1404,Assumptions!$D$5:$D$12,0))))</x:f>
        <x:v>1.028</x:v>
      </x:c>
      <x:c r="L1404" t="str">
        <x:f>IF($A1404="","",IFERROR(INDEX(Assumptions!$O$5:$O$10,MATCH(1,(Assumptions!$P$5:$P$10=$B1404)*(Assumptions!$Q$5:$Q$10&lt;=$A1404)*(Assumptions!$R$5:$R$10&gt;=$A1404),0)),""))</x:f>
      </x:c>
      <x:c r="M1404" t="n">
        <x:f>--($A1404&lt;&gt;"")</x:f>
        <x:v>1</x:v>
      </x:c>
    </x:row>
    <x:row r="1405">
      <x:c r="A1405" s="10" t="n">
        <x:f>IF(Assumptions!$B$5+INT((ROW()-2)/Assumptions!$B$7)&gt;Assumptions!$B$6,"",Assumptions!$B$5+INT((ROW()-2)/Assumptions!$B$7))</x:f>
        <x:v>46303</x:v>
      </x:c>
      <x:c r="B1405" t="str">
        <x:f>IF($A1405="","",INDEX(Assumptions!$D$5:$D$12,MOD(ROW()-2,Assumptions!$B$7)+1))</x:f>
        <x:v>Hadley's Hope</x:v>
      </x:c>
      <x:c r="C1405" s="11" t="n">
        <x:f>IF($A1405="","",INDEX(Assumptions!$F$5:$F$12,MATCH($B1405,Assumptions!$D$5:$D$12,0)))</x:f>
        <x:v>845</x:v>
      </x:c>
      <x:c r="D1405" s="11" t="n">
        <x:f>IF($A1405="","",INDEX(Assumptions!$G$5:$G$12,MATCH($B1405,Assumptions!$D$5:$D$12,0)))</x:f>
        <x:v>80</x:v>
      </x:c>
      <x:c r="E1405" s="11" t="n">
        <x:f>IF($A1405="","",INDEX(Assumptions!$M$5:$M$11,WEEKDAY($A1405,2)))</x:f>
        <x:v>1</x:v>
      </x:c>
      <x:c r="F1405" s="11" t="n">
        <x:f>IF($A1405="","",Assumptions!$B$15)</x:f>
        <x:v>0.35</x:v>
      </x:c>
      <x:c r="G1405" s="11" t="n">
        <x:f>IF($A1405="","",MAX(INDEX(Assumptions!$H$5:$H$12,MATCH($B1405,Assumptions!$D$5:$D$12,0)),MIN(INDEX(Assumptions!$I$5:$I$12,MATCH($B1405,Assumptions!$D$5:$D$12,0)),($C1405+$D1405*SQRT(-2*LN(RAND()))*COS(2*PI()*RAND()))*$E1405*$J1405*$K1405)))</x:f>
        <x:v>876.1889053878538</x:v>
      </x:c>
      <x:c r="H1405" s="11" t="n">
        <x:f>IF($A1405="","",$G1405*$F1405+$C1405*(1-$F1405))</x:f>
        <x:v>855.9161168857488</x:v>
      </x:c>
      <x:c r="I1405" s="11" t="n">
        <x:f>IF($A1405="","",AVERAGE($H1405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823.2811245695285</x:v>
      </x:c>
      <x:c r="J1405" s="12" t="n">
        <x:f>IF($A1405="","",1+SUMIFS(Assumptions!$S$5:$S$10,Assumptions!$P$5:$P$10,$B1405,Assumptions!$Q$5:$Q$10,"&lt;="&amp;$A1405,Assumptions!$R$5:$R$10,"&gt;="&amp;$A1405))</x:f>
        <x:v>1</x:v>
      </x:c>
      <x:c r="K1405" s="12" t="n">
        <x:f>IF($A1405="","",1+((($A1405-Assumptions!$B$5)/30)*INDEX(Assumptions!$J$5:$J$12,MATCH($B1405,Assumptions!$D$5:$D$12,0))))</x:f>
        <x:v>1.0093333333333334</x:v>
      </x:c>
      <x:c r="L1405" t="str">
        <x:f>IF($A1405="","",IFERROR(INDEX(Assumptions!$O$5:$O$10,MATCH(1,(Assumptions!$P$5:$P$10=$B1405)*(Assumptions!$Q$5:$Q$10&lt;=$A1405)*(Assumptions!$R$5:$R$10&gt;=$A1405),0)),""))</x:f>
      </x:c>
      <x:c r="M1405" t="n">
        <x:f>--($A1405&lt;&gt;"")</x:f>
        <x:v>1</x:v>
      </x:c>
    </x:row>
    <x:row r="1406">
      <x:c r="A1406" s="10" t="n">
        <x:f>IF(Assumptions!$B$5+INT((ROW()-2)/Assumptions!$B$7)&gt;Assumptions!$B$6,"",Assumptions!$B$5+INT((ROW()-2)/Assumptions!$B$7))</x:f>
        <x:v>46303</x:v>
      </x:c>
      <x:c r="B1406" t="str">
        <x:f>IF($A1406="","",INDEX(Assumptions!$D$5:$D$12,MOD(ROW()-2,Assumptions!$B$7)+1))</x:f>
        <x:v>Yutani Ridge</x:v>
      </x:c>
      <x:c r="C1406" s="11" t="n">
        <x:f>IF($A1406="","",INDEX(Assumptions!$F$5:$F$12,MATCH($B1406,Assumptions!$D$5:$D$12,0)))</x:f>
        <x:v>1050</x:v>
      </x:c>
      <x:c r="D1406" s="11" t="n">
        <x:f>IF($A1406="","",INDEX(Assumptions!$G$5:$G$12,MATCH($B1406,Assumptions!$D$5:$D$12,0)))</x:f>
        <x:v>125</x:v>
      </x:c>
      <x:c r="E1406" s="11" t="n">
        <x:f>IF($A1406="","",INDEX(Assumptions!$M$5:$M$11,WEEKDAY($A1406,2)))</x:f>
        <x:v>1</x:v>
      </x:c>
      <x:c r="F1406" s="11" t="n">
        <x:f>IF($A1406="","",Assumptions!$B$15)</x:f>
        <x:v>0.35</x:v>
      </x:c>
      <x:c r="G1406" s="11" t="n">
        <x:f>IF($A1406="","",MAX(INDEX(Assumptions!$H$5:$H$12,MATCH($B1406,Assumptions!$D$5:$D$12,0)),MIN(INDEX(Assumptions!$I$5:$I$12,MATCH($B1406,Assumptions!$D$5:$D$12,0)),($C1406+$D1406*SQRT(-2*LN(RAND()))*COS(2*PI()*RAND()))*$E1406*$J1406*$K1406)))</x:f>
        <x:v>998.2060155927574</x:v>
      </x:c>
      <x:c r="H1406" s="11" t="n">
        <x:f>IF($A1406="","",$G1406*$F1406+$C1406*(1-$F1406))</x:f>
        <x:v>1031.872105457465</x:v>
      </x:c>
      <x:c r="I1406" s="11" t="n">
        <x:f>IF($A1406="","",AVERAGE($H1406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1059.7117320476898</x:v>
      </x:c>
      <x:c r="J1406" s="12" t="n">
        <x:f>IF($A1406="","",1+SUMIFS(Assumptions!$S$5:$S$10,Assumptions!$P$5:$P$10,$B1406,Assumptions!$Q$5:$Q$10,"&lt;="&amp;$A1406,Assumptions!$R$5:$R$10,"&gt;="&amp;$A1406))</x:f>
        <x:v>1</x:v>
      </x:c>
      <x:c r="K1406" s="12" t="n">
        <x:f>IF($A1406="","",1+((($A1406-Assumptions!$B$5)/30)*INDEX(Assumptions!$J$5:$J$12,MATCH($B1406,Assumptions!$D$5:$D$12,0))))</x:f>
        <x:v>1.0233333333333334</x:v>
      </x:c>
      <x:c r="L1406" t="str">
        <x:f>IF($A1406="","",IFERROR(INDEX(Assumptions!$O$5:$O$10,MATCH(1,(Assumptions!$P$5:$P$10=$B1406)*(Assumptions!$Q$5:$Q$10&lt;=$A1406)*(Assumptions!$R$5:$R$10&gt;=$A1406),0)),""))</x:f>
      </x:c>
      <x:c r="M1406" t="n">
        <x:f>--($A1406&lt;&gt;"")</x:f>
        <x:v>1</x:v>
      </x:c>
    </x:row>
    <x:row r="1407">
      <x:c r="A1407" s="10" t="n">
        <x:f>IF(Assumptions!$B$5+INT((ROW()-2)/Assumptions!$B$7)&gt;Assumptions!$B$6,"",Assumptions!$B$5+INT((ROW()-2)/Assumptions!$B$7))</x:f>
        <x:v>46304</x:v>
      </x:c>
      <x:c r="B1407" t="str">
        <x:f>IF($A1407="","",INDEX(Assumptions!$D$5:$D$12,MOD(ROW()-2,Assumptions!$B$7)+1))</x:f>
        <x:v>Acheron Prime</x:v>
      </x:c>
      <x:c r="C1407" s="11" t="n">
        <x:f>IF($A1407="","",INDEX(Assumptions!$F$5:$F$12,MATCH($B1407,Assumptions!$D$5:$D$12,0)))</x:f>
        <x:v>1120</x:v>
      </x:c>
      <x:c r="D1407" s="11" t="n">
        <x:f>IF($A1407="","",INDEX(Assumptions!$G$5:$G$12,MATCH($B1407,Assumptions!$D$5:$D$12,0)))</x:f>
        <x:v>115</x:v>
      </x:c>
      <x:c r="E1407" s="11" t="n">
        <x:f>IF($A1407="","",INDEX(Assumptions!$M$5:$M$11,WEEKDAY($A1407,2)))</x:f>
        <x:v>0.98</x:v>
      </x:c>
      <x:c r="F1407" s="11" t="n">
        <x:f>IF($A1407="","",Assumptions!$B$15)</x:f>
        <x:v>0.35</x:v>
      </x:c>
      <x:c r="G1407" s="11" t="n">
        <x:f>IF($A1407="","",MAX(INDEX(Assumptions!$H$5:$H$12,MATCH($B1407,Assumptions!$D$5:$D$12,0)),MIN(INDEX(Assumptions!$I$5:$I$12,MATCH($B1407,Assumptions!$D$5:$D$12,0)),($C1407+$D1407*SQRT(-2*LN(RAND()))*COS(2*PI()*RAND()))*$E1407*$J1407*$K1407)))</x:f>
        <x:v>1159.7343469073894</x:v>
      </x:c>
      <x:c r="H1407" s="11" t="n">
        <x:f>IF($A1407="","",$G1407*$F1407+$C1407*(1-$F1407))</x:f>
        <x:v>1133.9070214175863</x:v>
      </x:c>
      <x:c r="I1407" s="11" t="n">
        <x:f>IF($A1407="","",AVERAGE($H1407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1121.9688551652764</x:v>
      </x:c>
      <x:c r="J1407" s="12" t="n">
        <x:f>IF($A1407="","",1+SUMIFS(Assumptions!$S$5:$S$10,Assumptions!$P$5:$P$10,$B1407,Assumptions!$Q$5:$Q$10,"&lt;="&amp;$A1407,Assumptions!$R$5:$R$10,"&gt;="&amp;$A1407))</x:f>
        <x:v>1</x:v>
      </x:c>
      <x:c r="K1407" s="12" t="n">
        <x:f>IF($A1407="","",1+((($A1407-Assumptions!$B$5)/30)*INDEX(Assumptions!$J$5:$J$12,MATCH($B1407,Assumptions!$D$5:$D$12,0))))</x:f>
        <x:v>1.0187333333333333</x:v>
      </x:c>
      <x:c r="L1407" t="str">
        <x:f>IF($A1407="","",IFERROR(INDEX(Assumptions!$O$5:$O$10,MATCH(1,(Assumptions!$P$5:$P$10=$B1407)*(Assumptions!$Q$5:$Q$10&lt;=$A1407)*(Assumptions!$R$5:$R$10&gt;=$A1407),0)),""))</x:f>
      </x:c>
      <x:c r="M1407" t="n">
        <x:f>--($A1407&lt;&gt;"")</x:f>
        <x:v>1</x:v>
      </x:c>
    </x:row>
    <x:row r="1408">
      <x:c r="A1408" s="10" t="n">
        <x:f>IF(Assumptions!$B$5+INT((ROW()-2)/Assumptions!$B$7)&gt;Assumptions!$B$6,"",Assumptions!$B$5+INT((ROW()-2)/Assumptions!$B$7))</x:f>
        <x:v>46304</x:v>
      </x:c>
      <x:c r="B1408" t="str">
        <x:f>IF($A1408="","",INDEX(Assumptions!$D$5:$D$12,MOD(ROW()-2,Assumptions!$B$7)+1))</x:f>
        <x:v>LV-426 North</x:v>
      </x:c>
      <x:c r="C1408" s="11" t="n">
        <x:f>IF($A1408="","",INDEX(Assumptions!$F$5:$F$12,MATCH($B1408,Assumptions!$D$5:$D$12,0)))</x:f>
        <x:v>930</x:v>
      </x:c>
      <x:c r="D1408" s="11" t="n">
        <x:f>IF($A1408="","",INDEX(Assumptions!$G$5:$G$12,MATCH($B1408,Assumptions!$D$5:$D$12,0)))</x:f>
        <x:v>95</x:v>
      </x:c>
      <x:c r="E1408" s="11" t="n">
        <x:f>IF($A1408="","",INDEX(Assumptions!$M$5:$M$11,WEEKDAY($A1408,2)))</x:f>
        <x:v>0.98</x:v>
      </x:c>
      <x:c r="F1408" s="11" t="n">
        <x:f>IF($A1408="","",Assumptions!$B$15)</x:f>
        <x:v>0.35</x:v>
      </x:c>
      <x:c r="G1408" s="11" t="n">
        <x:f>IF($A1408="","",MAX(INDEX(Assumptions!$H$5:$H$12,MATCH($B1408,Assumptions!$D$5:$D$12,0)),MIN(INDEX(Assumptions!$I$5:$I$12,MATCH($B1408,Assumptions!$D$5:$D$12,0)),($C1408+$D1408*SQRT(-2*LN(RAND()))*COS(2*PI()*RAND()))*$E1408*$J1408*$K1408)))</x:f>
        <x:v>811.7897146244364</x:v>
      </x:c>
      <x:c r="H1408" s="11" t="n">
        <x:f>IF($A1408="","",$G1408*$F1408+$C1408*(1-$F1408))</x:f>
        <x:v>888.6264001185527</x:v>
      </x:c>
      <x:c r="I1408" s="11" t="n">
        <x:f>IF($A1408="","",AVERAGE($H1408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914.7346838851266</x:v>
      </x:c>
      <x:c r="J1408" s="12" t="n">
        <x:f>IF($A1408="","",1+SUMIFS(Assumptions!$S$5:$S$10,Assumptions!$P$5:$P$10,$B1408,Assumptions!$Q$5:$Q$10,"&lt;="&amp;$A1408,Assumptions!$R$5:$R$10,"&gt;="&amp;$A1408))</x:f>
        <x:v>1</x:v>
      </x:c>
      <x:c r="K1408" s="12" t="n">
        <x:f>IF($A1408="","",1+((($A1408-Assumptions!$B$5)/30)*INDEX(Assumptions!$J$5:$J$12,MATCH($B1408,Assumptions!$D$5:$D$12,0))))</x:f>
        <x:v>0.9906333333333334</x:v>
      </x:c>
      <x:c r="L1408" t="str">
        <x:f>IF($A1408="","",IFERROR(INDEX(Assumptions!$O$5:$O$10,MATCH(1,(Assumptions!$P$5:$P$10=$B1408)*(Assumptions!$Q$5:$Q$10&lt;=$A1408)*(Assumptions!$R$5:$R$10&gt;=$A1408),0)),""))</x:f>
      </x:c>
      <x:c r="M1408" t="n">
        <x:f>--($A1408&lt;&gt;"")</x:f>
        <x:v>1</x:v>
      </x:c>
    </x:row>
    <x:row r="1409">
      <x:c r="A1409" s="10" t="n">
        <x:f>IF(Assumptions!$B$5+INT((ROW()-2)/Assumptions!$B$7)&gt;Assumptions!$B$6,"",Assumptions!$B$5+INT((ROW()-2)/Assumptions!$B$7))</x:f>
        <x:v>46304</x:v>
      </x:c>
      <x:c r="B1409" t="str">
        <x:f>IF($A1409="","",INDEX(Assumptions!$D$5:$D$12,MOD(ROW()-2,Assumptions!$B$7)+1))</x:f>
        <x:v>Nostromo Deep</x:v>
      </x:c>
      <x:c r="C1409" s="11" t="n">
        <x:f>IF($A1409="","",INDEX(Assumptions!$F$5:$F$12,MATCH($B1409,Assumptions!$D$5:$D$12,0)))</x:f>
        <x:v>1260</x:v>
      </x:c>
      <x:c r="D1409" s="11" t="n">
        <x:f>IF($A1409="","",INDEX(Assumptions!$G$5:$G$12,MATCH($B1409,Assumptions!$D$5:$D$12,0)))</x:f>
        <x:v>145</x:v>
      </x:c>
      <x:c r="E1409" s="11" t="n">
        <x:f>IF($A1409="","",INDEX(Assumptions!$M$5:$M$11,WEEKDAY($A1409,2)))</x:f>
        <x:v>0.98</x:v>
      </x:c>
      <x:c r="F1409" s="11" t="n">
        <x:f>IF($A1409="","",Assumptions!$B$15)</x:f>
        <x:v>0.35</x:v>
      </x:c>
      <x:c r="G1409" s="11" t="n">
        <x:f>IF($A1409="","",MAX(INDEX(Assumptions!$H$5:$H$12,MATCH($B1409,Assumptions!$D$5:$D$12,0)),MIN(INDEX(Assumptions!$I$5:$I$12,MATCH($B1409,Assumptions!$D$5:$D$12,0)),($C1409+$D1409*SQRT(-2*LN(RAND()))*COS(2*PI()*RAND()))*$E1409*$J1409*$K1409)))</x:f>
        <x:v>1246.039644076492</x:v>
      </x:c>
      <x:c r="H1409" s="11" t="n">
        <x:f>IF($A1409="","",$G1409*$F1409+$C1409*(1-$F1409))</x:f>
        <x:v>1255.1138754267722</x:v>
      </x:c>
      <x:c r="I1409" s="11" t="n">
        <x:f>IF($A1409="","",AVERAGE($H1409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1251.4381998294314</x:v>
      </x:c>
      <x:c r="J1409" s="12" t="n">
        <x:f>IF($A1409="","",1+SUMIFS(Assumptions!$S$5:$S$10,Assumptions!$P$5:$P$10,$B1409,Assumptions!$Q$5:$Q$10,"&lt;="&amp;$A1409,Assumptions!$R$5:$R$10,"&gt;="&amp;$A1409))</x:f>
        <x:v>1</x:v>
      </x:c>
      <x:c r="K1409" s="12" t="n">
        <x:f>IF($A1409="","",1+((($A1409-Assumptions!$B$5)/30)*INDEX(Assumptions!$J$5:$J$12,MATCH($B1409,Assumptions!$D$5:$D$12,0))))</x:f>
        <x:v>1.0281</x:v>
      </x:c>
      <x:c r="L1409" t="str">
        <x:f>IF($A1409="","",IFERROR(INDEX(Assumptions!$O$5:$O$10,MATCH(1,(Assumptions!$P$5:$P$10=$B1409)*(Assumptions!$Q$5:$Q$10&lt;=$A1409)*(Assumptions!$R$5:$R$10&gt;=$A1409),0)),""))</x:f>
      </x:c>
      <x:c r="M1409" t="n">
        <x:f>--($A1409&lt;&gt;"")</x:f>
        <x:v>1</x:v>
      </x:c>
    </x:row>
    <x:row r="1410">
      <x:c r="A1410" s="10" t="n">
        <x:f>IF(Assumptions!$B$5+INT((ROW()-2)/Assumptions!$B$7)&gt;Assumptions!$B$6,"",Assumptions!$B$5+INT((ROW()-2)/Assumptions!$B$7))</x:f>
        <x:v>46304</x:v>
      </x:c>
      <x:c r="B1410" t="str">
        <x:f>IF($A1410="","",INDEX(Assumptions!$D$5:$D$12,MOD(ROW()-2,Assumptions!$B$7)+1))</x:f>
        <x:v>Hadley's Hope</x:v>
      </x:c>
      <x:c r="C1410" s="11" t="n">
        <x:f>IF($A1410="","",INDEX(Assumptions!$F$5:$F$12,MATCH($B1410,Assumptions!$D$5:$D$12,0)))</x:f>
        <x:v>845</x:v>
      </x:c>
      <x:c r="D1410" s="11" t="n">
        <x:f>IF($A1410="","",INDEX(Assumptions!$G$5:$G$12,MATCH($B1410,Assumptions!$D$5:$D$12,0)))</x:f>
        <x:v>80</x:v>
      </x:c>
      <x:c r="E1410" s="11" t="n">
        <x:f>IF($A1410="","",INDEX(Assumptions!$M$5:$M$11,WEEKDAY($A1410,2)))</x:f>
        <x:v>0.98</x:v>
      </x:c>
      <x:c r="F1410" s="11" t="n">
        <x:f>IF($A1410="","",Assumptions!$B$15)</x:f>
        <x:v>0.35</x:v>
      </x:c>
      <x:c r="G1410" s="11" t="n">
        <x:f>IF($A1410="","",MAX(INDEX(Assumptions!$H$5:$H$12,MATCH($B1410,Assumptions!$D$5:$D$12,0)),MIN(INDEX(Assumptions!$I$5:$I$12,MATCH($B1410,Assumptions!$D$5:$D$12,0)),($C1410+$D1410*SQRT(-2*LN(RAND()))*COS(2*PI()*RAND()))*$E1410*$J1410*$K1410)))</x:f>
        <x:v>852.2075662553368</x:v>
      </x:c>
      <x:c r="H1410" s="11" t="n">
        <x:f>IF($A1410="","",$G1410*$F1410+$C1410*(1-$F1410))</x:f>
        <x:v>847.5226481893678</x:v>
      </x:c>
      <x:c r="I1410" s="11" t="n">
        <x:f>IF($A1410="","",AVERAGE($H1410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829.8760970401203</x:v>
      </x:c>
      <x:c r="J1410" s="12" t="n">
        <x:f>IF($A1410="","",1+SUMIFS(Assumptions!$S$5:$S$10,Assumptions!$P$5:$P$10,$B1410,Assumptions!$Q$5:$Q$10,"&lt;="&amp;$A1410,Assumptions!$R$5:$R$10,"&gt;="&amp;$A1410))</x:f>
        <x:v>1</x:v>
      </x:c>
      <x:c r="K1410" s="12" t="n">
        <x:f>IF($A1410="","",1+((($A1410-Assumptions!$B$5)/30)*INDEX(Assumptions!$J$5:$J$12,MATCH($B1410,Assumptions!$D$5:$D$12,0))))</x:f>
        <x:v>1.0093666666666667</x:v>
      </x:c>
      <x:c r="L1410" t="str">
        <x:f>IF($A1410="","",IFERROR(INDEX(Assumptions!$O$5:$O$10,MATCH(1,(Assumptions!$P$5:$P$10=$B1410)*(Assumptions!$Q$5:$Q$10&lt;=$A1410)*(Assumptions!$R$5:$R$10&gt;=$A1410),0)),""))</x:f>
      </x:c>
      <x:c r="M1410" t="n">
        <x:f>--($A1410&lt;&gt;"")</x:f>
        <x:v>1</x:v>
      </x:c>
    </x:row>
    <x:row r="1411">
      <x:c r="A1411" s="10" t="n">
        <x:f>IF(Assumptions!$B$5+INT((ROW()-2)/Assumptions!$B$7)&gt;Assumptions!$B$6,"",Assumptions!$B$5+INT((ROW()-2)/Assumptions!$B$7))</x:f>
        <x:v>46304</x:v>
      </x:c>
      <x:c r="B1411" t="str">
        <x:f>IF($A1411="","",INDEX(Assumptions!$D$5:$D$12,MOD(ROW()-2,Assumptions!$B$7)+1))</x:f>
        <x:v>Yutani Ridge</x:v>
      </x:c>
      <x:c r="C1411" s="11" t="n">
        <x:f>IF($A1411="","",INDEX(Assumptions!$F$5:$F$12,MATCH($B1411,Assumptions!$D$5:$D$12,0)))</x:f>
        <x:v>1050</x:v>
      </x:c>
      <x:c r="D1411" s="11" t="n">
        <x:f>IF($A1411="","",INDEX(Assumptions!$G$5:$G$12,MATCH($B1411,Assumptions!$D$5:$D$12,0)))</x:f>
        <x:v>125</x:v>
      </x:c>
      <x:c r="E1411" s="11" t="n">
        <x:f>IF($A1411="","",INDEX(Assumptions!$M$5:$M$11,WEEKDAY($A1411,2)))</x:f>
        <x:v>0.98</x:v>
      </x:c>
      <x:c r="F1411" s="11" t="n">
        <x:f>IF($A1411="","",Assumptions!$B$15)</x:f>
        <x:v>0.35</x:v>
      </x:c>
      <x:c r="G1411" s="11" t="n">
        <x:f>IF($A1411="","",MAX(INDEX(Assumptions!$H$5:$H$12,MATCH($B1411,Assumptions!$D$5:$D$12,0)),MIN(INDEX(Assumptions!$I$5:$I$12,MATCH($B1411,Assumptions!$D$5:$D$12,0)),($C1411+$D1411*SQRT(-2*LN(RAND()))*COS(2*PI()*RAND()))*$E1411*$J1411*$K1411)))</x:f>
        <x:v>1189.5374012713762</x:v>
      </x:c>
      <x:c r="H1411" s="11" t="n">
        <x:f>IF($A1411="","",$G1411*$F1411+$C1411*(1-$F1411))</x:f>
        <x:v>1098.8380904449816</x:v>
      </x:c>
      <x:c r="I1411" s="11" t="n">
        <x:f>IF($A1411="","",AVERAGE($H1411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1064.0498487203658</x:v>
      </x:c>
      <x:c r="J1411" s="12" t="n">
        <x:f>IF($A1411="","",1+SUMIFS(Assumptions!$S$5:$S$10,Assumptions!$P$5:$P$10,$B1411,Assumptions!$Q$5:$Q$10,"&lt;="&amp;$A1411,Assumptions!$R$5:$R$10,"&gt;="&amp;$A1411))</x:f>
        <x:v>1</x:v>
      </x:c>
      <x:c r="K1411" s="12" t="n">
        <x:f>IF($A1411="","",1+((($A1411-Assumptions!$B$5)/30)*INDEX(Assumptions!$J$5:$J$12,MATCH($B1411,Assumptions!$D$5:$D$12,0))))</x:f>
        <x:v>1.0234166666666666</x:v>
      </x:c>
      <x:c r="L1411" t="str">
        <x:f>IF($A1411="","",IFERROR(INDEX(Assumptions!$O$5:$O$10,MATCH(1,(Assumptions!$P$5:$P$10=$B1411)*(Assumptions!$Q$5:$Q$10&lt;=$A1411)*(Assumptions!$R$5:$R$10&gt;=$A1411),0)),""))</x:f>
      </x:c>
      <x:c r="M1411" t="n">
        <x:f>--($A1411&lt;&gt;"")</x:f>
        <x:v>1</x:v>
      </x:c>
    </x:row>
    <x:row r="1412">
      <x:c r="A1412" s="10" t="n">
        <x:f>IF(Assumptions!$B$5+INT((ROW()-2)/Assumptions!$B$7)&gt;Assumptions!$B$6,"",Assumptions!$B$5+INT((ROW()-2)/Assumptions!$B$7))</x:f>
        <x:v>46305</x:v>
      </x:c>
      <x:c r="B1412" t="str">
        <x:f>IF($A1412="","",INDEX(Assumptions!$D$5:$D$12,MOD(ROW()-2,Assumptions!$B$7)+1))</x:f>
        <x:v>Acheron Prime</x:v>
      </x:c>
      <x:c r="C1412" s="11" t="n">
        <x:f>IF($A1412="","",INDEX(Assumptions!$F$5:$F$12,MATCH($B1412,Assumptions!$D$5:$D$12,0)))</x:f>
        <x:v>1120</x:v>
      </x:c>
      <x:c r="D1412" s="11" t="n">
        <x:f>IF($A1412="","",INDEX(Assumptions!$G$5:$G$12,MATCH($B1412,Assumptions!$D$5:$D$12,0)))</x:f>
        <x:v>115</x:v>
      </x:c>
      <x:c r="E1412" s="11" t="n">
        <x:f>IF($A1412="","",INDEX(Assumptions!$M$5:$M$11,WEEKDAY($A1412,2)))</x:f>
        <x:v>0.91</x:v>
      </x:c>
      <x:c r="F1412" s="11" t="n">
        <x:f>IF($A1412="","",Assumptions!$B$15)</x:f>
        <x:v>0.35</x:v>
      </x:c>
      <x:c r="G1412" s="11" t="n">
        <x:f>IF($A1412="","",MAX(INDEX(Assumptions!$H$5:$H$12,MATCH($B1412,Assumptions!$D$5:$D$12,0)),MIN(INDEX(Assumptions!$I$5:$I$12,MATCH($B1412,Assumptions!$D$5:$D$12,0)),($C1412+$D1412*SQRT(-2*LN(RAND()))*COS(2*PI()*RAND()))*$E1412*$J1412*$K1412)))</x:f>
        <x:v>1079.12415018815</x:v>
      </x:c>
      <x:c r="H1412" s="11" t="n">
        <x:f>IF($A1412="","",$G1412*$F1412+$C1412*(1-$F1412))</x:f>
        <x:v>1105.6934525658526</x:v>
      </x:c>
      <x:c r="I1412" s="11" t="n">
        <x:f>IF($A1412="","",AVERAGE($H1412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1127.456422347774</x:v>
      </x:c>
      <x:c r="J1412" s="12" t="n">
        <x:f>IF($A1412="","",1+SUMIFS(Assumptions!$S$5:$S$10,Assumptions!$P$5:$P$10,$B1412,Assumptions!$Q$5:$Q$10,"&lt;="&amp;$A1412,Assumptions!$R$5:$R$10,"&gt;="&amp;$A1412))</x:f>
        <x:v>1</x:v>
      </x:c>
      <x:c r="K1412" s="12" t="n">
        <x:f>IF($A1412="","",1+((($A1412-Assumptions!$B$5)/30)*INDEX(Assumptions!$J$5:$J$12,MATCH($B1412,Assumptions!$D$5:$D$12,0))))</x:f>
        <x:v>1.0188</x:v>
      </x:c>
      <x:c r="L1412" t="str">
        <x:f>IF($A1412="","",IFERROR(INDEX(Assumptions!$O$5:$O$10,MATCH(1,(Assumptions!$P$5:$P$10=$B1412)*(Assumptions!$Q$5:$Q$10&lt;=$A1412)*(Assumptions!$R$5:$R$10&gt;=$A1412),0)),""))</x:f>
      </x:c>
      <x:c r="M1412" t="n">
        <x:f>--($A1412&lt;&gt;"")</x:f>
        <x:v>1</x:v>
      </x:c>
    </x:row>
    <x:row r="1413">
      <x:c r="A1413" s="10" t="n">
        <x:f>IF(Assumptions!$B$5+INT((ROW()-2)/Assumptions!$B$7)&gt;Assumptions!$B$6,"",Assumptions!$B$5+INT((ROW()-2)/Assumptions!$B$7))</x:f>
        <x:v>46305</x:v>
      </x:c>
      <x:c r="B1413" t="str">
        <x:f>IF($A1413="","",INDEX(Assumptions!$D$5:$D$12,MOD(ROW()-2,Assumptions!$B$7)+1))</x:f>
        <x:v>LV-426 North</x:v>
      </x:c>
      <x:c r="C1413" s="11" t="n">
        <x:f>IF($A1413="","",INDEX(Assumptions!$F$5:$F$12,MATCH($B1413,Assumptions!$D$5:$D$12,0)))</x:f>
        <x:v>930</x:v>
      </x:c>
      <x:c r="D1413" s="11" t="n">
        <x:f>IF($A1413="","",INDEX(Assumptions!$G$5:$G$12,MATCH($B1413,Assumptions!$D$5:$D$12,0)))</x:f>
        <x:v>95</x:v>
      </x:c>
      <x:c r="E1413" s="11" t="n">
        <x:f>IF($A1413="","",INDEX(Assumptions!$M$5:$M$11,WEEKDAY($A1413,2)))</x:f>
        <x:v>0.91</x:v>
      </x:c>
      <x:c r="F1413" s="11" t="n">
        <x:f>IF($A1413="","",Assumptions!$B$15)</x:f>
        <x:v>0.35</x:v>
      </x:c>
      <x:c r="G1413" s="11" t="n">
        <x:f>IF($A1413="","",MAX(INDEX(Assumptions!$H$5:$H$12,MATCH($B1413,Assumptions!$D$5:$D$12,0)),MIN(INDEX(Assumptions!$I$5:$I$12,MATCH($B1413,Assumptions!$D$5:$D$12,0)),($C1413+$D1413*SQRT(-2*LN(RAND()))*COS(2*PI()*RAND()))*$E1413*$J1413*$K1413)))</x:f>
        <x:v>903.773453390236</x:v>
      </x:c>
      <x:c r="H1413" s="11" t="n">
        <x:f>IF($A1413="","",$G1413*$F1413+$C1413*(1-$F1413))</x:f>
        <x:v>920.8207086865825</x:v>
      </x:c>
      <x:c r="I1413" s="11" t="n">
        <x:f>IF($A1413="","",AVERAGE($H1413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912.2811990198505</x:v>
      </x:c>
      <x:c r="J1413" s="12" t="n">
        <x:f>IF($A1413="","",1+SUMIFS(Assumptions!$S$5:$S$10,Assumptions!$P$5:$P$10,$B1413,Assumptions!$Q$5:$Q$10,"&lt;="&amp;$A1413,Assumptions!$R$5:$R$10,"&gt;="&amp;$A1413))</x:f>
        <x:v>1</x:v>
      </x:c>
      <x:c r="K1413" s="12" t="n">
        <x:f>IF($A1413="","",1+((($A1413-Assumptions!$B$5)/30)*INDEX(Assumptions!$J$5:$J$12,MATCH($B1413,Assumptions!$D$5:$D$12,0))))</x:f>
        <x:v>0.9906</x:v>
      </x:c>
      <x:c r="L1413" t="str">
        <x:f>IF($A1413="","",IFERROR(INDEX(Assumptions!$O$5:$O$10,MATCH(1,(Assumptions!$P$5:$P$10=$B1413)*(Assumptions!$Q$5:$Q$10&lt;=$A1413)*(Assumptions!$R$5:$R$10&gt;=$A1413),0)),""))</x:f>
      </x:c>
      <x:c r="M1413" t="n">
        <x:f>--($A1413&lt;&gt;"")</x:f>
        <x:v>1</x:v>
      </x:c>
    </x:row>
    <x:row r="1414">
      <x:c r="A1414" s="10" t="n">
        <x:f>IF(Assumptions!$B$5+INT((ROW()-2)/Assumptions!$B$7)&gt;Assumptions!$B$6,"",Assumptions!$B$5+INT((ROW()-2)/Assumptions!$B$7))</x:f>
        <x:v>46305</x:v>
      </x:c>
      <x:c r="B1414" t="str">
        <x:f>IF($A1414="","",INDEX(Assumptions!$D$5:$D$12,MOD(ROW()-2,Assumptions!$B$7)+1))</x:f>
        <x:v>Nostromo Deep</x:v>
      </x:c>
      <x:c r="C1414" s="11" t="n">
        <x:f>IF($A1414="","",INDEX(Assumptions!$F$5:$F$12,MATCH($B1414,Assumptions!$D$5:$D$12,0)))</x:f>
        <x:v>1260</x:v>
      </x:c>
      <x:c r="D1414" s="11" t="n">
        <x:f>IF($A1414="","",INDEX(Assumptions!$G$5:$G$12,MATCH($B1414,Assumptions!$D$5:$D$12,0)))</x:f>
        <x:v>145</x:v>
      </x:c>
      <x:c r="E1414" s="11" t="n">
        <x:f>IF($A1414="","",INDEX(Assumptions!$M$5:$M$11,WEEKDAY($A1414,2)))</x:f>
        <x:v>0.91</x:v>
      </x:c>
      <x:c r="F1414" s="11" t="n">
        <x:f>IF($A1414="","",Assumptions!$B$15)</x:f>
        <x:v>0.35</x:v>
      </x:c>
      <x:c r="G1414" s="11" t="n">
        <x:f>IF($A1414="","",MAX(INDEX(Assumptions!$H$5:$H$12,MATCH($B1414,Assumptions!$D$5:$D$12,0)),MIN(INDEX(Assumptions!$I$5:$I$12,MATCH($B1414,Assumptions!$D$5:$D$12,0)),($C1414+$D1414*SQRT(-2*LN(RAND()))*COS(2*PI()*RAND()))*$E1414*$J1414*$K1414)))</x:f>
        <x:v>1345.0324490783844</x:v>
      </x:c>
      <x:c r="H1414" s="11" t="n">
        <x:f>IF($A1414="","",$G1414*$F1414+$C1414*(1-$F1414))</x:f>
        <x:v>1289.7613571774345</x:v>
      </x:c>
      <x:c r="I1414" s="11" t="n">
        <x:f>IF($A1414="","",AVERAGE($H1414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1254.7556667866518</x:v>
      </x:c>
      <x:c r="J1414" s="12" t="n">
        <x:f>IF($A1414="","",1+SUMIFS(Assumptions!$S$5:$S$10,Assumptions!$P$5:$P$10,$B1414,Assumptions!$Q$5:$Q$10,"&lt;="&amp;$A1414,Assumptions!$R$5:$R$10,"&gt;="&amp;$A1414))</x:f>
        <x:v>1</x:v>
      </x:c>
      <x:c r="K1414" s="12" t="n">
        <x:f>IF($A1414="","",1+((($A1414-Assumptions!$B$5)/30)*INDEX(Assumptions!$J$5:$J$12,MATCH($B1414,Assumptions!$D$5:$D$12,0))))</x:f>
        <x:v>1.0282</x:v>
      </x:c>
      <x:c r="L1414" t="str">
        <x:f>IF($A1414="","",IFERROR(INDEX(Assumptions!$O$5:$O$10,MATCH(1,(Assumptions!$P$5:$P$10=$B1414)*(Assumptions!$Q$5:$Q$10&lt;=$A1414)*(Assumptions!$R$5:$R$10&gt;=$A1414),0)),""))</x:f>
      </x:c>
      <x:c r="M1414" t="n">
        <x:f>--($A1414&lt;&gt;"")</x:f>
        <x:v>1</x:v>
      </x:c>
    </x:row>
    <x:row r="1415">
      <x:c r="A1415" s="10" t="n">
        <x:f>IF(Assumptions!$B$5+INT((ROW()-2)/Assumptions!$B$7)&gt;Assumptions!$B$6,"",Assumptions!$B$5+INT((ROW()-2)/Assumptions!$B$7))</x:f>
        <x:v>46305</x:v>
      </x:c>
      <x:c r="B1415" t="str">
        <x:f>IF($A1415="","",INDEX(Assumptions!$D$5:$D$12,MOD(ROW()-2,Assumptions!$B$7)+1))</x:f>
        <x:v>Hadley's Hope</x:v>
      </x:c>
      <x:c r="C1415" s="11" t="n">
        <x:f>IF($A1415="","",INDEX(Assumptions!$F$5:$F$12,MATCH($B1415,Assumptions!$D$5:$D$12,0)))</x:f>
        <x:v>845</x:v>
      </x:c>
      <x:c r="D1415" s="11" t="n">
        <x:f>IF($A1415="","",INDEX(Assumptions!$G$5:$G$12,MATCH($B1415,Assumptions!$D$5:$D$12,0)))</x:f>
        <x:v>80</x:v>
      </x:c>
      <x:c r="E1415" s="11" t="n">
        <x:f>IF($A1415="","",INDEX(Assumptions!$M$5:$M$11,WEEKDAY($A1415,2)))</x:f>
        <x:v>0.91</x:v>
      </x:c>
      <x:c r="F1415" s="11" t="n">
        <x:f>IF($A1415="","",Assumptions!$B$15)</x:f>
        <x:v>0.35</x:v>
      </x:c>
      <x:c r="G1415" s="11" t="n">
        <x:f>IF($A1415="","",MAX(INDEX(Assumptions!$H$5:$H$12,MATCH($B1415,Assumptions!$D$5:$D$12,0)),MIN(INDEX(Assumptions!$I$5:$I$12,MATCH($B1415,Assumptions!$D$5:$D$12,0)),($C1415+$D1415*SQRT(-2*LN(RAND()))*COS(2*PI()*RAND()))*$E1415*$J1415*$K1415)))</x:f>
        <x:v>705.474417698637</x:v>
      </x:c>
      <x:c r="H1415" s="11" t="n">
        <x:f>IF($A1415="","",$G1415*$F1415+$C1415*(1-$F1415))</x:f>
        <x:v>796.166046194523</x:v>
      </x:c>
      <x:c r="I1415" s="11" t="n">
        <x:f>IF($A1415="","",AVERAGE($H1415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826.7409459932704</x:v>
      </x:c>
      <x:c r="J1415" s="12" t="n">
        <x:f>IF($A1415="","",1+SUMIFS(Assumptions!$S$5:$S$10,Assumptions!$P$5:$P$10,$B1415,Assumptions!$Q$5:$Q$10,"&lt;="&amp;$A1415,Assumptions!$R$5:$R$10,"&gt;="&amp;$A1415))</x:f>
        <x:v>1</x:v>
      </x:c>
      <x:c r="K1415" s="12" t="n">
        <x:f>IF($A1415="","",1+((($A1415-Assumptions!$B$5)/30)*INDEX(Assumptions!$J$5:$J$12,MATCH($B1415,Assumptions!$D$5:$D$12,0))))</x:f>
        <x:v>1.0094</x:v>
      </x:c>
      <x:c r="L1415" t="str">
        <x:f>IF($A1415="","",IFERROR(INDEX(Assumptions!$O$5:$O$10,MATCH(1,(Assumptions!$P$5:$P$10=$B1415)*(Assumptions!$Q$5:$Q$10&lt;=$A1415)*(Assumptions!$R$5:$R$10&gt;=$A1415),0)),""))</x:f>
      </x:c>
      <x:c r="M1415" t="n">
        <x:f>--($A1415&lt;&gt;"")</x:f>
        <x:v>1</x:v>
      </x:c>
    </x:row>
    <x:row r="1416">
      <x:c r="A1416" s="10" t="n">
        <x:f>IF(Assumptions!$B$5+INT((ROW()-2)/Assumptions!$B$7)&gt;Assumptions!$B$6,"",Assumptions!$B$5+INT((ROW()-2)/Assumptions!$B$7))</x:f>
        <x:v>46305</x:v>
      </x:c>
      <x:c r="B1416" t="str">
        <x:f>IF($A1416="","",INDEX(Assumptions!$D$5:$D$12,MOD(ROW()-2,Assumptions!$B$7)+1))</x:f>
        <x:v>Yutani Ridge</x:v>
      </x:c>
      <x:c r="C1416" s="11" t="n">
        <x:f>IF($A1416="","",INDEX(Assumptions!$F$5:$F$12,MATCH($B1416,Assumptions!$D$5:$D$12,0)))</x:f>
        <x:v>1050</x:v>
      </x:c>
      <x:c r="D1416" s="11" t="n">
        <x:f>IF($A1416="","",INDEX(Assumptions!$G$5:$G$12,MATCH($B1416,Assumptions!$D$5:$D$12,0)))</x:f>
        <x:v>125</x:v>
      </x:c>
      <x:c r="E1416" s="11" t="n">
        <x:f>IF($A1416="","",INDEX(Assumptions!$M$5:$M$11,WEEKDAY($A1416,2)))</x:f>
        <x:v>0.91</x:v>
      </x:c>
      <x:c r="F1416" s="11" t="n">
        <x:f>IF($A1416="","",Assumptions!$B$15)</x:f>
        <x:v>0.35</x:v>
      </x:c>
      <x:c r="G1416" s="11" t="n">
        <x:f>IF($A1416="","",MAX(INDEX(Assumptions!$H$5:$H$12,MATCH($B1416,Assumptions!$D$5:$D$12,0)),MIN(INDEX(Assumptions!$I$5:$I$12,MATCH($B1416,Assumptions!$D$5:$D$12,0)),($C1416+$D1416*SQRT(-2*LN(RAND()))*COS(2*PI()*RAND()))*$E1416*$J1416*$K1416)))</x:f>
        <x:v>891.8325603040445</x:v>
      </x:c>
      <x:c r="H1416" s="11" t="n">
        <x:f>IF($A1416="","",$G1416*$F1416+$C1416*(1-$F1416))</x:f>
        <x:v>994.6413961064155</x:v>
      </x:c>
      <x:c r="I1416" s="11" t="n">
        <x:f>IF($A1416="","",AVERAGE($H1416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1065.0040679970602</x:v>
      </x:c>
      <x:c r="J1416" s="12" t="n">
        <x:f>IF($A1416="","",1+SUMIFS(Assumptions!$S$5:$S$10,Assumptions!$P$5:$P$10,$B1416,Assumptions!$Q$5:$Q$10,"&lt;="&amp;$A1416,Assumptions!$R$5:$R$10,"&gt;="&amp;$A1416))</x:f>
        <x:v>1</x:v>
      </x:c>
      <x:c r="K1416" s="12" t="n">
        <x:f>IF($A1416="","",1+((($A1416-Assumptions!$B$5)/30)*INDEX(Assumptions!$J$5:$J$12,MATCH($B1416,Assumptions!$D$5:$D$12,0))))</x:f>
        <x:v>1.0235</x:v>
      </x:c>
      <x:c r="L1416" t="str">
        <x:f>IF($A1416="","",IFERROR(INDEX(Assumptions!$O$5:$O$10,MATCH(1,(Assumptions!$P$5:$P$10=$B1416)*(Assumptions!$Q$5:$Q$10&lt;=$A1416)*(Assumptions!$R$5:$R$10&gt;=$A1416),0)),""))</x:f>
      </x:c>
      <x:c r="M1416" t="n">
        <x:f>--($A1416&lt;&gt;"")</x:f>
        <x:v>1</x:v>
      </x:c>
    </x:row>
    <x:row r="1417">
      <x:c r="A1417" s="10" t="n">
        <x:f>IF(Assumptions!$B$5+INT((ROW()-2)/Assumptions!$B$7)&gt;Assumptions!$B$6,"",Assumptions!$B$5+INT((ROW()-2)/Assumptions!$B$7))</x:f>
        <x:v>46306</x:v>
      </x:c>
      <x:c r="B1417" t="str">
        <x:f>IF($A1417="","",INDEX(Assumptions!$D$5:$D$12,MOD(ROW()-2,Assumptions!$B$7)+1))</x:f>
        <x:v>Acheron Prime</x:v>
      </x:c>
      <x:c r="C1417" s="11" t="n">
        <x:f>IF($A1417="","",INDEX(Assumptions!$F$5:$F$12,MATCH($B1417,Assumptions!$D$5:$D$12,0)))</x:f>
        <x:v>1120</x:v>
      </x:c>
      <x:c r="D1417" s="11" t="n">
        <x:f>IF($A1417="","",INDEX(Assumptions!$G$5:$G$12,MATCH($B1417,Assumptions!$D$5:$D$12,0)))</x:f>
        <x:v>115</x:v>
      </x:c>
      <x:c r="E1417" s="11" t="n">
        <x:f>IF($A1417="","",INDEX(Assumptions!$M$5:$M$11,WEEKDAY($A1417,2)))</x:f>
        <x:v>0.87</x:v>
      </x:c>
      <x:c r="F1417" s="11" t="n">
        <x:f>IF($A1417="","",Assumptions!$B$15)</x:f>
        <x:v>0.35</x:v>
      </x:c>
      <x:c r="G1417" s="11" t="n">
        <x:f>IF($A1417="","",MAX(INDEX(Assumptions!$H$5:$H$12,MATCH($B1417,Assumptions!$D$5:$D$12,0)),MIN(INDEX(Assumptions!$I$5:$I$12,MATCH($B1417,Assumptions!$D$5:$D$12,0)),($C1417+$D1417*SQRT(-2*LN(RAND()))*COS(2*PI()*RAND()))*$E1417*$J1417*$K1417)))</x:f>
        <x:v>805.4614592453344</x:v>
      </x:c>
      <x:c r="H1417" s="11" t="n">
        <x:f>IF($A1417="","",$G1417*$F1417+$C1417*(1-$F1417))</x:f>
        <x:v>1009.9115107358671</x:v>
      </x:c>
      <x:c r="I1417" s="11" t="n">
        <x:f>IF($A1417="","",AVERAGE($H1417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1123.951273189359</x:v>
      </x:c>
      <x:c r="J1417" s="12" t="n">
        <x:f>IF($A1417="","",1+SUMIFS(Assumptions!$S$5:$S$10,Assumptions!$P$5:$P$10,$B1417,Assumptions!$Q$5:$Q$10,"&lt;="&amp;$A1417,Assumptions!$R$5:$R$10,"&gt;="&amp;$A1417))</x:f>
        <x:v>1</x:v>
      </x:c>
      <x:c r="K1417" s="12" t="n">
        <x:f>IF($A1417="","",1+((($A1417-Assumptions!$B$5)/30)*INDEX(Assumptions!$J$5:$J$12,MATCH($B1417,Assumptions!$D$5:$D$12,0))))</x:f>
        <x:v>1.0188666666666666</x:v>
      </x:c>
      <x:c r="L1417" t="str">
        <x:f>IF($A1417="","",IFERROR(INDEX(Assumptions!$O$5:$O$10,MATCH(1,(Assumptions!$P$5:$P$10=$B1417)*(Assumptions!$Q$5:$Q$10&lt;=$A1417)*(Assumptions!$R$5:$R$10&gt;=$A1417),0)),""))</x:f>
      </x:c>
      <x:c r="M1417" t="n">
        <x:f>--($A1417&lt;&gt;"")</x:f>
        <x:v>1</x:v>
      </x:c>
    </x:row>
    <x:row r="1418">
      <x:c r="A1418" s="10" t="n">
        <x:f>IF(Assumptions!$B$5+INT((ROW()-2)/Assumptions!$B$7)&gt;Assumptions!$B$6,"",Assumptions!$B$5+INT((ROW()-2)/Assumptions!$B$7))</x:f>
        <x:v>46306</x:v>
      </x:c>
      <x:c r="B1418" t="str">
        <x:f>IF($A1418="","",INDEX(Assumptions!$D$5:$D$12,MOD(ROW()-2,Assumptions!$B$7)+1))</x:f>
        <x:v>LV-426 North</x:v>
      </x:c>
      <x:c r="C1418" s="11" t="n">
        <x:f>IF($A1418="","",INDEX(Assumptions!$F$5:$F$12,MATCH($B1418,Assumptions!$D$5:$D$12,0)))</x:f>
        <x:v>930</x:v>
      </x:c>
      <x:c r="D1418" s="11" t="n">
        <x:f>IF($A1418="","",INDEX(Assumptions!$G$5:$G$12,MATCH($B1418,Assumptions!$D$5:$D$12,0)))</x:f>
        <x:v>95</x:v>
      </x:c>
      <x:c r="E1418" s="11" t="n">
        <x:f>IF($A1418="","",INDEX(Assumptions!$M$5:$M$11,WEEKDAY($A1418,2)))</x:f>
        <x:v>0.87</x:v>
      </x:c>
      <x:c r="F1418" s="11" t="n">
        <x:f>IF($A1418="","",Assumptions!$B$15)</x:f>
        <x:v>0.35</x:v>
      </x:c>
      <x:c r="G1418" s="11" t="n">
        <x:f>IF($A1418="","",MAX(INDEX(Assumptions!$H$5:$H$12,MATCH($B1418,Assumptions!$D$5:$D$12,0)),MIN(INDEX(Assumptions!$I$5:$I$12,MATCH($B1418,Assumptions!$D$5:$D$12,0)),($C1418+$D1418*SQRT(-2*LN(RAND()))*COS(2*PI()*RAND()))*$E1418*$J1418*$K1418)))</x:f>
        <x:v>672.7462500161969</x:v>
      </x:c>
      <x:c r="H1418" s="11" t="n">
        <x:f>IF($A1418="","",$G1418*$F1418+$C1418*(1-$F1418))</x:f>
        <x:v>839.9611875056689</x:v>
      </x:c>
      <x:c r="I1418" s="11" t="n">
        <x:f>IF($A1418="","",AVERAGE($H1418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903.715746567451</x:v>
      </x:c>
      <x:c r="J1418" s="12" t="n">
        <x:f>IF($A1418="","",1+SUMIFS(Assumptions!$S$5:$S$10,Assumptions!$P$5:$P$10,$B1418,Assumptions!$Q$5:$Q$10,"&lt;="&amp;$A1418,Assumptions!$R$5:$R$10,"&gt;="&amp;$A1418))</x:f>
        <x:v>1</x:v>
      </x:c>
      <x:c r="K1418" s="12" t="n">
        <x:f>IF($A1418="","",1+((($A1418-Assumptions!$B$5)/30)*INDEX(Assumptions!$J$5:$J$12,MATCH($B1418,Assumptions!$D$5:$D$12,0))))</x:f>
        <x:v>0.9905666666666667</x:v>
      </x:c>
      <x:c r="L1418" t="str">
        <x:f>IF($A1418="","",IFERROR(INDEX(Assumptions!$O$5:$O$10,MATCH(1,(Assumptions!$P$5:$P$10=$B1418)*(Assumptions!$Q$5:$Q$10&lt;=$A1418)*(Assumptions!$R$5:$R$10&gt;=$A1418),0)),""))</x:f>
      </x:c>
      <x:c r="M1418" t="n">
        <x:f>--($A1418&lt;&gt;"")</x:f>
        <x:v>1</x:v>
      </x:c>
    </x:row>
    <x:row r="1419">
      <x:c r="A1419" s="10" t="n">
        <x:f>IF(Assumptions!$B$5+INT((ROW()-2)/Assumptions!$B$7)&gt;Assumptions!$B$6,"",Assumptions!$B$5+INT((ROW()-2)/Assumptions!$B$7))</x:f>
        <x:v>46306</x:v>
      </x:c>
      <x:c r="B1419" t="str">
        <x:f>IF($A1419="","",INDEX(Assumptions!$D$5:$D$12,MOD(ROW()-2,Assumptions!$B$7)+1))</x:f>
        <x:v>Nostromo Deep</x:v>
      </x:c>
      <x:c r="C1419" s="11" t="n">
        <x:f>IF($A1419="","",INDEX(Assumptions!$F$5:$F$12,MATCH($B1419,Assumptions!$D$5:$D$12,0)))</x:f>
        <x:v>1260</x:v>
      </x:c>
      <x:c r="D1419" s="11" t="n">
        <x:f>IF($A1419="","",INDEX(Assumptions!$G$5:$G$12,MATCH($B1419,Assumptions!$D$5:$D$12,0)))</x:f>
        <x:v>145</x:v>
      </x:c>
      <x:c r="E1419" s="11" t="n">
        <x:f>IF($A1419="","",INDEX(Assumptions!$M$5:$M$11,WEEKDAY($A1419,2)))</x:f>
        <x:v>0.87</x:v>
      </x:c>
      <x:c r="F1419" s="11" t="n">
        <x:f>IF($A1419="","",Assumptions!$B$15)</x:f>
        <x:v>0.35</x:v>
      </x:c>
      <x:c r="G1419" s="11" t="n">
        <x:f>IF($A1419="","",MAX(INDEX(Assumptions!$H$5:$H$12,MATCH($B1419,Assumptions!$D$5:$D$12,0)),MIN(INDEX(Assumptions!$I$5:$I$12,MATCH($B1419,Assumptions!$D$5:$D$12,0)),($C1419+$D1419*SQRT(-2*LN(RAND()))*COS(2*PI()*RAND()))*$E1419*$J1419*$K1419)))</x:f>
        <x:v>1201.2606303557727</x:v>
      </x:c>
      <x:c r="H1419" s="11" t="n">
        <x:f>IF($A1419="","",$G1419*$F1419+$C1419*(1-$F1419))</x:f>
        <x:v>1239.4412206245204</x:v>
      </x:c>
      <x:c r="I1419" s="11" t="n">
        <x:f>IF($A1419="","",AVERAGE($H1419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1269.3886940795321</x:v>
      </x:c>
      <x:c r="J1419" s="12" t="n">
        <x:f>IF($A1419="","",1+SUMIFS(Assumptions!$S$5:$S$10,Assumptions!$P$5:$P$10,$B1419,Assumptions!$Q$5:$Q$10,"&lt;="&amp;$A1419,Assumptions!$R$5:$R$10,"&gt;="&amp;$A1419))</x:f>
        <x:v>1</x:v>
      </x:c>
      <x:c r="K1419" s="12" t="n">
        <x:f>IF($A1419="","",1+((($A1419-Assumptions!$B$5)/30)*INDEX(Assumptions!$J$5:$J$12,MATCH($B1419,Assumptions!$D$5:$D$12,0))))</x:f>
        <x:v>1.0283</x:v>
      </x:c>
      <x:c r="L1419" t="str">
        <x:f>IF($A1419="","",IFERROR(INDEX(Assumptions!$O$5:$O$10,MATCH(1,(Assumptions!$P$5:$P$10=$B1419)*(Assumptions!$Q$5:$Q$10&lt;=$A1419)*(Assumptions!$R$5:$R$10&gt;=$A1419),0)),""))</x:f>
      </x:c>
      <x:c r="M1419" t="n">
        <x:f>--($A1419&lt;&gt;"")</x:f>
        <x:v>1</x:v>
      </x:c>
    </x:row>
    <x:row r="1420">
      <x:c r="A1420" s="10" t="n">
        <x:f>IF(Assumptions!$B$5+INT((ROW()-2)/Assumptions!$B$7)&gt;Assumptions!$B$6,"",Assumptions!$B$5+INT((ROW()-2)/Assumptions!$B$7))</x:f>
        <x:v>46306</x:v>
      </x:c>
      <x:c r="B1420" t="str">
        <x:f>IF($A1420="","",INDEX(Assumptions!$D$5:$D$12,MOD(ROW()-2,Assumptions!$B$7)+1))</x:f>
        <x:v>Hadley's Hope</x:v>
      </x:c>
      <x:c r="C1420" s="11" t="n">
        <x:f>IF($A1420="","",INDEX(Assumptions!$F$5:$F$12,MATCH($B1420,Assumptions!$D$5:$D$12,0)))</x:f>
        <x:v>845</x:v>
      </x:c>
      <x:c r="D1420" s="11" t="n">
        <x:f>IF($A1420="","",INDEX(Assumptions!$G$5:$G$12,MATCH($B1420,Assumptions!$D$5:$D$12,0)))</x:f>
        <x:v>80</x:v>
      </x:c>
      <x:c r="E1420" s="11" t="n">
        <x:f>IF($A1420="","",INDEX(Assumptions!$M$5:$M$11,WEEKDAY($A1420,2)))</x:f>
        <x:v>0.87</x:v>
      </x:c>
      <x:c r="F1420" s="11" t="n">
        <x:f>IF($A1420="","",Assumptions!$B$15)</x:f>
        <x:v>0.35</x:v>
      </x:c>
      <x:c r="G1420" s="11" t="n">
        <x:f>IF($A1420="","",MAX(INDEX(Assumptions!$H$5:$H$12,MATCH($B1420,Assumptions!$D$5:$D$12,0)),MIN(INDEX(Assumptions!$I$5:$I$12,MATCH($B1420,Assumptions!$D$5:$D$12,0)),($C1420+$D1420*SQRT(-2*LN(RAND()))*COS(2*PI()*RAND()))*$E1420*$J1420*$K1420)))</x:f>
        <x:v>769.1280160266114</x:v>
      </x:c>
      <x:c r="H1420" s="11" t="n">
        <x:f>IF($A1420="","",$G1420*$F1420+$C1420*(1-$F1420))</x:f>
        <x:v>818.444805609314</x:v>
      </x:c>
      <x:c r="I1420" s="11" t="n">
        <x:f>IF($A1420="","",AVERAGE($H1420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834.430161661098</x:v>
      </x:c>
      <x:c r="J1420" s="12" t="n">
        <x:f>IF($A1420="","",1+SUMIFS(Assumptions!$S$5:$S$10,Assumptions!$P$5:$P$10,$B1420,Assumptions!$Q$5:$Q$10,"&lt;="&amp;$A1420,Assumptions!$R$5:$R$10,"&gt;="&amp;$A1420))</x:f>
        <x:v>1</x:v>
      </x:c>
      <x:c r="K1420" s="12" t="n">
        <x:f>IF($A1420="","",1+((($A1420-Assumptions!$B$5)/30)*INDEX(Assumptions!$J$5:$J$12,MATCH($B1420,Assumptions!$D$5:$D$12,0))))</x:f>
        <x:v>1.0094333333333334</x:v>
      </x:c>
      <x:c r="L1420" t="str">
        <x:f>IF($A1420="","",IFERROR(INDEX(Assumptions!$O$5:$O$10,MATCH(1,(Assumptions!$P$5:$P$10=$B1420)*(Assumptions!$Q$5:$Q$10&lt;=$A1420)*(Assumptions!$R$5:$R$10&gt;=$A1420),0)),""))</x:f>
      </x:c>
      <x:c r="M1420" t="n">
        <x:f>--($A1420&lt;&gt;"")</x:f>
        <x:v>1</x:v>
      </x:c>
    </x:row>
    <x:row r="1421">
      <x:c r="A1421" s="10" t="n">
        <x:f>IF(Assumptions!$B$5+INT((ROW()-2)/Assumptions!$B$7)&gt;Assumptions!$B$6,"",Assumptions!$B$5+INT((ROW()-2)/Assumptions!$B$7))</x:f>
        <x:v>46306</x:v>
      </x:c>
      <x:c r="B1421" t="str">
        <x:f>IF($A1421="","",INDEX(Assumptions!$D$5:$D$12,MOD(ROW()-2,Assumptions!$B$7)+1))</x:f>
        <x:v>Yutani Ridge</x:v>
      </x:c>
      <x:c r="C1421" s="11" t="n">
        <x:f>IF($A1421="","",INDEX(Assumptions!$F$5:$F$12,MATCH($B1421,Assumptions!$D$5:$D$12,0)))</x:f>
        <x:v>1050</x:v>
      </x:c>
      <x:c r="D1421" s="11" t="n">
        <x:f>IF($A1421="","",INDEX(Assumptions!$G$5:$G$12,MATCH($B1421,Assumptions!$D$5:$D$12,0)))</x:f>
        <x:v>125</x:v>
      </x:c>
      <x:c r="E1421" s="11" t="n">
        <x:f>IF($A1421="","",INDEX(Assumptions!$M$5:$M$11,WEEKDAY($A1421,2)))</x:f>
        <x:v>0.87</x:v>
      </x:c>
      <x:c r="F1421" s="11" t="n">
        <x:f>IF($A1421="","",Assumptions!$B$15)</x:f>
        <x:v>0.35</x:v>
      </x:c>
      <x:c r="G1421" s="11" t="n">
        <x:f>IF($A1421="","",MAX(INDEX(Assumptions!$H$5:$H$12,MATCH($B1421,Assumptions!$D$5:$D$12,0)),MIN(INDEX(Assumptions!$I$5:$I$12,MATCH($B1421,Assumptions!$D$5:$D$12,0)),($C1421+$D1421*SQRT(-2*LN(RAND()))*COS(2*PI()*RAND()))*$E1421*$J1421*$K1421)))</x:f>
        <x:v>700</x:v>
      </x:c>
      <x:c r="H1421" s="11" t="n">
        <x:f>IF($A1421="","",$G1421*$F1421+$C1421*(1-$F1421))</x:f>
        <x:v>927.5</x:v>
      </x:c>
      <x:c r="I1421" s="11" t="n">
        <x:f>IF($A1421="","",AVERAGE($H1421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1050.2593100221716</x:v>
      </x:c>
      <x:c r="J1421" s="12" t="n">
        <x:f>IF($A1421="","",1+SUMIFS(Assumptions!$S$5:$S$10,Assumptions!$P$5:$P$10,$B1421,Assumptions!$Q$5:$Q$10,"&lt;="&amp;$A1421,Assumptions!$R$5:$R$10,"&gt;="&amp;$A1421))</x:f>
        <x:v>1</x:v>
      </x:c>
      <x:c r="K1421" s="12" t="n">
        <x:f>IF($A1421="","",1+((($A1421-Assumptions!$B$5)/30)*INDEX(Assumptions!$J$5:$J$12,MATCH($B1421,Assumptions!$D$5:$D$12,0))))</x:f>
        <x:v>1.0235833333333333</x:v>
      </x:c>
      <x:c r="L1421" t="str">
        <x:f>IF($A1421="","",IFERROR(INDEX(Assumptions!$O$5:$O$10,MATCH(1,(Assumptions!$P$5:$P$10=$B1421)*(Assumptions!$Q$5:$Q$10&lt;=$A1421)*(Assumptions!$R$5:$R$10&gt;=$A1421),0)),""))</x:f>
      </x:c>
      <x:c r="M1421" t="n">
        <x:f>--($A1421&lt;&gt;"")</x:f>
        <x:v>1</x:v>
      </x:c>
    </x:row>
    <x:row r="1422">
      <x:c r="A1422" s="10" t="n">
        <x:f>IF(Assumptions!$B$5+INT((ROW()-2)/Assumptions!$B$7)&gt;Assumptions!$B$6,"",Assumptions!$B$5+INT((ROW()-2)/Assumptions!$B$7))</x:f>
        <x:v>46307</x:v>
      </x:c>
      <x:c r="B1422" t="str">
        <x:f>IF($A1422="","",INDEX(Assumptions!$D$5:$D$12,MOD(ROW()-2,Assumptions!$B$7)+1))</x:f>
        <x:v>Acheron Prime</x:v>
      </x:c>
      <x:c r="C1422" s="11" t="n">
        <x:f>IF($A1422="","",INDEX(Assumptions!$F$5:$F$12,MATCH($B1422,Assumptions!$D$5:$D$12,0)))</x:f>
        <x:v>1120</x:v>
      </x:c>
      <x:c r="D1422" s="11" t="n">
        <x:f>IF($A1422="","",INDEX(Assumptions!$G$5:$G$12,MATCH($B1422,Assumptions!$D$5:$D$12,0)))</x:f>
        <x:v>115</x:v>
      </x:c>
      <x:c r="E1422" s="11" t="n">
        <x:f>IF($A1422="","",INDEX(Assumptions!$M$5:$M$11,WEEKDAY($A1422,2)))</x:f>
        <x:v>1.03</x:v>
      </x:c>
      <x:c r="F1422" s="11" t="n">
        <x:f>IF($A1422="","",Assumptions!$B$15)</x:f>
        <x:v>0.35</x:v>
      </x:c>
      <x:c r="G1422" s="11" t="n">
        <x:f>IF($A1422="","",MAX(INDEX(Assumptions!$H$5:$H$12,MATCH($B1422,Assumptions!$D$5:$D$12,0)),MIN(INDEX(Assumptions!$I$5:$I$12,MATCH($B1422,Assumptions!$D$5:$D$12,0)),($C1422+$D1422*SQRT(-2*LN(RAND()))*COS(2*PI()*RAND()))*$E1422*$J1422*$K1422)))</x:f>
        <x:v>1178.3183477653115</x:v>
      </x:c>
      <x:c r="H1422" s="11" t="n">
        <x:f>IF($A1422="","",$G1422*$F1422+$C1422*(1-$F1422))</x:f>
        <x:v>1140.411421717859</x:v>
      </x:c>
      <x:c r="I1422" s="11" t="n">
        <x:f>IF($A1422="","",AVERAGE($H1422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1119.4329811697446</x:v>
      </x:c>
      <x:c r="J1422" s="12" t="n">
        <x:f>IF($A1422="","",1+SUMIFS(Assumptions!$S$5:$S$10,Assumptions!$P$5:$P$10,$B1422,Assumptions!$Q$5:$Q$10,"&lt;="&amp;$A1422,Assumptions!$R$5:$R$10,"&gt;="&amp;$A1422))</x:f>
        <x:v>1</x:v>
      </x:c>
      <x:c r="K1422" s="12" t="n">
        <x:f>IF($A1422="","",1+((($A1422-Assumptions!$B$5)/30)*INDEX(Assumptions!$J$5:$J$12,MATCH($B1422,Assumptions!$D$5:$D$12,0))))</x:f>
        <x:v>1.0189333333333332</x:v>
      </x:c>
      <x:c r="L1422" t="str">
        <x:f>IF($A1422="","",IFERROR(INDEX(Assumptions!$O$5:$O$10,MATCH(1,(Assumptions!$P$5:$P$10=$B1422)*(Assumptions!$Q$5:$Q$10&lt;=$A1422)*(Assumptions!$R$5:$R$10&gt;=$A1422),0)),""))</x:f>
      </x:c>
      <x:c r="M1422" t="n">
        <x:f>--($A1422&lt;&gt;"")</x:f>
        <x:v>1</x:v>
      </x:c>
    </x:row>
    <x:row r="1423">
      <x:c r="A1423" s="10" t="n">
        <x:f>IF(Assumptions!$B$5+INT((ROW()-2)/Assumptions!$B$7)&gt;Assumptions!$B$6,"",Assumptions!$B$5+INT((ROW()-2)/Assumptions!$B$7))</x:f>
        <x:v>46307</x:v>
      </x:c>
      <x:c r="B1423" t="str">
        <x:f>IF($A1423="","",INDEX(Assumptions!$D$5:$D$12,MOD(ROW()-2,Assumptions!$B$7)+1))</x:f>
        <x:v>LV-426 North</x:v>
      </x:c>
      <x:c r="C1423" s="11" t="n">
        <x:f>IF($A1423="","",INDEX(Assumptions!$F$5:$F$12,MATCH($B1423,Assumptions!$D$5:$D$12,0)))</x:f>
        <x:v>930</x:v>
      </x:c>
      <x:c r="D1423" s="11" t="n">
        <x:f>IF($A1423="","",INDEX(Assumptions!$G$5:$G$12,MATCH($B1423,Assumptions!$D$5:$D$12,0)))</x:f>
        <x:v>95</x:v>
      </x:c>
      <x:c r="E1423" s="11" t="n">
        <x:f>IF($A1423="","",INDEX(Assumptions!$M$5:$M$11,WEEKDAY($A1423,2)))</x:f>
        <x:v>1.03</x:v>
      </x:c>
      <x:c r="F1423" s="11" t="n">
        <x:f>IF($A1423="","",Assumptions!$B$15)</x:f>
        <x:v>0.35</x:v>
      </x:c>
      <x:c r="G1423" s="11" t="n">
        <x:f>IF($A1423="","",MAX(INDEX(Assumptions!$H$5:$H$12,MATCH($B1423,Assumptions!$D$5:$D$12,0)),MIN(INDEX(Assumptions!$I$5:$I$12,MATCH($B1423,Assumptions!$D$5:$D$12,0)),($C1423+$D1423*SQRT(-2*LN(RAND()))*COS(2*PI()*RAND()))*$E1423*$J1423*$K1423)))</x:f>
        <x:v>802.9649838475991</x:v>
      </x:c>
      <x:c r="H1423" s="11" t="n">
        <x:f>IF($A1423="","",$G1423*$F1423+$C1423*(1-$F1423))</x:f>
        <x:v>885.5377443466597</x:v>
      </x:c>
      <x:c r="I1423" s="11" t="n">
        <x:f>IF($A1423="","",AVERAGE($H1423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893.9995786694401</x:v>
      </x:c>
      <x:c r="J1423" s="12" t="n">
        <x:f>IF($A1423="","",1+SUMIFS(Assumptions!$S$5:$S$10,Assumptions!$P$5:$P$10,$B1423,Assumptions!$Q$5:$Q$10,"&lt;="&amp;$A1423,Assumptions!$R$5:$R$10,"&gt;="&amp;$A1423))</x:f>
        <x:v>1</x:v>
      </x:c>
      <x:c r="K1423" s="12" t="n">
        <x:f>IF($A1423="","",1+((($A1423-Assumptions!$B$5)/30)*INDEX(Assumptions!$J$5:$J$12,MATCH($B1423,Assumptions!$D$5:$D$12,0))))</x:f>
        <x:v>0.9905333333333334</x:v>
      </x:c>
      <x:c r="L1423" t="str">
        <x:f>IF($A1423="","",IFERROR(INDEX(Assumptions!$O$5:$O$10,MATCH(1,(Assumptions!$P$5:$P$10=$B1423)*(Assumptions!$Q$5:$Q$10&lt;=$A1423)*(Assumptions!$R$5:$R$10&gt;=$A1423),0)),""))</x:f>
      </x:c>
      <x:c r="M1423" t="n">
        <x:f>--($A1423&lt;&gt;"")</x:f>
        <x:v>1</x:v>
      </x:c>
    </x:row>
    <x:row r="1424">
      <x:c r="A1424" s="10" t="n">
        <x:f>IF(Assumptions!$B$5+INT((ROW()-2)/Assumptions!$B$7)&gt;Assumptions!$B$6,"",Assumptions!$B$5+INT((ROW()-2)/Assumptions!$B$7))</x:f>
        <x:v>46307</x:v>
      </x:c>
      <x:c r="B1424" t="str">
        <x:f>IF($A1424="","",INDEX(Assumptions!$D$5:$D$12,MOD(ROW()-2,Assumptions!$B$7)+1))</x:f>
        <x:v>Nostromo Deep</x:v>
      </x:c>
      <x:c r="C1424" s="11" t="n">
        <x:f>IF($A1424="","",INDEX(Assumptions!$F$5:$F$12,MATCH($B1424,Assumptions!$D$5:$D$12,0)))</x:f>
        <x:v>1260</x:v>
      </x:c>
      <x:c r="D1424" s="11" t="n">
        <x:f>IF($A1424="","",INDEX(Assumptions!$G$5:$G$12,MATCH($B1424,Assumptions!$D$5:$D$12,0)))</x:f>
        <x:v>145</x:v>
      </x:c>
      <x:c r="E1424" s="11" t="n">
        <x:f>IF($A1424="","",INDEX(Assumptions!$M$5:$M$11,WEEKDAY($A1424,2)))</x:f>
        <x:v>1.03</x:v>
      </x:c>
      <x:c r="F1424" s="11" t="n">
        <x:f>IF($A1424="","",Assumptions!$B$15)</x:f>
        <x:v>0.35</x:v>
      </x:c>
      <x:c r="G1424" s="11" t="n">
        <x:f>IF($A1424="","",MAX(INDEX(Assumptions!$H$5:$H$12,MATCH($B1424,Assumptions!$D$5:$D$12,0)),MIN(INDEX(Assumptions!$I$5:$I$12,MATCH($B1424,Assumptions!$D$5:$D$12,0)),($C1424+$D1424*SQRT(-2*LN(RAND()))*COS(2*PI()*RAND()))*$E1424*$J1424*$K1424)))</x:f>
        <x:v>1322.104600265306</x:v>
      </x:c>
      <x:c r="H1424" s="11" t="n">
        <x:f>IF($A1424="","",$G1424*$F1424+$C1424*(1-$F1424))</x:f>
        <x:v>1281.736610092857</x:v>
      </x:c>
      <x:c r="I1424" s="11" t="n">
        <x:f>IF($A1424="","",AVERAGE($H1424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1259.3599451978505</x:v>
      </x:c>
      <x:c r="J1424" s="12" t="n">
        <x:f>IF($A1424="","",1+SUMIFS(Assumptions!$S$5:$S$10,Assumptions!$P$5:$P$10,$B1424,Assumptions!$Q$5:$Q$10,"&lt;="&amp;$A1424,Assumptions!$R$5:$R$10,"&gt;="&amp;$A1424))</x:f>
        <x:v>1</x:v>
      </x:c>
      <x:c r="K1424" s="12" t="n">
        <x:f>IF($A1424="","",1+((($A1424-Assumptions!$B$5)/30)*INDEX(Assumptions!$J$5:$J$12,MATCH($B1424,Assumptions!$D$5:$D$12,0))))</x:f>
        <x:v>1.0284</x:v>
      </x:c>
      <x:c r="L1424" t="str">
        <x:f>IF($A1424="","",IFERROR(INDEX(Assumptions!$O$5:$O$10,MATCH(1,(Assumptions!$P$5:$P$10=$B1424)*(Assumptions!$Q$5:$Q$10&lt;=$A1424)*(Assumptions!$R$5:$R$10&gt;=$A1424),0)),""))</x:f>
      </x:c>
      <x:c r="M1424" t="n">
        <x:f>--($A1424&lt;&gt;"")</x:f>
        <x:v>1</x:v>
      </x:c>
    </x:row>
    <x:row r="1425">
      <x:c r="A1425" s="10" t="n">
        <x:f>IF(Assumptions!$B$5+INT((ROW()-2)/Assumptions!$B$7)&gt;Assumptions!$B$6,"",Assumptions!$B$5+INT((ROW()-2)/Assumptions!$B$7))</x:f>
        <x:v>46307</x:v>
      </x:c>
      <x:c r="B1425" t="str">
        <x:f>IF($A1425="","",INDEX(Assumptions!$D$5:$D$12,MOD(ROW()-2,Assumptions!$B$7)+1))</x:f>
        <x:v>Hadley's Hope</x:v>
      </x:c>
      <x:c r="C1425" s="11" t="n">
        <x:f>IF($A1425="","",INDEX(Assumptions!$F$5:$F$12,MATCH($B1425,Assumptions!$D$5:$D$12,0)))</x:f>
        <x:v>845</x:v>
      </x:c>
      <x:c r="D1425" s="11" t="n">
        <x:f>IF($A1425="","",INDEX(Assumptions!$G$5:$G$12,MATCH($B1425,Assumptions!$D$5:$D$12,0)))</x:f>
        <x:v>80</x:v>
      </x:c>
      <x:c r="E1425" s="11" t="n">
        <x:f>IF($A1425="","",INDEX(Assumptions!$M$5:$M$11,WEEKDAY($A1425,2)))</x:f>
        <x:v>1.03</x:v>
      </x:c>
      <x:c r="F1425" s="11" t="n">
        <x:f>IF($A1425="","",Assumptions!$B$15)</x:f>
        <x:v>0.35</x:v>
      </x:c>
      <x:c r="G1425" s="11" t="n">
        <x:f>IF($A1425="","",MAX(INDEX(Assumptions!$H$5:$H$12,MATCH($B1425,Assumptions!$D$5:$D$12,0)),MIN(INDEX(Assumptions!$I$5:$I$12,MATCH($B1425,Assumptions!$D$5:$D$12,0)),($C1425+$D1425*SQRT(-2*LN(RAND()))*COS(2*PI()*RAND()))*$E1425*$J1425*$K1425)))</x:f>
        <x:v>772.1644605811058</x:v>
      </x:c>
      <x:c r="H1425" s="11" t="n">
        <x:f>IF($A1425="","",$G1425*$F1425+$C1425*(1-$F1425))</x:f>
        <x:v>819.507561203387</x:v>
      </x:c>
      <x:c r="I1425" s="11" t="n">
        <x:f>IF($A1425="","",AVERAGE($H1425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830.3461409098901</x:v>
      </x:c>
      <x:c r="J1425" s="12" t="n">
        <x:f>IF($A1425="","",1+SUMIFS(Assumptions!$S$5:$S$10,Assumptions!$P$5:$P$10,$B1425,Assumptions!$Q$5:$Q$10,"&lt;="&amp;$A1425,Assumptions!$R$5:$R$10,"&gt;="&amp;$A1425))</x:f>
        <x:v>1</x:v>
      </x:c>
      <x:c r="K1425" s="12" t="n">
        <x:f>IF($A1425="","",1+((($A1425-Assumptions!$B$5)/30)*INDEX(Assumptions!$J$5:$J$12,MATCH($B1425,Assumptions!$D$5:$D$12,0))))</x:f>
        <x:v>1.0094666666666667</x:v>
      </x:c>
      <x:c r="L1425" t="str">
        <x:f>IF($A1425="","",IFERROR(INDEX(Assumptions!$O$5:$O$10,MATCH(1,(Assumptions!$P$5:$P$10=$B1425)*(Assumptions!$Q$5:$Q$10&lt;=$A1425)*(Assumptions!$R$5:$R$10&gt;=$A1425),0)),""))</x:f>
      </x:c>
      <x:c r="M1425" t="n">
        <x:f>--($A1425&lt;&gt;"")</x:f>
        <x:v>1</x:v>
      </x:c>
    </x:row>
    <x:row r="1426">
      <x:c r="A1426" s="10" t="n">
        <x:f>IF(Assumptions!$B$5+INT((ROW()-2)/Assumptions!$B$7)&gt;Assumptions!$B$6,"",Assumptions!$B$5+INT((ROW()-2)/Assumptions!$B$7))</x:f>
        <x:v>46307</x:v>
      </x:c>
      <x:c r="B1426" t="str">
        <x:f>IF($A1426="","",INDEX(Assumptions!$D$5:$D$12,MOD(ROW()-2,Assumptions!$B$7)+1))</x:f>
        <x:v>Yutani Ridge</x:v>
      </x:c>
      <x:c r="C1426" s="11" t="n">
        <x:f>IF($A1426="","",INDEX(Assumptions!$F$5:$F$12,MATCH($B1426,Assumptions!$D$5:$D$12,0)))</x:f>
        <x:v>1050</x:v>
      </x:c>
      <x:c r="D1426" s="11" t="n">
        <x:f>IF($A1426="","",INDEX(Assumptions!$G$5:$G$12,MATCH($B1426,Assumptions!$D$5:$D$12,0)))</x:f>
        <x:v>125</x:v>
      </x:c>
      <x:c r="E1426" s="11" t="n">
        <x:f>IF($A1426="","",INDEX(Assumptions!$M$5:$M$11,WEEKDAY($A1426,2)))</x:f>
        <x:v>1.03</x:v>
      </x:c>
      <x:c r="F1426" s="11" t="n">
        <x:f>IF($A1426="","",Assumptions!$B$15)</x:f>
        <x:v>0.35</x:v>
      </x:c>
      <x:c r="G1426" s="11" t="n">
        <x:f>IF($A1426="","",MAX(INDEX(Assumptions!$H$5:$H$12,MATCH($B1426,Assumptions!$D$5:$D$12,0)),MIN(INDEX(Assumptions!$I$5:$I$12,MATCH($B1426,Assumptions!$D$5:$D$12,0)),($C1426+$D1426*SQRT(-2*LN(RAND()))*COS(2*PI()*RAND()))*$E1426*$J1426*$K1426)))</x:f>
        <x:v>1199.0394221950132</x:v>
      </x:c>
      <x:c r="H1426" s="11" t="n">
        <x:f>IF($A1426="","",$G1426*$F1426+$C1426*(1-$F1426))</x:f>
        <x:v>1102.1637977682547</x:v>
      </x:c>
      <x:c r="I1426" s="11" t="n">
        <x:f>IF($A1426="","",AVERAGE($H1426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1047.4125022393803</x:v>
      </x:c>
      <x:c r="J1426" s="12" t="n">
        <x:f>IF($A1426="","",1+SUMIFS(Assumptions!$S$5:$S$10,Assumptions!$P$5:$P$10,$B1426,Assumptions!$Q$5:$Q$10,"&lt;="&amp;$A1426,Assumptions!$R$5:$R$10,"&gt;="&amp;$A1426))</x:f>
        <x:v>1</x:v>
      </x:c>
      <x:c r="K1426" s="12" t="n">
        <x:f>IF($A1426="","",1+((($A1426-Assumptions!$B$5)/30)*INDEX(Assumptions!$J$5:$J$12,MATCH($B1426,Assumptions!$D$5:$D$12,0))))</x:f>
        <x:v>1.0236666666666667</x:v>
      </x:c>
      <x:c r="L1426" t="str">
        <x:f>IF($A1426="","",IFERROR(INDEX(Assumptions!$O$5:$O$10,MATCH(1,(Assumptions!$P$5:$P$10=$B1426)*(Assumptions!$Q$5:$Q$10&lt;=$A1426)*(Assumptions!$R$5:$R$10&gt;=$A1426),0)),""))</x:f>
      </x:c>
      <x:c r="M1426" t="n">
        <x:f>--($A1426&lt;&gt;"")</x:f>
        <x:v>1</x:v>
      </x:c>
    </x:row>
    <x:row r="1427">
      <x:c r="A1427" s="10" t="n">
        <x:f>IF(Assumptions!$B$5+INT((ROW()-2)/Assumptions!$B$7)&gt;Assumptions!$B$6,"",Assumptions!$B$5+INT((ROW()-2)/Assumptions!$B$7))</x:f>
        <x:v>46308</x:v>
      </x:c>
      <x:c r="B1427" t="str">
        <x:f>IF($A1427="","",INDEX(Assumptions!$D$5:$D$12,MOD(ROW()-2,Assumptions!$B$7)+1))</x:f>
        <x:v>Acheron Prime</x:v>
      </x:c>
      <x:c r="C1427" s="11" t="n">
        <x:f>IF($A1427="","",INDEX(Assumptions!$F$5:$F$12,MATCH($B1427,Assumptions!$D$5:$D$12,0)))</x:f>
        <x:v>1120</x:v>
      </x:c>
      <x:c r="D1427" s="11" t="n">
        <x:f>IF($A1427="","",INDEX(Assumptions!$G$5:$G$12,MATCH($B1427,Assumptions!$D$5:$D$12,0)))</x:f>
        <x:v>115</x:v>
      </x:c>
      <x:c r="E1427" s="11" t="n">
        <x:f>IF($A1427="","",INDEX(Assumptions!$M$5:$M$11,WEEKDAY($A1427,2)))</x:f>
        <x:v>1.02</x:v>
      </x:c>
      <x:c r="F1427" s="11" t="n">
        <x:f>IF($A1427="","",Assumptions!$B$15)</x:f>
        <x:v>0.35</x:v>
      </x:c>
      <x:c r="G1427" s="11" t="n">
        <x:f>IF($A1427="","",MAX(INDEX(Assumptions!$H$5:$H$12,MATCH($B1427,Assumptions!$D$5:$D$12,0)),MIN(INDEX(Assumptions!$I$5:$I$12,MATCH($B1427,Assumptions!$D$5:$D$12,0)),($C1427+$D1427*SQRT(-2*LN(RAND()))*COS(2*PI()*RAND()))*$E1427*$J1427*$K1427)))</x:f>
        <x:v>1058.297041135818</x:v>
      </x:c>
      <x:c r="H1427" s="11" t="n">
        <x:f>IF($A1427="","",$G1427*$F1427+$C1427*(1-$F1427))</x:f>
        <x:v>1098.4039643975364</x:v>
      </x:c>
      <x:c r="I1427" s="11" t="n">
        <x:f>IF($A1427="","",AVERAGE($H1427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1115.2795815970665</x:v>
      </x:c>
      <x:c r="J1427" s="12" t="n">
        <x:f>IF($A1427="","",1+SUMIFS(Assumptions!$S$5:$S$10,Assumptions!$P$5:$P$10,$B1427,Assumptions!$Q$5:$Q$10,"&lt;="&amp;$A1427,Assumptions!$R$5:$R$10,"&gt;="&amp;$A1427))</x:f>
        <x:v>1</x:v>
      </x:c>
      <x:c r="K1427" s="12" t="n">
        <x:f>IF($A1427="","",1+((($A1427-Assumptions!$B$5)/30)*INDEX(Assumptions!$J$5:$J$12,MATCH($B1427,Assumptions!$D$5:$D$12,0))))</x:f>
        <x:v>1.019</x:v>
      </x:c>
      <x:c r="L1427" t="str">
        <x:f>IF($A1427="","",IFERROR(INDEX(Assumptions!$O$5:$O$10,MATCH(1,(Assumptions!$P$5:$P$10=$B1427)*(Assumptions!$Q$5:$Q$10&lt;=$A1427)*(Assumptions!$R$5:$R$10&gt;=$A1427),0)),""))</x:f>
      </x:c>
      <x:c r="M1427" t="n">
        <x:f>--($A1427&lt;&gt;"")</x:f>
        <x:v>1</x:v>
      </x:c>
    </x:row>
    <x:row r="1428">
      <x:c r="A1428" s="10" t="n">
        <x:f>IF(Assumptions!$B$5+INT((ROW()-2)/Assumptions!$B$7)&gt;Assumptions!$B$6,"",Assumptions!$B$5+INT((ROW()-2)/Assumptions!$B$7))</x:f>
        <x:v>46308</x:v>
      </x:c>
      <x:c r="B1428" t="str">
        <x:f>IF($A1428="","",INDEX(Assumptions!$D$5:$D$12,MOD(ROW()-2,Assumptions!$B$7)+1))</x:f>
        <x:v>LV-426 North</x:v>
      </x:c>
      <x:c r="C1428" s="11" t="n">
        <x:f>IF($A1428="","",INDEX(Assumptions!$F$5:$F$12,MATCH($B1428,Assumptions!$D$5:$D$12,0)))</x:f>
        <x:v>930</x:v>
      </x:c>
      <x:c r="D1428" s="11" t="n">
        <x:f>IF($A1428="","",INDEX(Assumptions!$G$5:$G$12,MATCH($B1428,Assumptions!$D$5:$D$12,0)))</x:f>
        <x:v>95</x:v>
      </x:c>
      <x:c r="E1428" s="11" t="n">
        <x:f>IF($A1428="","",INDEX(Assumptions!$M$5:$M$11,WEEKDAY($A1428,2)))</x:f>
        <x:v>1.02</x:v>
      </x:c>
      <x:c r="F1428" s="11" t="n">
        <x:f>IF($A1428="","",Assumptions!$B$15)</x:f>
        <x:v>0.35</x:v>
      </x:c>
      <x:c r="G1428" s="11" t="n">
        <x:f>IF($A1428="","",MAX(INDEX(Assumptions!$H$5:$H$12,MATCH($B1428,Assumptions!$D$5:$D$12,0)),MIN(INDEX(Assumptions!$I$5:$I$12,MATCH($B1428,Assumptions!$D$5:$D$12,0)),($C1428+$D1428*SQRT(-2*LN(RAND()))*COS(2*PI()*RAND()))*$E1428*$J1428*$K1428)))</x:f>
        <x:v>1145.2339873238925</x:v>
      </x:c>
      <x:c r="H1428" s="11" t="n">
        <x:f>IF($A1428="","",$G1428*$F1428+$C1428*(1-$F1428))</x:f>
        <x:v>1005.3318955633624</x:v>
      </x:c>
      <x:c r="I1428" s="11" t="n">
        <x:f>IF($A1428="","",AVERAGE($H1428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910.2252450119403</x:v>
      </x:c>
      <x:c r="J1428" s="12" t="n">
        <x:f>IF($A1428="","",1+SUMIFS(Assumptions!$S$5:$S$10,Assumptions!$P$5:$P$10,$B1428,Assumptions!$Q$5:$Q$10,"&lt;="&amp;$A1428,Assumptions!$R$5:$R$10,"&gt;="&amp;$A1428))</x:f>
        <x:v>1</x:v>
      </x:c>
      <x:c r="K1428" s="12" t="n">
        <x:f>IF($A1428="","",1+((($A1428-Assumptions!$B$5)/30)*INDEX(Assumptions!$J$5:$J$12,MATCH($B1428,Assumptions!$D$5:$D$12,0))))</x:f>
        <x:v>0.9905</x:v>
      </x:c>
      <x:c r="L1428" t="str">
        <x:f>IF($A1428="","",IFERROR(INDEX(Assumptions!$O$5:$O$10,MATCH(1,(Assumptions!$P$5:$P$10=$B1428)*(Assumptions!$Q$5:$Q$10&lt;=$A1428)*(Assumptions!$R$5:$R$10&gt;=$A1428),0)),""))</x:f>
      </x:c>
      <x:c r="M1428" t="n">
        <x:f>--($A1428&lt;&gt;"")</x:f>
        <x:v>1</x:v>
      </x:c>
    </x:row>
    <x:row r="1429">
      <x:c r="A1429" s="10" t="n">
        <x:f>IF(Assumptions!$B$5+INT((ROW()-2)/Assumptions!$B$7)&gt;Assumptions!$B$6,"",Assumptions!$B$5+INT((ROW()-2)/Assumptions!$B$7))</x:f>
        <x:v>46308</x:v>
      </x:c>
      <x:c r="B1429" t="str">
        <x:f>IF($A1429="","",INDEX(Assumptions!$D$5:$D$12,MOD(ROW()-2,Assumptions!$B$7)+1))</x:f>
        <x:v>Nostromo Deep</x:v>
      </x:c>
      <x:c r="C1429" s="11" t="n">
        <x:f>IF($A1429="","",INDEX(Assumptions!$F$5:$F$12,MATCH($B1429,Assumptions!$D$5:$D$12,0)))</x:f>
        <x:v>1260</x:v>
      </x:c>
      <x:c r="D1429" s="11" t="n">
        <x:f>IF($A1429="","",INDEX(Assumptions!$G$5:$G$12,MATCH($B1429,Assumptions!$D$5:$D$12,0)))</x:f>
        <x:v>145</x:v>
      </x:c>
      <x:c r="E1429" s="11" t="n">
        <x:f>IF($A1429="","",INDEX(Assumptions!$M$5:$M$11,WEEKDAY($A1429,2)))</x:f>
        <x:v>1.02</x:v>
      </x:c>
      <x:c r="F1429" s="11" t="n">
        <x:f>IF($A1429="","",Assumptions!$B$15)</x:f>
        <x:v>0.35</x:v>
      </x:c>
      <x:c r="G1429" s="11" t="n">
        <x:f>IF($A1429="","",MAX(INDEX(Assumptions!$H$5:$H$12,MATCH($B1429,Assumptions!$D$5:$D$12,0)),MIN(INDEX(Assumptions!$I$5:$I$12,MATCH($B1429,Assumptions!$D$5:$D$12,0)),($C1429+$D1429*SQRT(-2*LN(RAND()))*COS(2*PI()*RAND()))*$E1429*$J1429*$K1429)))</x:f>
        <x:v>1219.9941745328008</x:v>
      </x:c>
      <x:c r="H1429" s="11" t="n">
        <x:f>IF($A1429="","",$G1429*$F1429+$C1429*(1-$F1429))</x:f>
        <x:v>1245.9979610864802</x:v>
      </x:c>
      <x:c r="I1429" s="11" t="n">
        <x:f>IF($A1429="","",AVERAGE($H1429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1253.7831643285244</x:v>
      </x:c>
      <x:c r="J1429" s="12" t="n">
        <x:f>IF($A1429="","",1+SUMIFS(Assumptions!$S$5:$S$10,Assumptions!$P$5:$P$10,$B1429,Assumptions!$Q$5:$Q$10,"&lt;="&amp;$A1429,Assumptions!$R$5:$R$10,"&gt;="&amp;$A1429))</x:f>
        <x:v>1</x:v>
      </x:c>
      <x:c r="K1429" s="12" t="n">
        <x:f>IF($A1429="","",1+((($A1429-Assumptions!$B$5)/30)*INDEX(Assumptions!$J$5:$J$12,MATCH($B1429,Assumptions!$D$5:$D$12,0))))</x:f>
        <x:v>1.0285</x:v>
      </x:c>
      <x:c r="L1429" t="str">
        <x:f>IF($A1429="","",IFERROR(INDEX(Assumptions!$O$5:$O$10,MATCH(1,(Assumptions!$P$5:$P$10=$B1429)*(Assumptions!$Q$5:$Q$10&lt;=$A1429)*(Assumptions!$R$5:$R$10&gt;=$A1429),0)),""))</x:f>
      </x:c>
      <x:c r="M1429" t="n">
        <x:f>--($A1429&lt;&gt;"")</x:f>
        <x:v>1</x:v>
      </x:c>
    </x:row>
    <x:row r="1430">
      <x:c r="A1430" s="10" t="n">
        <x:f>IF(Assumptions!$B$5+INT((ROW()-2)/Assumptions!$B$7)&gt;Assumptions!$B$6,"",Assumptions!$B$5+INT((ROW()-2)/Assumptions!$B$7))</x:f>
        <x:v>46308</x:v>
      </x:c>
      <x:c r="B1430" t="str">
        <x:f>IF($A1430="","",INDEX(Assumptions!$D$5:$D$12,MOD(ROW()-2,Assumptions!$B$7)+1))</x:f>
        <x:v>Hadley's Hope</x:v>
      </x:c>
      <x:c r="C1430" s="11" t="n">
        <x:f>IF($A1430="","",INDEX(Assumptions!$F$5:$F$12,MATCH($B1430,Assumptions!$D$5:$D$12,0)))</x:f>
        <x:v>845</x:v>
      </x:c>
      <x:c r="D1430" s="11" t="n">
        <x:f>IF($A1430="","",INDEX(Assumptions!$G$5:$G$12,MATCH($B1430,Assumptions!$D$5:$D$12,0)))</x:f>
        <x:v>80</x:v>
      </x:c>
      <x:c r="E1430" s="11" t="n">
        <x:f>IF($A1430="","",INDEX(Assumptions!$M$5:$M$11,WEEKDAY($A1430,2)))</x:f>
        <x:v>1.02</x:v>
      </x:c>
      <x:c r="F1430" s="11" t="n">
        <x:f>IF($A1430="","",Assumptions!$B$15)</x:f>
        <x:v>0.35</x:v>
      </x:c>
      <x:c r="G1430" s="11" t="n">
        <x:f>IF($A1430="","",MAX(INDEX(Assumptions!$H$5:$H$12,MATCH($B1430,Assumptions!$D$5:$D$12,0)),MIN(INDEX(Assumptions!$I$5:$I$12,MATCH($B1430,Assumptions!$D$5:$D$12,0)),($C1430+$D1430*SQRT(-2*LN(RAND()))*COS(2*PI()*RAND()))*$E1430*$J1430*$K1430)))</x:f>
        <x:v>802.1987437542477</x:v>
      </x:c>
      <x:c r="H1430" s="11" t="n">
        <x:f>IF($A1430="","",$G1430*$F1430+$C1430*(1-$F1430))</x:f>
        <x:v>830.0195603139866</x:v>
      </x:c>
      <x:c r="I1430" s="11" t="n">
        <x:f>IF($A1430="","",AVERAGE($H1430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832.8633366012748</x:v>
      </x:c>
      <x:c r="J1430" s="12" t="n">
        <x:f>IF($A1430="","",1+SUMIFS(Assumptions!$S$5:$S$10,Assumptions!$P$5:$P$10,$B1430,Assumptions!$Q$5:$Q$10,"&lt;="&amp;$A1430,Assumptions!$R$5:$R$10,"&gt;="&amp;$A1430))</x:f>
        <x:v>1</x:v>
      </x:c>
      <x:c r="K1430" s="12" t="n">
        <x:f>IF($A1430="","",1+((($A1430-Assumptions!$B$5)/30)*INDEX(Assumptions!$J$5:$J$12,MATCH($B1430,Assumptions!$D$5:$D$12,0))))</x:f>
        <x:v>1.0095</x:v>
      </x:c>
      <x:c r="L1430" t="str">
        <x:f>IF($A1430="","",IFERROR(INDEX(Assumptions!$O$5:$O$10,MATCH(1,(Assumptions!$P$5:$P$10=$B1430)*(Assumptions!$Q$5:$Q$10&lt;=$A1430)*(Assumptions!$R$5:$R$10&gt;=$A1430),0)),""))</x:f>
      </x:c>
      <x:c r="M1430" t="n">
        <x:f>--($A1430&lt;&gt;"")</x:f>
        <x:v>1</x:v>
      </x:c>
    </x:row>
    <x:row r="1431">
      <x:c r="A1431" s="10" t="n">
        <x:f>IF(Assumptions!$B$5+INT((ROW()-2)/Assumptions!$B$7)&gt;Assumptions!$B$6,"",Assumptions!$B$5+INT((ROW()-2)/Assumptions!$B$7))</x:f>
        <x:v>46308</x:v>
      </x:c>
      <x:c r="B1431" t="str">
        <x:f>IF($A1431="","",INDEX(Assumptions!$D$5:$D$12,MOD(ROW()-2,Assumptions!$B$7)+1))</x:f>
        <x:v>Yutani Ridge</x:v>
      </x:c>
      <x:c r="C1431" s="11" t="n">
        <x:f>IF($A1431="","",INDEX(Assumptions!$F$5:$F$12,MATCH($B1431,Assumptions!$D$5:$D$12,0)))</x:f>
        <x:v>1050</x:v>
      </x:c>
      <x:c r="D1431" s="11" t="n">
        <x:f>IF($A1431="","",INDEX(Assumptions!$G$5:$G$12,MATCH($B1431,Assumptions!$D$5:$D$12,0)))</x:f>
        <x:v>125</x:v>
      </x:c>
      <x:c r="E1431" s="11" t="n">
        <x:f>IF($A1431="","",INDEX(Assumptions!$M$5:$M$11,WEEKDAY($A1431,2)))</x:f>
        <x:v>1.02</x:v>
      </x:c>
      <x:c r="F1431" s="11" t="n">
        <x:f>IF($A1431="","",Assumptions!$B$15)</x:f>
        <x:v>0.35</x:v>
      </x:c>
      <x:c r="G1431" s="11" t="n">
        <x:f>IF($A1431="","",MAX(INDEX(Assumptions!$H$5:$H$12,MATCH($B1431,Assumptions!$D$5:$D$12,0)),MIN(INDEX(Assumptions!$I$5:$I$12,MATCH($B1431,Assumptions!$D$5:$D$12,0)),($C1431+$D1431*SQRT(-2*LN(RAND()))*COS(2*PI()*RAND()))*$E1431*$J1431*$K1431)))</x:f>
        <x:v>1335.6457964641263</x:v>
      </x:c>
      <x:c r="H1431" s="11" t="n">
        <x:f>IF($A1431="","",$G1431*$F1431+$C1431*(1-$F1431))</x:f>
        <x:v>1149.9760287624442</x:v>
      </x:c>
      <x:c r="I1431" s="11" t="n">
        <x:f>IF($A1431="","",AVERAGE($H1431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1061.3977567334148</x:v>
      </x:c>
      <x:c r="J1431" s="12" t="n">
        <x:f>IF($A1431="","",1+SUMIFS(Assumptions!$S$5:$S$10,Assumptions!$P$5:$P$10,$B1431,Assumptions!$Q$5:$Q$10,"&lt;="&amp;$A1431,Assumptions!$R$5:$R$10,"&gt;="&amp;$A1431))</x:f>
        <x:v>1</x:v>
      </x:c>
      <x:c r="K1431" s="12" t="n">
        <x:f>IF($A1431="","",1+((($A1431-Assumptions!$B$5)/30)*INDEX(Assumptions!$J$5:$J$12,MATCH($B1431,Assumptions!$D$5:$D$12,0))))</x:f>
        <x:v>1.02375</x:v>
      </x:c>
      <x:c r="L1431" t="str">
        <x:f>IF($A1431="","",IFERROR(INDEX(Assumptions!$O$5:$O$10,MATCH(1,(Assumptions!$P$5:$P$10=$B1431)*(Assumptions!$Q$5:$Q$10&lt;=$A1431)*(Assumptions!$R$5:$R$10&gt;=$A1431),0)),""))</x:f>
      </x:c>
      <x:c r="M1431" t="n">
        <x:f>--($A1431&lt;&gt;"")</x:f>
        <x:v>1</x:v>
      </x:c>
    </x:row>
    <x:row r="1432">
      <x:c r="A1432" s="10" t="n">
        <x:f>IF(Assumptions!$B$5+INT((ROW()-2)/Assumptions!$B$7)&gt;Assumptions!$B$6,"",Assumptions!$B$5+INT((ROW()-2)/Assumptions!$B$7))</x:f>
        <x:v>46309</x:v>
      </x:c>
      <x:c r="B1432" t="str">
        <x:f>IF($A1432="","",INDEX(Assumptions!$D$5:$D$12,MOD(ROW()-2,Assumptions!$B$7)+1))</x:f>
        <x:v>Acheron Prime</x:v>
      </x:c>
      <x:c r="C1432" s="11" t="n">
        <x:f>IF($A1432="","",INDEX(Assumptions!$F$5:$F$12,MATCH($B1432,Assumptions!$D$5:$D$12,0)))</x:f>
        <x:v>1120</x:v>
      </x:c>
      <x:c r="D1432" s="11" t="n">
        <x:f>IF($A1432="","",INDEX(Assumptions!$G$5:$G$12,MATCH($B1432,Assumptions!$D$5:$D$12,0)))</x:f>
        <x:v>115</x:v>
      </x:c>
      <x:c r="E1432" s="11" t="n">
        <x:f>IF($A1432="","",INDEX(Assumptions!$M$5:$M$11,WEEKDAY($A1432,2)))</x:f>
        <x:v>1.01</x:v>
      </x:c>
      <x:c r="F1432" s="11" t="n">
        <x:f>IF($A1432="","",Assumptions!$B$15)</x:f>
        <x:v>0.35</x:v>
      </x:c>
      <x:c r="G1432" s="11" t="n">
        <x:f>IF($A1432="","",MAX(INDEX(Assumptions!$H$5:$H$12,MATCH($B1432,Assumptions!$D$5:$D$12,0)),MIN(INDEX(Assumptions!$I$5:$I$12,MATCH($B1432,Assumptions!$D$5:$D$12,0)),($C1432+$D1432*SQRT(-2*LN(RAND()))*COS(2*PI()*RAND()))*$E1432*$J1432*$K1432)))</x:f>
        <x:v>1097.3600275745844</x:v>
      </x:c>
      <x:c r="H1432" s="11" t="n">
        <x:f>IF($A1432="","",$G1432*$F1432+$C1432*(1-$F1432))</x:f>
        <x:v>1112.0760096511044</x:v>
      </x:c>
      <x:c r="I1432" s="11" t="n">
        <x:f>IF($A1432="","",AVERAGE($H1432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1112.3501968509204</x:v>
      </x:c>
      <x:c r="J1432" s="12" t="n">
        <x:f>IF($A1432="","",1+SUMIFS(Assumptions!$S$5:$S$10,Assumptions!$P$5:$P$10,$B1432,Assumptions!$Q$5:$Q$10,"&lt;="&amp;$A1432,Assumptions!$R$5:$R$10,"&gt;="&amp;$A1432))</x:f>
        <x:v>1</x:v>
      </x:c>
      <x:c r="K1432" s="12" t="n">
        <x:f>IF($A1432="","",1+((($A1432-Assumptions!$B$5)/30)*INDEX(Assumptions!$J$5:$J$12,MATCH($B1432,Assumptions!$D$5:$D$12,0))))</x:f>
        <x:v>1.0190666666666666</x:v>
      </x:c>
      <x:c r="L1432" t="str">
        <x:f>IF($A1432="","",IFERROR(INDEX(Assumptions!$O$5:$O$10,MATCH(1,(Assumptions!$P$5:$P$10=$B1432)*(Assumptions!$Q$5:$Q$10&lt;=$A1432)*(Assumptions!$R$5:$R$10&gt;=$A1432),0)),""))</x:f>
      </x:c>
      <x:c r="M1432" t="n">
        <x:f>--($A1432&lt;&gt;"")</x:f>
        <x:v>1</x:v>
      </x:c>
    </x:row>
    <x:row r="1433">
      <x:c r="A1433" s="10" t="n">
        <x:f>IF(Assumptions!$B$5+INT((ROW()-2)/Assumptions!$B$7)&gt;Assumptions!$B$6,"",Assumptions!$B$5+INT((ROW()-2)/Assumptions!$B$7))</x:f>
        <x:v>46309</x:v>
      </x:c>
      <x:c r="B1433" t="str">
        <x:f>IF($A1433="","",INDEX(Assumptions!$D$5:$D$12,MOD(ROW()-2,Assumptions!$B$7)+1))</x:f>
        <x:v>LV-426 North</x:v>
      </x:c>
      <x:c r="C1433" s="11" t="n">
        <x:f>IF($A1433="","",INDEX(Assumptions!$F$5:$F$12,MATCH($B1433,Assumptions!$D$5:$D$12,0)))</x:f>
        <x:v>930</x:v>
      </x:c>
      <x:c r="D1433" s="11" t="n">
        <x:f>IF($A1433="","",INDEX(Assumptions!$G$5:$G$12,MATCH($B1433,Assumptions!$D$5:$D$12,0)))</x:f>
        <x:v>95</x:v>
      </x:c>
      <x:c r="E1433" s="11" t="n">
        <x:f>IF($A1433="","",INDEX(Assumptions!$M$5:$M$11,WEEKDAY($A1433,2)))</x:f>
        <x:v>1.01</x:v>
      </x:c>
      <x:c r="F1433" s="11" t="n">
        <x:f>IF($A1433="","",Assumptions!$B$15)</x:f>
        <x:v>0.35</x:v>
      </x:c>
      <x:c r="G1433" s="11" t="n">
        <x:f>IF($A1433="","",MAX(INDEX(Assumptions!$H$5:$H$12,MATCH($B1433,Assumptions!$D$5:$D$12,0)),MIN(INDEX(Assumptions!$I$5:$I$12,MATCH($B1433,Assumptions!$D$5:$D$12,0)),($C1433+$D1433*SQRT(-2*LN(RAND()))*COS(2*PI()*RAND()))*$E1433*$J1433*$K1433)))</x:f>
        <x:v>1007.2222380194199</x:v>
      </x:c>
      <x:c r="H1433" s="11" t="n">
        <x:f>IF($A1433="","",$G1433*$F1433+$C1433*(1-$F1433))</x:f>
        <x:v>957.0277833067969</x:v>
      </x:c>
      <x:c r="I1433" s="11" t="n">
        <x:f>IF($A1433="","",AVERAGE($H1433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919.1541392385465</x:v>
      </x:c>
      <x:c r="J1433" s="12" t="n">
        <x:f>IF($A1433="","",1+SUMIFS(Assumptions!$S$5:$S$10,Assumptions!$P$5:$P$10,$B1433,Assumptions!$Q$5:$Q$10,"&lt;="&amp;$A1433,Assumptions!$R$5:$R$10,"&gt;="&amp;$A1433))</x:f>
        <x:v>1</x:v>
      </x:c>
      <x:c r="K1433" s="12" t="n">
        <x:f>IF($A1433="","",1+((($A1433-Assumptions!$B$5)/30)*INDEX(Assumptions!$J$5:$J$12,MATCH($B1433,Assumptions!$D$5:$D$12,0))))</x:f>
        <x:v>0.9904666666666667</x:v>
      </x:c>
      <x:c r="L1433" t="str">
        <x:f>IF($A1433="","",IFERROR(INDEX(Assumptions!$O$5:$O$10,MATCH(1,(Assumptions!$P$5:$P$10=$B1433)*(Assumptions!$Q$5:$Q$10&lt;=$A1433)*(Assumptions!$R$5:$R$10&gt;=$A1433),0)),""))</x:f>
      </x:c>
      <x:c r="M1433" t="n">
        <x:f>--($A1433&lt;&gt;"")</x:f>
        <x:v>1</x:v>
      </x:c>
    </x:row>
    <x:row r="1434">
      <x:c r="A1434" s="10" t="n">
        <x:f>IF(Assumptions!$B$5+INT((ROW()-2)/Assumptions!$B$7)&gt;Assumptions!$B$6,"",Assumptions!$B$5+INT((ROW()-2)/Assumptions!$B$7))</x:f>
        <x:v>46309</x:v>
      </x:c>
      <x:c r="B1434" t="str">
        <x:f>IF($A1434="","",INDEX(Assumptions!$D$5:$D$12,MOD(ROW()-2,Assumptions!$B$7)+1))</x:f>
        <x:v>Nostromo Deep</x:v>
      </x:c>
      <x:c r="C1434" s="11" t="n">
        <x:f>IF($A1434="","",INDEX(Assumptions!$F$5:$F$12,MATCH($B1434,Assumptions!$D$5:$D$12,0)))</x:f>
        <x:v>1260</x:v>
      </x:c>
      <x:c r="D1434" s="11" t="n">
        <x:f>IF($A1434="","",INDEX(Assumptions!$G$5:$G$12,MATCH($B1434,Assumptions!$D$5:$D$12,0)))</x:f>
        <x:v>145</x:v>
      </x:c>
      <x:c r="E1434" s="11" t="n">
        <x:f>IF($A1434="","",INDEX(Assumptions!$M$5:$M$11,WEEKDAY($A1434,2)))</x:f>
        <x:v>1.01</x:v>
      </x:c>
      <x:c r="F1434" s="11" t="n">
        <x:f>IF($A1434="","",Assumptions!$B$15)</x:f>
        <x:v>0.35</x:v>
      </x:c>
      <x:c r="G1434" s="11" t="n">
        <x:f>IF($A1434="","",MAX(INDEX(Assumptions!$H$5:$H$12,MATCH($B1434,Assumptions!$D$5:$D$12,0)),MIN(INDEX(Assumptions!$I$5:$I$12,MATCH($B1434,Assumptions!$D$5:$D$12,0)),($C1434+$D1434*SQRT(-2*LN(RAND()))*COS(2*PI()*RAND()))*$E1434*$J1434*$K1434)))</x:f>
        <x:v>1348.7369325426694</x:v>
      </x:c>
      <x:c r="H1434" s="11" t="n">
        <x:f>IF($A1434="","",$G1434*$F1434+$C1434*(1-$F1434))</x:f>
        <x:v>1291.0579263899342</x:v>
      </x:c>
      <x:c r="I1434" s="11" t="n">
        <x:f>IF($A1434="","",AVERAGE($H1434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1262.5733180891164</x:v>
      </x:c>
      <x:c r="J1434" s="12" t="n">
        <x:f>IF($A1434="","",1+SUMIFS(Assumptions!$S$5:$S$10,Assumptions!$P$5:$P$10,$B1434,Assumptions!$Q$5:$Q$10,"&lt;="&amp;$A1434,Assumptions!$R$5:$R$10,"&gt;="&amp;$A1434))</x:f>
        <x:v>1</x:v>
      </x:c>
      <x:c r="K1434" s="12" t="n">
        <x:f>IF($A1434="","",1+((($A1434-Assumptions!$B$5)/30)*INDEX(Assumptions!$J$5:$J$12,MATCH($B1434,Assumptions!$D$5:$D$12,0))))</x:f>
        <x:v>1.0286</x:v>
      </x:c>
      <x:c r="L1434" t="str">
        <x:f>IF($A1434="","",IFERROR(INDEX(Assumptions!$O$5:$O$10,MATCH(1,(Assumptions!$P$5:$P$10=$B1434)*(Assumptions!$Q$5:$Q$10&lt;=$A1434)*(Assumptions!$R$5:$R$10&gt;=$A1434),0)),""))</x:f>
      </x:c>
      <x:c r="M1434" t="n">
        <x:f>--($A1434&lt;&gt;"")</x:f>
        <x:v>1</x:v>
      </x:c>
    </x:row>
    <x:row r="1435">
      <x:c r="A1435" s="10" t="n">
        <x:f>IF(Assumptions!$B$5+INT((ROW()-2)/Assumptions!$B$7)&gt;Assumptions!$B$6,"",Assumptions!$B$5+INT((ROW()-2)/Assumptions!$B$7))</x:f>
        <x:v>46309</x:v>
      </x:c>
      <x:c r="B1435" t="str">
        <x:f>IF($A1435="","",INDEX(Assumptions!$D$5:$D$12,MOD(ROW()-2,Assumptions!$B$7)+1))</x:f>
        <x:v>Hadley's Hope</x:v>
      </x:c>
      <x:c r="C1435" s="11" t="n">
        <x:f>IF($A1435="","",INDEX(Assumptions!$F$5:$F$12,MATCH($B1435,Assumptions!$D$5:$D$12,0)))</x:f>
        <x:v>845</x:v>
      </x:c>
      <x:c r="D1435" s="11" t="n">
        <x:f>IF($A1435="","",INDEX(Assumptions!$G$5:$G$12,MATCH($B1435,Assumptions!$D$5:$D$12,0)))</x:f>
        <x:v>80</x:v>
      </x:c>
      <x:c r="E1435" s="11" t="n">
        <x:f>IF($A1435="","",INDEX(Assumptions!$M$5:$M$11,WEEKDAY($A1435,2)))</x:f>
        <x:v>1.01</x:v>
      </x:c>
      <x:c r="F1435" s="11" t="n">
        <x:f>IF($A1435="","",Assumptions!$B$15)</x:f>
        <x:v>0.35</x:v>
      </x:c>
      <x:c r="G1435" s="11" t="n">
        <x:f>IF($A1435="","",MAX(INDEX(Assumptions!$H$5:$H$12,MATCH($B1435,Assumptions!$D$5:$D$12,0)),MIN(INDEX(Assumptions!$I$5:$I$12,MATCH($B1435,Assumptions!$D$5:$D$12,0)),($C1435+$D1435*SQRT(-2*LN(RAND()))*COS(2*PI()*RAND()))*$E1435*$J1435*$K1435)))</x:f>
        <x:v>755.3751201259033</x:v>
      </x:c>
      <x:c r="H1435" s="11" t="n">
        <x:f>IF($A1435="","",$G1435*$F1435+$C1435*(1-$F1435))</x:f>
        <x:v>813.6312920440662</x:v>
      </x:c>
      <x:c r="I1435" s="11" t="n">
        <x:f>IF($A1435="","",AVERAGE($H1435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825.8868614914848</x:v>
      </x:c>
      <x:c r="J1435" s="12" t="n">
        <x:f>IF($A1435="","",1+SUMIFS(Assumptions!$S$5:$S$10,Assumptions!$P$5:$P$10,$B1435,Assumptions!$Q$5:$Q$10,"&lt;="&amp;$A1435,Assumptions!$R$5:$R$10,"&gt;="&amp;$A1435))</x:f>
        <x:v>1</x:v>
      </x:c>
      <x:c r="K1435" s="12" t="n">
        <x:f>IF($A1435="","",1+((($A1435-Assumptions!$B$5)/30)*INDEX(Assumptions!$J$5:$J$12,MATCH($B1435,Assumptions!$D$5:$D$12,0))))</x:f>
        <x:v>1.0095333333333334</x:v>
      </x:c>
      <x:c r="L1435" t="str">
        <x:f>IF($A1435="","",IFERROR(INDEX(Assumptions!$O$5:$O$10,MATCH(1,(Assumptions!$P$5:$P$10=$B1435)*(Assumptions!$Q$5:$Q$10&lt;=$A1435)*(Assumptions!$R$5:$R$10&gt;=$A1435),0)),""))</x:f>
      </x:c>
      <x:c r="M1435" t="n">
        <x:f>--($A1435&lt;&gt;"")</x:f>
        <x:v>1</x:v>
      </x:c>
    </x:row>
    <x:row r="1436">
      <x:c r="A1436" s="10" t="n">
        <x:f>IF(Assumptions!$B$5+INT((ROW()-2)/Assumptions!$B$7)&gt;Assumptions!$B$6,"",Assumptions!$B$5+INT((ROW()-2)/Assumptions!$B$7))</x:f>
        <x:v>46309</x:v>
      </x:c>
      <x:c r="B1436" t="str">
        <x:f>IF($A1436="","",INDEX(Assumptions!$D$5:$D$12,MOD(ROW()-2,Assumptions!$B$7)+1))</x:f>
        <x:v>Yutani Ridge</x:v>
      </x:c>
      <x:c r="C1436" s="11" t="n">
        <x:f>IF($A1436="","",INDEX(Assumptions!$F$5:$F$12,MATCH($B1436,Assumptions!$D$5:$D$12,0)))</x:f>
        <x:v>1050</x:v>
      </x:c>
      <x:c r="D1436" s="11" t="n">
        <x:f>IF($A1436="","",INDEX(Assumptions!$G$5:$G$12,MATCH($B1436,Assumptions!$D$5:$D$12,0)))</x:f>
        <x:v>125</x:v>
      </x:c>
      <x:c r="E1436" s="11" t="n">
        <x:f>IF($A1436="","",INDEX(Assumptions!$M$5:$M$11,WEEKDAY($A1436,2)))</x:f>
        <x:v>1.01</x:v>
      </x:c>
      <x:c r="F1436" s="11" t="n">
        <x:f>IF($A1436="","",Assumptions!$B$15)</x:f>
        <x:v>0.35</x:v>
      </x:c>
      <x:c r="G1436" s="11" t="n">
        <x:f>IF($A1436="","",MAX(INDEX(Assumptions!$H$5:$H$12,MATCH($B1436,Assumptions!$D$5:$D$12,0)),MIN(INDEX(Assumptions!$I$5:$I$12,MATCH($B1436,Assumptions!$D$5:$D$12,0)),($C1436+$D1436*SQRT(-2*LN(RAND()))*COS(2*PI()*RAND()))*$E1436*$J1436*$K1436)))</x:f>
        <x:v>992.8807856233311</x:v>
      </x:c>
      <x:c r="H1436" s="11" t="n">
        <x:f>IF($A1436="","",$G1436*$F1436+$C1436*(1-$F1436))</x:f>
        <x:v>1030.008274968166</x:v>
      </x:c>
      <x:c r="I1436" s="11" t="n">
        <x:f>IF($A1436="","",AVERAGE($H1436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1047.8570990725325</x:v>
      </x:c>
      <x:c r="J1436" s="12" t="n">
        <x:f>IF($A1436="","",1+SUMIFS(Assumptions!$S$5:$S$10,Assumptions!$P$5:$P$10,$B1436,Assumptions!$Q$5:$Q$10,"&lt;="&amp;$A1436,Assumptions!$R$5:$R$10,"&gt;="&amp;$A1436))</x:f>
        <x:v>1</x:v>
      </x:c>
      <x:c r="K1436" s="12" t="n">
        <x:f>IF($A1436="","",1+((($A1436-Assumptions!$B$5)/30)*INDEX(Assumptions!$J$5:$J$12,MATCH($B1436,Assumptions!$D$5:$D$12,0))))</x:f>
        <x:v>1.0238333333333334</x:v>
      </x:c>
      <x:c r="L1436" t="str">
        <x:f>IF($A1436="","",IFERROR(INDEX(Assumptions!$O$5:$O$10,MATCH(1,(Assumptions!$P$5:$P$10=$B1436)*(Assumptions!$Q$5:$Q$10&lt;=$A1436)*(Assumptions!$R$5:$R$10&gt;=$A1436),0)),""))</x:f>
      </x:c>
      <x:c r="M1436" t="n">
        <x:f>--($A1436&lt;&gt;"")</x:f>
        <x:v>1</x:v>
      </x:c>
    </x:row>
    <x:row r="1437">
      <x:c r="A1437" s="10" t="n">
        <x:f>IF(Assumptions!$B$5+INT((ROW()-2)/Assumptions!$B$7)&gt;Assumptions!$B$6,"",Assumptions!$B$5+INT((ROW()-2)/Assumptions!$B$7))</x:f>
        <x:v>46310</x:v>
      </x:c>
      <x:c r="B1437" t="str">
        <x:f>IF($A1437="","",INDEX(Assumptions!$D$5:$D$12,MOD(ROW()-2,Assumptions!$B$7)+1))</x:f>
        <x:v>Acheron Prime</x:v>
      </x:c>
      <x:c r="C1437" s="11" t="n">
        <x:f>IF($A1437="","",INDEX(Assumptions!$F$5:$F$12,MATCH($B1437,Assumptions!$D$5:$D$12,0)))</x:f>
        <x:v>1120</x:v>
      </x:c>
      <x:c r="D1437" s="11" t="n">
        <x:f>IF($A1437="","",INDEX(Assumptions!$G$5:$G$12,MATCH($B1437,Assumptions!$D$5:$D$12,0)))</x:f>
        <x:v>115</x:v>
      </x:c>
      <x:c r="E1437" s="11" t="n">
        <x:f>IF($A1437="","",INDEX(Assumptions!$M$5:$M$11,WEEKDAY($A1437,2)))</x:f>
        <x:v>1</x:v>
      </x:c>
      <x:c r="F1437" s="11" t="n">
        <x:f>IF($A1437="","",Assumptions!$B$15)</x:f>
        <x:v>0.35</x:v>
      </x:c>
      <x:c r="G1437" s="11" t="n">
        <x:f>IF($A1437="","",MAX(INDEX(Assumptions!$H$5:$H$12,MATCH($B1437,Assumptions!$D$5:$D$12,0)),MIN(INDEX(Assumptions!$I$5:$I$12,MATCH($B1437,Assumptions!$D$5:$D$12,0)),($C1437+$D1437*SQRT(-2*LN(RAND()))*COS(2*PI()*RAND()))*$E1437*$J1437*$K1437)))</x:f>
        <x:v>1118.1702418641075</x:v>
      </x:c>
      <x:c r="H1437" s="11" t="n">
        <x:f>IF($A1437="","",$G1437*$F1437+$C1437*(1-$F1437))</x:f>
        <x:v>1119.3595846524377</x:v>
      </x:c>
      <x:c r="I1437" s="11" t="n">
        <x:f>IF($A1437="","",AVERAGE($H1437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1102.8232807340348</x:v>
      </x:c>
      <x:c r="J1437" s="12" t="n">
        <x:f>IF($A1437="","",1+SUMIFS(Assumptions!$S$5:$S$10,Assumptions!$P$5:$P$10,$B1437,Assumptions!$Q$5:$Q$10,"&lt;="&amp;$A1437,Assumptions!$R$5:$R$10,"&gt;="&amp;$A1437))</x:f>
        <x:v>1</x:v>
      </x:c>
      <x:c r="K1437" s="12" t="n">
        <x:f>IF($A1437="","",1+((($A1437-Assumptions!$B$5)/30)*INDEX(Assumptions!$J$5:$J$12,MATCH($B1437,Assumptions!$D$5:$D$12,0))))</x:f>
        <x:v>1.0191333333333332</x:v>
      </x:c>
      <x:c r="L1437" t="str">
        <x:f>IF($A1437="","",IFERROR(INDEX(Assumptions!$O$5:$O$10,MATCH(1,(Assumptions!$P$5:$P$10=$B1437)*(Assumptions!$Q$5:$Q$10&lt;=$A1437)*(Assumptions!$R$5:$R$10&gt;=$A1437),0)),""))</x:f>
      </x:c>
      <x:c r="M1437" t="n">
        <x:f>--($A1437&lt;&gt;"")</x:f>
        <x:v>1</x:v>
      </x:c>
    </x:row>
    <x:row r="1438">
      <x:c r="A1438" s="10" t="n">
        <x:f>IF(Assumptions!$B$5+INT((ROW()-2)/Assumptions!$B$7)&gt;Assumptions!$B$6,"",Assumptions!$B$5+INT((ROW()-2)/Assumptions!$B$7))</x:f>
        <x:v>46310</x:v>
      </x:c>
      <x:c r="B1438" t="str">
        <x:f>IF($A1438="","",INDEX(Assumptions!$D$5:$D$12,MOD(ROW()-2,Assumptions!$B$7)+1))</x:f>
        <x:v>LV-426 North</x:v>
      </x:c>
      <x:c r="C1438" s="11" t="n">
        <x:f>IF($A1438="","",INDEX(Assumptions!$F$5:$F$12,MATCH($B1438,Assumptions!$D$5:$D$12,0)))</x:f>
        <x:v>930</x:v>
      </x:c>
      <x:c r="D1438" s="11" t="n">
        <x:f>IF($A1438="","",INDEX(Assumptions!$G$5:$G$12,MATCH($B1438,Assumptions!$D$5:$D$12,0)))</x:f>
        <x:v>95</x:v>
      </x:c>
      <x:c r="E1438" s="11" t="n">
        <x:f>IF($A1438="","",INDEX(Assumptions!$M$5:$M$11,WEEKDAY($A1438,2)))</x:f>
        <x:v>1</x:v>
      </x:c>
      <x:c r="F1438" s="11" t="n">
        <x:f>IF($A1438="","",Assumptions!$B$15)</x:f>
        <x:v>0.35</x:v>
      </x:c>
      <x:c r="G1438" s="11" t="n">
        <x:f>IF($A1438="","",MAX(INDEX(Assumptions!$H$5:$H$12,MATCH($B1438,Assumptions!$D$5:$D$12,0)),MIN(INDEX(Assumptions!$I$5:$I$12,MATCH($B1438,Assumptions!$D$5:$D$12,0)),($C1438+$D1438*SQRT(-2*LN(RAND()))*COS(2*PI()*RAND()))*$E1438*$J1438*$K1438)))</x:f>
        <x:v>897.3698428087346</x:v>
      </x:c>
      <x:c r="H1438" s="11" t="n">
        <x:f>IF($A1438="","",$G1438*$F1438+$C1438*(1-$F1438))</x:f>
        <x:v>918.5794449830571</x:v>
      </x:c>
      <x:c r="I1438" s="11" t="n">
        <x:f>IF($A1438="","",AVERAGE($H1438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916.5550235015256</x:v>
      </x:c>
      <x:c r="J1438" s="12" t="n">
        <x:f>IF($A1438="","",1+SUMIFS(Assumptions!$S$5:$S$10,Assumptions!$P$5:$P$10,$B1438,Assumptions!$Q$5:$Q$10,"&lt;="&amp;$A1438,Assumptions!$R$5:$R$10,"&gt;="&amp;$A1438))</x:f>
        <x:v>1</x:v>
      </x:c>
      <x:c r="K1438" s="12" t="n">
        <x:f>IF($A1438="","",1+((($A1438-Assumptions!$B$5)/30)*INDEX(Assumptions!$J$5:$J$12,MATCH($B1438,Assumptions!$D$5:$D$12,0))))</x:f>
        <x:v>0.9904333333333334</x:v>
      </x:c>
      <x:c r="L1438" t="str">
        <x:f>IF($A1438="","",IFERROR(INDEX(Assumptions!$O$5:$O$10,MATCH(1,(Assumptions!$P$5:$P$10=$B1438)*(Assumptions!$Q$5:$Q$10&lt;=$A1438)*(Assumptions!$R$5:$R$10&gt;=$A1438),0)),""))</x:f>
      </x:c>
      <x:c r="M1438" t="n">
        <x:f>--($A1438&lt;&gt;"")</x:f>
        <x:v>1</x:v>
      </x:c>
    </x:row>
    <x:row r="1439">
      <x:c r="A1439" s="10" t="n">
        <x:f>IF(Assumptions!$B$5+INT((ROW()-2)/Assumptions!$B$7)&gt;Assumptions!$B$6,"",Assumptions!$B$5+INT((ROW()-2)/Assumptions!$B$7))</x:f>
        <x:v>46310</x:v>
      </x:c>
      <x:c r="B1439" t="str">
        <x:f>IF($A1439="","",INDEX(Assumptions!$D$5:$D$12,MOD(ROW()-2,Assumptions!$B$7)+1))</x:f>
        <x:v>Nostromo Deep</x:v>
      </x:c>
      <x:c r="C1439" s="11" t="n">
        <x:f>IF($A1439="","",INDEX(Assumptions!$F$5:$F$12,MATCH($B1439,Assumptions!$D$5:$D$12,0)))</x:f>
        <x:v>1260</x:v>
      </x:c>
      <x:c r="D1439" s="11" t="n">
        <x:f>IF($A1439="","",INDEX(Assumptions!$G$5:$G$12,MATCH($B1439,Assumptions!$D$5:$D$12,0)))</x:f>
        <x:v>145</x:v>
      </x:c>
      <x:c r="E1439" s="11" t="n">
        <x:f>IF($A1439="","",INDEX(Assumptions!$M$5:$M$11,WEEKDAY($A1439,2)))</x:f>
        <x:v>1</x:v>
      </x:c>
      <x:c r="F1439" s="11" t="n">
        <x:f>IF($A1439="","",Assumptions!$B$15)</x:f>
        <x:v>0.35</x:v>
      </x:c>
      <x:c r="G1439" s="11" t="n">
        <x:f>IF($A1439="","",MAX(INDEX(Assumptions!$H$5:$H$12,MATCH($B1439,Assumptions!$D$5:$D$12,0)),MIN(INDEX(Assumptions!$I$5:$I$12,MATCH($B1439,Assumptions!$D$5:$D$12,0)),($C1439+$D1439*SQRT(-2*LN(RAND()))*COS(2*PI()*RAND()))*$E1439*$J1439*$K1439)))</x:f>
        <x:v>1351.8479919280835</x:v>
      </x:c>
      <x:c r="H1439" s="11" t="n">
        <x:f>IF($A1439="","",$G1439*$F1439+$C1439*(1-$F1439))</x:f>
        <x:v>1292.1467971748293</x:v>
      </x:c>
      <x:c r="I1439" s="11" t="n">
        <x:f>IF($A1439="","",AVERAGE($H1439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1270.7508211389754</x:v>
      </x:c>
      <x:c r="J1439" s="12" t="n">
        <x:f>IF($A1439="","",1+SUMIFS(Assumptions!$S$5:$S$10,Assumptions!$P$5:$P$10,$B1439,Assumptions!$Q$5:$Q$10,"&lt;="&amp;$A1439,Assumptions!$R$5:$R$10,"&gt;="&amp;$A1439))</x:f>
        <x:v>1</x:v>
      </x:c>
      <x:c r="K1439" s="12" t="n">
        <x:f>IF($A1439="","",1+((($A1439-Assumptions!$B$5)/30)*INDEX(Assumptions!$J$5:$J$12,MATCH($B1439,Assumptions!$D$5:$D$12,0))))</x:f>
        <x:v>1.0287</x:v>
      </x:c>
      <x:c r="L1439" t="str">
        <x:f>IF($A1439="","",IFERROR(INDEX(Assumptions!$O$5:$O$10,MATCH(1,(Assumptions!$P$5:$P$10=$B1439)*(Assumptions!$Q$5:$Q$10&lt;=$A1439)*(Assumptions!$R$5:$R$10&gt;=$A1439),0)),""))</x:f>
      </x:c>
      <x:c r="M1439" t="n">
        <x:f>--($A1439&lt;&gt;"")</x:f>
        <x:v>1</x:v>
      </x:c>
    </x:row>
    <x:row r="1440">
      <x:c r="A1440" s="10" t="n">
        <x:f>IF(Assumptions!$B$5+INT((ROW()-2)/Assumptions!$B$7)&gt;Assumptions!$B$6,"",Assumptions!$B$5+INT((ROW()-2)/Assumptions!$B$7))</x:f>
        <x:v>46310</x:v>
      </x:c>
      <x:c r="B1440" t="str">
        <x:f>IF($A1440="","",INDEX(Assumptions!$D$5:$D$12,MOD(ROW()-2,Assumptions!$B$7)+1))</x:f>
        <x:v>Hadley's Hope</x:v>
      </x:c>
      <x:c r="C1440" s="11" t="n">
        <x:f>IF($A1440="","",INDEX(Assumptions!$F$5:$F$12,MATCH($B1440,Assumptions!$D$5:$D$12,0)))</x:f>
        <x:v>845</x:v>
      </x:c>
      <x:c r="D1440" s="11" t="n">
        <x:f>IF($A1440="","",INDEX(Assumptions!$G$5:$G$12,MATCH($B1440,Assumptions!$D$5:$D$12,0)))</x:f>
        <x:v>80</x:v>
      </x:c>
      <x:c r="E1440" s="11" t="n">
        <x:f>IF($A1440="","",INDEX(Assumptions!$M$5:$M$11,WEEKDAY($A1440,2)))</x:f>
        <x:v>1</x:v>
      </x:c>
      <x:c r="F1440" s="11" t="n">
        <x:f>IF($A1440="","",Assumptions!$B$15)</x:f>
        <x:v>0.35</x:v>
      </x:c>
      <x:c r="G1440" s="11" t="n">
        <x:f>IF($A1440="","",MAX(INDEX(Assumptions!$H$5:$H$12,MATCH($B1440,Assumptions!$D$5:$D$12,0)),MIN(INDEX(Assumptions!$I$5:$I$12,MATCH($B1440,Assumptions!$D$5:$D$12,0)),($C1440+$D1440*SQRT(-2*LN(RAND()))*COS(2*PI()*RAND()))*$E1440*$J1440*$K1440)))</x:f>
        <x:v>923.1968392516977</x:v>
      </x:c>
      <x:c r="H1440" s="11" t="n">
        <x:f>IF($A1440="","",$G1440*$F1440+$C1440*(1-$F1440))</x:f>
        <x:v>872.3688937380941</x:v>
      </x:c>
      <x:c r="I1440" s="11" t="n">
        <x:f>IF($A1440="","",AVERAGE($H1440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828.237258184677</x:v>
      </x:c>
      <x:c r="J1440" s="12" t="n">
        <x:f>IF($A1440="","",1+SUMIFS(Assumptions!$S$5:$S$10,Assumptions!$P$5:$P$10,$B1440,Assumptions!$Q$5:$Q$10,"&lt;="&amp;$A1440,Assumptions!$R$5:$R$10,"&gt;="&amp;$A1440))</x:f>
        <x:v>1</x:v>
      </x:c>
      <x:c r="K1440" s="12" t="n">
        <x:f>IF($A1440="","",1+((($A1440-Assumptions!$B$5)/30)*INDEX(Assumptions!$J$5:$J$12,MATCH($B1440,Assumptions!$D$5:$D$12,0))))</x:f>
        <x:v>1.0095666666666667</x:v>
      </x:c>
      <x:c r="L1440" t="str">
        <x:f>IF($A1440="","",IFERROR(INDEX(Assumptions!$O$5:$O$10,MATCH(1,(Assumptions!$P$5:$P$10=$B1440)*(Assumptions!$Q$5:$Q$10&lt;=$A1440)*(Assumptions!$R$5:$R$10&gt;=$A1440),0)),""))</x:f>
      </x:c>
      <x:c r="M1440" t="n">
        <x:f>--($A1440&lt;&gt;"")</x:f>
        <x:v>1</x:v>
      </x:c>
    </x:row>
    <x:row r="1441">
      <x:c r="A1441" s="10" t="n">
        <x:f>IF(Assumptions!$B$5+INT((ROW()-2)/Assumptions!$B$7)&gt;Assumptions!$B$6,"",Assumptions!$B$5+INT((ROW()-2)/Assumptions!$B$7))</x:f>
        <x:v>46310</x:v>
      </x:c>
      <x:c r="B1441" t="str">
        <x:f>IF($A1441="","",INDEX(Assumptions!$D$5:$D$12,MOD(ROW()-2,Assumptions!$B$7)+1))</x:f>
        <x:v>Yutani Ridge</x:v>
      </x:c>
      <x:c r="C1441" s="11" t="n">
        <x:f>IF($A1441="","",INDEX(Assumptions!$F$5:$F$12,MATCH($B1441,Assumptions!$D$5:$D$12,0)))</x:f>
        <x:v>1050</x:v>
      </x:c>
      <x:c r="D1441" s="11" t="n">
        <x:f>IF($A1441="","",INDEX(Assumptions!$G$5:$G$12,MATCH($B1441,Assumptions!$D$5:$D$12,0)))</x:f>
        <x:v>125</x:v>
      </x:c>
      <x:c r="E1441" s="11" t="n">
        <x:f>IF($A1441="","",INDEX(Assumptions!$M$5:$M$11,WEEKDAY($A1441,2)))</x:f>
        <x:v>1</x:v>
      </x:c>
      <x:c r="F1441" s="11" t="n">
        <x:f>IF($A1441="","",Assumptions!$B$15)</x:f>
        <x:v>0.35</x:v>
      </x:c>
      <x:c r="G1441" s="11" t="n">
        <x:f>IF($A1441="","",MAX(INDEX(Assumptions!$H$5:$H$12,MATCH($B1441,Assumptions!$D$5:$D$12,0)),MIN(INDEX(Assumptions!$I$5:$I$12,MATCH($B1441,Assumptions!$D$5:$D$12,0)),($C1441+$D1441*SQRT(-2*LN(RAND()))*COS(2*PI()*RAND()))*$E1441*$J1441*$K1441)))</x:f>
        <x:v>975.4125555706349</x:v>
      </x:c>
      <x:c r="H1441" s="11" t="n">
        <x:f>IF($A1441="","",$G1441*$F1441+$C1441*(1-$F1441))</x:f>
        <x:v>1023.8943944497222</x:v>
      </x:c>
      <x:c r="I1441" s="11" t="n">
        <x:f>IF($A1441="","",AVERAGE($H1441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1046.7174260714262</x:v>
      </x:c>
      <x:c r="J1441" s="12" t="n">
        <x:f>IF($A1441="","",1+SUMIFS(Assumptions!$S$5:$S$10,Assumptions!$P$5:$P$10,$B1441,Assumptions!$Q$5:$Q$10,"&lt;="&amp;$A1441,Assumptions!$R$5:$R$10,"&gt;="&amp;$A1441))</x:f>
        <x:v>1</x:v>
      </x:c>
      <x:c r="K1441" s="12" t="n">
        <x:f>IF($A1441="","",1+((($A1441-Assumptions!$B$5)/30)*INDEX(Assumptions!$J$5:$J$12,MATCH($B1441,Assumptions!$D$5:$D$12,0))))</x:f>
        <x:v>1.0239166666666666</x:v>
      </x:c>
      <x:c r="L1441" t="str">
        <x:f>IF($A1441="","",IFERROR(INDEX(Assumptions!$O$5:$O$10,MATCH(1,(Assumptions!$P$5:$P$10=$B1441)*(Assumptions!$Q$5:$Q$10&lt;=$A1441)*(Assumptions!$R$5:$R$10&gt;=$A1441),0)),""))</x:f>
      </x:c>
      <x:c r="M1441" t="n">
        <x:f>--($A1441&lt;&gt;"")</x:f>
        <x:v>1</x:v>
      </x:c>
    </x:row>
    <x:row r="1442">
      <x:c r="A1442" s="10" t="n">
        <x:f>IF(Assumptions!$B$5+INT((ROW()-2)/Assumptions!$B$7)&gt;Assumptions!$B$6,"",Assumptions!$B$5+INT((ROW()-2)/Assumptions!$B$7))</x:f>
        <x:v>46311</x:v>
      </x:c>
      <x:c r="B1442" t="str">
        <x:f>IF($A1442="","",INDEX(Assumptions!$D$5:$D$12,MOD(ROW()-2,Assumptions!$B$7)+1))</x:f>
        <x:v>Acheron Prime</x:v>
      </x:c>
      <x:c r="C1442" s="11" t="n">
        <x:f>IF($A1442="","",INDEX(Assumptions!$F$5:$F$12,MATCH($B1442,Assumptions!$D$5:$D$12,0)))</x:f>
        <x:v>1120</x:v>
      </x:c>
      <x:c r="D1442" s="11" t="n">
        <x:f>IF($A1442="","",INDEX(Assumptions!$G$5:$G$12,MATCH($B1442,Assumptions!$D$5:$D$12,0)))</x:f>
        <x:v>115</x:v>
      </x:c>
      <x:c r="E1442" s="11" t="n">
        <x:f>IF($A1442="","",INDEX(Assumptions!$M$5:$M$11,WEEKDAY($A1442,2)))</x:f>
        <x:v>0.98</x:v>
      </x:c>
      <x:c r="F1442" s="11" t="n">
        <x:f>IF($A1442="","",Assumptions!$B$15)</x:f>
        <x:v>0.35</x:v>
      </x:c>
      <x:c r="G1442" s="11" t="n">
        <x:f>IF($A1442="","",MAX(INDEX(Assumptions!$H$5:$H$12,MATCH($B1442,Assumptions!$D$5:$D$12,0)),MIN(INDEX(Assumptions!$I$5:$I$12,MATCH($B1442,Assumptions!$D$5:$D$12,0)),($C1442+$D1442*SQRT(-2*LN(RAND()))*COS(2*PI()*RAND()))*$E1442*$J1442*$K1442)))</x:f>
        <x:v>1218.9981686194424</x:v>
      </x:c>
      <x:c r="H1442" s="11" t="n">
        <x:f>IF($A1442="","",$G1442*$F1442+$C1442*(1-$F1442))</x:f>
        <x:v>1154.6493590168047</x:v>
      </x:c>
      <x:c r="I1442" s="11" t="n">
        <x:f>IF($A1442="","",AVERAGE($H1442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1105.7864718196374</x:v>
      </x:c>
      <x:c r="J1442" s="12" t="n">
        <x:f>IF($A1442="","",1+SUMIFS(Assumptions!$S$5:$S$10,Assumptions!$P$5:$P$10,$B1442,Assumptions!$Q$5:$Q$10,"&lt;="&amp;$A1442,Assumptions!$R$5:$R$10,"&gt;="&amp;$A1442))</x:f>
        <x:v>1</x:v>
      </x:c>
      <x:c r="K1442" s="12" t="n">
        <x:f>IF($A1442="","",1+((($A1442-Assumptions!$B$5)/30)*INDEX(Assumptions!$J$5:$J$12,MATCH($B1442,Assumptions!$D$5:$D$12,0))))</x:f>
        <x:v>1.0192</x:v>
      </x:c>
      <x:c r="L1442" t="str">
        <x:f>IF($A1442="","",IFERROR(INDEX(Assumptions!$O$5:$O$10,MATCH(1,(Assumptions!$P$5:$P$10=$B1442)*(Assumptions!$Q$5:$Q$10&lt;=$A1442)*(Assumptions!$R$5:$R$10&gt;=$A1442),0)),""))</x:f>
      </x:c>
      <x:c r="M1442" t="n">
        <x:f>--($A1442&lt;&gt;"")</x:f>
        <x:v>1</x:v>
      </x:c>
    </x:row>
    <x:row r="1443">
      <x:c r="A1443" s="10" t="n">
        <x:f>IF(Assumptions!$B$5+INT((ROW()-2)/Assumptions!$B$7)&gt;Assumptions!$B$6,"",Assumptions!$B$5+INT((ROW()-2)/Assumptions!$B$7))</x:f>
        <x:v>46311</x:v>
      </x:c>
      <x:c r="B1443" t="str">
        <x:f>IF($A1443="","",INDEX(Assumptions!$D$5:$D$12,MOD(ROW()-2,Assumptions!$B$7)+1))</x:f>
        <x:v>LV-426 North</x:v>
      </x:c>
      <x:c r="C1443" s="11" t="n">
        <x:f>IF($A1443="","",INDEX(Assumptions!$F$5:$F$12,MATCH($B1443,Assumptions!$D$5:$D$12,0)))</x:f>
        <x:v>930</x:v>
      </x:c>
      <x:c r="D1443" s="11" t="n">
        <x:f>IF($A1443="","",INDEX(Assumptions!$G$5:$G$12,MATCH($B1443,Assumptions!$D$5:$D$12,0)))</x:f>
        <x:v>95</x:v>
      </x:c>
      <x:c r="E1443" s="11" t="n">
        <x:f>IF($A1443="","",INDEX(Assumptions!$M$5:$M$11,WEEKDAY($A1443,2)))</x:f>
        <x:v>0.98</x:v>
      </x:c>
      <x:c r="F1443" s="11" t="n">
        <x:f>IF($A1443="","",Assumptions!$B$15)</x:f>
        <x:v>0.35</x:v>
      </x:c>
      <x:c r="G1443" s="11" t="n">
        <x:f>IF($A1443="","",MAX(INDEX(Assumptions!$H$5:$H$12,MATCH($B1443,Assumptions!$D$5:$D$12,0)),MIN(INDEX(Assumptions!$I$5:$I$12,MATCH($B1443,Assumptions!$D$5:$D$12,0)),($C1443+$D1443*SQRT(-2*LN(RAND()))*COS(2*PI()*RAND()))*$E1443*$J1443*$K1443)))</x:f>
        <x:v>978.2301288373096</x:v>
      </x:c>
      <x:c r="H1443" s="11" t="n">
        <x:f>IF($A1443="","",$G1443*$F1443+$C1443*(1-$F1443))</x:f>
        <x:v>946.8805450930583</x:v>
      </x:c>
      <x:c r="I1443" s="11" t="n">
        <x:f>IF($A1443="","",AVERAGE($H1443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924.8770442121694</x:v>
      </x:c>
      <x:c r="J1443" s="12" t="n">
        <x:f>IF($A1443="","",1+SUMIFS(Assumptions!$S$5:$S$10,Assumptions!$P$5:$P$10,$B1443,Assumptions!$Q$5:$Q$10,"&lt;="&amp;$A1443,Assumptions!$R$5:$R$10,"&gt;="&amp;$A1443))</x:f>
        <x:v>1</x:v>
      </x:c>
      <x:c r="K1443" s="12" t="n">
        <x:f>IF($A1443="","",1+((($A1443-Assumptions!$B$5)/30)*INDEX(Assumptions!$J$5:$J$12,MATCH($B1443,Assumptions!$D$5:$D$12,0))))</x:f>
        <x:v>0.9904</x:v>
      </x:c>
      <x:c r="L1443" t="str">
        <x:f>IF($A1443="","",IFERROR(INDEX(Assumptions!$O$5:$O$10,MATCH(1,(Assumptions!$P$5:$P$10=$B1443)*(Assumptions!$Q$5:$Q$10&lt;=$A1443)*(Assumptions!$R$5:$R$10&gt;=$A1443),0)),""))</x:f>
      </x:c>
      <x:c r="M1443" t="n">
        <x:f>--($A1443&lt;&gt;"")</x:f>
        <x:v>1</x:v>
      </x:c>
    </x:row>
    <x:row r="1444">
      <x:c r="A1444" s="10" t="n">
        <x:f>IF(Assumptions!$B$5+INT((ROW()-2)/Assumptions!$B$7)&gt;Assumptions!$B$6,"",Assumptions!$B$5+INT((ROW()-2)/Assumptions!$B$7))</x:f>
        <x:v>46311</x:v>
      </x:c>
      <x:c r="B1444" t="str">
        <x:f>IF($A1444="","",INDEX(Assumptions!$D$5:$D$12,MOD(ROW()-2,Assumptions!$B$7)+1))</x:f>
        <x:v>Nostromo Deep</x:v>
      </x:c>
      <x:c r="C1444" s="11" t="n">
        <x:f>IF($A1444="","",INDEX(Assumptions!$F$5:$F$12,MATCH($B1444,Assumptions!$D$5:$D$12,0)))</x:f>
        <x:v>1260</x:v>
      </x:c>
      <x:c r="D1444" s="11" t="n">
        <x:f>IF($A1444="","",INDEX(Assumptions!$G$5:$G$12,MATCH($B1444,Assumptions!$D$5:$D$12,0)))</x:f>
        <x:v>145</x:v>
      </x:c>
      <x:c r="E1444" s="11" t="n">
        <x:f>IF($A1444="","",INDEX(Assumptions!$M$5:$M$11,WEEKDAY($A1444,2)))</x:f>
        <x:v>0.98</x:v>
      </x:c>
      <x:c r="F1444" s="11" t="n">
        <x:f>IF($A1444="","",Assumptions!$B$15)</x:f>
        <x:v>0.35</x:v>
      </x:c>
      <x:c r="G1444" s="11" t="n">
        <x:f>IF($A1444="","",MAX(INDEX(Assumptions!$H$5:$H$12,MATCH($B1444,Assumptions!$D$5:$D$12,0)),MIN(INDEX(Assumptions!$I$5:$I$12,MATCH($B1444,Assumptions!$D$5:$D$12,0)),($C1444+$D1444*SQRT(-2*LN(RAND()))*COS(2*PI()*RAND()))*$E1444*$J1444*$K1444)))</x:f>
        <x:v>1128.2367685001147</x:v>
      </x:c>
      <x:c r="H1444" s="11" t="n">
        <x:f>IF($A1444="","",$G1444*$F1444+$C1444*(1-$F1444))</x:f>
        <x:v>1213.88286897504</x:v>
      </x:c>
      <x:c r="I1444" s="11" t="n">
        <x:f>IF($A1444="","",AVERAGE($H1444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1264.8606773601568</x:v>
      </x:c>
      <x:c r="J1444" s="12" t="n">
        <x:f>IF($A1444="","",1+SUMIFS(Assumptions!$S$5:$S$10,Assumptions!$P$5:$P$10,$B1444,Assumptions!$Q$5:$Q$10,"&lt;="&amp;$A1444,Assumptions!$R$5:$R$10,"&gt;="&amp;$A1444))</x:f>
        <x:v>1</x:v>
      </x:c>
      <x:c r="K1444" s="12" t="n">
        <x:f>IF($A1444="","",1+((($A1444-Assumptions!$B$5)/30)*INDEX(Assumptions!$J$5:$J$12,MATCH($B1444,Assumptions!$D$5:$D$12,0))))</x:f>
        <x:v>1.0288</x:v>
      </x:c>
      <x:c r="L1444" t="str">
        <x:f>IF($A1444="","",IFERROR(INDEX(Assumptions!$O$5:$O$10,MATCH(1,(Assumptions!$P$5:$P$10=$B1444)*(Assumptions!$Q$5:$Q$10&lt;=$A1444)*(Assumptions!$R$5:$R$10&gt;=$A1444),0)),""))</x:f>
      </x:c>
      <x:c r="M1444" t="n">
        <x:f>--($A1444&lt;&gt;"")</x:f>
        <x:v>1</x:v>
      </x:c>
    </x:row>
    <x:row r="1445">
      <x:c r="A1445" s="10" t="n">
        <x:f>IF(Assumptions!$B$5+INT((ROW()-2)/Assumptions!$B$7)&gt;Assumptions!$B$6,"",Assumptions!$B$5+INT((ROW()-2)/Assumptions!$B$7))</x:f>
        <x:v>46311</x:v>
      </x:c>
      <x:c r="B1445" t="str">
        <x:f>IF($A1445="","",INDEX(Assumptions!$D$5:$D$12,MOD(ROW()-2,Assumptions!$B$7)+1))</x:f>
        <x:v>Hadley's Hope</x:v>
      </x:c>
      <x:c r="C1445" s="11" t="n">
        <x:f>IF($A1445="","",INDEX(Assumptions!$F$5:$F$12,MATCH($B1445,Assumptions!$D$5:$D$12,0)))</x:f>
        <x:v>845</x:v>
      </x:c>
      <x:c r="D1445" s="11" t="n">
        <x:f>IF($A1445="","",INDEX(Assumptions!$G$5:$G$12,MATCH($B1445,Assumptions!$D$5:$D$12,0)))</x:f>
        <x:v>80</x:v>
      </x:c>
      <x:c r="E1445" s="11" t="n">
        <x:f>IF($A1445="","",INDEX(Assumptions!$M$5:$M$11,WEEKDAY($A1445,2)))</x:f>
        <x:v>0.98</x:v>
      </x:c>
      <x:c r="F1445" s="11" t="n">
        <x:f>IF($A1445="","",Assumptions!$B$15)</x:f>
        <x:v>0.35</x:v>
      </x:c>
      <x:c r="G1445" s="11" t="n">
        <x:f>IF($A1445="","",MAX(INDEX(Assumptions!$H$5:$H$12,MATCH($B1445,Assumptions!$D$5:$D$12,0)),MIN(INDEX(Assumptions!$I$5:$I$12,MATCH($B1445,Assumptions!$D$5:$D$12,0)),($C1445+$D1445*SQRT(-2*LN(RAND()))*COS(2*PI()*RAND()))*$E1445*$J1445*$K1445)))</x:f>
        <x:v>964.4129007949283</x:v>
      </x:c>
      <x:c r="H1445" s="11" t="n">
        <x:f>IF($A1445="","",$G1445*$F1445+$C1445*(1-$F1445))</x:f>
        <x:v>886.7945152782249</x:v>
      </x:c>
      <x:c r="I1445" s="11" t="n">
        <x:f>IF($A1445="","",AVERAGE($H1445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833.8475249116566</x:v>
      </x:c>
      <x:c r="J1445" s="12" t="n">
        <x:f>IF($A1445="","",1+SUMIFS(Assumptions!$S$5:$S$10,Assumptions!$P$5:$P$10,$B1445,Assumptions!$Q$5:$Q$10,"&lt;="&amp;$A1445,Assumptions!$R$5:$R$10,"&gt;="&amp;$A1445))</x:f>
        <x:v>1</x:v>
      </x:c>
      <x:c r="K1445" s="12" t="n">
        <x:f>IF($A1445="","",1+((($A1445-Assumptions!$B$5)/30)*INDEX(Assumptions!$J$5:$J$12,MATCH($B1445,Assumptions!$D$5:$D$12,0))))</x:f>
        <x:v>1.0096</x:v>
      </x:c>
      <x:c r="L1445" t="str">
        <x:f>IF($A1445="","",IFERROR(INDEX(Assumptions!$O$5:$O$10,MATCH(1,(Assumptions!$P$5:$P$10=$B1445)*(Assumptions!$Q$5:$Q$10&lt;=$A1445)*(Assumptions!$R$5:$R$10&gt;=$A1445),0)),""))</x:f>
      </x:c>
      <x:c r="M1445" t="n">
        <x:f>--($A1445&lt;&gt;"")</x:f>
        <x:v>1</x:v>
      </x:c>
    </x:row>
    <x:row r="1446">
      <x:c r="A1446" s="10" t="n">
        <x:f>IF(Assumptions!$B$5+INT((ROW()-2)/Assumptions!$B$7)&gt;Assumptions!$B$6,"",Assumptions!$B$5+INT((ROW()-2)/Assumptions!$B$7))</x:f>
        <x:v>46311</x:v>
      </x:c>
      <x:c r="B1446" t="str">
        <x:f>IF($A1446="","",INDEX(Assumptions!$D$5:$D$12,MOD(ROW()-2,Assumptions!$B$7)+1))</x:f>
        <x:v>Yutani Ridge</x:v>
      </x:c>
      <x:c r="C1446" s="11" t="n">
        <x:f>IF($A1446="","",INDEX(Assumptions!$F$5:$F$12,MATCH($B1446,Assumptions!$D$5:$D$12,0)))</x:f>
        <x:v>1050</x:v>
      </x:c>
      <x:c r="D1446" s="11" t="n">
        <x:f>IF($A1446="","",INDEX(Assumptions!$G$5:$G$12,MATCH($B1446,Assumptions!$D$5:$D$12,0)))</x:f>
        <x:v>125</x:v>
      </x:c>
      <x:c r="E1446" s="11" t="n">
        <x:f>IF($A1446="","",INDEX(Assumptions!$M$5:$M$11,WEEKDAY($A1446,2)))</x:f>
        <x:v>0.98</x:v>
      </x:c>
      <x:c r="F1446" s="11" t="n">
        <x:f>IF($A1446="","",Assumptions!$B$15)</x:f>
        <x:v>0.35</x:v>
      </x:c>
      <x:c r="G1446" s="11" t="n">
        <x:f>IF($A1446="","",MAX(INDEX(Assumptions!$H$5:$H$12,MATCH($B1446,Assumptions!$D$5:$D$12,0)),MIN(INDEX(Assumptions!$I$5:$I$12,MATCH($B1446,Assumptions!$D$5:$D$12,0)),($C1446+$D1446*SQRT(-2*LN(RAND()))*COS(2*PI()*RAND()))*$E1446*$J1446*$K1446)))</x:f>
        <x:v>1250.3661359095472</x:v>
      </x:c>
      <x:c r="H1446" s="11" t="n">
        <x:f>IF($A1446="","",$G1446*$F1446+$C1446*(1-$F1446))</x:f>
        <x:v>1120.1281475683415</x:v>
      </x:c>
      <x:c r="I1446" s="11" t="n">
        <x:f>IF($A1446="","",AVERAGE($H1446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1049.758862803335</x:v>
      </x:c>
      <x:c r="J1446" s="12" t="n">
        <x:f>IF($A1446="","",1+SUMIFS(Assumptions!$S$5:$S$10,Assumptions!$P$5:$P$10,$B1446,Assumptions!$Q$5:$Q$10,"&lt;="&amp;$A1446,Assumptions!$R$5:$R$10,"&gt;="&amp;$A1446))</x:f>
        <x:v>1</x:v>
      </x:c>
      <x:c r="K1446" s="12" t="n">
        <x:f>IF($A1446="","",1+((($A1446-Assumptions!$B$5)/30)*INDEX(Assumptions!$J$5:$J$12,MATCH($B1446,Assumptions!$D$5:$D$12,0))))</x:f>
        <x:v>1.024</x:v>
      </x:c>
      <x:c r="L1446" t="str">
        <x:f>IF($A1446="","",IFERROR(INDEX(Assumptions!$O$5:$O$10,MATCH(1,(Assumptions!$P$5:$P$10=$B1446)*(Assumptions!$Q$5:$Q$10&lt;=$A1446)*(Assumptions!$R$5:$R$10&gt;=$A1446),0)),""))</x:f>
      </x:c>
      <x:c r="M1446" t="n">
        <x:f>--($A1446&lt;&gt;"")</x:f>
        <x:v>1</x:v>
      </x:c>
    </x:row>
    <x:row r="1447">
      <x:c r="A1447" s="10" t="n">
        <x:f>IF(Assumptions!$B$5+INT((ROW()-2)/Assumptions!$B$7)&gt;Assumptions!$B$6,"",Assumptions!$B$5+INT((ROW()-2)/Assumptions!$B$7))</x:f>
        <x:v>46312</x:v>
      </x:c>
      <x:c r="B1447" t="str">
        <x:f>IF($A1447="","",INDEX(Assumptions!$D$5:$D$12,MOD(ROW()-2,Assumptions!$B$7)+1))</x:f>
        <x:v>Acheron Prime</x:v>
      </x:c>
      <x:c r="C1447" s="11" t="n">
        <x:f>IF($A1447="","",INDEX(Assumptions!$F$5:$F$12,MATCH($B1447,Assumptions!$D$5:$D$12,0)))</x:f>
        <x:v>1120</x:v>
      </x:c>
      <x:c r="D1447" s="11" t="n">
        <x:f>IF($A1447="","",INDEX(Assumptions!$G$5:$G$12,MATCH($B1447,Assumptions!$D$5:$D$12,0)))</x:f>
        <x:v>115</x:v>
      </x:c>
      <x:c r="E1447" s="11" t="n">
        <x:f>IF($A1447="","",INDEX(Assumptions!$M$5:$M$11,WEEKDAY($A1447,2)))</x:f>
        <x:v>0.91</x:v>
      </x:c>
      <x:c r="F1447" s="11" t="n">
        <x:f>IF($A1447="","",Assumptions!$B$15)</x:f>
        <x:v>0.35</x:v>
      </x:c>
      <x:c r="G1447" s="11" t="n">
        <x:f>IF($A1447="","",MAX(INDEX(Assumptions!$H$5:$H$12,MATCH($B1447,Assumptions!$D$5:$D$12,0)),MIN(INDEX(Assumptions!$I$5:$I$12,MATCH($B1447,Assumptions!$D$5:$D$12,0)),($C1447+$D1447*SQRT(-2*LN(RAND()))*COS(2*PI()*RAND()))*$E1447*$J1447*$K1447)))</x:f>
        <x:v>1033.458334729117</x:v>
      </x:c>
      <x:c r="H1447" s="11" t="n">
        <x:f>IF($A1447="","",$G1447*$F1447+$C1447*(1-$F1447))</x:f>
        <x:v>1089.710417155191</x:v>
      </x:c>
      <x:c r="I1447" s="11" t="n">
        <x:f>IF($A1447="","",AVERAGE($H1447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1103.5031810466858</x:v>
      </x:c>
      <x:c r="J1447" s="12" t="n">
        <x:f>IF($A1447="","",1+SUMIFS(Assumptions!$S$5:$S$10,Assumptions!$P$5:$P$10,$B1447,Assumptions!$Q$5:$Q$10,"&lt;="&amp;$A1447,Assumptions!$R$5:$R$10,"&gt;="&amp;$A1447))</x:f>
        <x:v>1</x:v>
      </x:c>
      <x:c r="K1447" s="12" t="n">
        <x:f>IF($A1447="","",1+((($A1447-Assumptions!$B$5)/30)*INDEX(Assumptions!$J$5:$J$12,MATCH($B1447,Assumptions!$D$5:$D$12,0))))</x:f>
        <x:v>1.0192666666666668</x:v>
      </x:c>
      <x:c r="L1447" t="str">
        <x:f>IF($A1447="","",IFERROR(INDEX(Assumptions!$O$5:$O$10,MATCH(1,(Assumptions!$P$5:$P$10=$B1447)*(Assumptions!$Q$5:$Q$10&lt;=$A1447)*(Assumptions!$R$5:$R$10&gt;=$A1447),0)),""))</x:f>
      </x:c>
      <x:c r="M1447" t="n">
        <x:f>--($A1447&lt;&gt;"")</x:f>
        <x:v>1</x:v>
      </x:c>
    </x:row>
    <x:row r="1448">
      <x:c r="A1448" s="10" t="n">
        <x:f>IF(Assumptions!$B$5+INT((ROW()-2)/Assumptions!$B$7)&gt;Assumptions!$B$6,"",Assumptions!$B$5+INT((ROW()-2)/Assumptions!$B$7))</x:f>
        <x:v>46312</x:v>
      </x:c>
      <x:c r="B1448" t="str">
        <x:f>IF($A1448="","",INDEX(Assumptions!$D$5:$D$12,MOD(ROW()-2,Assumptions!$B$7)+1))</x:f>
        <x:v>LV-426 North</x:v>
      </x:c>
      <x:c r="C1448" s="11" t="n">
        <x:f>IF($A1448="","",INDEX(Assumptions!$F$5:$F$12,MATCH($B1448,Assumptions!$D$5:$D$12,0)))</x:f>
        <x:v>930</x:v>
      </x:c>
      <x:c r="D1448" s="11" t="n">
        <x:f>IF($A1448="","",INDEX(Assumptions!$G$5:$G$12,MATCH($B1448,Assumptions!$D$5:$D$12,0)))</x:f>
        <x:v>95</x:v>
      </x:c>
      <x:c r="E1448" s="11" t="n">
        <x:f>IF($A1448="","",INDEX(Assumptions!$M$5:$M$11,WEEKDAY($A1448,2)))</x:f>
        <x:v>0.91</x:v>
      </x:c>
      <x:c r="F1448" s="11" t="n">
        <x:f>IF($A1448="","",Assumptions!$B$15)</x:f>
        <x:v>0.35</x:v>
      </x:c>
      <x:c r="G1448" s="11" t="n">
        <x:f>IF($A1448="","",MAX(INDEX(Assumptions!$H$5:$H$12,MATCH($B1448,Assumptions!$D$5:$D$12,0)),MIN(INDEX(Assumptions!$I$5:$I$12,MATCH($B1448,Assumptions!$D$5:$D$12,0)),($C1448+$D1448*SQRT(-2*LN(RAND()))*COS(2*PI()*RAND()))*$E1448*$J1448*$K1448)))</x:f>
        <x:v>847.1839594099079</x:v>
      </x:c>
      <x:c r="H1448" s="11" t="n">
        <x:f>IF($A1448="","",$G1448*$F1448+$C1448*(1-$F1448))</x:f>
        <x:v>901.0143857934677</x:v>
      </x:c>
      <x:c r="I1448" s="11" t="n">
        <x:f>IF($A1448="","",AVERAGE($H1448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922.0475695131529</x:v>
      </x:c>
      <x:c r="J1448" s="12" t="n">
        <x:f>IF($A1448="","",1+SUMIFS(Assumptions!$S$5:$S$10,Assumptions!$P$5:$P$10,$B1448,Assumptions!$Q$5:$Q$10,"&lt;="&amp;$A1448,Assumptions!$R$5:$R$10,"&gt;="&amp;$A1448))</x:f>
        <x:v>1</x:v>
      </x:c>
      <x:c r="K1448" s="12" t="n">
        <x:f>IF($A1448="","",1+((($A1448-Assumptions!$B$5)/30)*INDEX(Assumptions!$J$5:$J$12,MATCH($B1448,Assumptions!$D$5:$D$12,0))))</x:f>
        <x:v>0.9903666666666666</x:v>
      </x:c>
      <x:c r="L1448" t="str">
        <x:f>IF($A1448="","",IFERROR(INDEX(Assumptions!$O$5:$O$10,MATCH(1,(Assumptions!$P$5:$P$10=$B1448)*(Assumptions!$Q$5:$Q$10&lt;=$A1448)*(Assumptions!$R$5:$R$10&gt;=$A1448),0)),""))</x:f>
      </x:c>
      <x:c r="M1448" t="n">
        <x:f>--($A1448&lt;&gt;"")</x:f>
        <x:v>1</x:v>
      </x:c>
    </x:row>
    <x:row r="1449">
      <x:c r="A1449" s="10" t="n">
        <x:f>IF(Assumptions!$B$5+INT((ROW()-2)/Assumptions!$B$7)&gt;Assumptions!$B$6,"",Assumptions!$B$5+INT((ROW()-2)/Assumptions!$B$7))</x:f>
        <x:v>46312</x:v>
      </x:c>
      <x:c r="B1449" t="str">
        <x:f>IF($A1449="","",INDEX(Assumptions!$D$5:$D$12,MOD(ROW()-2,Assumptions!$B$7)+1))</x:f>
        <x:v>Nostromo Deep</x:v>
      </x:c>
      <x:c r="C1449" s="11" t="n">
        <x:f>IF($A1449="","",INDEX(Assumptions!$F$5:$F$12,MATCH($B1449,Assumptions!$D$5:$D$12,0)))</x:f>
        <x:v>1260</x:v>
      </x:c>
      <x:c r="D1449" s="11" t="n">
        <x:f>IF($A1449="","",INDEX(Assumptions!$G$5:$G$12,MATCH($B1449,Assumptions!$D$5:$D$12,0)))</x:f>
        <x:v>145</x:v>
      </x:c>
      <x:c r="E1449" s="11" t="n">
        <x:f>IF($A1449="","",INDEX(Assumptions!$M$5:$M$11,WEEKDAY($A1449,2)))</x:f>
        <x:v>0.91</x:v>
      </x:c>
      <x:c r="F1449" s="11" t="n">
        <x:f>IF($A1449="","",Assumptions!$B$15)</x:f>
        <x:v>0.35</x:v>
      </x:c>
      <x:c r="G1449" s="11" t="n">
        <x:f>IF($A1449="","",MAX(INDEX(Assumptions!$H$5:$H$12,MATCH($B1449,Assumptions!$D$5:$D$12,0)),MIN(INDEX(Assumptions!$I$5:$I$12,MATCH($B1449,Assumptions!$D$5:$D$12,0)),($C1449+$D1449*SQRT(-2*LN(RAND()))*COS(2*PI()*RAND()))*$E1449*$J1449*$K1449)))</x:f>
        <x:v>1134.367908978833</x:v>
      </x:c>
      <x:c r="H1449" s="11" t="n">
        <x:f>IF($A1449="","",$G1449*$F1449+$C1449*(1-$F1449))</x:f>
        <x:v>1216.0287681425916</x:v>
      </x:c>
      <x:c r="I1449" s="11" t="n">
        <x:f>IF($A1449="","",AVERAGE($H1449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1254.3274503551788</x:v>
      </x:c>
      <x:c r="J1449" s="12" t="n">
        <x:f>IF($A1449="","",1+SUMIFS(Assumptions!$S$5:$S$10,Assumptions!$P$5:$P$10,$B1449,Assumptions!$Q$5:$Q$10,"&lt;="&amp;$A1449,Assumptions!$R$5:$R$10,"&gt;="&amp;$A1449))</x:f>
        <x:v>1</x:v>
      </x:c>
      <x:c r="K1449" s="12" t="n">
        <x:f>IF($A1449="","",1+((($A1449-Assumptions!$B$5)/30)*INDEX(Assumptions!$J$5:$J$12,MATCH($B1449,Assumptions!$D$5:$D$12,0))))</x:f>
        <x:v>1.0289</x:v>
      </x:c>
      <x:c r="L1449" t="str">
        <x:f>IF($A1449="","",IFERROR(INDEX(Assumptions!$O$5:$O$10,MATCH(1,(Assumptions!$P$5:$P$10=$B1449)*(Assumptions!$Q$5:$Q$10&lt;=$A1449)*(Assumptions!$R$5:$R$10&gt;=$A1449),0)),""))</x:f>
      </x:c>
      <x:c r="M1449" t="n">
        <x:f>--($A1449&lt;&gt;"")</x:f>
        <x:v>1</x:v>
      </x:c>
    </x:row>
    <x:row r="1450">
      <x:c r="A1450" s="10" t="n">
        <x:f>IF(Assumptions!$B$5+INT((ROW()-2)/Assumptions!$B$7)&gt;Assumptions!$B$6,"",Assumptions!$B$5+INT((ROW()-2)/Assumptions!$B$7))</x:f>
        <x:v>46312</x:v>
      </x:c>
      <x:c r="B1450" t="str">
        <x:f>IF($A1450="","",INDEX(Assumptions!$D$5:$D$12,MOD(ROW()-2,Assumptions!$B$7)+1))</x:f>
        <x:v>Hadley's Hope</x:v>
      </x:c>
      <x:c r="C1450" s="11" t="n">
        <x:f>IF($A1450="","",INDEX(Assumptions!$F$5:$F$12,MATCH($B1450,Assumptions!$D$5:$D$12,0)))</x:f>
        <x:v>845</x:v>
      </x:c>
      <x:c r="D1450" s="11" t="n">
        <x:f>IF($A1450="","",INDEX(Assumptions!$G$5:$G$12,MATCH($B1450,Assumptions!$D$5:$D$12,0)))</x:f>
        <x:v>80</x:v>
      </x:c>
      <x:c r="E1450" s="11" t="n">
        <x:f>IF($A1450="","",INDEX(Assumptions!$M$5:$M$11,WEEKDAY($A1450,2)))</x:f>
        <x:v>0.91</x:v>
      </x:c>
      <x:c r="F1450" s="11" t="n">
        <x:f>IF($A1450="","",Assumptions!$B$15)</x:f>
        <x:v>0.35</x:v>
      </x:c>
      <x:c r="G1450" s="11" t="n">
        <x:f>IF($A1450="","",MAX(INDEX(Assumptions!$H$5:$H$12,MATCH($B1450,Assumptions!$D$5:$D$12,0)),MIN(INDEX(Assumptions!$I$5:$I$12,MATCH($B1450,Assumptions!$D$5:$D$12,0)),($C1450+$D1450*SQRT(-2*LN(RAND()))*COS(2*PI()*RAND()))*$E1450*$J1450*$K1450)))</x:f>
        <x:v>834.9915433071876</x:v>
      </x:c>
      <x:c r="H1450" s="11" t="n">
        <x:f>IF($A1450="","",$G1450*$F1450+$C1450*(1-$F1450))</x:f>
        <x:v>841.4970401575156</x:v>
      </x:c>
      <x:c r="I1450" s="11" t="n">
        <x:f>IF($A1450="","",AVERAGE($H1450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840.323381192084</x:v>
      </x:c>
      <x:c r="J1450" s="12" t="n">
        <x:f>IF($A1450="","",1+SUMIFS(Assumptions!$S$5:$S$10,Assumptions!$P$5:$P$10,$B1450,Assumptions!$Q$5:$Q$10,"&lt;="&amp;$A1450,Assumptions!$R$5:$R$10,"&gt;="&amp;$A1450))</x:f>
        <x:v>1</x:v>
      </x:c>
      <x:c r="K1450" s="12" t="n">
        <x:f>IF($A1450="","",1+((($A1450-Assumptions!$B$5)/30)*INDEX(Assumptions!$J$5:$J$12,MATCH($B1450,Assumptions!$D$5:$D$12,0))))</x:f>
        <x:v>1.0096333333333334</x:v>
      </x:c>
      <x:c r="L1450" t="str">
        <x:f>IF($A1450="","",IFERROR(INDEX(Assumptions!$O$5:$O$10,MATCH(1,(Assumptions!$P$5:$P$10=$B1450)*(Assumptions!$Q$5:$Q$10&lt;=$A1450)*(Assumptions!$R$5:$R$10&gt;=$A1450),0)),""))</x:f>
      </x:c>
      <x:c r="M1450" t="n">
        <x:f>--($A1450&lt;&gt;"")</x:f>
        <x:v>1</x:v>
      </x:c>
    </x:row>
    <x:row r="1451">
      <x:c r="A1451" s="10" t="n">
        <x:f>IF(Assumptions!$B$5+INT((ROW()-2)/Assumptions!$B$7)&gt;Assumptions!$B$6,"",Assumptions!$B$5+INT((ROW()-2)/Assumptions!$B$7))</x:f>
        <x:v>46312</x:v>
      </x:c>
      <x:c r="B1451" t="str">
        <x:f>IF($A1451="","",INDEX(Assumptions!$D$5:$D$12,MOD(ROW()-2,Assumptions!$B$7)+1))</x:f>
        <x:v>Yutani Ridge</x:v>
      </x:c>
      <x:c r="C1451" s="11" t="n">
        <x:f>IF($A1451="","",INDEX(Assumptions!$F$5:$F$12,MATCH($B1451,Assumptions!$D$5:$D$12,0)))</x:f>
        <x:v>1050</x:v>
      </x:c>
      <x:c r="D1451" s="11" t="n">
        <x:f>IF($A1451="","",INDEX(Assumptions!$G$5:$G$12,MATCH($B1451,Assumptions!$D$5:$D$12,0)))</x:f>
        <x:v>125</x:v>
      </x:c>
      <x:c r="E1451" s="11" t="n">
        <x:f>IF($A1451="","",INDEX(Assumptions!$M$5:$M$11,WEEKDAY($A1451,2)))</x:f>
        <x:v>0.91</x:v>
      </x:c>
      <x:c r="F1451" s="11" t="n">
        <x:f>IF($A1451="","",Assumptions!$B$15)</x:f>
        <x:v>0.35</x:v>
      </x:c>
      <x:c r="G1451" s="11" t="n">
        <x:f>IF($A1451="","",MAX(INDEX(Assumptions!$H$5:$H$12,MATCH($B1451,Assumptions!$D$5:$D$12,0)),MIN(INDEX(Assumptions!$I$5:$I$12,MATCH($B1451,Assumptions!$D$5:$D$12,0)),($C1451+$D1451*SQRT(-2*LN(RAND()))*COS(2*PI()*RAND()))*$E1451*$J1451*$K1451)))</x:f>
        <x:v>1072.9013083203808</x:v>
      </x:c>
      <x:c r="H1451" s="11" t="n">
        <x:f>IF($A1451="","",$G1451*$F1451+$C1451*(1-$F1451))</x:f>
        <x:v>1058.0154579121333</x:v>
      </x:c>
      <x:c r="I1451" s="11" t="n">
        <x:f>IF($A1451="","",AVERAGE($H1451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1058.8123002041516</x:v>
      </x:c>
      <x:c r="J1451" s="12" t="n">
        <x:f>IF($A1451="","",1+SUMIFS(Assumptions!$S$5:$S$10,Assumptions!$P$5:$P$10,$B1451,Assumptions!$Q$5:$Q$10,"&lt;="&amp;$A1451,Assumptions!$R$5:$R$10,"&gt;="&amp;$A1451))</x:f>
        <x:v>1</x:v>
      </x:c>
      <x:c r="K1451" s="12" t="n">
        <x:f>IF($A1451="","",1+((($A1451-Assumptions!$B$5)/30)*INDEX(Assumptions!$J$5:$J$12,MATCH($B1451,Assumptions!$D$5:$D$12,0))))</x:f>
        <x:v>1.0240833333333332</x:v>
      </x:c>
      <x:c r="L1451" t="str">
        <x:f>IF($A1451="","",IFERROR(INDEX(Assumptions!$O$5:$O$10,MATCH(1,(Assumptions!$P$5:$P$10=$B1451)*(Assumptions!$Q$5:$Q$10&lt;=$A1451)*(Assumptions!$R$5:$R$10&gt;=$A1451),0)),""))</x:f>
      </x:c>
      <x:c r="M1451" t="n">
        <x:f>--($A1451&lt;&gt;"")</x:f>
        <x:v>1</x:v>
      </x:c>
    </x:row>
    <x:row r="1452">
      <x:c r="A1452" s="10" t="n">
        <x:f>IF(Assumptions!$B$5+INT((ROW()-2)/Assumptions!$B$7)&gt;Assumptions!$B$6,"",Assumptions!$B$5+INT((ROW()-2)/Assumptions!$B$7))</x:f>
        <x:v>46313</x:v>
      </x:c>
      <x:c r="B1452" t="str">
        <x:f>IF($A1452="","",INDEX(Assumptions!$D$5:$D$12,MOD(ROW()-2,Assumptions!$B$7)+1))</x:f>
        <x:v>Acheron Prime</x:v>
      </x:c>
      <x:c r="C1452" s="11" t="n">
        <x:f>IF($A1452="","",INDEX(Assumptions!$F$5:$F$12,MATCH($B1452,Assumptions!$D$5:$D$12,0)))</x:f>
        <x:v>1120</x:v>
      </x:c>
      <x:c r="D1452" s="11" t="n">
        <x:f>IF($A1452="","",INDEX(Assumptions!$G$5:$G$12,MATCH($B1452,Assumptions!$D$5:$D$12,0)))</x:f>
        <x:v>115</x:v>
      </x:c>
      <x:c r="E1452" s="11" t="n">
        <x:f>IF($A1452="","",INDEX(Assumptions!$M$5:$M$11,WEEKDAY($A1452,2)))</x:f>
        <x:v>0.87</x:v>
      </x:c>
      <x:c r="F1452" s="11" t="n">
        <x:f>IF($A1452="","",Assumptions!$B$15)</x:f>
        <x:v>0.35</x:v>
      </x:c>
      <x:c r="G1452" s="11" t="n">
        <x:f>IF($A1452="","",MAX(INDEX(Assumptions!$H$5:$H$12,MATCH($B1452,Assumptions!$D$5:$D$12,0)),MIN(INDEX(Assumptions!$I$5:$I$12,MATCH($B1452,Assumptions!$D$5:$D$12,0)),($C1452+$D1452*SQRT(-2*LN(RAND()))*COS(2*PI()*RAND()))*$E1452*$J1452*$K1452)))</x:f>
        <x:v>1062.7957211880525</x:v>
      </x:c>
      <x:c r="H1452" s="11" t="n">
        <x:f>IF($A1452="","",$G1452*$F1452+$C1452*(1-$F1452))</x:f>
        <x:v>1099.9785024158184</x:v>
      </x:c>
      <x:c r="I1452" s="11" t="n">
        <x:f>IF($A1452="","",AVERAGE($H1452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1116.3698941438215</x:v>
      </x:c>
      <x:c r="J1452" s="12" t="n">
        <x:f>IF($A1452="","",1+SUMIFS(Assumptions!$S$5:$S$10,Assumptions!$P$5:$P$10,$B1452,Assumptions!$Q$5:$Q$10,"&lt;="&amp;$A1452,Assumptions!$R$5:$R$10,"&gt;="&amp;$A1452))</x:f>
        <x:v>1</x:v>
      </x:c>
      <x:c r="K1452" s="12" t="n">
        <x:f>IF($A1452="","",1+((($A1452-Assumptions!$B$5)/30)*INDEX(Assumptions!$J$5:$J$12,MATCH($B1452,Assumptions!$D$5:$D$12,0))))</x:f>
        <x:v>1.0193333333333334</x:v>
      </x:c>
      <x:c r="L1452" t="str">
        <x:f>IF($A1452="","",IFERROR(INDEX(Assumptions!$O$5:$O$10,MATCH(1,(Assumptions!$P$5:$P$10=$B1452)*(Assumptions!$Q$5:$Q$10&lt;=$A1452)*(Assumptions!$R$5:$R$10&gt;=$A1452),0)),""))</x:f>
      </x:c>
      <x:c r="M1452" t="n">
        <x:f>--($A1452&lt;&gt;"")</x:f>
        <x:v>1</x:v>
      </x:c>
    </x:row>
    <x:row r="1453">
      <x:c r="A1453" s="10" t="n">
        <x:f>IF(Assumptions!$B$5+INT((ROW()-2)/Assumptions!$B$7)&gt;Assumptions!$B$6,"",Assumptions!$B$5+INT((ROW()-2)/Assumptions!$B$7))</x:f>
        <x:v>46313</x:v>
      </x:c>
      <x:c r="B1453" t="str">
        <x:f>IF($A1453="","",INDEX(Assumptions!$D$5:$D$12,MOD(ROW()-2,Assumptions!$B$7)+1))</x:f>
        <x:v>LV-426 North</x:v>
      </x:c>
      <x:c r="C1453" s="11" t="n">
        <x:f>IF($A1453="","",INDEX(Assumptions!$F$5:$F$12,MATCH($B1453,Assumptions!$D$5:$D$12,0)))</x:f>
        <x:v>930</x:v>
      </x:c>
      <x:c r="D1453" s="11" t="n">
        <x:f>IF($A1453="","",INDEX(Assumptions!$G$5:$G$12,MATCH($B1453,Assumptions!$D$5:$D$12,0)))</x:f>
        <x:v>95</x:v>
      </x:c>
      <x:c r="E1453" s="11" t="n">
        <x:f>IF($A1453="","",INDEX(Assumptions!$M$5:$M$11,WEEKDAY($A1453,2)))</x:f>
        <x:v>0.87</x:v>
      </x:c>
      <x:c r="F1453" s="11" t="n">
        <x:f>IF($A1453="","",Assumptions!$B$15)</x:f>
        <x:v>0.35</x:v>
      </x:c>
      <x:c r="G1453" s="11" t="n">
        <x:f>IF($A1453="","",MAX(INDEX(Assumptions!$H$5:$H$12,MATCH($B1453,Assumptions!$D$5:$D$12,0)),MIN(INDEX(Assumptions!$I$5:$I$12,MATCH($B1453,Assumptions!$D$5:$D$12,0)),($C1453+$D1453*SQRT(-2*LN(RAND()))*COS(2*PI()*RAND()))*$E1453*$J1453*$K1453)))</x:f>
        <x:v>725.2325461076215</x:v>
      </x:c>
      <x:c r="H1453" s="11" t="n">
        <x:f>IF($A1453="","",$G1453*$F1453+$C1453*(1-$F1453))</x:f>
        <x:v>858.3313911376675</x:v>
      </x:c>
      <x:c r="I1453" s="11" t="n">
        <x:f>IF($A1453="","",AVERAGE($H1453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924.6718843177242</x:v>
      </x:c>
      <x:c r="J1453" s="12" t="n">
        <x:f>IF($A1453="","",1+SUMIFS(Assumptions!$S$5:$S$10,Assumptions!$P$5:$P$10,$B1453,Assumptions!$Q$5:$Q$10,"&lt;="&amp;$A1453,Assumptions!$R$5:$R$10,"&gt;="&amp;$A1453))</x:f>
        <x:v>1</x:v>
      </x:c>
      <x:c r="K1453" s="12" t="n">
        <x:f>IF($A1453="","",1+((($A1453-Assumptions!$B$5)/30)*INDEX(Assumptions!$J$5:$J$12,MATCH($B1453,Assumptions!$D$5:$D$12,0))))</x:f>
        <x:v>0.9903333333333333</x:v>
      </x:c>
      <x:c r="L1453" t="str">
        <x:f>IF($A1453="","",IFERROR(INDEX(Assumptions!$O$5:$O$10,MATCH(1,(Assumptions!$P$5:$P$10=$B1453)*(Assumptions!$Q$5:$Q$10&lt;=$A1453)*(Assumptions!$R$5:$R$10&gt;=$A1453),0)),""))</x:f>
      </x:c>
      <x:c r="M1453" t="n">
        <x:f>--($A1453&lt;&gt;"")</x:f>
        <x:v>1</x:v>
      </x:c>
    </x:row>
    <x:row r="1454">
      <x:c r="A1454" s="10" t="n">
        <x:f>IF(Assumptions!$B$5+INT((ROW()-2)/Assumptions!$B$7)&gt;Assumptions!$B$6,"",Assumptions!$B$5+INT((ROW()-2)/Assumptions!$B$7))</x:f>
        <x:v>46313</x:v>
      </x:c>
      <x:c r="B1454" t="str">
        <x:f>IF($A1454="","",INDEX(Assumptions!$D$5:$D$12,MOD(ROW()-2,Assumptions!$B$7)+1))</x:f>
        <x:v>Nostromo Deep</x:v>
      </x:c>
      <x:c r="C1454" s="11" t="n">
        <x:f>IF($A1454="","",INDEX(Assumptions!$F$5:$F$12,MATCH($B1454,Assumptions!$D$5:$D$12,0)))</x:f>
        <x:v>1260</x:v>
      </x:c>
      <x:c r="D1454" s="11" t="n">
        <x:f>IF($A1454="","",INDEX(Assumptions!$G$5:$G$12,MATCH($B1454,Assumptions!$D$5:$D$12,0)))</x:f>
        <x:v>145</x:v>
      </x:c>
      <x:c r="E1454" s="11" t="n">
        <x:f>IF($A1454="","",INDEX(Assumptions!$M$5:$M$11,WEEKDAY($A1454,2)))</x:f>
        <x:v>0.87</x:v>
      </x:c>
      <x:c r="F1454" s="11" t="n">
        <x:f>IF($A1454="","",Assumptions!$B$15)</x:f>
        <x:v>0.35</x:v>
      </x:c>
      <x:c r="G1454" s="11" t="n">
        <x:f>IF($A1454="","",MAX(INDEX(Assumptions!$H$5:$H$12,MATCH($B1454,Assumptions!$D$5:$D$12,0)),MIN(INDEX(Assumptions!$I$5:$I$12,MATCH($B1454,Assumptions!$D$5:$D$12,0)),($C1454+$D1454*SQRT(-2*LN(RAND()))*COS(2*PI()*RAND()))*$E1454*$J1454*$K1454)))</x:f>
        <x:v>1089.9997620026168</x:v>
      </x:c>
      <x:c r="H1454" s="11" t="n">
        <x:f>IF($A1454="","",$G1454*$F1454+$C1454*(1-$F1454))</x:f>
        <x:v>1200.499916700916</x:v>
      </x:c>
      <x:c r="I1454" s="11" t="n">
        <x:f>IF($A1454="","",AVERAGE($H1454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1248.7644069375212</x:v>
      </x:c>
      <x:c r="J1454" s="12" t="n">
        <x:f>IF($A1454="","",1+SUMIFS(Assumptions!$S$5:$S$10,Assumptions!$P$5:$P$10,$B1454,Assumptions!$Q$5:$Q$10,"&lt;="&amp;$A1454,Assumptions!$R$5:$R$10,"&gt;="&amp;$A1454))</x:f>
        <x:v>1</x:v>
      </x:c>
      <x:c r="K1454" s="12" t="n">
        <x:f>IF($A1454="","",1+((($A1454-Assumptions!$B$5)/30)*INDEX(Assumptions!$J$5:$J$12,MATCH($B1454,Assumptions!$D$5:$D$12,0))))</x:f>
        <x:v>1.029</x:v>
      </x:c>
      <x:c r="L1454" t="str">
        <x:f>IF($A1454="","",IFERROR(INDEX(Assumptions!$O$5:$O$10,MATCH(1,(Assumptions!$P$5:$P$10=$B1454)*(Assumptions!$Q$5:$Q$10&lt;=$A1454)*(Assumptions!$R$5:$R$10&gt;=$A1454),0)),""))</x:f>
      </x:c>
      <x:c r="M1454" t="n">
        <x:f>--($A1454&lt;&gt;"")</x:f>
        <x:v>1</x:v>
      </x:c>
    </x:row>
    <x:row r="1455">
      <x:c r="A1455" s="10" t="n">
        <x:f>IF(Assumptions!$B$5+INT((ROW()-2)/Assumptions!$B$7)&gt;Assumptions!$B$6,"",Assumptions!$B$5+INT((ROW()-2)/Assumptions!$B$7))</x:f>
        <x:v>46313</x:v>
      </x:c>
      <x:c r="B1455" t="str">
        <x:f>IF($A1455="","",INDEX(Assumptions!$D$5:$D$12,MOD(ROW()-2,Assumptions!$B$7)+1))</x:f>
        <x:v>Hadley's Hope</x:v>
      </x:c>
      <x:c r="C1455" s="11" t="n">
        <x:f>IF($A1455="","",INDEX(Assumptions!$F$5:$F$12,MATCH($B1455,Assumptions!$D$5:$D$12,0)))</x:f>
        <x:v>845</x:v>
      </x:c>
      <x:c r="D1455" s="11" t="n">
        <x:f>IF($A1455="","",INDEX(Assumptions!$G$5:$G$12,MATCH($B1455,Assumptions!$D$5:$D$12,0)))</x:f>
        <x:v>80</x:v>
      </x:c>
      <x:c r="E1455" s="11" t="n">
        <x:f>IF($A1455="","",INDEX(Assumptions!$M$5:$M$11,WEEKDAY($A1455,2)))</x:f>
        <x:v>0.87</x:v>
      </x:c>
      <x:c r="F1455" s="11" t="n">
        <x:f>IF($A1455="","",Assumptions!$B$15)</x:f>
        <x:v>0.35</x:v>
      </x:c>
      <x:c r="G1455" s="11" t="n">
        <x:f>IF($A1455="","",MAX(INDEX(Assumptions!$H$5:$H$12,MATCH($B1455,Assumptions!$D$5:$D$12,0)),MIN(INDEX(Assumptions!$I$5:$I$12,MATCH($B1455,Assumptions!$D$5:$D$12,0)),($C1455+$D1455*SQRT(-2*LN(RAND()))*COS(2*PI()*RAND()))*$E1455*$J1455*$K1455)))</x:f>
        <x:v>811.5689803457128</x:v>
      </x:c>
      <x:c r="H1455" s="11" t="n">
        <x:f>IF($A1455="","",$G1455*$F1455+$C1455*(1-$F1455))</x:f>
        <x:v>833.2991431209995</x:v>
      </x:c>
      <x:c r="I1455" s="11" t="n">
        <x:f>IF($A1455="","",AVERAGE($H1455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842.445429408039</x:v>
      </x:c>
      <x:c r="J1455" s="12" t="n">
        <x:f>IF($A1455="","",1+SUMIFS(Assumptions!$S$5:$S$10,Assumptions!$P$5:$P$10,$B1455,Assumptions!$Q$5:$Q$10,"&lt;="&amp;$A1455,Assumptions!$R$5:$R$10,"&gt;="&amp;$A1455))</x:f>
        <x:v>1</x:v>
      </x:c>
      <x:c r="K1455" s="12" t="n">
        <x:f>IF($A1455="","",1+((($A1455-Assumptions!$B$5)/30)*INDEX(Assumptions!$J$5:$J$12,MATCH($B1455,Assumptions!$D$5:$D$12,0))))</x:f>
        <x:v>1.0096666666666667</x:v>
      </x:c>
      <x:c r="L1455" t="str">
        <x:f>IF($A1455="","",IFERROR(INDEX(Assumptions!$O$5:$O$10,MATCH(1,(Assumptions!$P$5:$P$10=$B1455)*(Assumptions!$Q$5:$Q$10&lt;=$A1455)*(Assumptions!$R$5:$R$10&gt;=$A1455),0)),""))</x:f>
      </x:c>
      <x:c r="M1455" t="n">
        <x:f>--($A1455&lt;&gt;"")</x:f>
        <x:v>1</x:v>
      </x:c>
    </x:row>
    <x:row r="1456">
      <x:c r="A1456" s="10" t="n">
        <x:f>IF(Assumptions!$B$5+INT((ROW()-2)/Assumptions!$B$7)&gt;Assumptions!$B$6,"",Assumptions!$B$5+INT((ROW()-2)/Assumptions!$B$7))</x:f>
        <x:v>46313</x:v>
      </x:c>
      <x:c r="B1456" t="str">
        <x:f>IF($A1456="","",INDEX(Assumptions!$D$5:$D$12,MOD(ROW()-2,Assumptions!$B$7)+1))</x:f>
        <x:v>Yutani Ridge</x:v>
      </x:c>
      <x:c r="C1456" s="11" t="n">
        <x:f>IF($A1456="","",INDEX(Assumptions!$F$5:$F$12,MATCH($B1456,Assumptions!$D$5:$D$12,0)))</x:f>
        <x:v>1050</x:v>
      </x:c>
      <x:c r="D1456" s="11" t="n">
        <x:f>IF($A1456="","",INDEX(Assumptions!$G$5:$G$12,MATCH($B1456,Assumptions!$D$5:$D$12,0)))</x:f>
        <x:v>125</x:v>
      </x:c>
      <x:c r="E1456" s="11" t="n">
        <x:f>IF($A1456="","",INDEX(Assumptions!$M$5:$M$11,WEEKDAY($A1456,2)))</x:f>
        <x:v>0.87</x:v>
      </x:c>
      <x:c r="F1456" s="11" t="n">
        <x:f>IF($A1456="","",Assumptions!$B$15)</x:f>
        <x:v>0.35</x:v>
      </x:c>
      <x:c r="G1456" s="11" t="n">
        <x:f>IF($A1456="","",MAX(INDEX(Assumptions!$H$5:$H$12,MATCH($B1456,Assumptions!$D$5:$D$12,0)),MIN(INDEX(Assumptions!$I$5:$I$12,MATCH($B1456,Assumptions!$D$5:$D$12,0)),($C1456+$D1456*SQRT(-2*LN(RAND()))*COS(2*PI()*RAND()))*$E1456*$J1456*$K1456)))</x:f>
        <x:v>962.7202275964295</x:v>
      </x:c>
      <x:c r="H1456" s="11" t="n">
        <x:f>IF($A1456="","",$G1456*$F1456+$C1456*(1-$F1456))</x:f>
        <x:v>1019.4520796587503</x:v>
      </x:c>
      <x:c r="I1456" s="11" t="n">
        <x:f>IF($A1456="","",AVERAGE($H1456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1071.9483115839732</x:v>
      </x:c>
      <x:c r="J1456" s="12" t="n">
        <x:f>IF($A1456="","",1+SUMIFS(Assumptions!$S$5:$S$10,Assumptions!$P$5:$P$10,$B1456,Assumptions!$Q$5:$Q$10,"&lt;="&amp;$A1456,Assumptions!$R$5:$R$10,"&gt;="&amp;$A1456))</x:f>
        <x:v>1</x:v>
      </x:c>
      <x:c r="K1456" s="12" t="n">
        <x:f>IF($A1456="","",1+((($A1456-Assumptions!$B$5)/30)*INDEX(Assumptions!$J$5:$J$12,MATCH($B1456,Assumptions!$D$5:$D$12,0))))</x:f>
        <x:v>1.0241666666666667</x:v>
      </x:c>
      <x:c r="L1456" t="str">
        <x:f>IF($A1456="","",IFERROR(INDEX(Assumptions!$O$5:$O$10,MATCH(1,(Assumptions!$P$5:$P$10=$B1456)*(Assumptions!$Q$5:$Q$10&lt;=$A1456)*(Assumptions!$R$5:$R$10&gt;=$A1456),0)),""))</x:f>
      </x:c>
      <x:c r="M1456" t="n">
        <x:f>--($A1456&lt;&gt;"")</x:f>
        <x:v>1</x:v>
      </x:c>
    </x:row>
    <x:row r="1457">
      <x:c r="A1457" s="10" t="n">
        <x:f>IF(Assumptions!$B$5+INT((ROW()-2)/Assumptions!$B$7)&gt;Assumptions!$B$6,"",Assumptions!$B$5+INT((ROW()-2)/Assumptions!$B$7))</x:f>
        <x:v>46314</x:v>
      </x:c>
      <x:c r="B1457" t="str">
        <x:f>IF($A1457="","",INDEX(Assumptions!$D$5:$D$12,MOD(ROW()-2,Assumptions!$B$7)+1))</x:f>
        <x:v>Acheron Prime</x:v>
      </x:c>
      <x:c r="C1457" s="11" t="n">
        <x:f>IF($A1457="","",INDEX(Assumptions!$F$5:$F$12,MATCH($B1457,Assumptions!$D$5:$D$12,0)))</x:f>
        <x:v>1120</x:v>
      </x:c>
      <x:c r="D1457" s="11" t="n">
        <x:f>IF($A1457="","",INDEX(Assumptions!$G$5:$G$12,MATCH($B1457,Assumptions!$D$5:$D$12,0)))</x:f>
        <x:v>115</x:v>
      </x:c>
      <x:c r="E1457" s="11" t="n">
        <x:f>IF($A1457="","",INDEX(Assumptions!$M$5:$M$11,WEEKDAY($A1457,2)))</x:f>
        <x:v>1.03</x:v>
      </x:c>
      <x:c r="F1457" s="11" t="n">
        <x:f>IF($A1457="","",Assumptions!$B$15)</x:f>
        <x:v>0.35</x:v>
      </x:c>
      <x:c r="G1457" s="11" t="n">
        <x:f>IF($A1457="","",MAX(INDEX(Assumptions!$H$5:$H$12,MATCH($B1457,Assumptions!$D$5:$D$12,0)),MIN(INDEX(Assumptions!$I$5:$I$12,MATCH($B1457,Assumptions!$D$5:$D$12,0)),($C1457+$D1457*SQRT(-2*LN(RAND()))*COS(2*PI()*RAND()))*$E1457*$J1457*$K1457)))</x:f>
        <x:v>982.4369018868</x:v>
      </x:c>
      <x:c r="H1457" s="11" t="n">
        <x:f>IF($A1457="","",$G1457*$F1457+$C1457*(1-$F1457))</x:f>
        <x:v>1071.85291566038</x:v>
      </x:c>
      <x:c r="I1457" s="11" t="n">
        <x:f>IF($A1457="","",AVERAGE($H1457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1106.575821849896</x:v>
      </x:c>
      <x:c r="J1457" s="12" t="n">
        <x:f>IF($A1457="","",1+SUMIFS(Assumptions!$S$5:$S$10,Assumptions!$P$5:$P$10,$B1457,Assumptions!$Q$5:$Q$10,"&lt;="&amp;$A1457,Assumptions!$R$5:$R$10,"&gt;="&amp;$A1457))</x:f>
        <x:v>1</x:v>
      </x:c>
      <x:c r="K1457" s="12" t="n">
        <x:f>IF($A1457="","",1+((($A1457-Assumptions!$B$5)/30)*INDEX(Assumptions!$J$5:$J$12,MATCH($B1457,Assumptions!$D$5:$D$12,0))))</x:f>
        <x:v>1.0194</x:v>
      </x:c>
      <x:c r="L1457" t="str">
        <x:f>IF($A1457="","",IFERROR(INDEX(Assumptions!$O$5:$O$10,MATCH(1,(Assumptions!$P$5:$P$10=$B1457)*(Assumptions!$Q$5:$Q$10&lt;=$A1457)*(Assumptions!$R$5:$R$10&gt;=$A1457),0)),""))</x:f>
      </x:c>
      <x:c r="M1457" t="n">
        <x:f>--($A1457&lt;&gt;"")</x:f>
        <x:v>1</x:v>
      </x:c>
    </x:row>
    <x:row r="1458">
      <x:c r="A1458" s="10" t="n">
        <x:f>IF(Assumptions!$B$5+INT((ROW()-2)/Assumptions!$B$7)&gt;Assumptions!$B$6,"",Assumptions!$B$5+INT((ROW()-2)/Assumptions!$B$7))</x:f>
        <x:v>46314</x:v>
      </x:c>
      <x:c r="B1458" t="str">
        <x:f>IF($A1458="","",INDEX(Assumptions!$D$5:$D$12,MOD(ROW()-2,Assumptions!$B$7)+1))</x:f>
        <x:v>LV-426 North</x:v>
      </x:c>
      <x:c r="C1458" s="11" t="n">
        <x:f>IF($A1458="","",INDEX(Assumptions!$F$5:$F$12,MATCH($B1458,Assumptions!$D$5:$D$12,0)))</x:f>
        <x:v>930</x:v>
      </x:c>
      <x:c r="D1458" s="11" t="n">
        <x:f>IF($A1458="","",INDEX(Assumptions!$G$5:$G$12,MATCH($B1458,Assumptions!$D$5:$D$12,0)))</x:f>
        <x:v>95</x:v>
      </x:c>
      <x:c r="E1458" s="11" t="n">
        <x:f>IF($A1458="","",INDEX(Assumptions!$M$5:$M$11,WEEKDAY($A1458,2)))</x:f>
        <x:v>1.03</x:v>
      </x:c>
      <x:c r="F1458" s="11" t="n">
        <x:f>IF($A1458="","",Assumptions!$B$15)</x:f>
        <x:v>0.35</x:v>
      </x:c>
      <x:c r="G1458" s="11" t="n">
        <x:f>IF($A1458="","",MAX(INDEX(Assumptions!$H$5:$H$12,MATCH($B1458,Assumptions!$D$5:$D$12,0)),MIN(INDEX(Assumptions!$I$5:$I$12,MATCH($B1458,Assumptions!$D$5:$D$12,0)),($C1458+$D1458*SQRT(-2*LN(RAND()))*COS(2*PI()*RAND()))*$E1458*$J1458*$K1458)))</x:f>
        <x:v>992.7820606943361</x:v>
      </x:c>
      <x:c r="H1458" s="11" t="n">
        <x:f>IF($A1458="","",$G1458*$F1458+$C1458*(1-$F1458))</x:f>
        <x:v>951.9737212430176</x:v>
      </x:c>
      <x:c r="I1458" s="11" t="n">
        <x:f>IF($A1458="","",AVERAGE($H1458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934.162738160061</x:v>
      </x:c>
      <x:c r="J1458" s="12" t="n">
        <x:f>IF($A1458="","",1+SUMIFS(Assumptions!$S$5:$S$10,Assumptions!$P$5:$P$10,$B1458,Assumptions!$Q$5:$Q$10,"&lt;="&amp;$A1458,Assumptions!$R$5:$R$10,"&gt;="&amp;$A1458))</x:f>
        <x:v>1</x:v>
      </x:c>
      <x:c r="K1458" s="12" t="n">
        <x:f>IF($A1458="","",1+((($A1458-Assumptions!$B$5)/30)*INDEX(Assumptions!$J$5:$J$12,MATCH($B1458,Assumptions!$D$5:$D$12,0))))</x:f>
        <x:v>0.9903</x:v>
      </x:c>
      <x:c r="L1458" t="str">
        <x:f>IF($A1458="","",IFERROR(INDEX(Assumptions!$O$5:$O$10,MATCH(1,(Assumptions!$P$5:$P$10=$B1458)*(Assumptions!$Q$5:$Q$10&lt;=$A1458)*(Assumptions!$R$5:$R$10&gt;=$A1458),0)),""))</x:f>
      </x:c>
      <x:c r="M1458" t="n">
        <x:f>--($A1458&lt;&gt;"")</x:f>
        <x:v>1</x:v>
      </x:c>
    </x:row>
    <x:row r="1459">
      <x:c r="A1459" s="10" t="n">
        <x:f>IF(Assumptions!$B$5+INT((ROW()-2)/Assumptions!$B$7)&gt;Assumptions!$B$6,"",Assumptions!$B$5+INT((ROW()-2)/Assumptions!$B$7))</x:f>
        <x:v>46314</x:v>
      </x:c>
      <x:c r="B1459" t="str">
        <x:f>IF($A1459="","",INDEX(Assumptions!$D$5:$D$12,MOD(ROW()-2,Assumptions!$B$7)+1))</x:f>
        <x:v>Nostromo Deep</x:v>
      </x:c>
      <x:c r="C1459" s="11" t="n">
        <x:f>IF($A1459="","",INDEX(Assumptions!$F$5:$F$12,MATCH($B1459,Assumptions!$D$5:$D$12,0)))</x:f>
        <x:v>1260</x:v>
      </x:c>
      <x:c r="D1459" s="11" t="n">
        <x:f>IF($A1459="","",INDEX(Assumptions!$G$5:$G$12,MATCH($B1459,Assumptions!$D$5:$D$12,0)))</x:f>
        <x:v>145</x:v>
      </x:c>
      <x:c r="E1459" s="11" t="n">
        <x:f>IF($A1459="","",INDEX(Assumptions!$M$5:$M$11,WEEKDAY($A1459,2)))</x:f>
        <x:v>1.03</x:v>
      </x:c>
      <x:c r="F1459" s="11" t="n">
        <x:f>IF($A1459="","",Assumptions!$B$15)</x:f>
        <x:v>0.35</x:v>
      </x:c>
      <x:c r="G1459" s="11" t="n">
        <x:f>IF($A1459="","",MAX(INDEX(Assumptions!$H$5:$H$12,MATCH($B1459,Assumptions!$D$5:$D$12,0)),MIN(INDEX(Assumptions!$I$5:$I$12,MATCH($B1459,Assumptions!$D$5:$D$12,0)),($C1459+$D1459*SQRT(-2*LN(RAND()))*COS(2*PI()*RAND()))*$E1459*$J1459*$K1459)))</x:f>
        <x:v>1477.8222500669738</x:v>
      </x:c>
      <x:c r="H1459" s="11" t="n">
        <x:f>IF($A1459="","",$G1459*$F1459+$C1459*(1-$F1459))</x:f>
        <x:v>1336.2377875234408</x:v>
      </x:c>
      <x:c r="I1459" s="11" t="n">
        <x:f>IF($A1459="","",AVERAGE($H1459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1256.5502894276049</x:v>
      </x:c>
      <x:c r="J1459" s="12" t="n">
        <x:f>IF($A1459="","",1+SUMIFS(Assumptions!$S$5:$S$10,Assumptions!$P$5:$P$10,$B1459,Assumptions!$Q$5:$Q$10,"&lt;="&amp;$A1459,Assumptions!$R$5:$R$10,"&gt;="&amp;$A1459))</x:f>
        <x:v>1</x:v>
      </x:c>
      <x:c r="K1459" s="12" t="n">
        <x:f>IF($A1459="","",1+((($A1459-Assumptions!$B$5)/30)*INDEX(Assumptions!$J$5:$J$12,MATCH($B1459,Assumptions!$D$5:$D$12,0))))</x:f>
        <x:v>1.0291</x:v>
      </x:c>
      <x:c r="L1459" t="str">
        <x:f>IF($A1459="","",IFERROR(INDEX(Assumptions!$O$5:$O$10,MATCH(1,(Assumptions!$P$5:$P$10=$B1459)*(Assumptions!$Q$5:$Q$10&lt;=$A1459)*(Assumptions!$R$5:$R$10&gt;=$A1459),0)),""))</x:f>
      </x:c>
      <x:c r="M1459" t="n">
        <x:f>--($A1459&lt;&gt;"")</x:f>
        <x:v>1</x:v>
      </x:c>
    </x:row>
    <x:row r="1460">
      <x:c r="A1460" s="10" t="n">
        <x:f>IF(Assumptions!$B$5+INT((ROW()-2)/Assumptions!$B$7)&gt;Assumptions!$B$6,"",Assumptions!$B$5+INT((ROW()-2)/Assumptions!$B$7))</x:f>
        <x:v>46314</x:v>
      </x:c>
      <x:c r="B1460" t="str">
        <x:f>IF($A1460="","",INDEX(Assumptions!$D$5:$D$12,MOD(ROW()-2,Assumptions!$B$7)+1))</x:f>
        <x:v>Hadley's Hope</x:v>
      </x:c>
      <x:c r="C1460" s="11" t="n">
        <x:f>IF($A1460="","",INDEX(Assumptions!$F$5:$F$12,MATCH($B1460,Assumptions!$D$5:$D$12,0)))</x:f>
        <x:v>845</x:v>
      </x:c>
      <x:c r="D1460" s="11" t="n">
        <x:f>IF($A1460="","",INDEX(Assumptions!$G$5:$G$12,MATCH($B1460,Assumptions!$D$5:$D$12,0)))</x:f>
        <x:v>80</x:v>
      </x:c>
      <x:c r="E1460" s="11" t="n">
        <x:f>IF($A1460="","",INDEX(Assumptions!$M$5:$M$11,WEEKDAY($A1460,2)))</x:f>
        <x:v>1.03</x:v>
      </x:c>
      <x:c r="F1460" s="11" t="n">
        <x:f>IF($A1460="","",Assumptions!$B$15)</x:f>
        <x:v>0.35</x:v>
      </x:c>
      <x:c r="G1460" s="11" t="n">
        <x:f>IF($A1460="","",MAX(INDEX(Assumptions!$H$5:$H$12,MATCH($B1460,Assumptions!$D$5:$D$12,0)),MIN(INDEX(Assumptions!$I$5:$I$12,MATCH($B1460,Assumptions!$D$5:$D$12,0)),($C1460+$D1460*SQRT(-2*LN(RAND()))*COS(2*PI()*RAND()))*$E1460*$J1460*$K1460)))</x:f>
        <x:v>752.7301300862853</x:v>
      </x:c>
      <x:c r="H1460" s="11" t="n">
        <x:f>IF($A1460="","",$G1460*$F1460+$C1460*(1-$F1460))</x:f>
        <x:v>812.7055455301999</x:v>
      </x:c>
      <x:c r="I1460" s="11" t="n">
        <x:f>IF($A1460="","",AVERAGE($H1460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841.4737128832979</x:v>
      </x:c>
      <x:c r="J1460" s="12" t="n">
        <x:f>IF($A1460="","",1+SUMIFS(Assumptions!$S$5:$S$10,Assumptions!$P$5:$P$10,$B1460,Assumptions!$Q$5:$Q$10,"&lt;="&amp;$A1460,Assumptions!$R$5:$R$10,"&gt;="&amp;$A1460))</x:f>
        <x:v>1</x:v>
      </x:c>
      <x:c r="K1460" s="12" t="n">
        <x:f>IF($A1460="","",1+((($A1460-Assumptions!$B$5)/30)*INDEX(Assumptions!$J$5:$J$12,MATCH($B1460,Assumptions!$D$5:$D$12,0))))</x:f>
        <x:v>1.0097</x:v>
      </x:c>
      <x:c r="L1460" t="str">
        <x:f>IF($A1460="","",IFERROR(INDEX(Assumptions!$O$5:$O$10,MATCH(1,(Assumptions!$P$5:$P$10=$B1460)*(Assumptions!$Q$5:$Q$10&lt;=$A1460)*(Assumptions!$R$5:$R$10&gt;=$A1460),0)),""))</x:f>
      </x:c>
      <x:c r="M1460" t="n">
        <x:f>--($A1460&lt;&gt;"")</x:f>
        <x:v>1</x:v>
      </x:c>
    </x:row>
    <x:row r="1461">
      <x:c r="A1461" s="10" t="n">
        <x:f>IF(Assumptions!$B$5+INT((ROW()-2)/Assumptions!$B$7)&gt;Assumptions!$B$6,"",Assumptions!$B$5+INT((ROW()-2)/Assumptions!$B$7))</x:f>
        <x:v>46314</x:v>
      </x:c>
      <x:c r="B1461" t="str">
        <x:f>IF($A1461="","",INDEX(Assumptions!$D$5:$D$12,MOD(ROW()-2,Assumptions!$B$7)+1))</x:f>
        <x:v>Yutani Ridge</x:v>
      </x:c>
      <x:c r="C1461" s="11" t="n">
        <x:f>IF($A1461="","",INDEX(Assumptions!$F$5:$F$12,MATCH($B1461,Assumptions!$D$5:$D$12,0)))</x:f>
        <x:v>1050</x:v>
      </x:c>
      <x:c r="D1461" s="11" t="n">
        <x:f>IF($A1461="","",INDEX(Assumptions!$G$5:$G$12,MATCH($B1461,Assumptions!$D$5:$D$12,0)))</x:f>
        <x:v>125</x:v>
      </x:c>
      <x:c r="E1461" s="11" t="n">
        <x:f>IF($A1461="","",INDEX(Assumptions!$M$5:$M$11,WEEKDAY($A1461,2)))</x:f>
        <x:v>1.03</x:v>
      </x:c>
      <x:c r="F1461" s="11" t="n">
        <x:f>IF($A1461="","",Assumptions!$B$15)</x:f>
        <x:v>0.35</x:v>
      </x:c>
      <x:c r="G1461" s="11" t="n">
        <x:f>IF($A1461="","",MAX(INDEX(Assumptions!$H$5:$H$12,MATCH($B1461,Assumptions!$D$5:$D$12,0)),MIN(INDEX(Assumptions!$I$5:$I$12,MATCH($B1461,Assumptions!$D$5:$D$12,0)),($C1461+$D1461*SQRT(-2*LN(RAND()))*COS(2*PI()*RAND()))*$E1461*$J1461*$K1461)))</x:f>
        <x:v>1276.071216113375</x:v>
      </x:c>
      <x:c r="H1461" s="11" t="n">
        <x:f>IF($A1461="","",$G1461*$F1461+$C1461*(1-$F1461))</x:f>
        <x:v>1129.1249256396811</x:v>
      </x:c>
      <x:c r="I1461" s="11" t="n">
        <x:f>IF($A1461="","",AVERAGE($H1461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1075.7999012798914</x:v>
      </x:c>
      <x:c r="J1461" s="12" t="n">
        <x:f>IF($A1461="","",1+SUMIFS(Assumptions!$S$5:$S$10,Assumptions!$P$5:$P$10,$B1461,Assumptions!$Q$5:$Q$10,"&lt;="&amp;$A1461,Assumptions!$R$5:$R$10,"&gt;="&amp;$A1461))</x:f>
        <x:v>1</x:v>
      </x:c>
      <x:c r="K1461" s="12" t="n">
        <x:f>IF($A1461="","",1+((($A1461-Assumptions!$B$5)/30)*INDEX(Assumptions!$J$5:$J$12,MATCH($B1461,Assumptions!$D$5:$D$12,0))))</x:f>
        <x:v>1.02425</x:v>
      </x:c>
      <x:c r="L1461" t="str">
        <x:f>IF($A1461="","",IFERROR(INDEX(Assumptions!$O$5:$O$10,MATCH(1,(Assumptions!$P$5:$P$10=$B1461)*(Assumptions!$Q$5:$Q$10&lt;=$A1461)*(Assumptions!$R$5:$R$10&gt;=$A1461),0)),""))</x:f>
      </x:c>
      <x:c r="M1461" t="n">
        <x:f>--($A1461&lt;&gt;"")</x:f>
        <x:v>1</x:v>
      </x:c>
    </x:row>
    <x:row r="1462">
      <x:c r="A1462" s="10" t="n">
        <x:f>IF(Assumptions!$B$5+INT((ROW()-2)/Assumptions!$B$7)&gt;Assumptions!$B$6,"",Assumptions!$B$5+INT((ROW()-2)/Assumptions!$B$7))</x:f>
        <x:v>46315</x:v>
      </x:c>
      <x:c r="B1462" t="str">
        <x:f>IF($A1462="","",INDEX(Assumptions!$D$5:$D$12,MOD(ROW()-2,Assumptions!$B$7)+1))</x:f>
        <x:v>Acheron Prime</x:v>
      </x:c>
      <x:c r="C1462" s="11" t="n">
        <x:f>IF($A1462="","",INDEX(Assumptions!$F$5:$F$12,MATCH($B1462,Assumptions!$D$5:$D$12,0)))</x:f>
        <x:v>1120</x:v>
      </x:c>
      <x:c r="D1462" s="11" t="n">
        <x:f>IF($A1462="","",INDEX(Assumptions!$G$5:$G$12,MATCH($B1462,Assumptions!$D$5:$D$12,0)))</x:f>
        <x:v>115</x:v>
      </x:c>
      <x:c r="E1462" s="11" t="n">
        <x:f>IF($A1462="","",INDEX(Assumptions!$M$5:$M$11,WEEKDAY($A1462,2)))</x:f>
        <x:v>1.02</x:v>
      </x:c>
      <x:c r="F1462" s="11" t="n">
        <x:f>IF($A1462="","",Assumptions!$B$15)</x:f>
        <x:v>0.35</x:v>
      </x:c>
      <x:c r="G1462" s="11" t="n">
        <x:f>IF($A1462="","",MAX(INDEX(Assumptions!$H$5:$H$12,MATCH($B1462,Assumptions!$D$5:$D$12,0)),MIN(INDEX(Assumptions!$I$5:$I$12,MATCH($B1462,Assumptions!$D$5:$D$12,0)),($C1462+$D1462*SQRT(-2*LN(RAND()))*COS(2*PI()*RAND()))*$E1462*$J1462*$K1462)))</x:f>
        <x:v>1266.067229669252</x:v>
      </x:c>
      <x:c r="H1462" s="11" t="n">
        <x:f>IF($A1462="","",$G1462*$F1462+$C1462*(1-$F1462))</x:f>
        <x:v>1171.1235303842382</x:v>
      </x:c>
      <x:c r="I1462" s="11" t="n">
        <x:f>IF($A1462="","",AVERAGE($H1462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1116.9643312765677</x:v>
      </x:c>
      <x:c r="J1462" s="12" t="n">
        <x:f>IF($A1462="","",1+SUMIFS(Assumptions!$S$5:$S$10,Assumptions!$P$5:$P$10,$B1462,Assumptions!$Q$5:$Q$10,"&lt;="&amp;$A1462,Assumptions!$R$5:$R$10,"&gt;="&amp;$A1462))</x:f>
        <x:v>1</x:v>
      </x:c>
      <x:c r="K1462" s="12" t="n">
        <x:f>IF($A1462="","",1+((($A1462-Assumptions!$B$5)/30)*INDEX(Assumptions!$J$5:$J$12,MATCH($B1462,Assumptions!$D$5:$D$12,0))))</x:f>
        <x:v>1.0194666666666667</x:v>
      </x:c>
      <x:c r="L1462" t="str">
        <x:f>IF($A1462="","",IFERROR(INDEX(Assumptions!$O$5:$O$10,MATCH(1,(Assumptions!$P$5:$P$10=$B1462)*(Assumptions!$Q$5:$Q$10&lt;=$A1462)*(Assumptions!$R$5:$R$10&gt;=$A1462),0)),""))</x:f>
      </x:c>
      <x:c r="M1462" t="n">
        <x:f>--($A1462&lt;&gt;"")</x:f>
        <x:v>1</x:v>
      </x:c>
    </x:row>
    <x:row r="1463">
      <x:c r="A1463" s="10" t="n">
        <x:f>IF(Assumptions!$B$5+INT((ROW()-2)/Assumptions!$B$7)&gt;Assumptions!$B$6,"",Assumptions!$B$5+INT((ROW()-2)/Assumptions!$B$7))</x:f>
        <x:v>46315</x:v>
      </x:c>
      <x:c r="B1463" t="str">
        <x:f>IF($A1463="","",INDEX(Assumptions!$D$5:$D$12,MOD(ROW()-2,Assumptions!$B$7)+1))</x:f>
        <x:v>LV-426 North</x:v>
      </x:c>
      <x:c r="C1463" s="11" t="n">
        <x:f>IF($A1463="","",INDEX(Assumptions!$F$5:$F$12,MATCH($B1463,Assumptions!$D$5:$D$12,0)))</x:f>
        <x:v>930</x:v>
      </x:c>
      <x:c r="D1463" s="11" t="n">
        <x:f>IF($A1463="","",INDEX(Assumptions!$G$5:$G$12,MATCH($B1463,Assumptions!$D$5:$D$12,0)))</x:f>
        <x:v>95</x:v>
      </x:c>
      <x:c r="E1463" s="11" t="n">
        <x:f>IF($A1463="","",INDEX(Assumptions!$M$5:$M$11,WEEKDAY($A1463,2)))</x:f>
        <x:v>1.02</x:v>
      </x:c>
      <x:c r="F1463" s="11" t="n">
        <x:f>IF($A1463="","",Assumptions!$B$15)</x:f>
        <x:v>0.35</x:v>
      </x:c>
      <x:c r="G1463" s="11" t="n">
        <x:f>IF($A1463="","",MAX(INDEX(Assumptions!$H$5:$H$12,MATCH($B1463,Assumptions!$D$5:$D$12,0)),MIN(INDEX(Assumptions!$I$5:$I$12,MATCH($B1463,Assumptions!$D$5:$D$12,0)),($C1463+$D1463*SQRT(-2*LN(RAND()))*COS(2*PI()*RAND()))*$E1463*$J1463*$K1463)))</x:f>
        <x:v>1061.7725326300304</x:v>
      </x:c>
      <x:c r="H1463" s="11" t="n">
        <x:f>IF($A1463="","",$G1463*$F1463+$C1463*(1-$F1463))</x:f>
        <x:v>976.1203864205106</x:v>
      </x:c>
      <x:c r="I1463" s="11" t="n">
        <x:f>IF($A1463="","",AVERAGE($H1463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929.989665425368</x:v>
      </x:c>
      <x:c r="J1463" s="12" t="n">
        <x:f>IF($A1463="","",1+SUMIFS(Assumptions!$S$5:$S$10,Assumptions!$P$5:$P$10,$B1463,Assumptions!$Q$5:$Q$10,"&lt;="&amp;$A1463,Assumptions!$R$5:$R$10,"&gt;="&amp;$A1463))</x:f>
        <x:v>1</x:v>
      </x:c>
      <x:c r="K1463" s="12" t="n">
        <x:f>IF($A1463="","",1+((($A1463-Assumptions!$B$5)/30)*INDEX(Assumptions!$J$5:$J$12,MATCH($B1463,Assumptions!$D$5:$D$12,0))))</x:f>
        <x:v>0.9902666666666666</x:v>
      </x:c>
      <x:c r="L1463" t="str">
        <x:f>IF($A1463="","",IFERROR(INDEX(Assumptions!$O$5:$O$10,MATCH(1,(Assumptions!$P$5:$P$10=$B1463)*(Assumptions!$Q$5:$Q$10&lt;=$A1463)*(Assumptions!$R$5:$R$10&gt;=$A1463),0)),""))</x:f>
      </x:c>
      <x:c r="M1463" t="n">
        <x:f>--($A1463&lt;&gt;"")</x:f>
        <x:v>1</x:v>
      </x:c>
    </x:row>
    <x:row r="1464">
      <x:c r="A1464" s="10" t="n">
        <x:f>IF(Assumptions!$B$5+INT((ROW()-2)/Assumptions!$B$7)&gt;Assumptions!$B$6,"",Assumptions!$B$5+INT((ROW()-2)/Assumptions!$B$7))</x:f>
        <x:v>46315</x:v>
      </x:c>
      <x:c r="B1464" t="str">
        <x:f>IF($A1464="","",INDEX(Assumptions!$D$5:$D$12,MOD(ROW()-2,Assumptions!$B$7)+1))</x:f>
        <x:v>Nostromo Deep</x:v>
      </x:c>
      <x:c r="C1464" s="11" t="n">
        <x:f>IF($A1464="","",INDEX(Assumptions!$F$5:$F$12,MATCH($B1464,Assumptions!$D$5:$D$12,0)))</x:f>
        <x:v>1260</x:v>
      </x:c>
      <x:c r="D1464" s="11" t="n">
        <x:f>IF($A1464="","",INDEX(Assumptions!$G$5:$G$12,MATCH($B1464,Assumptions!$D$5:$D$12,0)))</x:f>
        <x:v>145</x:v>
      </x:c>
      <x:c r="E1464" s="11" t="n">
        <x:f>IF($A1464="","",INDEX(Assumptions!$M$5:$M$11,WEEKDAY($A1464,2)))</x:f>
        <x:v>1.02</x:v>
      </x:c>
      <x:c r="F1464" s="11" t="n">
        <x:f>IF($A1464="","",Assumptions!$B$15)</x:f>
        <x:v>0.35</x:v>
      </x:c>
      <x:c r="G1464" s="11" t="n">
        <x:f>IF($A1464="","",MAX(INDEX(Assumptions!$H$5:$H$12,MATCH($B1464,Assumptions!$D$5:$D$12,0)),MIN(INDEX(Assumptions!$I$5:$I$12,MATCH($B1464,Assumptions!$D$5:$D$12,0)),($C1464+$D1464*SQRT(-2*LN(RAND()))*COS(2*PI()*RAND()))*$E1464*$J1464*$K1464)))</x:f>
        <x:v>1429.0834268009046</x:v>
      </x:c>
      <x:c r="H1464" s="11" t="n">
        <x:f>IF($A1464="","",$G1464*$F1464+$C1464*(1-$F1464))</x:f>
        <x:v>1319.1791993803165</x:v>
      </x:c>
      <x:c r="I1464" s="11" t="n">
        <x:f>IF($A1464="","",AVERAGE($H1464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1267.0047520410099</x:v>
      </x:c>
      <x:c r="J1464" s="12" t="n">
        <x:f>IF($A1464="","",1+SUMIFS(Assumptions!$S$5:$S$10,Assumptions!$P$5:$P$10,$B1464,Assumptions!$Q$5:$Q$10,"&lt;="&amp;$A1464,Assumptions!$R$5:$R$10,"&gt;="&amp;$A1464))</x:f>
        <x:v>1</x:v>
      </x:c>
      <x:c r="K1464" s="12" t="n">
        <x:f>IF($A1464="","",1+((($A1464-Assumptions!$B$5)/30)*INDEX(Assumptions!$J$5:$J$12,MATCH($B1464,Assumptions!$D$5:$D$12,0))))</x:f>
        <x:v>1.0292</x:v>
      </x:c>
      <x:c r="L1464" t="str">
        <x:f>IF($A1464="","",IFERROR(INDEX(Assumptions!$O$5:$O$10,MATCH(1,(Assumptions!$P$5:$P$10=$B1464)*(Assumptions!$Q$5:$Q$10&lt;=$A1464)*(Assumptions!$R$5:$R$10&gt;=$A1464),0)),""))</x:f>
      </x:c>
      <x:c r="M1464" t="n">
        <x:f>--($A1464&lt;&gt;"")</x:f>
        <x:v>1</x:v>
      </x:c>
    </x:row>
    <x:row r="1465">
      <x:c r="A1465" s="10" t="n">
        <x:f>IF(Assumptions!$B$5+INT((ROW()-2)/Assumptions!$B$7)&gt;Assumptions!$B$6,"",Assumptions!$B$5+INT((ROW()-2)/Assumptions!$B$7))</x:f>
        <x:v>46315</x:v>
      </x:c>
      <x:c r="B1465" t="str">
        <x:f>IF($A1465="","",INDEX(Assumptions!$D$5:$D$12,MOD(ROW()-2,Assumptions!$B$7)+1))</x:f>
        <x:v>Hadley's Hope</x:v>
      </x:c>
      <x:c r="C1465" s="11" t="n">
        <x:f>IF($A1465="","",INDEX(Assumptions!$F$5:$F$12,MATCH($B1465,Assumptions!$D$5:$D$12,0)))</x:f>
        <x:v>845</x:v>
      </x:c>
      <x:c r="D1465" s="11" t="n">
        <x:f>IF($A1465="","",INDEX(Assumptions!$G$5:$G$12,MATCH($B1465,Assumptions!$D$5:$D$12,0)))</x:f>
        <x:v>80</x:v>
      </x:c>
      <x:c r="E1465" s="11" t="n">
        <x:f>IF($A1465="","",INDEX(Assumptions!$M$5:$M$11,WEEKDAY($A1465,2)))</x:f>
        <x:v>1.02</x:v>
      </x:c>
      <x:c r="F1465" s="11" t="n">
        <x:f>IF($A1465="","",Assumptions!$B$15)</x:f>
        <x:v>0.35</x:v>
      </x:c>
      <x:c r="G1465" s="11" t="n">
        <x:f>IF($A1465="","",MAX(INDEX(Assumptions!$H$5:$H$12,MATCH($B1465,Assumptions!$D$5:$D$12,0)),MIN(INDEX(Assumptions!$I$5:$I$12,MATCH($B1465,Assumptions!$D$5:$D$12,0)),($C1465+$D1465*SQRT(-2*LN(RAND()))*COS(2*PI()*RAND()))*$E1465*$J1465*$K1465)))</x:f>
        <x:v>855.0264109108605</x:v>
      </x:c>
      <x:c r="H1465" s="11" t="n">
        <x:f>IF($A1465="","",$G1465*$F1465+$C1465*(1-$F1465))</x:f>
        <x:v>848.5092438188012</x:v>
      </x:c>
      <x:c r="I1465" s="11" t="n">
        <x:f>IF($A1465="","",AVERAGE($H1465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844.1150962411286</x:v>
      </x:c>
      <x:c r="J1465" s="12" t="n">
        <x:f>IF($A1465="","",1+SUMIFS(Assumptions!$S$5:$S$10,Assumptions!$P$5:$P$10,$B1465,Assumptions!$Q$5:$Q$10,"&lt;="&amp;$A1465,Assumptions!$R$5:$R$10,"&gt;="&amp;$A1465))</x:f>
        <x:v>1</x:v>
      </x:c>
      <x:c r="K1465" s="12" t="n">
        <x:f>IF($A1465="","",1+((($A1465-Assumptions!$B$5)/30)*INDEX(Assumptions!$J$5:$J$12,MATCH($B1465,Assumptions!$D$5:$D$12,0))))</x:f>
        <x:v>1.0097333333333334</x:v>
      </x:c>
      <x:c r="L1465" t="str">
        <x:f>IF($A1465="","",IFERROR(INDEX(Assumptions!$O$5:$O$10,MATCH(1,(Assumptions!$P$5:$P$10=$B1465)*(Assumptions!$Q$5:$Q$10&lt;=$A1465)*(Assumptions!$R$5:$R$10&gt;=$A1465),0)),""))</x:f>
      </x:c>
      <x:c r="M1465" t="n">
        <x:f>--($A1465&lt;&gt;"")</x:f>
        <x:v>1</x:v>
      </x:c>
    </x:row>
    <x:row r="1466">
      <x:c r="A1466" s="10" t="n">
        <x:f>IF(Assumptions!$B$5+INT((ROW()-2)/Assumptions!$B$7)&gt;Assumptions!$B$6,"",Assumptions!$B$5+INT((ROW()-2)/Assumptions!$B$7))</x:f>
        <x:v>46315</x:v>
      </x:c>
      <x:c r="B1466" t="str">
        <x:f>IF($A1466="","",INDEX(Assumptions!$D$5:$D$12,MOD(ROW()-2,Assumptions!$B$7)+1))</x:f>
        <x:v>Yutani Ridge</x:v>
      </x:c>
      <x:c r="C1466" s="11" t="n">
        <x:f>IF($A1466="","",INDEX(Assumptions!$F$5:$F$12,MATCH($B1466,Assumptions!$D$5:$D$12,0)))</x:f>
        <x:v>1050</x:v>
      </x:c>
      <x:c r="D1466" s="11" t="n">
        <x:f>IF($A1466="","",INDEX(Assumptions!$G$5:$G$12,MATCH($B1466,Assumptions!$D$5:$D$12,0)))</x:f>
        <x:v>125</x:v>
      </x:c>
      <x:c r="E1466" s="11" t="n">
        <x:f>IF($A1466="","",INDEX(Assumptions!$M$5:$M$11,WEEKDAY($A1466,2)))</x:f>
        <x:v>1.02</x:v>
      </x:c>
      <x:c r="F1466" s="11" t="n">
        <x:f>IF($A1466="","",Assumptions!$B$15)</x:f>
        <x:v>0.35</x:v>
      </x:c>
      <x:c r="G1466" s="11" t="n">
        <x:f>IF($A1466="","",MAX(INDEX(Assumptions!$H$5:$H$12,MATCH($B1466,Assumptions!$D$5:$D$12,0)),MIN(INDEX(Assumptions!$I$5:$I$12,MATCH($B1466,Assumptions!$D$5:$D$12,0)),($C1466+$D1466*SQRT(-2*LN(RAND()))*COS(2*PI()*RAND()))*$E1466*$J1466*$K1466)))</x:f>
        <x:v>1026.576419012301</x:v>
      </x:c>
      <x:c r="H1466" s="11" t="n">
        <x:f>IF($A1466="","",$G1466*$F1466+$C1466*(1-$F1466))</x:f>
        <x:v>1041.8017466543054</x:v>
      </x:c>
      <x:c r="I1466" s="11" t="n">
        <x:f>IF($A1466="","",AVERAGE($H1466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1060.3464324073</x:v>
      </x:c>
      <x:c r="J1466" s="12" t="n">
        <x:f>IF($A1466="","",1+SUMIFS(Assumptions!$S$5:$S$10,Assumptions!$P$5:$P$10,$B1466,Assumptions!$Q$5:$Q$10,"&lt;="&amp;$A1466,Assumptions!$R$5:$R$10,"&gt;="&amp;$A1466))</x:f>
        <x:v>1</x:v>
      </x:c>
      <x:c r="K1466" s="12" t="n">
        <x:f>IF($A1466="","",1+((($A1466-Assumptions!$B$5)/30)*INDEX(Assumptions!$J$5:$J$12,MATCH($B1466,Assumptions!$D$5:$D$12,0))))</x:f>
        <x:v>1.0243333333333333</x:v>
      </x:c>
      <x:c r="L1466" t="str">
        <x:f>IF($A1466="","",IFERROR(INDEX(Assumptions!$O$5:$O$10,MATCH(1,(Assumptions!$P$5:$P$10=$B1466)*(Assumptions!$Q$5:$Q$10&lt;=$A1466)*(Assumptions!$R$5:$R$10&gt;=$A1466),0)),""))</x:f>
      </x:c>
      <x:c r="M1466" t="n">
        <x:f>--($A1466&lt;&gt;"")</x:f>
        <x:v>1</x:v>
      </x:c>
    </x:row>
    <x:row r="1467">
      <x:c r="A1467" s="10" t="n">
        <x:f>IF(Assumptions!$B$5+INT((ROW()-2)/Assumptions!$B$7)&gt;Assumptions!$B$6,"",Assumptions!$B$5+INT((ROW()-2)/Assumptions!$B$7))</x:f>
        <x:v>46316</x:v>
      </x:c>
      <x:c r="B1467" t="str">
        <x:f>IF($A1467="","",INDEX(Assumptions!$D$5:$D$12,MOD(ROW()-2,Assumptions!$B$7)+1))</x:f>
        <x:v>Acheron Prime</x:v>
      </x:c>
      <x:c r="C1467" s="11" t="n">
        <x:f>IF($A1467="","",INDEX(Assumptions!$F$5:$F$12,MATCH($B1467,Assumptions!$D$5:$D$12,0)))</x:f>
        <x:v>1120</x:v>
      </x:c>
      <x:c r="D1467" s="11" t="n">
        <x:f>IF($A1467="","",INDEX(Assumptions!$G$5:$G$12,MATCH($B1467,Assumptions!$D$5:$D$12,0)))</x:f>
        <x:v>115</x:v>
      </x:c>
      <x:c r="E1467" s="11" t="n">
        <x:f>IF($A1467="","",INDEX(Assumptions!$M$5:$M$11,WEEKDAY($A1467,2)))</x:f>
        <x:v>1.01</x:v>
      </x:c>
      <x:c r="F1467" s="11" t="n">
        <x:f>IF($A1467="","",Assumptions!$B$15)</x:f>
        <x:v>0.35</x:v>
      </x:c>
      <x:c r="G1467" s="11" t="n">
        <x:f>IF($A1467="","",MAX(INDEX(Assumptions!$H$5:$H$12,MATCH($B1467,Assumptions!$D$5:$D$12,0)),MIN(INDEX(Assumptions!$I$5:$I$12,MATCH($B1467,Assumptions!$D$5:$D$12,0)),($C1467+$D1467*SQRT(-2*LN(RAND()))*COS(2*PI()*RAND()))*$E1467*$J1467*$K1467)))</x:f>
        <x:v>1231.6220743494673</x:v>
      </x:c>
      <x:c r="H1467" s="11" t="n">
        <x:f>IF($A1467="","",$G1467*$F1467+$C1467*(1-$F1467))</x:f>
        <x:v>1159.0677260223135</x:v>
      </x:c>
      <x:c r="I1467" s="11" t="n">
        <x:f>IF($A1467="","",AVERAGE($H1467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1123.6774336153119</x:v>
      </x:c>
      <x:c r="J1467" s="12" t="n">
        <x:f>IF($A1467="","",1+SUMIFS(Assumptions!$S$5:$S$10,Assumptions!$P$5:$P$10,$B1467,Assumptions!$Q$5:$Q$10,"&lt;="&amp;$A1467,Assumptions!$R$5:$R$10,"&gt;="&amp;$A1467))</x:f>
        <x:v>1</x:v>
      </x:c>
      <x:c r="K1467" s="12" t="n">
        <x:f>IF($A1467="","",1+((($A1467-Assumptions!$B$5)/30)*INDEX(Assumptions!$J$5:$J$12,MATCH($B1467,Assumptions!$D$5:$D$12,0))))</x:f>
        <x:v>1.0195333333333334</x:v>
      </x:c>
      <x:c r="L1467" t="str">
        <x:f>IF($A1467="","",IFERROR(INDEX(Assumptions!$O$5:$O$10,MATCH(1,(Assumptions!$P$5:$P$10=$B1467)*(Assumptions!$Q$5:$Q$10&lt;=$A1467)*(Assumptions!$R$5:$R$10&gt;=$A1467),0)),""))</x:f>
      </x:c>
      <x:c r="M1467" t="n">
        <x:f>--($A1467&lt;&gt;"")</x:f>
        <x:v>1</x:v>
      </x:c>
    </x:row>
    <x:row r="1468">
      <x:c r="A1468" s="10" t="n">
        <x:f>IF(Assumptions!$B$5+INT((ROW()-2)/Assumptions!$B$7)&gt;Assumptions!$B$6,"",Assumptions!$B$5+INT((ROW()-2)/Assumptions!$B$7))</x:f>
        <x:v>46316</x:v>
      </x:c>
      <x:c r="B1468" t="str">
        <x:f>IF($A1468="","",INDEX(Assumptions!$D$5:$D$12,MOD(ROW()-2,Assumptions!$B$7)+1))</x:f>
        <x:v>LV-426 North</x:v>
      </x:c>
      <x:c r="C1468" s="11" t="n">
        <x:f>IF($A1468="","",INDEX(Assumptions!$F$5:$F$12,MATCH($B1468,Assumptions!$D$5:$D$12,0)))</x:f>
        <x:v>930</x:v>
      </x:c>
      <x:c r="D1468" s="11" t="n">
        <x:f>IF($A1468="","",INDEX(Assumptions!$G$5:$G$12,MATCH($B1468,Assumptions!$D$5:$D$12,0)))</x:f>
        <x:v>95</x:v>
      </x:c>
      <x:c r="E1468" s="11" t="n">
        <x:f>IF($A1468="","",INDEX(Assumptions!$M$5:$M$11,WEEKDAY($A1468,2)))</x:f>
        <x:v>1.01</x:v>
      </x:c>
      <x:c r="F1468" s="11" t="n">
        <x:f>IF($A1468="","",Assumptions!$B$15)</x:f>
        <x:v>0.35</x:v>
      </x:c>
      <x:c r="G1468" s="11" t="n">
        <x:f>IF($A1468="","",MAX(INDEX(Assumptions!$H$5:$H$12,MATCH($B1468,Assumptions!$D$5:$D$12,0)),MIN(INDEX(Assumptions!$I$5:$I$12,MATCH($B1468,Assumptions!$D$5:$D$12,0)),($C1468+$D1468*SQRT(-2*LN(RAND()))*COS(2*PI()*RAND()))*$E1468*$J1468*$K1468)))</x:f>
        <x:v>929.9617979359506</x:v>
      </x:c>
      <x:c r="H1468" s="11" t="n">
        <x:f>IF($A1468="","",$G1468*$F1468+$C1468*(1-$F1468))</x:f>
        <x:v>929.9866292775827</x:v>
      </x:c>
      <x:c r="I1468" s="11" t="n">
        <x:f>IF($A1468="","",AVERAGE($H1468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926.1266434211946</x:v>
      </x:c>
      <x:c r="J1468" s="12" t="n">
        <x:f>IF($A1468="","",1+SUMIFS(Assumptions!$S$5:$S$10,Assumptions!$P$5:$P$10,$B1468,Assumptions!$Q$5:$Q$10,"&lt;="&amp;$A1468,Assumptions!$R$5:$R$10,"&gt;="&amp;$A1468))</x:f>
        <x:v>1</x:v>
      </x:c>
      <x:c r="K1468" s="12" t="n">
        <x:f>IF($A1468="","",1+((($A1468-Assumptions!$B$5)/30)*INDEX(Assumptions!$J$5:$J$12,MATCH($B1468,Assumptions!$D$5:$D$12,0))))</x:f>
        <x:v>0.9902333333333333</x:v>
      </x:c>
      <x:c r="L1468" t="str">
        <x:f>IF($A1468="","",IFERROR(INDEX(Assumptions!$O$5:$O$10,MATCH(1,(Assumptions!$P$5:$P$10=$B1468)*(Assumptions!$Q$5:$Q$10&lt;=$A1468)*(Assumptions!$R$5:$R$10&gt;=$A1468),0)),""))</x:f>
      </x:c>
      <x:c r="M1468" t="n">
        <x:f>--($A1468&lt;&gt;"")</x:f>
        <x:v>1</x:v>
      </x:c>
    </x:row>
    <x:row r="1469">
      <x:c r="A1469" s="10" t="n">
        <x:f>IF(Assumptions!$B$5+INT((ROW()-2)/Assumptions!$B$7)&gt;Assumptions!$B$6,"",Assumptions!$B$5+INT((ROW()-2)/Assumptions!$B$7))</x:f>
        <x:v>46316</x:v>
      </x:c>
      <x:c r="B1469" t="str">
        <x:f>IF($A1469="","",INDEX(Assumptions!$D$5:$D$12,MOD(ROW()-2,Assumptions!$B$7)+1))</x:f>
        <x:v>Nostromo Deep</x:v>
      </x:c>
      <x:c r="C1469" s="11" t="n">
        <x:f>IF($A1469="","",INDEX(Assumptions!$F$5:$F$12,MATCH($B1469,Assumptions!$D$5:$D$12,0)))</x:f>
        <x:v>1260</x:v>
      </x:c>
      <x:c r="D1469" s="11" t="n">
        <x:f>IF($A1469="","",INDEX(Assumptions!$G$5:$G$12,MATCH($B1469,Assumptions!$D$5:$D$12,0)))</x:f>
        <x:v>145</x:v>
      </x:c>
      <x:c r="E1469" s="11" t="n">
        <x:f>IF($A1469="","",INDEX(Assumptions!$M$5:$M$11,WEEKDAY($A1469,2)))</x:f>
        <x:v>1.01</x:v>
      </x:c>
      <x:c r="F1469" s="11" t="n">
        <x:f>IF($A1469="","",Assumptions!$B$15)</x:f>
        <x:v>0.35</x:v>
      </x:c>
      <x:c r="G1469" s="11" t="n">
        <x:f>IF($A1469="","",MAX(INDEX(Assumptions!$H$5:$H$12,MATCH($B1469,Assumptions!$D$5:$D$12,0)),MIN(INDEX(Assumptions!$I$5:$I$12,MATCH($B1469,Assumptions!$D$5:$D$12,0)),($C1469+$D1469*SQRT(-2*LN(RAND()))*COS(2*PI()*RAND()))*$E1469*$J1469*$K1469)))</x:f>
        <x:v>1233.6326260534981</x:v>
      </x:c>
      <x:c r="H1469" s="11" t="n">
        <x:f>IF($A1469="","",$G1469*$F1469+$C1469*(1-$F1469))</x:f>
        <x:v>1250.7714191187242</x:v>
      </x:c>
      <x:c r="I1469" s="11" t="n">
        <x:f>IF($A1469="","",AVERAGE($H1469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1261.2495367165513</x:v>
      </x:c>
      <x:c r="J1469" s="12" t="n">
        <x:f>IF($A1469="","",1+SUMIFS(Assumptions!$S$5:$S$10,Assumptions!$P$5:$P$10,$B1469,Assumptions!$Q$5:$Q$10,"&lt;="&amp;$A1469,Assumptions!$R$5:$R$10,"&gt;="&amp;$A1469))</x:f>
        <x:v>1</x:v>
      </x:c>
      <x:c r="K1469" s="12" t="n">
        <x:f>IF($A1469="","",1+((($A1469-Assumptions!$B$5)/30)*INDEX(Assumptions!$J$5:$J$12,MATCH($B1469,Assumptions!$D$5:$D$12,0))))</x:f>
        <x:v>1.0293</x:v>
      </x:c>
      <x:c r="L1469" t="str">
        <x:f>IF($A1469="","",IFERROR(INDEX(Assumptions!$O$5:$O$10,MATCH(1,(Assumptions!$P$5:$P$10=$B1469)*(Assumptions!$Q$5:$Q$10&lt;=$A1469)*(Assumptions!$R$5:$R$10&gt;=$A1469),0)),""))</x:f>
      </x:c>
      <x:c r="M1469" t="n">
        <x:f>--($A1469&lt;&gt;"")</x:f>
        <x:v>1</x:v>
      </x:c>
    </x:row>
    <x:row r="1470">
      <x:c r="A1470" s="10" t="n">
        <x:f>IF(Assumptions!$B$5+INT((ROW()-2)/Assumptions!$B$7)&gt;Assumptions!$B$6,"",Assumptions!$B$5+INT((ROW()-2)/Assumptions!$B$7))</x:f>
        <x:v>46316</x:v>
      </x:c>
      <x:c r="B1470" t="str">
        <x:f>IF($A1470="","",INDEX(Assumptions!$D$5:$D$12,MOD(ROW()-2,Assumptions!$B$7)+1))</x:f>
        <x:v>Hadley's Hope</x:v>
      </x:c>
      <x:c r="C1470" s="11" t="n">
        <x:f>IF($A1470="","",INDEX(Assumptions!$F$5:$F$12,MATCH($B1470,Assumptions!$D$5:$D$12,0)))</x:f>
        <x:v>845</x:v>
      </x:c>
      <x:c r="D1470" s="11" t="n">
        <x:f>IF($A1470="","",INDEX(Assumptions!$G$5:$G$12,MATCH($B1470,Assumptions!$D$5:$D$12,0)))</x:f>
        <x:v>80</x:v>
      </x:c>
      <x:c r="E1470" s="11" t="n">
        <x:f>IF($A1470="","",INDEX(Assumptions!$M$5:$M$11,WEEKDAY($A1470,2)))</x:f>
        <x:v>1.01</x:v>
      </x:c>
      <x:c r="F1470" s="11" t="n">
        <x:f>IF($A1470="","",Assumptions!$B$15)</x:f>
        <x:v>0.35</x:v>
      </x:c>
      <x:c r="G1470" s="11" t="n">
        <x:f>IF($A1470="","",MAX(INDEX(Assumptions!$H$5:$H$12,MATCH($B1470,Assumptions!$D$5:$D$12,0)),MIN(INDEX(Assumptions!$I$5:$I$12,MATCH($B1470,Assumptions!$D$5:$D$12,0)),($C1470+$D1470*SQRT(-2*LN(RAND()))*COS(2*PI()*RAND()))*$E1470*$J1470*$K1470)))</x:f>
        <x:v>900.8710743748987</x:v>
      </x:c>
      <x:c r="H1470" s="11" t="n">
        <x:f>IF($A1470="","",$G1470*$F1470+$C1470*(1-$F1470))</x:f>
        <x:v>864.5548760312145</x:v>
      </x:c>
      <x:c r="I1470" s="11" t="n">
        <x:f>IF($A1470="","",AVERAGE($H1470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851.3898939535785</x:v>
      </x:c>
      <x:c r="J1470" s="12" t="n">
        <x:f>IF($A1470="","",1+SUMIFS(Assumptions!$S$5:$S$10,Assumptions!$P$5:$P$10,$B1470,Assumptions!$Q$5:$Q$10,"&lt;="&amp;$A1470,Assumptions!$R$5:$R$10,"&gt;="&amp;$A1470))</x:f>
        <x:v>1</x:v>
      </x:c>
      <x:c r="K1470" s="12" t="n">
        <x:f>IF($A1470="","",1+((($A1470-Assumptions!$B$5)/30)*INDEX(Assumptions!$J$5:$J$12,MATCH($B1470,Assumptions!$D$5:$D$12,0))))</x:f>
        <x:v>1.0097666666666667</x:v>
      </x:c>
      <x:c r="L1470" t="str">
        <x:f>IF($A1470="","",IFERROR(INDEX(Assumptions!$O$5:$O$10,MATCH(1,(Assumptions!$P$5:$P$10=$B1470)*(Assumptions!$Q$5:$Q$10&lt;=$A1470)*(Assumptions!$R$5:$R$10&gt;=$A1470),0)),""))</x:f>
      </x:c>
      <x:c r="M1470" t="n">
        <x:f>--($A1470&lt;&gt;"")</x:f>
        <x:v>1</x:v>
      </x:c>
    </x:row>
    <x:row r="1471">
      <x:c r="A1471" s="10" t="n">
        <x:f>IF(Assumptions!$B$5+INT((ROW()-2)/Assumptions!$B$7)&gt;Assumptions!$B$6,"",Assumptions!$B$5+INT((ROW()-2)/Assumptions!$B$7))</x:f>
        <x:v>46316</x:v>
      </x:c>
      <x:c r="B1471" t="str">
        <x:f>IF($A1471="","",INDEX(Assumptions!$D$5:$D$12,MOD(ROW()-2,Assumptions!$B$7)+1))</x:f>
        <x:v>Yutani Ridge</x:v>
      </x:c>
      <x:c r="C1471" s="11" t="n">
        <x:f>IF($A1471="","",INDEX(Assumptions!$F$5:$F$12,MATCH($B1471,Assumptions!$D$5:$D$12,0)))</x:f>
        <x:v>1050</x:v>
      </x:c>
      <x:c r="D1471" s="11" t="n">
        <x:f>IF($A1471="","",INDEX(Assumptions!$G$5:$G$12,MATCH($B1471,Assumptions!$D$5:$D$12,0)))</x:f>
        <x:v>125</x:v>
      </x:c>
      <x:c r="E1471" s="11" t="n">
        <x:f>IF($A1471="","",INDEX(Assumptions!$M$5:$M$11,WEEKDAY($A1471,2)))</x:f>
        <x:v>1.01</x:v>
      </x:c>
      <x:c r="F1471" s="11" t="n">
        <x:f>IF($A1471="","",Assumptions!$B$15)</x:f>
        <x:v>0.35</x:v>
      </x:c>
      <x:c r="G1471" s="11" t="n">
        <x:f>IF($A1471="","",MAX(INDEX(Assumptions!$H$5:$H$12,MATCH($B1471,Assumptions!$D$5:$D$12,0)),MIN(INDEX(Assumptions!$I$5:$I$12,MATCH($B1471,Assumptions!$D$5:$D$12,0)),($C1471+$D1471*SQRT(-2*LN(RAND()))*COS(2*PI()*RAND()))*$E1471*$J1471*$K1471)))</x:f>
        <x:v>955.2337923074349</x:v>
      </x:c>
      <x:c r="H1471" s="11" t="n">
        <x:f>IF($A1471="","",$G1471*$F1471+$C1471*(1-$F1471))</x:f>
        <x:v>1016.8318273076022</x:v>
      </x:c>
      <x:c r="I1471" s="11" t="n">
        <x:f>IF($A1471="","",AVERAGE($H1471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1058.4640827415053</x:v>
      </x:c>
      <x:c r="J1471" s="12" t="n">
        <x:f>IF($A1471="","",1+SUMIFS(Assumptions!$S$5:$S$10,Assumptions!$P$5:$P$10,$B1471,Assumptions!$Q$5:$Q$10,"&lt;="&amp;$A1471,Assumptions!$R$5:$R$10,"&gt;="&amp;$A1471))</x:f>
        <x:v>1</x:v>
      </x:c>
      <x:c r="K1471" s="12" t="n">
        <x:f>IF($A1471="","",1+((($A1471-Assumptions!$B$5)/30)*INDEX(Assumptions!$J$5:$J$12,MATCH($B1471,Assumptions!$D$5:$D$12,0))))</x:f>
        <x:v>1.0244166666666668</x:v>
      </x:c>
      <x:c r="L1471" t="str">
        <x:f>IF($A1471="","",IFERROR(INDEX(Assumptions!$O$5:$O$10,MATCH(1,(Assumptions!$P$5:$P$10=$B1471)*(Assumptions!$Q$5:$Q$10&lt;=$A1471)*(Assumptions!$R$5:$R$10&gt;=$A1471),0)),""))</x:f>
      </x:c>
      <x:c r="M1471" t="n">
        <x:f>--($A1471&lt;&gt;"")</x:f>
        <x:v>1</x:v>
      </x:c>
    </x:row>
    <x:row r="1472">
      <x:c r="A1472" s="10" t="n">
        <x:f>IF(Assumptions!$B$5+INT((ROW()-2)/Assumptions!$B$7)&gt;Assumptions!$B$6,"",Assumptions!$B$5+INT((ROW()-2)/Assumptions!$B$7))</x:f>
        <x:v>46317</x:v>
      </x:c>
      <x:c r="B1472" t="str">
        <x:f>IF($A1472="","",INDEX(Assumptions!$D$5:$D$12,MOD(ROW()-2,Assumptions!$B$7)+1))</x:f>
        <x:v>Acheron Prime</x:v>
      </x:c>
      <x:c r="C1472" s="11" t="n">
        <x:f>IF($A1472="","",INDEX(Assumptions!$F$5:$F$12,MATCH($B1472,Assumptions!$D$5:$D$12,0)))</x:f>
        <x:v>1120</x:v>
      </x:c>
      <x:c r="D1472" s="11" t="n">
        <x:f>IF($A1472="","",INDEX(Assumptions!$G$5:$G$12,MATCH($B1472,Assumptions!$D$5:$D$12,0)))</x:f>
        <x:v>115</x:v>
      </x:c>
      <x:c r="E1472" s="11" t="n">
        <x:f>IF($A1472="","",INDEX(Assumptions!$M$5:$M$11,WEEKDAY($A1472,2)))</x:f>
        <x:v>1</x:v>
      </x:c>
      <x:c r="F1472" s="11" t="n">
        <x:f>IF($A1472="","",Assumptions!$B$15)</x:f>
        <x:v>0.35</x:v>
      </x:c>
      <x:c r="G1472" s="11" t="n">
        <x:f>IF($A1472="","",MAX(INDEX(Assumptions!$H$5:$H$12,MATCH($B1472,Assumptions!$D$5:$D$12,0)),MIN(INDEX(Assumptions!$I$5:$I$12,MATCH($B1472,Assumptions!$D$5:$D$12,0)),($C1472+$D1472*SQRT(-2*LN(RAND()))*COS(2*PI()*RAND()))*$E1472*$J1472*$K1472)))</x:f>
        <x:v>1217.0850807999175</x:v>
      </x:c>
      <x:c r="H1472" s="11" t="n">
        <x:f>IF($A1472="","",$G1472*$F1472+$C1472*(1-$F1472))</x:f>
        <x:v>1153.979778279971</x:v>
      </x:c>
      <x:c r="I1472" s="11" t="n">
        <x:f>IF($A1472="","",AVERAGE($H1472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1128.6231755621022</x:v>
      </x:c>
      <x:c r="J1472" s="12" t="n">
        <x:f>IF($A1472="","",1+SUMIFS(Assumptions!$S$5:$S$10,Assumptions!$P$5:$P$10,$B1472,Assumptions!$Q$5:$Q$10,"&lt;="&amp;$A1472,Assumptions!$R$5:$R$10,"&gt;="&amp;$A1472))</x:f>
        <x:v>1</x:v>
      </x:c>
      <x:c r="K1472" s="12" t="n">
        <x:f>IF($A1472="","",1+((($A1472-Assumptions!$B$5)/30)*INDEX(Assumptions!$J$5:$J$12,MATCH($B1472,Assumptions!$D$5:$D$12,0))))</x:f>
        <x:v>1.0196</x:v>
      </x:c>
      <x:c r="L1472" t="str">
        <x:f>IF($A1472="","",IFERROR(INDEX(Assumptions!$O$5:$O$10,MATCH(1,(Assumptions!$P$5:$P$10=$B1472)*(Assumptions!$Q$5:$Q$10&lt;=$A1472)*(Assumptions!$R$5:$R$10&gt;=$A1472),0)),""))</x:f>
      </x:c>
      <x:c r="M1472" t="n">
        <x:f>--($A1472&lt;&gt;"")</x:f>
        <x:v>1</x:v>
      </x:c>
    </x:row>
    <x:row r="1473">
      <x:c r="A1473" s="10" t="n">
        <x:f>IF(Assumptions!$B$5+INT((ROW()-2)/Assumptions!$B$7)&gt;Assumptions!$B$6,"",Assumptions!$B$5+INT((ROW()-2)/Assumptions!$B$7))</x:f>
        <x:v>46317</x:v>
      </x:c>
      <x:c r="B1473" t="str">
        <x:f>IF($A1473="","",INDEX(Assumptions!$D$5:$D$12,MOD(ROW()-2,Assumptions!$B$7)+1))</x:f>
        <x:v>LV-426 North</x:v>
      </x:c>
      <x:c r="C1473" s="11" t="n">
        <x:f>IF($A1473="","",INDEX(Assumptions!$F$5:$F$12,MATCH($B1473,Assumptions!$D$5:$D$12,0)))</x:f>
        <x:v>930</x:v>
      </x:c>
      <x:c r="D1473" s="11" t="n">
        <x:f>IF($A1473="","",INDEX(Assumptions!$G$5:$G$12,MATCH($B1473,Assumptions!$D$5:$D$12,0)))</x:f>
        <x:v>95</x:v>
      </x:c>
      <x:c r="E1473" s="11" t="n">
        <x:f>IF($A1473="","",INDEX(Assumptions!$M$5:$M$11,WEEKDAY($A1473,2)))</x:f>
        <x:v>1</x:v>
      </x:c>
      <x:c r="F1473" s="11" t="n">
        <x:f>IF($A1473="","",Assumptions!$B$15)</x:f>
        <x:v>0.35</x:v>
      </x:c>
      <x:c r="G1473" s="11" t="n">
        <x:f>IF($A1473="","",MAX(INDEX(Assumptions!$H$5:$H$12,MATCH($B1473,Assumptions!$D$5:$D$12,0)),MIN(INDEX(Assumptions!$I$5:$I$12,MATCH($B1473,Assumptions!$D$5:$D$12,0)),($C1473+$D1473*SQRT(-2*LN(RAND()))*COS(2*PI()*RAND()))*$E1473*$J1473*$K1473)))</x:f>
        <x:v>794.7616337037845</x:v>
      </x:c>
      <x:c r="H1473" s="11" t="n">
        <x:f>IF($A1473="","",$G1473*$F1473+$C1473*(1-$F1473))</x:f>
        <x:v>882.6665717963245</x:v>
      </x:c>
      <x:c r="I1473" s="11" t="n">
        <x:f>IF($A1473="","",AVERAGE($H1473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920.9962329659469</x:v>
      </x:c>
      <x:c r="J1473" s="12" t="n">
        <x:f>IF($A1473="","",1+SUMIFS(Assumptions!$S$5:$S$10,Assumptions!$P$5:$P$10,$B1473,Assumptions!$Q$5:$Q$10,"&lt;="&amp;$A1473,Assumptions!$R$5:$R$10,"&gt;="&amp;$A1473))</x:f>
        <x:v>1</x:v>
      </x:c>
      <x:c r="K1473" s="12" t="n">
        <x:f>IF($A1473="","",1+((($A1473-Assumptions!$B$5)/30)*INDEX(Assumptions!$J$5:$J$12,MATCH($B1473,Assumptions!$D$5:$D$12,0))))</x:f>
        <x:v>0.9902</x:v>
      </x:c>
      <x:c r="L1473" t="str">
        <x:f>IF($A1473="","",IFERROR(INDEX(Assumptions!$O$5:$O$10,MATCH(1,(Assumptions!$P$5:$P$10=$B1473)*(Assumptions!$Q$5:$Q$10&lt;=$A1473)*(Assumptions!$R$5:$R$10&gt;=$A1473),0)),""))</x:f>
      </x:c>
      <x:c r="M1473" t="n">
        <x:f>--($A1473&lt;&gt;"")</x:f>
        <x:v>1</x:v>
      </x:c>
    </x:row>
    <x:row r="1474">
      <x:c r="A1474" s="10" t="n">
        <x:f>IF(Assumptions!$B$5+INT((ROW()-2)/Assumptions!$B$7)&gt;Assumptions!$B$6,"",Assumptions!$B$5+INT((ROW()-2)/Assumptions!$B$7))</x:f>
        <x:v>46317</x:v>
      </x:c>
      <x:c r="B1474" t="str">
        <x:f>IF($A1474="","",INDEX(Assumptions!$D$5:$D$12,MOD(ROW()-2,Assumptions!$B$7)+1))</x:f>
        <x:v>Nostromo Deep</x:v>
      </x:c>
      <x:c r="C1474" s="11" t="n">
        <x:f>IF($A1474="","",INDEX(Assumptions!$F$5:$F$12,MATCH($B1474,Assumptions!$D$5:$D$12,0)))</x:f>
        <x:v>1260</x:v>
      </x:c>
      <x:c r="D1474" s="11" t="n">
        <x:f>IF($A1474="","",INDEX(Assumptions!$G$5:$G$12,MATCH($B1474,Assumptions!$D$5:$D$12,0)))</x:f>
        <x:v>145</x:v>
      </x:c>
      <x:c r="E1474" s="11" t="n">
        <x:f>IF($A1474="","",INDEX(Assumptions!$M$5:$M$11,WEEKDAY($A1474,2)))</x:f>
        <x:v>1</x:v>
      </x:c>
      <x:c r="F1474" s="11" t="n">
        <x:f>IF($A1474="","",Assumptions!$B$15)</x:f>
        <x:v>0.35</x:v>
      </x:c>
      <x:c r="G1474" s="11" t="n">
        <x:f>IF($A1474="","",MAX(INDEX(Assumptions!$H$5:$H$12,MATCH($B1474,Assumptions!$D$5:$D$12,0)),MIN(INDEX(Assumptions!$I$5:$I$12,MATCH($B1474,Assumptions!$D$5:$D$12,0)),($C1474+$D1474*SQRT(-2*LN(RAND()))*COS(2*PI()*RAND()))*$E1474*$J1474*$K1474)))</x:f>
        <x:v>1078.6540294880667</x:v>
      </x:c>
      <x:c r="H1474" s="11" t="n">
        <x:f>IF($A1474="","",$G1474*$F1474+$C1474*(1-$F1474))</x:f>
        <x:v>1196.5289103208233</x:v>
      </x:c>
      <x:c r="I1474" s="11" t="n">
        <x:f>IF($A1474="","",AVERAGE($H1474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1247.5898385945504</x:v>
      </x:c>
      <x:c r="J1474" s="12" t="n">
        <x:f>IF($A1474="","",1+SUMIFS(Assumptions!$S$5:$S$10,Assumptions!$P$5:$P$10,$B1474,Assumptions!$Q$5:$Q$10,"&lt;="&amp;$A1474,Assumptions!$R$5:$R$10,"&gt;="&amp;$A1474))</x:f>
        <x:v>1</x:v>
      </x:c>
      <x:c r="K1474" s="12" t="n">
        <x:f>IF($A1474="","",1+((($A1474-Assumptions!$B$5)/30)*INDEX(Assumptions!$J$5:$J$12,MATCH($B1474,Assumptions!$D$5:$D$12,0))))</x:f>
        <x:v>1.0294</x:v>
      </x:c>
      <x:c r="L1474" t="str">
        <x:f>IF($A1474="","",IFERROR(INDEX(Assumptions!$O$5:$O$10,MATCH(1,(Assumptions!$P$5:$P$10=$B1474)*(Assumptions!$Q$5:$Q$10&lt;=$A1474)*(Assumptions!$R$5:$R$10&gt;=$A1474),0)),""))</x:f>
      </x:c>
      <x:c r="M1474" t="n">
        <x:f>--($A1474&lt;&gt;"")</x:f>
        <x:v>1</x:v>
      </x:c>
    </x:row>
    <x:row r="1475">
      <x:c r="A1475" s="10" t="n">
        <x:f>IF(Assumptions!$B$5+INT((ROW()-2)/Assumptions!$B$7)&gt;Assumptions!$B$6,"",Assumptions!$B$5+INT((ROW()-2)/Assumptions!$B$7))</x:f>
        <x:v>46317</x:v>
      </x:c>
      <x:c r="B1475" t="str">
        <x:f>IF($A1475="","",INDEX(Assumptions!$D$5:$D$12,MOD(ROW()-2,Assumptions!$B$7)+1))</x:f>
        <x:v>Hadley's Hope</x:v>
      </x:c>
      <x:c r="C1475" s="11" t="n">
        <x:f>IF($A1475="","",INDEX(Assumptions!$F$5:$F$12,MATCH($B1475,Assumptions!$D$5:$D$12,0)))</x:f>
        <x:v>845</x:v>
      </x:c>
      <x:c r="D1475" s="11" t="n">
        <x:f>IF($A1475="","",INDEX(Assumptions!$G$5:$G$12,MATCH($B1475,Assumptions!$D$5:$D$12,0)))</x:f>
        <x:v>80</x:v>
      </x:c>
      <x:c r="E1475" s="11" t="n">
        <x:f>IF($A1475="","",INDEX(Assumptions!$M$5:$M$11,WEEKDAY($A1475,2)))</x:f>
        <x:v>1</x:v>
      </x:c>
      <x:c r="F1475" s="11" t="n">
        <x:f>IF($A1475="","",Assumptions!$B$15)</x:f>
        <x:v>0.35</x:v>
      </x:c>
      <x:c r="G1475" s="11" t="n">
        <x:f>IF($A1475="","",MAX(INDEX(Assumptions!$H$5:$H$12,MATCH($B1475,Assumptions!$D$5:$D$12,0)),MIN(INDEX(Assumptions!$I$5:$I$12,MATCH($B1475,Assumptions!$D$5:$D$12,0)),($C1475+$D1475*SQRT(-2*LN(RAND()))*COS(2*PI()*RAND()))*$E1475*$J1475*$K1475)))</x:f>
        <x:v>818.2389472707346</x:v>
      </x:c>
      <x:c r="H1475" s="11" t="n">
        <x:f>IF($A1475="","",$G1475*$F1475+$C1475*(1-$F1475))</x:f>
        <x:v>835.633631544757</x:v>
      </x:c>
      <x:c r="I1475" s="11" t="n">
        <x:f>IF($A1475="","",AVERAGE($H1475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846.1419993545304</x:v>
      </x:c>
      <x:c r="J1475" s="12" t="n">
        <x:f>IF($A1475="","",1+SUMIFS(Assumptions!$S$5:$S$10,Assumptions!$P$5:$P$10,$B1475,Assumptions!$Q$5:$Q$10,"&lt;="&amp;$A1475,Assumptions!$R$5:$R$10,"&gt;="&amp;$A1475))</x:f>
        <x:v>1</x:v>
      </x:c>
      <x:c r="K1475" s="12" t="n">
        <x:f>IF($A1475="","",1+((($A1475-Assumptions!$B$5)/30)*INDEX(Assumptions!$J$5:$J$12,MATCH($B1475,Assumptions!$D$5:$D$12,0))))</x:f>
        <x:v>1.0098</x:v>
      </x:c>
      <x:c r="L1475" t="str">
        <x:f>IF($A1475="","",IFERROR(INDEX(Assumptions!$O$5:$O$10,MATCH(1,(Assumptions!$P$5:$P$10=$B1475)*(Assumptions!$Q$5:$Q$10&lt;=$A1475)*(Assumptions!$R$5:$R$10&gt;=$A1475),0)),""))</x:f>
      </x:c>
      <x:c r="M1475" t="n">
        <x:f>--($A1475&lt;&gt;"")</x:f>
        <x:v>1</x:v>
      </x:c>
    </x:row>
    <x:row r="1476">
      <x:c r="A1476" s="10" t="n">
        <x:f>IF(Assumptions!$B$5+INT((ROW()-2)/Assumptions!$B$7)&gt;Assumptions!$B$6,"",Assumptions!$B$5+INT((ROW()-2)/Assumptions!$B$7))</x:f>
        <x:v>46317</x:v>
      </x:c>
      <x:c r="B1476" t="str">
        <x:f>IF($A1476="","",INDEX(Assumptions!$D$5:$D$12,MOD(ROW()-2,Assumptions!$B$7)+1))</x:f>
        <x:v>Yutani Ridge</x:v>
      </x:c>
      <x:c r="C1476" s="11" t="n">
        <x:f>IF($A1476="","",INDEX(Assumptions!$F$5:$F$12,MATCH($B1476,Assumptions!$D$5:$D$12,0)))</x:f>
        <x:v>1050</x:v>
      </x:c>
      <x:c r="D1476" s="11" t="n">
        <x:f>IF($A1476="","",INDEX(Assumptions!$G$5:$G$12,MATCH($B1476,Assumptions!$D$5:$D$12,0)))</x:f>
        <x:v>125</x:v>
      </x:c>
      <x:c r="E1476" s="11" t="n">
        <x:f>IF($A1476="","",INDEX(Assumptions!$M$5:$M$11,WEEKDAY($A1476,2)))</x:f>
        <x:v>1</x:v>
      </x:c>
      <x:c r="F1476" s="11" t="n">
        <x:f>IF($A1476="","",Assumptions!$B$15)</x:f>
        <x:v>0.35</x:v>
      </x:c>
      <x:c r="G1476" s="11" t="n">
        <x:f>IF($A1476="","",MAX(INDEX(Assumptions!$H$5:$H$12,MATCH($B1476,Assumptions!$D$5:$D$12,0)),MIN(INDEX(Assumptions!$I$5:$I$12,MATCH($B1476,Assumptions!$D$5:$D$12,0)),($C1476+$D1476*SQRT(-2*LN(RAND()))*COS(2*PI()*RAND()))*$E1476*$J1476*$K1476)))</x:f>
        <x:v>1090.8154228262663</x:v>
      </x:c>
      <x:c r="H1476" s="11" t="n">
        <x:f>IF($A1476="","",$G1476*$F1476+$C1476*(1-$F1476))</x:f>
        <x:v>1064.2853979891931</x:v>
      </x:c>
      <x:c r="I1476" s="11" t="n">
        <x:f>IF($A1476="","",AVERAGE($H1476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1064.2342261042868</x:v>
      </x:c>
      <x:c r="J1476" s="12" t="n">
        <x:f>IF($A1476="","",1+SUMIFS(Assumptions!$S$5:$S$10,Assumptions!$P$5:$P$10,$B1476,Assumptions!$Q$5:$Q$10,"&lt;="&amp;$A1476,Assumptions!$R$5:$R$10,"&gt;="&amp;$A1476))</x:f>
        <x:v>1</x:v>
      </x:c>
      <x:c r="K1476" s="12" t="n">
        <x:f>IF($A1476="","",1+((($A1476-Assumptions!$B$5)/30)*INDEX(Assumptions!$J$5:$J$12,MATCH($B1476,Assumptions!$D$5:$D$12,0))))</x:f>
        <x:v>1.0245</x:v>
      </x:c>
      <x:c r="L1476" t="str">
        <x:f>IF($A1476="","",IFERROR(INDEX(Assumptions!$O$5:$O$10,MATCH(1,(Assumptions!$P$5:$P$10=$B1476)*(Assumptions!$Q$5:$Q$10&lt;=$A1476)*(Assumptions!$R$5:$R$10&gt;=$A1476),0)),""))</x:f>
      </x:c>
      <x:c r="M1476" t="n">
        <x:f>--($A1476&lt;&gt;"")</x:f>
        <x:v>1</x:v>
      </x:c>
    </x:row>
    <x:row r="1477">
      <x:c r="A1477" s="10" t="n">
        <x:f>IF(Assumptions!$B$5+INT((ROW()-2)/Assumptions!$B$7)&gt;Assumptions!$B$6,"",Assumptions!$B$5+INT((ROW()-2)/Assumptions!$B$7))</x:f>
        <x:v>46318</x:v>
      </x:c>
      <x:c r="B1477" t="str">
        <x:f>IF($A1477="","",INDEX(Assumptions!$D$5:$D$12,MOD(ROW()-2,Assumptions!$B$7)+1))</x:f>
        <x:v>Acheron Prime</x:v>
      </x:c>
      <x:c r="C1477" s="11" t="n">
        <x:f>IF($A1477="","",INDEX(Assumptions!$F$5:$F$12,MATCH($B1477,Assumptions!$D$5:$D$12,0)))</x:f>
        <x:v>1120</x:v>
      </x:c>
      <x:c r="D1477" s="11" t="n">
        <x:f>IF($A1477="","",INDEX(Assumptions!$G$5:$G$12,MATCH($B1477,Assumptions!$D$5:$D$12,0)))</x:f>
        <x:v>115</x:v>
      </x:c>
      <x:c r="E1477" s="11" t="n">
        <x:f>IF($A1477="","",INDEX(Assumptions!$M$5:$M$11,WEEKDAY($A1477,2)))</x:f>
        <x:v>0.98</x:v>
      </x:c>
      <x:c r="F1477" s="11" t="n">
        <x:f>IF($A1477="","",Assumptions!$B$15)</x:f>
        <x:v>0.35</x:v>
      </x:c>
      <x:c r="G1477" s="11" t="n">
        <x:f>IF($A1477="","",MAX(INDEX(Assumptions!$H$5:$H$12,MATCH($B1477,Assumptions!$D$5:$D$12,0)),MIN(INDEX(Assumptions!$I$5:$I$12,MATCH($B1477,Assumptions!$D$5:$D$12,0)),($C1477+$D1477*SQRT(-2*LN(RAND()))*COS(2*PI()*RAND()))*$E1477*$J1477*$K1477)))</x:f>
        <x:v>1178.446660100751</x:v>
      </x:c>
      <x:c r="H1477" s="11" t="n">
        <x:f>IF($A1477="","",$G1477*$F1477+$C1477*(1-$F1477))</x:f>
        <x:v>1140.4563310352628</x:v>
      </x:c>
      <x:c r="I1477" s="11" t="n">
        <x:f>IF($A1477="","",AVERAGE($H1477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1126.5956001361678</x:v>
      </x:c>
      <x:c r="J1477" s="12" t="n">
        <x:f>IF($A1477="","",1+SUMIFS(Assumptions!$S$5:$S$10,Assumptions!$P$5:$P$10,$B1477,Assumptions!$Q$5:$Q$10,"&lt;="&amp;$A1477,Assumptions!$R$5:$R$10,"&gt;="&amp;$A1477))</x:f>
        <x:v>1</x:v>
      </x:c>
      <x:c r="K1477" s="12" t="n">
        <x:f>IF($A1477="","",1+((($A1477-Assumptions!$B$5)/30)*INDEX(Assumptions!$J$5:$J$12,MATCH($B1477,Assumptions!$D$5:$D$12,0))))</x:f>
        <x:v>1.0196666666666667</x:v>
      </x:c>
      <x:c r="L1477" t="str">
        <x:f>IF($A1477="","",IFERROR(INDEX(Assumptions!$O$5:$O$10,MATCH(1,(Assumptions!$P$5:$P$10=$B1477)*(Assumptions!$Q$5:$Q$10&lt;=$A1477)*(Assumptions!$R$5:$R$10&gt;=$A1477),0)),""))</x:f>
      </x:c>
      <x:c r="M1477" t="n">
        <x:f>--($A1477&lt;&gt;"")</x:f>
        <x:v>1</x:v>
      </x:c>
    </x:row>
    <x:row r="1478">
      <x:c r="A1478" s="10" t="n">
        <x:f>IF(Assumptions!$B$5+INT((ROW()-2)/Assumptions!$B$7)&gt;Assumptions!$B$6,"",Assumptions!$B$5+INT((ROW()-2)/Assumptions!$B$7))</x:f>
        <x:v>46318</x:v>
      </x:c>
      <x:c r="B1478" t="str">
        <x:f>IF($A1478="","",INDEX(Assumptions!$D$5:$D$12,MOD(ROW()-2,Assumptions!$B$7)+1))</x:f>
        <x:v>LV-426 North</x:v>
      </x:c>
      <x:c r="C1478" s="11" t="n">
        <x:f>IF($A1478="","",INDEX(Assumptions!$F$5:$F$12,MATCH($B1478,Assumptions!$D$5:$D$12,0)))</x:f>
        <x:v>930</x:v>
      </x:c>
      <x:c r="D1478" s="11" t="n">
        <x:f>IF($A1478="","",INDEX(Assumptions!$G$5:$G$12,MATCH($B1478,Assumptions!$D$5:$D$12,0)))</x:f>
        <x:v>95</x:v>
      </x:c>
      <x:c r="E1478" s="11" t="n">
        <x:f>IF($A1478="","",INDEX(Assumptions!$M$5:$M$11,WEEKDAY($A1478,2)))</x:f>
        <x:v>0.98</x:v>
      </x:c>
      <x:c r="F1478" s="11" t="n">
        <x:f>IF($A1478="","",Assumptions!$B$15)</x:f>
        <x:v>0.35</x:v>
      </x:c>
      <x:c r="G1478" s="11" t="n">
        <x:f>IF($A1478="","",MAX(INDEX(Assumptions!$H$5:$H$12,MATCH($B1478,Assumptions!$D$5:$D$12,0)),MIN(INDEX(Assumptions!$I$5:$I$12,MATCH($B1478,Assumptions!$D$5:$D$12,0)),($C1478+$D1478*SQRT(-2*LN(RAND()))*COS(2*PI()*RAND()))*$E1478*$J1478*$K1478)))</x:f>
        <x:v>912.3123298301164</x:v>
      </x:c>
      <x:c r="H1478" s="11" t="n">
        <x:f>IF($A1478="","",$G1478*$F1478+$C1478*(1-$F1478))</x:f>
        <x:v>923.8093154405408</x:v>
      </x:c>
      <x:c r="I1478" s="11" t="n">
        <x:f>IF($A1478="","",AVERAGE($H1478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917.7003430155874</x:v>
      </x:c>
      <x:c r="J1478" s="12" t="n">
        <x:f>IF($A1478="","",1+SUMIFS(Assumptions!$S$5:$S$10,Assumptions!$P$5:$P$10,$B1478,Assumptions!$Q$5:$Q$10,"&lt;="&amp;$A1478,Assumptions!$R$5:$R$10,"&gt;="&amp;$A1478))</x:f>
        <x:v>1</x:v>
      </x:c>
      <x:c r="K1478" s="12" t="n">
        <x:f>IF($A1478="","",1+((($A1478-Assumptions!$B$5)/30)*INDEX(Assumptions!$J$5:$J$12,MATCH($B1478,Assumptions!$D$5:$D$12,0))))</x:f>
        <x:v>0.9901666666666666</x:v>
      </x:c>
      <x:c r="L1478" t="str">
        <x:f>IF($A1478="","",IFERROR(INDEX(Assumptions!$O$5:$O$10,MATCH(1,(Assumptions!$P$5:$P$10=$B1478)*(Assumptions!$Q$5:$Q$10&lt;=$A1478)*(Assumptions!$R$5:$R$10&gt;=$A1478),0)),""))</x:f>
      </x:c>
      <x:c r="M1478" t="n">
        <x:f>--($A1478&lt;&gt;"")</x:f>
        <x:v>1</x:v>
      </x:c>
    </x:row>
    <x:row r="1479">
      <x:c r="A1479" s="10" t="n">
        <x:f>IF(Assumptions!$B$5+INT((ROW()-2)/Assumptions!$B$7)&gt;Assumptions!$B$6,"",Assumptions!$B$5+INT((ROW()-2)/Assumptions!$B$7))</x:f>
        <x:v>46318</x:v>
      </x:c>
      <x:c r="B1479" t="str">
        <x:f>IF($A1479="","",INDEX(Assumptions!$D$5:$D$12,MOD(ROW()-2,Assumptions!$B$7)+1))</x:f>
        <x:v>Nostromo Deep</x:v>
      </x:c>
      <x:c r="C1479" s="11" t="n">
        <x:f>IF($A1479="","",INDEX(Assumptions!$F$5:$F$12,MATCH($B1479,Assumptions!$D$5:$D$12,0)))</x:f>
        <x:v>1260</x:v>
      </x:c>
      <x:c r="D1479" s="11" t="n">
        <x:f>IF($A1479="","",INDEX(Assumptions!$G$5:$G$12,MATCH($B1479,Assumptions!$D$5:$D$12,0)))</x:f>
        <x:v>145</x:v>
      </x:c>
      <x:c r="E1479" s="11" t="n">
        <x:f>IF($A1479="","",INDEX(Assumptions!$M$5:$M$11,WEEKDAY($A1479,2)))</x:f>
        <x:v>0.98</x:v>
      </x:c>
      <x:c r="F1479" s="11" t="n">
        <x:f>IF($A1479="","",Assumptions!$B$15)</x:f>
        <x:v>0.35</x:v>
      </x:c>
      <x:c r="G1479" s="11" t="n">
        <x:f>IF($A1479="","",MAX(INDEX(Assumptions!$H$5:$H$12,MATCH($B1479,Assumptions!$D$5:$D$12,0)),MIN(INDEX(Assumptions!$I$5:$I$12,MATCH($B1479,Assumptions!$D$5:$D$12,0)),($C1479+$D1479*SQRT(-2*LN(RAND()))*COS(2*PI()*RAND()))*$E1479*$J1479*$K1479)))</x:f>
        <x:v>1323.897845278853</x:v>
      </x:c>
      <x:c r="H1479" s="11" t="n">
        <x:f>IF($A1479="","",$G1479*$F1479+$C1479*(1-$F1479))</x:f>
        <x:v>1282.3642458475986</x:v>
      </x:c>
      <x:c r="I1479" s="11" t="n">
        <x:f>IF($A1479="","",AVERAGE($H1479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1257.3728924334876</x:v>
      </x:c>
      <x:c r="J1479" s="12" t="n">
        <x:f>IF($A1479="","",1+SUMIFS(Assumptions!$S$5:$S$10,Assumptions!$P$5:$P$10,$B1479,Assumptions!$Q$5:$Q$10,"&lt;="&amp;$A1479,Assumptions!$R$5:$R$10,"&gt;="&amp;$A1479))</x:f>
        <x:v>1</x:v>
      </x:c>
      <x:c r="K1479" s="12" t="n">
        <x:f>IF($A1479="","",1+((($A1479-Assumptions!$B$5)/30)*INDEX(Assumptions!$J$5:$J$12,MATCH($B1479,Assumptions!$D$5:$D$12,0))))</x:f>
        <x:v>1.0295</x:v>
      </x:c>
      <x:c r="L1479" t="str">
        <x:f>IF($A1479="","",IFERROR(INDEX(Assumptions!$O$5:$O$10,MATCH(1,(Assumptions!$P$5:$P$10=$B1479)*(Assumptions!$Q$5:$Q$10&lt;=$A1479)*(Assumptions!$R$5:$R$10&gt;=$A1479),0)),""))</x:f>
      </x:c>
      <x:c r="M1479" t="n">
        <x:f>--($A1479&lt;&gt;"")</x:f>
        <x:v>1</x:v>
      </x:c>
    </x:row>
    <x:row r="1480">
      <x:c r="A1480" s="10" t="n">
        <x:f>IF(Assumptions!$B$5+INT((ROW()-2)/Assumptions!$B$7)&gt;Assumptions!$B$6,"",Assumptions!$B$5+INT((ROW()-2)/Assumptions!$B$7))</x:f>
        <x:v>46318</x:v>
      </x:c>
      <x:c r="B1480" t="str">
        <x:f>IF($A1480="","",INDEX(Assumptions!$D$5:$D$12,MOD(ROW()-2,Assumptions!$B$7)+1))</x:f>
        <x:v>Hadley's Hope</x:v>
      </x:c>
      <x:c r="C1480" s="11" t="n">
        <x:f>IF($A1480="","",INDEX(Assumptions!$F$5:$F$12,MATCH($B1480,Assumptions!$D$5:$D$12,0)))</x:f>
        <x:v>845</x:v>
      </x:c>
      <x:c r="D1480" s="11" t="n">
        <x:f>IF($A1480="","",INDEX(Assumptions!$G$5:$G$12,MATCH($B1480,Assumptions!$D$5:$D$12,0)))</x:f>
        <x:v>80</x:v>
      </x:c>
      <x:c r="E1480" s="11" t="n">
        <x:f>IF($A1480="","",INDEX(Assumptions!$M$5:$M$11,WEEKDAY($A1480,2)))</x:f>
        <x:v>0.98</x:v>
      </x:c>
      <x:c r="F1480" s="11" t="n">
        <x:f>IF($A1480="","",Assumptions!$B$15)</x:f>
        <x:v>0.35</x:v>
      </x:c>
      <x:c r="G1480" s="11" t="n">
        <x:f>IF($A1480="","",MAX(INDEX(Assumptions!$H$5:$H$12,MATCH($B1480,Assumptions!$D$5:$D$12,0)),MIN(INDEX(Assumptions!$I$5:$I$12,MATCH($B1480,Assumptions!$D$5:$D$12,0)),($C1480+$D1480*SQRT(-2*LN(RAND()))*COS(2*PI()*RAND()))*$E1480*$J1480*$K1480)))</x:f>
        <x:v>756.4129602742978</x:v>
      </x:c>
      <x:c r="H1480" s="11" t="n">
        <x:f>IF($A1480="","",$G1480*$F1480+$C1480*(1-$F1480))</x:f>
        <x:v>813.9945360960041</x:v>
      </x:c>
      <x:c r="I1480" s="11" t="n">
        <x:f>IF($A1480="","",AVERAGE($H1480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835.7420023284988</x:v>
      </x:c>
      <x:c r="J1480" s="12" t="n">
        <x:f>IF($A1480="","",1+SUMIFS(Assumptions!$S$5:$S$10,Assumptions!$P$5:$P$10,$B1480,Assumptions!$Q$5:$Q$10,"&lt;="&amp;$A1480,Assumptions!$R$5:$R$10,"&gt;="&amp;$A1480))</x:f>
        <x:v>1</x:v>
      </x:c>
      <x:c r="K1480" s="12" t="n">
        <x:f>IF($A1480="","",1+((($A1480-Assumptions!$B$5)/30)*INDEX(Assumptions!$J$5:$J$12,MATCH($B1480,Assumptions!$D$5:$D$12,0))))</x:f>
        <x:v>1.0098333333333334</x:v>
      </x:c>
      <x:c r="L1480" t="str">
        <x:f>IF($A1480="","",IFERROR(INDEX(Assumptions!$O$5:$O$10,MATCH(1,(Assumptions!$P$5:$P$10=$B1480)*(Assumptions!$Q$5:$Q$10&lt;=$A1480)*(Assumptions!$R$5:$R$10&gt;=$A1480),0)),""))</x:f>
      </x:c>
      <x:c r="M1480" t="n">
        <x:f>--($A1480&lt;&gt;"")</x:f>
        <x:v>1</x:v>
      </x:c>
    </x:row>
    <x:row r="1481">
      <x:c r="A1481" s="10" t="n">
        <x:f>IF(Assumptions!$B$5+INT((ROW()-2)/Assumptions!$B$7)&gt;Assumptions!$B$6,"",Assumptions!$B$5+INT((ROW()-2)/Assumptions!$B$7))</x:f>
        <x:v>46318</x:v>
      </x:c>
      <x:c r="B1481" t="str">
        <x:f>IF($A1481="","",INDEX(Assumptions!$D$5:$D$12,MOD(ROW()-2,Assumptions!$B$7)+1))</x:f>
        <x:v>Yutani Ridge</x:v>
      </x:c>
      <x:c r="C1481" s="11" t="n">
        <x:f>IF($A1481="","",INDEX(Assumptions!$F$5:$F$12,MATCH($B1481,Assumptions!$D$5:$D$12,0)))</x:f>
        <x:v>1050</x:v>
      </x:c>
      <x:c r="D1481" s="11" t="n">
        <x:f>IF($A1481="","",INDEX(Assumptions!$G$5:$G$12,MATCH($B1481,Assumptions!$D$5:$D$12,0)))</x:f>
        <x:v>125</x:v>
      </x:c>
      <x:c r="E1481" s="11" t="n">
        <x:f>IF($A1481="","",INDEX(Assumptions!$M$5:$M$11,WEEKDAY($A1481,2)))</x:f>
        <x:v>0.98</x:v>
      </x:c>
      <x:c r="F1481" s="11" t="n">
        <x:f>IF($A1481="","",Assumptions!$B$15)</x:f>
        <x:v>0.35</x:v>
      </x:c>
      <x:c r="G1481" s="11" t="n">
        <x:f>IF($A1481="","",MAX(INDEX(Assumptions!$H$5:$H$12,MATCH($B1481,Assumptions!$D$5:$D$12,0)),MIN(INDEX(Assumptions!$I$5:$I$12,MATCH($B1481,Assumptions!$D$5:$D$12,0)),($C1481+$D1481*SQRT(-2*LN(RAND()))*COS(2*PI()*RAND()))*$E1481*$J1481*$K1481)))</x:f>
        <x:v>1137.5120562399272</x:v>
      </x:c>
      <x:c r="H1481" s="11" t="n">
        <x:f>IF($A1481="","",$G1481*$F1481+$C1481*(1-$F1481))</x:f>
        <x:v>1080.6292196839745</x:v>
      </x:c>
      <x:c r="I1481" s="11" t="n">
        <x:f>IF($A1481="","",AVERAGE($H1481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1058.5915221208056</x:v>
      </x:c>
      <x:c r="J1481" s="12" t="n">
        <x:f>IF($A1481="","",1+SUMIFS(Assumptions!$S$5:$S$10,Assumptions!$P$5:$P$10,$B1481,Assumptions!$Q$5:$Q$10,"&lt;="&amp;$A1481,Assumptions!$R$5:$R$10,"&gt;="&amp;$A1481))</x:f>
        <x:v>1</x:v>
      </x:c>
      <x:c r="K1481" s="12" t="n">
        <x:f>IF($A1481="","",1+((($A1481-Assumptions!$B$5)/30)*INDEX(Assumptions!$J$5:$J$12,MATCH($B1481,Assumptions!$D$5:$D$12,0))))</x:f>
        <x:v>1.0245833333333334</x:v>
      </x:c>
      <x:c r="L1481" t="str">
        <x:f>IF($A1481="","",IFERROR(INDEX(Assumptions!$O$5:$O$10,MATCH(1,(Assumptions!$P$5:$P$10=$B1481)*(Assumptions!$Q$5:$Q$10&lt;=$A1481)*(Assumptions!$R$5:$R$10&gt;=$A1481),0)),""))</x:f>
      </x:c>
      <x:c r="M1481" t="n">
        <x:f>--($A1481&lt;&gt;"")</x:f>
        <x:v>1</x:v>
      </x:c>
    </x:row>
    <x:row r="1482">
      <x:c r="A1482" s="10" t="n">
        <x:f>IF(Assumptions!$B$5+INT((ROW()-2)/Assumptions!$B$7)&gt;Assumptions!$B$6,"",Assumptions!$B$5+INT((ROW()-2)/Assumptions!$B$7))</x:f>
        <x:v>46319</x:v>
      </x:c>
      <x:c r="B1482" t="str">
        <x:f>IF($A1482="","",INDEX(Assumptions!$D$5:$D$12,MOD(ROW()-2,Assumptions!$B$7)+1))</x:f>
        <x:v>Acheron Prime</x:v>
      </x:c>
      <x:c r="C1482" s="11" t="n">
        <x:f>IF($A1482="","",INDEX(Assumptions!$F$5:$F$12,MATCH($B1482,Assumptions!$D$5:$D$12,0)))</x:f>
        <x:v>1120</x:v>
      </x:c>
      <x:c r="D1482" s="11" t="n">
        <x:f>IF($A1482="","",INDEX(Assumptions!$G$5:$G$12,MATCH($B1482,Assumptions!$D$5:$D$12,0)))</x:f>
        <x:v>115</x:v>
      </x:c>
      <x:c r="E1482" s="11" t="n">
        <x:f>IF($A1482="","",INDEX(Assumptions!$M$5:$M$11,WEEKDAY($A1482,2)))</x:f>
        <x:v>0.91</x:v>
      </x:c>
      <x:c r="F1482" s="11" t="n">
        <x:f>IF($A1482="","",Assumptions!$B$15)</x:f>
        <x:v>0.35</x:v>
      </x:c>
      <x:c r="G1482" s="11" t="n">
        <x:f>IF($A1482="","",MAX(INDEX(Assumptions!$H$5:$H$12,MATCH($B1482,Assumptions!$D$5:$D$12,0)),MIN(INDEX(Assumptions!$I$5:$I$12,MATCH($B1482,Assumptions!$D$5:$D$12,0)),($C1482+$D1482*SQRT(-2*LN(RAND()))*COS(2*PI()*RAND()))*$E1482*$J1482*$K1482)))</x:f>
        <x:v>1133.2880928293691</x:v>
      </x:c>
      <x:c r="H1482" s="11" t="n">
        <x:f>IF($A1482="","",$G1482*$F1482+$C1482*(1-$F1482))</x:f>
        <x:v>1124.6508324902793</x:v>
      </x:c>
      <x:c r="I1482" s="11" t="n">
        <x:f>IF($A1482="","",AVERAGE($H1482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1131.5870880411806</x:v>
      </x:c>
      <x:c r="J1482" s="12" t="n">
        <x:f>IF($A1482="","",1+SUMIFS(Assumptions!$S$5:$S$10,Assumptions!$P$5:$P$10,$B1482,Assumptions!$Q$5:$Q$10,"&lt;="&amp;$A1482,Assumptions!$R$5:$R$10,"&gt;="&amp;$A1482))</x:f>
        <x:v>1</x:v>
      </x:c>
      <x:c r="K1482" s="12" t="n">
        <x:f>IF($A1482="","",1+((($A1482-Assumptions!$B$5)/30)*INDEX(Assumptions!$J$5:$J$12,MATCH($B1482,Assumptions!$D$5:$D$12,0))))</x:f>
        <x:v>1.0197333333333334</x:v>
      </x:c>
      <x:c r="L1482" t="str">
        <x:f>IF($A1482="","",IFERROR(INDEX(Assumptions!$O$5:$O$10,MATCH(1,(Assumptions!$P$5:$P$10=$B1482)*(Assumptions!$Q$5:$Q$10&lt;=$A1482)*(Assumptions!$R$5:$R$10&gt;=$A1482),0)),""))</x:f>
      </x:c>
      <x:c r="M1482" t="n">
        <x:f>--($A1482&lt;&gt;"")</x:f>
        <x:v>1</x:v>
      </x:c>
    </x:row>
    <x:row r="1483">
      <x:c r="A1483" s="10" t="n">
        <x:f>IF(Assumptions!$B$5+INT((ROW()-2)/Assumptions!$B$7)&gt;Assumptions!$B$6,"",Assumptions!$B$5+INT((ROW()-2)/Assumptions!$B$7))</x:f>
        <x:v>46319</x:v>
      </x:c>
      <x:c r="B1483" t="str">
        <x:f>IF($A1483="","",INDEX(Assumptions!$D$5:$D$12,MOD(ROW()-2,Assumptions!$B$7)+1))</x:f>
        <x:v>LV-426 North</x:v>
      </x:c>
      <x:c r="C1483" s="11" t="n">
        <x:f>IF($A1483="","",INDEX(Assumptions!$F$5:$F$12,MATCH($B1483,Assumptions!$D$5:$D$12,0)))</x:f>
        <x:v>930</x:v>
      </x:c>
      <x:c r="D1483" s="11" t="n">
        <x:f>IF($A1483="","",INDEX(Assumptions!$G$5:$G$12,MATCH($B1483,Assumptions!$D$5:$D$12,0)))</x:f>
        <x:v>95</x:v>
      </x:c>
      <x:c r="E1483" s="11" t="n">
        <x:f>IF($A1483="","",INDEX(Assumptions!$M$5:$M$11,WEEKDAY($A1483,2)))</x:f>
        <x:v>0.91</x:v>
      </x:c>
      <x:c r="F1483" s="11" t="n">
        <x:f>IF($A1483="","",Assumptions!$B$15)</x:f>
        <x:v>0.35</x:v>
      </x:c>
      <x:c r="G1483" s="11" t="n">
        <x:f>IF($A1483="","",MAX(INDEX(Assumptions!$H$5:$H$12,MATCH($B1483,Assumptions!$D$5:$D$12,0)),MIN(INDEX(Assumptions!$I$5:$I$12,MATCH($B1483,Assumptions!$D$5:$D$12,0)),($C1483+$D1483*SQRT(-2*LN(RAND()))*COS(2*PI()*RAND()))*$E1483*$J1483*$K1483)))</x:f>
        <x:v>993.6728520597413</x:v>
      </x:c>
      <x:c r="H1483" s="11" t="n">
        <x:f>IF($A1483="","",$G1483*$F1483+$C1483*(1-$F1483))</x:f>
        <x:v>952.2854982209094</x:v>
      </x:c>
      <x:c r="I1483" s="11" t="n">
        <x:f>IF($A1483="","",AVERAGE($H1483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925.0247876480789</x:v>
      </x:c>
      <x:c r="J1483" s="12" t="n">
        <x:f>IF($A1483="","",1+SUMIFS(Assumptions!$S$5:$S$10,Assumptions!$P$5:$P$10,$B1483,Assumptions!$Q$5:$Q$10,"&lt;="&amp;$A1483,Assumptions!$R$5:$R$10,"&gt;="&amp;$A1483))</x:f>
        <x:v>1</x:v>
      </x:c>
      <x:c r="K1483" s="12" t="n">
        <x:f>IF($A1483="","",1+((($A1483-Assumptions!$B$5)/30)*INDEX(Assumptions!$J$5:$J$12,MATCH($B1483,Assumptions!$D$5:$D$12,0))))</x:f>
        <x:v>0.9901333333333333</x:v>
      </x:c>
      <x:c r="L1483" t="str">
        <x:f>IF($A1483="","",IFERROR(INDEX(Assumptions!$O$5:$O$10,MATCH(1,(Assumptions!$P$5:$P$10=$B1483)*(Assumptions!$Q$5:$Q$10&lt;=$A1483)*(Assumptions!$R$5:$R$10&gt;=$A1483),0)),""))</x:f>
      </x:c>
      <x:c r="M1483" t="n">
        <x:f>--($A1483&lt;&gt;"")</x:f>
        <x:v>1</x:v>
      </x:c>
    </x:row>
    <x:row r="1484">
      <x:c r="A1484" s="10" t="n">
        <x:f>IF(Assumptions!$B$5+INT((ROW()-2)/Assumptions!$B$7)&gt;Assumptions!$B$6,"",Assumptions!$B$5+INT((ROW()-2)/Assumptions!$B$7))</x:f>
        <x:v>46319</x:v>
      </x:c>
      <x:c r="B1484" t="str">
        <x:f>IF($A1484="","",INDEX(Assumptions!$D$5:$D$12,MOD(ROW()-2,Assumptions!$B$7)+1))</x:f>
        <x:v>Nostromo Deep</x:v>
      </x:c>
      <x:c r="C1484" s="11" t="n">
        <x:f>IF($A1484="","",INDEX(Assumptions!$F$5:$F$12,MATCH($B1484,Assumptions!$D$5:$D$12,0)))</x:f>
        <x:v>1260</x:v>
      </x:c>
      <x:c r="D1484" s="11" t="n">
        <x:f>IF($A1484="","",INDEX(Assumptions!$G$5:$G$12,MATCH($B1484,Assumptions!$D$5:$D$12,0)))</x:f>
        <x:v>145</x:v>
      </x:c>
      <x:c r="E1484" s="11" t="n">
        <x:f>IF($A1484="","",INDEX(Assumptions!$M$5:$M$11,WEEKDAY($A1484,2)))</x:f>
        <x:v>0.91</x:v>
      </x:c>
      <x:c r="F1484" s="11" t="n">
        <x:f>IF($A1484="","",Assumptions!$B$15)</x:f>
        <x:v>0.35</x:v>
      </x:c>
      <x:c r="G1484" s="11" t="n">
        <x:f>IF($A1484="","",MAX(INDEX(Assumptions!$H$5:$H$12,MATCH($B1484,Assumptions!$D$5:$D$12,0)),MIN(INDEX(Assumptions!$I$5:$I$12,MATCH($B1484,Assumptions!$D$5:$D$12,0)),($C1484+$D1484*SQRT(-2*LN(RAND()))*COS(2*PI()*RAND()))*$E1484*$J1484*$K1484)))</x:f>
        <x:v>1328.190330147177</x:v>
      </x:c>
      <x:c r="H1484" s="11" t="n">
        <x:f>IF($A1484="","",$G1484*$F1484+$C1484*(1-$F1484))</x:f>
        <x:v>1283.866615551512</x:v>
      </x:c>
      <x:c r="I1484" s="11" t="n">
        <x:f>IF($A1484="","",AVERAGE($H1484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1267.0640134919045</x:v>
      </x:c>
      <x:c r="J1484" s="12" t="n">
        <x:f>IF($A1484="","",1+SUMIFS(Assumptions!$S$5:$S$10,Assumptions!$P$5:$P$10,$B1484,Assumptions!$Q$5:$Q$10,"&lt;="&amp;$A1484,Assumptions!$R$5:$R$10,"&gt;="&amp;$A1484))</x:f>
        <x:v>1</x:v>
      </x:c>
      <x:c r="K1484" s="12" t="n">
        <x:f>IF($A1484="","",1+((($A1484-Assumptions!$B$5)/30)*INDEX(Assumptions!$J$5:$J$12,MATCH($B1484,Assumptions!$D$5:$D$12,0))))</x:f>
        <x:v>1.0296</x:v>
      </x:c>
      <x:c r="L1484" t="str">
        <x:f>IF($A1484="","",IFERROR(INDEX(Assumptions!$O$5:$O$10,MATCH(1,(Assumptions!$P$5:$P$10=$B1484)*(Assumptions!$Q$5:$Q$10&lt;=$A1484)*(Assumptions!$R$5:$R$10&gt;=$A1484),0)),""))</x:f>
      </x:c>
      <x:c r="M1484" t="n">
        <x:f>--($A1484&lt;&gt;"")</x:f>
        <x:v>1</x:v>
      </x:c>
    </x:row>
    <x:row r="1485">
      <x:c r="A1485" s="10" t="n">
        <x:f>IF(Assumptions!$B$5+INT((ROW()-2)/Assumptions!$B$7)&gt;Assumptions!$B$6,"",Assumptions!$B$5+INT((ROW()-2)/Assumptions!$B$7))</x:f>
        <x:v>46319</x:v>
      </x:c>
      <x:c r="B1485" t="str">
        <x:f>IF($A1485="","",INDEX(Assumptions!$D$5:$D$12,MOD(ROW()-2,Assumptions!$B$7)+1))</x:f>
        <x:v>Hadley's Hope</x:v>
      </x:c>
      <x:c r="C1485" s="11" t="n">
        <x:f>IF($A1485="","",INDEX(Assumptions!$F$5:$F$12,MATCH($B1485,Assumptions!$D$5:$D$12,0)))</x:f>
        <x:v>845</x:v>
      </x:c>
      <x:c r="D1485" s="11" t="n">
        <x:f>IF($A1485="","",INDEX(Assumptions!$G$5:$G$12,MATCH($B1485,Assumptions!$D$5:$D$12,0)))</x:f>
        <x:v>80</x:v>
      </x:c>
      <x:c r="E1485" s="11" t="n">
        <x:f>IF($A1485="","",INDEX(Assumptions!$M$5:$M$11,WEEKDAY($A1485,2)))</x:f>
        <x:v>0.91</x:v>
      </x:c>
      <x:c r="F1485" s="11" t="n">
        <x:f>IF($A1485="","",Assumptions!$B$15)</x:f>
        <x:v>0.35</x:v>
      </x:c>
      <x:c r="G1485" s="11" t="n">
        <x:f>IF($A1485="","",MAX(INDEX(Assumptions!$H$5:$H$12,MATCH($B1485,Assumptions!$D$5:$D$12,0)),MIN(INDEX(Assumptions!$I$5:$I$12,MATCH($B1485,Assumptions!$D$5:$D$12,0)),($C1485+$D1485*SQRT(-2*LN(RAND()))*COS(2*PI()*RAND()))*$E1485*$J1485*$K1485)))</x:f>
        <x:v>762.5861467882929</x:v>
      </x:c>
      <x:c r="H1485" s="11" t="n">
        <x:f>IF($A1485="","",$G1485*$F1485+$C1485*(1-$F1485))</x:f>
        <x:v>816.1551513759025</x:v>
      </x:c>
      <x:c r="I1485" s="11" t="n">
        <x:f>IF($A1485="","",AVERAGE($H1485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832.1217325025542</x:v>
      </x:c>
      <x:c r="J1485" s="12" t="n">
        <x:f>IF($A1485="","",1+SUMIFS(Assumptions!$S$5:$S$10,Assumptions!$P$5:$P$10,$B1485,Assumptions!$Q$5:$Q$10,"&lt;="&amp;$A1485,Assumptions!$R$5:$R$10,"&gt;="&amp;$A1485))</x:f>
        <x:v>1</x:v>
      </x:c>
      <x:c r="K1485" s="12" t="n">
        <x:f>IF($A1485="","",1+((($A1485-Assumptions!$B$5)/30)*INDEX(Assumptions!$J$5:$J$12,MATCH($B1485,Assumptions!$D$5:$D$12,0))))</x:f>
        <x:v>1.0098666666666667</x:v>
      </x:c>
      <x:c r="L1485" t="str">
        <x:f>IF($A1485="","",IFERROR(INDEX(Assumptions!$O$5:$O$10,MATCH(1,(Assumptions!$P$5:$P$10=$B1485)*(Assumptions!$Q$5:$Q$10&lt;=$A1485)*(Assumptions!$R$5:$R$10&gt;=$A1485),0)),""))</x:f>
      </x:c>
      <x:c r="M1485" t="n">
        <x:f>--($A1485&lt;&gt;"")</x:f>
        <x:v>1</x:v>
      </x:c>
    </x:row>
    <x:row r="1486">
      <x:c r="A1486" s="10" t="n">
        <x:f>IF(Assumptions!$B$5+INT((ROW()-2)/Assumptions!$B$7)&gt;Assumptions!$B$6,"",Assumptions!$B$5+INT((ROW()-2)/Assumptions!$B$7))</x:f>
        <x:v>46319</x:v>
      </x:c>
      <x:c r="B1486" t="str">
        <x:f>IF($A1486="","",INDEX(Assumptions!$D$5:$D$12,MOD(ROW()-2,Assumptions!$B$7)+1))</x:f>
        <x:v>Yutani Ridge</x:v>
      </x:c>
      <x:c r="C1486" s="11" t="n">
        <x:f>IF($A1486="","",INDEX(Assumptions!$F$5:$F$12,MATCH($B1486,Assumptions!$D$5:$D$12,0)))</x:f>
        <x:v>1050</x:v>
      </x:c>
      <x:c r="D1486" s="11" t="n">
        <x:f>IF($A1486="","",INDEX(Assumptions!$G$5:$G$12,MATCH($B1486,Assumptions!$D$5:$D$12,0)))</x:f>
        <x:v>125</x:v>
      </x:c>
      <x:c r="E1486" s="11" t="n">
        <x:f>IF($A1486="","",INDEX(Assumptions!$M$5:$M$11,WEEKDAY($A1486,2)))</x:f>
        <x:v>0.91</x:v>
      </x:c>
      <x:c r="F1486" s="11" t="n">
        <x:f>IF($A1486="","",Assumptions!$B$15)</x:f>
        <x:v>0.35</x:v>
      </x:c>
      <x:c r="G1486" s="11" t="n">
        <x:f>IF($A1486="","",MAX(INDEX(Assumptions!$H$5:$H$12,MATCH($B1486,Assumptions!$D$5:$D$12,0)),MIN(INDEX(Assumptions!$I$5:$I$12,MATCH($B1486,Assumptions!$D$5:$D$12,0)),($C1486+$D1486*SQRT(-2*LN(RAND()))*COS(2*PI()*RAND()))*$E1486*$J1486*$K1486)))</x:f>
        <x:v>1103.2950248110542</x:v>
      </x:c>
      <x:c r="H1486" s="11" t="n">
        <x:f>IF($A1486="","",$G1486*$F1486+$C1486*(1-$F1486))</x:f>
        <x:v>1068.653258683869</x:v>
      </x:c>
      <x:c r="I1486" s="11" t="n">
        <x:f>IF($A1486="","",AVERAGE($H1486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1060.1112079453394</x:v>
      </x:c>
      <x:c r="J1486" s="12" t="n">
        <x:f>IF($A1486="","",1+SUMIFS(Assumptions!$S$5:$S$10,Assumptions!$P$5:$P$10,$B1486,Assumptions!$Q$5:$Q$10,"&lt;="&amp;$A1486,Assumptions!$R$5:$R$10,"&gt;="&amp;$A1486))</x:f>
        <x:v>1</x:v>
      </x:c>
      <x:c r="K1486" s="12" t="n">
        <x:f>IF($A1486="","",1+((($A1486-Assumptions!$B$5)/30)*INDEX(Assumptions!$J$5:$J$12,MATCH($B1486,Assumptions!$D$5:$D$12,0))))</x:f>
        <x:v>1.0246666666666666</x:v>
      </x:c>
      <x:c r="L1486" t="str">
        <x:f>IF($A1486="","",IFERROR(INDEX(Assumptions!$O$5:$O$10,MATCH(1,(Assumptions!$P$5:$P$10=$B1486)*(Assumptions!$Q$5:$Q$10&lt;=$A1486)*(Assumptions!$R$5:$R$10&gt;=$A1486),0)),""))</x:f>
      </x:c>
      <x:c r="M1486" t="n">
        <x:f>--($A1486&lt;&gt;"")</x:f>
        <x:v>1</x:v>
      </x:c>
    </x:row>
    <x:row r="1487">
      <x:c r="A1487" s="10" t="n">
        <x:f>IF(Assumptions!$B$5+INT((ROW()-2)/Assumptions!$B$7)&gt;Assumptions!$B$6,"",Assumptions!$B$5+INT((ROW()-2)/Assumptions!$B$7))</x:f>
        <x:v>46320</x:v>
      </x:c>
      <x:c r="B1487" t="str">
        <x:f>IF($A1487="","",INDEX(Assumptions!$D$5:$D$12,MOD(ROW()-2,Assumptions!$B$7)+1))</x:f>
        <x:v>Acheron Prime</x:v>
      </x:c>
      <x:c r="C1487" s="11" t="n">
        <x:f>IF($A1487="","",INDEX(Assumptions!$F$5:$F$12,MATCH($B1487,Assumptions!$D$5:$D$12,0)))</x:f>
        <x:v>1120</x:v>
      </x:c>
      <x:c r="D1487" s="11" t="n">
        <x:f>IF($A1487="","",INDEX(Assumptions!$G$5:$G$12,MATCH($B1487,Assumptions!$D$5:$D$12,0)))</x:f>
        <x:v>115</x:v>
      </x:c>
      <x:c r="E1487" s="11" t="n">
        <x:f>IF($A1487="","",INDEX(Assumptions!$M$5:$M$11,WEEKDAY($A1487,2)))</x:f>
        <x:v>0.87</x:v>
      </x:c>
      <x:c r="F1487" s="11" t="n">
        <x:f>IF($A1487="","",Assumptions!$B$15)</x:f>
        <x:v>0.35</x:v>
      </x:c>
      <x:c r="G1487" s="11" t="n">
        <x:f>IF($A1487="","",MAX(INDEX(Assumptions!$H$5:$H$12,MATCH($B1487,Assumptions!$D$5:$D$12,0)),MIN(INDEX(Assumptions!$I$5:$I$12,MATCH($B1487,Assumptions!$D$5:$D$12,0)),($C1487+$D1487*SQRT(-2*LN(RAND()))*COS(2*PI()*RAND()))*$E1487*$J1487*$K1487)))</x:f>
        <x:v>929.1509990337613</x:v>
      </x:c>
      <x:c r="H1487" s="11" t="n">
        <x:f>IF($A1487="","",$G1487*$F1487+$C1487*(1-$F1487))</x:f>
        <x:v>1053.2028496618163</x:v>
      </x:c>
      <x:c r="I1487" s="11" t="n">
        <x:f>IF($A1487="","",AVERAGE($H1487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1124.904851933466</x:v>
      </x:c>
      <x:c r="J1487" s="12" t="n">
        <x:f>IF($A1487="","",1+SUMIFS(Assumptions!$S$5:$S$10,Assumptions!$P$5:$P$10,$B1487,Assumptions!$Q$5:$Q$10,"&lt;="&amp;$A1487,Assumptions!$R$5:$R$10,"&gt;="&amp;$A1487))</x:f>
        <x:v>1</x:v>
      </x:c>
      <x:c r="K1487" s="12" t="n">
        <x:f>IF($A1487="","",1+((($A1487-Assumptions!$B$5)/30)*INDEX(Assumptions!$J$5:$J$12,MATCH($B1487,Assumptions!$D$5:$D$12,0))))</x:f>
        <x:v>1.0198</x:v>
      </x:c>
      <x:c r="L1487" t="str">
        <x:f>IF($A1487="","",IFERROR(INDEX(Assumptions!$O$5:$O$10,MATCH(1,(Assumptions!$P$5:$P$10=$B1487)*(Assumptions!$Q$5:$Q$10&lt;=$A1487)*(Assumptions!$R$5:$R$10&gt;=$A1487),0)),""))</x:f>
      </x:c>
      <x:c r="M1487" t="n">
        <x:f>--($A1487&lt;&gt;"")</x:f>
        <x:v>1</x:v>
      </x:c>
    </x:row>
    <x:row r="1488">
      <x:c r="A1488" s="10" t="n">
        <x:f>IF(Assumptions!$B$5+INT((ROW()-2)/Assumptions!$B$7)&gt;Assumptions!$B$6,"",Assumptions!$B$5+INT((ROW()-2)/Assumptions!$B$7))</x:f>
        <x:v>46320</x:v>
      </x:c>
      <x:c r="B1488" t="str">
        <x:f>IF($A1488="","",INDEX(Assumptions!$D$5:$D$12,MOD(ROW()-2,Assumptions!$B$7)+1))</x:f>
        <x:v>LV-426 North</x:v>
      </x:c>
      <x:c r="C1488" s="11" t="n">
        <x:f>IF($A1488="","",INDEX(Assumptions!$F$5:$F$12,MATCH($B1488,Assumptions!$D$5:$D$12,0)))</x:f>
        <x:v>930</x:v>
      </x:c>
      <x:c r="D1488" s="11" t="n">
        <x:f>IF($A1488="","",INDEX(Assumptions!$G$5:$G$12,MATCH($B1488,Assumptions!$D$5:$D$12,0)))</x:f>
        <x:v>95</x:v>
      </x:c>
      <x:c r="E1488" s="11" t="n">
        <x:f>IF($A1488="","",INDEX(Assumptions!$M$5:$M$11,WEEKDAY($A1488,2)))</x:f>
        <x:v>0.87</x:v>
      </x:c>
      <x:c r="F1488" s="11" t="n">
        <x:f>IF($A1488="","",Assumptions!$B$15)</x:f>
        <x:v>0.35</x:v>
      </x:c>
      <x:c r="G1488" s="11" t="n">
        <x:f>IF($A1488="","",MAX(INDEX(Assumptions!$H$5:$H$12,MATCH($B1488,Assumptions!$D$5:$D$12,0)),MIN(INDEX(Assumptions!$I$5:$I$12,MATCH($B1488,Assumptions!$D$5:$D$12,0)),($C1488+$D1488*SQRT(-2*LN(RAND()))*COS(2*PI()*RAND()))*$E1488*$J1488*$K1488)))</x:f>
        <x:v>804.6338010357823</x:v>
      </x:c>
      <x:c r="H1488" s="11" t="n">
        <x:f>IF($A1488="","",$G1488*$F1488+$C1488*(1-$F1488))</x:f>
        <x:v>886.1218303625237</x:v>
      </x:c>
      <x:c r="I1488" s="11" t="n">
        <x:f>IF($A1488="","",AVERAGE($H1488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928.994850394487</x:v>
      </x:c>
      <x:c r="J1488" s="12" t="n">
        <x:f>IF($A1488="","",1+SUMIFS(Assumptions!$S$5:$S$10,Assumptions!$P$5:$P$10,$B1488,Assumptions!$Q$5:$Q$10,"&lt;="&amp;$A1488,Assumptions!$R$5:$R$10,"&gt;="&amp;$A1488))</x:f>
        <x:v>1</x:v>
      </x:c>
      <x:c r="K1488" s="12" t="n">
        <x:f>IF($A1488="","",1+((($A1488-Assumptions!$B$5)/30)*INDEX(Assumptions!$J$5:$J$12,MATCH($B1488,Assumptions!$D$5:$D$12,0))))</x:f>
        <x:v>0.9901</x:v>
      </x:c>
      <x:c r="L1488" t="str">
        <x:f>IF($A1488="","",IFERROR(INDEX(Assumptions!$O$5:$O$10,MATCH(1,(Assumptions!$P$5:$P$10=$B1488)*(Assumptions!$Q$5:$Q$10&lt;=$A1488)*(Assumptions!$R$5:$R$10&gt;=$A1488),0)),""))</x:f>
      </x:c>
      <x:c r="M1488" t="n">
        <x:f>--($A1488&lt;&gt;"")</x:f>
        <x:v>1</x:v>
      </x:c>
    </x:row>
    <x:row r="1489">
      <x:c r="A1489" s="10" t="n">
        <x:f>IF(Assumptions!$B$5+INT((ROW()-2)/Assumptions!$B$7)&gt;Assumptions!$B$6,"",Assumptions!$B$5+INT((ROW()-2)/Assumptions!$B$7))</x:f>
        <x:v>46320</x:v>
      </x:c>
      <x:c r="B1489" t="str">
        <x:f>IF($A1489="","",INDEX(Assumptions!$D$5:$D$12,MOD(ROW()-2,Assumptions!$B$7)+1))</x:f>
        <x:v>Nostromo Deep</x:v>
      </x:c>
      <x:c r="C1489" s="11" t="n">
        <x:f>IF($A1489="","",INDEX(Assumptions!$F$5:$F$12,MATCH($B1489,Assumptions!$D$5:$D$12,0)))</x:f>
        <x:v>1260</x:v>
      </x:c>
      <x:c r="D1489" s="11" t="n">
        <x:f>IF($A1489="","",INDEX(Assumptions!$G$5:$G$12,MATCH($B1489,Assumptions!$D$5:$D$12,0)))</x:f>
        <x:v>145</x:v>
      </x:c>
      <x:c r="E1489" s="11" t="n">
        <x:f>IF($A1489="","",INDEX(Assumptions!$M$5:$M$11,WEEKDAY($A1489,2)))</x:f>
        <x:v>0.87</x:v>
      </x:c>
      <x:c r="F1489" s="11" t="n">
        <x:f>IF($A1489="","",Assumptions!$B$15)</x:f>
        <x:v>0.35</x:v>
      </x:c>
      <x:c r="G1489" s="11" t="n">
        <x:f>IF($A1489="","",MAX(INDEX(Assumptions!$H$5:$H$12,MATCH($B1489,Assumptions!$D$5:$D$12,0)),MIN(INDEX(Assumptions!$I$5:$I$12,MATCH($B1489,Assumptions!$D$5:$D$12,0)),($C1489+$D1489*SQRT(-2*LN(RAND()))*COS(2*PI()*RAND()))*$E1489*$J1489*$K1489)))</x:f>
        <x:v>902.3329551560355</x:v>
      </x:c>
      <x:c r="H1489" s="11" t="n">
        <x:f>IF($A1489="","",$G1489*$F1489+$C1489*(1-$F1489))</x:f>
        <x:v>1134.8165343046123</x:v>
      </x:c>
      <x:c r="I1489" s="11" t="n">
        <x:f>IF($A1489="","",AVERAGE($H1489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1257.6806731495756</x:v>
      </x:c>
      <x:c r="J1489" s="12" t="n">
        <x:f>IF($A1489="","",1+SUMIFS(Assumptions!$S$5:$S$10,Assumptions!$P$5:$P$10,$B1489,Assumptions!$Q$5:$Q$10,"&lt;="&amp;$A1489,Assumptions!$R$5:$R$10,"&gt;="&amp;$A1489))</x:f>
        <x:v>1</x:v>
      </x:c>
      <x:c r="K1489" s="12" t="n">
        <x:f>IF($A1489="","",1+((($A1489-Assumptions!$B$5)/30)*INDEX(Assumptions!$J$5:$J$12,MATCH($B1489,Assumptions!$D$5:$D$12,0))))</x:f>
        <x:v>1.0297</x:v>
      </x:c>
      <x:c r="L1489" t="str">
        <x:f>IF($A1489="","",IFERROR(INDEX(Assumptions!$O$5:$O$10,MATCH(1,(Assumptions!$P$5:$P$10=$B1489)*(Assumptions!$Q$5:$Q$10&lt;=$A1489)*(Assumptions!$R$5:$R$10&gt;=$A1489),0)),""))</x:f>
      </x:c>
      <x:c r="M1489" t="n">
        <x:f>--($A1489&lt;&gt;"")</x:f>
        <x:v>1</x:v>
      </x:c>
    </x:row>
    <x:row r="1490">
      <x:c r="A1490" s="10" t="n">
        <x:f>IF(Assumptions!$B$5+INT((ROW()-2)/Assumptions!$B$7)&gt;Assumptions!$B$6,"",Assumptions!$B$5+INT((ROW()-2)/Assumptions!$B$7))</x:f>
        <x:v>46320</x:v>
      </x:c>
      <x:c r="B1490" t="str">
        <x:f>IF($A1490="","",INDEX(Assumptions!$D$5:$D$12,MOD(ROW()-2,Assumptions!$B$7)+1))</x:f>
        <x:v>Hadley's Hope</x:v>
      </x:c>
      <x:c r="C1490" s="11" t="n">
        <x:f>IF($A1490="","",INDEX(Assumptions!$F$5:$F$12,MATCH($B1490,Assumptions!$D$5:$D$12,0)))</x:f>
        <x:v>845</x:v>
      </x:c>
      <x:c r="D1490" s="11" t="n">
        <x:f>IF($A1490="","",INDEX(Assumptions!$G$5:$G$12,MATCH($B1490,Assumptions!$D$5:$D$12,0)))</x:f>
        <x:v>80</x:v>
      </x:c>
      <x:c r="E1490" s="11" t="n">
        <x:f>IF($A1490="","",INDEX(Assumptions!$M$5:$M$11,WEEKDAY($A1490,2)))</x:f>
        <x:v>0.87</x:v>
      </x:c>
      <x:c r="F1490" s="11" t="n">
        <x:f>IF($A1490="","",Assumptions!$B$15)</x:f>
        <x:v>0.35</x:v>
      </x:c>
      <x:c r="G1490" s="11" t="n">
        <x:f>IF($A1490="","",MAX(INDEX(Assumptions!$H$5:$H$12,MATCH($B1490,Assumptions!$D$5:$D$12,0)),MIN(INDEX(Assumptions!$I$5:$I$12,MATCH($B1490,Assumptions!$D$5:$D$12,0)),($C1490+$D1490*SQRT(-2*LN(RAND()))*COS(2*PI()*RAND()))*$E1490*$J1490*$K1490)))</x:f>
        <x:v>723.3605853596574</x:v>
      </x:c>
      <x:c r="H1490" s="11" t="n">
        <x:f>IF($A1490="","",$G1490*$F1490+$C1490*(1-$F1490))</x:f>
        <x:v>802.4262048758801</x:v>
      </x:c>
      <x:c r="I1490" s="11" t="n">
        <x:f>IF($A1490="","",AVERAGE($H1490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827.7113127532514</x:v>
      </x:c>
      <x:c r="J1490" s="12" t="n">
        <x:f>IF($A1490="","",1+SUMIFS(Assumptions!$S$5:$S$10,Assumptions!$P$5:$P$10,$B1490,Assumptions!$Q$5:$Q$10,"&lt;="&amp;$A1490,Assumptions!$R$5:$R$10,"&gt;="&amp;$A1490))</x:f>
        <x:v>1</x:v>
      </x:c>
      <x:c r="K1490" s="12" t="n">
        <x:f>IF($A1490="","",1+((($A1490-Assumptions!$B$5)/30)*INDEX(Assumptions!$J$5:$J$12,MATCH($B1490,Assumptions!$D$5:$D$12,0))))</x:f>
        <x:v>1.0099</x:v>
      </x:c>
      <x:c r="L1490" t="str">
        <x:f>IF($A1490="","",IFERROR(INDEX(Assumptions!$O$5:$O$10,MATCH(1,(Assumptions!$P$5:$P$10=$B1490)*(Assumptions!$Q$5:$Q$10&lt;=$A1490)*(Assumptions!$R$5:$R$10&gt;=$A1490),0)),""))</x:f>
      </x:c>
      <x:c r="M1490" t="n">
        <x:f>--($A1490&lt;&gt;"")</x:f>
        <x:v>1</x:v>
      </x:c>
    </x:row>
    <x:row r="1491">
      <x:c r="A1491" s="10" t="n">
        <x:f>IF(Assumptions!$B$5+INT((ROW()-2)/Assumptions!$B$7)&gt;Assumptions!$B$6,"",Assumptions!$B$5+INT((ROW()-2)/Assumptions!$B$7))</x:f>
        <x:v>46320</x:v>
      </x:c>
      <x:c r="B1491" t="str">
        <x:f>IF($A1491="","",INDEX(Assumptions!$D$5:$D$12,MOD(ROW()-2,Assumptions!$B$7)+1))</x:f>
        <x:v>Yutani Ridge</x:v>
      </x:c>
      <x:c r="C1491" s="11" t="n">
        <x:f>IF($A1491="","",INDEX(Assumptions!$F$5:$F$12,MATCH($B1491,Assumptions!$D$5:$D$12,0)))</x:f>
        <x:v>1050</x:v>
      </x:c>
      <x:c r="D1491" s="11" t="n">
        <x:f>IF($A1491="","",INDEX(Assumptions!$G$5:$G$12,MATCH($B1491,Assumptions!$D$5:$D$12,0)))</x:f>
        <x:v>125</x:v>
      </x:c>
      <x:c r="E1491" s="11" t="n">
        <x:f>IF($A1491="","",INDEX(Assumptions!$M$5:$M$11,WEEKDAY($A1491,2)))</x:f>
        <x:v>0.87</x:v>
      </x:c>
      <x:c r="F1491" s="11" t="n">
        <x:f>IF($A1491="","",Assumptions!$B$15)</x:f>
        <x:v>0.35</x:v>
      </x:c>
      <x:c r="G1491" s="11" t="n">
        <x:f>IF($A1491="","",MAX(INDEX(Assumptions!$H$5:$H$12,MATCH($B1491,Assumptions!$D$5:$D$12,0)),MIN(INDEX(Assumptions!$I$5:$I$12,MATCH($B1491,Assumptions!$D$5:$D$12,0)),($C1491+$D1491*SQRT(-2*LN(RAND()))*COS(2*PI()*RAND()))*$E1491*$J1491*$K1491)))</x:f>
        <x:v>915.9607775037766</x:v>
      </x:c>
      <x:c r="H1491" s="11" t="n">
        <x:f>IF($A1491="","",$G1491*$F1491+$C1491*(1-$F1491))</x:f>
        <x:v>1003.0862721263218</x:v>
      </x:c>
      <x:c r="I1491" s="11" t="n">
        <x:f>IF($A1491="","",AVERAGE($H1491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1057.7732354407067</x:v>
      </x:c>
      <x:c r="J1491" s="12" t="n">
        <x:f>IF($A1491="","",1+SUMIFS(Assumptions!$S$5:$S$10,Assumptions!$P$5:$P$10,$B1491,Assumptions!$Q$5:$Q$10,"&lt;="&amp;$A1491,Assumptions!$R$5:$R$10,"&gt;="&amp;$A1491))</x:f>
        <x:v>1</x:v>
      </x:c>
      <x:c r="K1491" s="12" t="n">
        <x:f>IF($A1491="","",1+((($A1491-Assumptions!$B$5)/30)*INDEX(Assumptions!$J$5:$J$12,MATCH($B1491,Assumptions!$D$5:$D$12,0))))</x:f>
        <x:v>1.02475</x:v>
      </x:c>
      <x:c r="L1491" t="str">
        <x:f>IF($A1491="","",IFERROR(INDEX(Assumptions!$O$5:$O$10,MATCH(1,(Assumptions!$P$5:$P$10=$B1491)*(Assumptions!$Q$5:$Q$10&lt;=$A1491)*(Assumptions!$R$5:$R$10&gt;=$A1491),0)),""))</x:f>
      </x:c>
      <x:c r="M1491" t="n">
        <x:f>--($A1491&lt;&gt;"")</x:f>
        <x:v>1</x:v>
      </x:c>
    </x:row>
    <x:row r="1492">
      <x:c r="A1492" s="10" t="n">
        <x:f>IF(Assumptions!$B$5+INT((ROW()-2)/Assumptions!$B$7)&gt;Assumptions!$B$6,"",Assumptions!$B$5+INT((ROW()-2)/Assumptions!$B$7))</x:f>
        <x:v>46321</x:v>
      </x:c>
      <x:c r="B1492" t="str">
        <x:f>IF($A1492="","",INDEX(Assumptions!$D$5:$D$12,MOD(ROW()-2,Assumptions!$B$7)+1))</x:f>
        <x:v>Acheron Prime</x:v>
      </x:c>
      <x:c r="C1492" s="11" t="n">
        <x:f>IF($A1492="","",INDEX(Assumptions!$F$5:$F$12,MATCH($B1492,Assumptions!$D$5:$D$12,0)))</x:f>
        <x:v>1120</x:v>
      </x:c>
      <x:c r="D1492" s="11" t="n">
        <x:f>IF($A1492="","",INDEX(Assumptions!$G$5:$G$12,MATCH($B1492,Assumptions!$D$5:$D$12,0)))</x:f>
        <x:v>115</x:v>
      </x:c>
      <x:c r="E1492" s="11" t="n">
        <x:f>IF($A1492="","",INDEX(Assumptions!$M$5:$M$11,WEEKDAY($A1492,2)))</x:f>
        <x:v>1.03</x:v>
      </x:c>
      <x:c r="F1492" s="11" t="n">
        <x:f>IF($A1492="","",Assumptions!$B$15)</x:f>
        <x:v>0.35</x:v>
      </x:c>
      <x:c r="G1492" s="11" t="n">
        <x:f>IF($A1492="","",MAX(INDEX(Assumptions!$H$5:$H$12,MATCH($B1492,Assumptions!$D$5:$D$12,0)),MIN(INDEX(Assumptions!$I$5:$I$12,MATCH($B1492,Assumptions!$D$5:$D$12,0)),($C1492+$D1492*SQRT(-2*LN(RAND()))*COS(2*PI()*RAND()))*$E1492*$J1492*$K1492)))</x:f>
        <x:v>1216.7790516362793</x:v>
      </x:c>
      <x:c r="H1492" s="11" t="n">
        <x:f>IF($A1492="","",$G1492*$F1492+$C1492*(1-$F1492))</x:f>
        <x:v>1153.8726680726977</x:v>
      </x:c>
      <x:c r="I1492" s="11" t="n">
        <x:f>IF($A1492="","",AVERAGE($H1492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1136.6219594209397</x:v>
      </x:c>
      <x:c r="J1492" s="12" t="n">
        <x:f>IF($A1492="","",1+SUMIFS(Assumptions!$S$5:$S$10,Assumptions!$P$5:$P$10,$B1492,Assumptions!$Q$5:$Q$10,"&lt;="&amp;$A1492,Assumptions!$R$5:$R$10,"&gt;="&amp;$A1492))</x:f>
        <x:v>1</x:v>
      </x:c>
      <x:c r="K1492" s="12" t="n">
        <x:f>IF($A1492="","",1+((($A1492-Assumptions!$B$5)/30)*INDEX(Assumptions!$J$5:$J$12,MATCH($B1492,Assumptions!$D$5:$D$12,0))))</x:f>
        <x:v>1.0198666666666667</x:v>
      </x:c>
      <x:c r="L1492" t="str">
        <x:f>IF($A1492="","",IFERROR(INDEX(Assumptions!$O$5:$O$10,MATCH(1,(Assumptions!$P$5:$P$10=$B1492)*(Assumptions!$Q$5:$Q$10&lt;=$A1492)*(Assumptions!$R$5:$R$10&gt;=$A1492),0)),""))</x:f>
      </x:c>
      <x:c r="M1492" t="n">
        <x:f>--($A1492&lt;&gt;"")</x:f>
        <x:v>1</x:v>
      </x:c>
    </x:row>
    <x:row r="1493">
      <x:c r="A1493" s="10" t="n">
        <x:f>IF(Assumptions!$B$5+INT((ROW()-2)/Assumptions!$B$7)&gt;Assumptions!$B$6,"",Assumptions!$B$5+INT((ROW()-2)/Assumptions!$B$7))</x:f>
        <x:v>46321</x:v>
      </x:c>
      <x:c r="B1493" t="str">
        <x:f>IF($A1493="","",INDEX(Assumptions!$D$5:$D$12,MOD(ROW()-2,Assumptions!$B$7)+1))</x:f>
        <x:v>LV-426 North</x:v>
      </x:c>
      <x:c r="C1493" s="11" t="n">
        <x:f>IF($A1493="","",INDEX(Assumptions!$F$5:$F$12,MATCH($B1493,Assumptions!$D$5:$D$12,0)))</x:f>
        <x:v>930</x:v>
      </x:c>
      <x:c r="D1493" s="11" t="n">
        <x:f>IF($A1493="","",INDEX(Assumptions!$G$5:$G$12,MATCH($B1493,Assumptions!$D$5:$D$12,0)))</x:f>
        <x:v>95</x:v>
      </x:c>
      <x:c r="E1493" s="11" t="n">
        <x:f>IF($A1493="","",INDEX(Assumptions!$M$5:$M$11,WEEKDAY($A1493,2)))</x:f>
        <x:v>1.03</x:v>
      </x:c>
      <x:c r="F1493" s="11" t="n">
        <x:f>IF($A1493="","",Assumptions!$B$15)</x:f>
        <x:v>0.35</x:v>
      </x:c>
      <x:c r="G1493" s="11" t="n">
        <x:f>IF($A1493="","",MAX(INDEX(Assumptions!$H$5:$H$12,MATCH($B1493,Assumptions!$D$5:$D$12,0)),MIN(INDEX(Assumptions!$I$5:$I$12,MATCH($B1493,Assumptions!$D$5:$D$12,0)),($C1493+$D1493*SQRT(-2*LN(RAND()))*COS(2*PI()*RAND()))*$E1493*$J1493*$K1493)))</x:f>
        <x:v>740.6910316519179</x:v>
      </x:c>
      <x:c r="H1493" s="11" t="n">
        <x:f>IF($A1493="","",$G1493*$F1493+$C1493*(1-$F1493))</x:f>
        <x:v>863.7418610781713</x:v>
      </x:c>
      <x:c r="I1493" s="11" t="n">
        <x:f>IF($A1493="","",AVERAGE($H1493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916.390298942366</x:v>
      </x:c>
      <x:c r="J1493" s="12" t="n">
        <x:f>IF($A1493="","",1+SUMIFS(Assumptions!$S$5:$S$10,Assumptions!$P$5:$P$10,$B1493,Assumptions!$Q$5:$Q$10,"&lt;="&amp;$A1493,Assumptions!$R$5:$R$10,"&gt;="&amp;$A1493))</x:f>
        <x:v>1</x:v>
      </x:c>
      <x:c r="K1493" s="12" t="n">
        <x:f>IF($A1493="","",1+((($A1493-Assumptions!$B$5)/30)*INDEX(Assumptions!$J$5:$J$12,MATCH($B1493,Assumptions!$D$5:$D$12,0))))</x:f>
        <x:v>0.9900666666666667</x:v>
      </x:c>
      <x:c r="L1493" t="str">
        <x:f>IF($A1493="","",IFERROR(INDEX(Assumptions!$O$5:$O$10,MATCH(1,(Assumptions!$P$5:$P$10=$B1493)*(Assumptions!$Q$5:$Q$10&lt;=$A1493)*(Assumptions!$R$5:$R$10&gt;=$A1493),0)),""))</x:f>
      </x:c>
      <x:c r="M1493" t="n">
        <x:f>--($A1493&lt;&gt;"")</x:f>
        <x:v>1</x:v>
      </x:c>
    </x:row>
    <x:row r="1494">
      <x:c r="A1494" s="10" t="n">
        <x:f>IF(Assumptions!$B$5+INT((ROW()-2)/Assumptions!$B$7)&gt;Assumptions!$B$6,"",Assumptions!$B$5+INT((ROW()-2)/Assumptions!$B$7))</x:f>
        <x:v>46321</x:v>
      </x:c>
      <x:c r="B1494" t="str">
        <x:f>IF($A1494="","",INDEX(Assumptions!$D$5:$D$12,MOD(ROW()-2,Assumptions!$B$7)+1))</x:f>
        <x:v>Nostromo Deep</x:v>
      </x:c>
      <x:c r="C1494" s="11" t="n">
        <x:f>IF($A1494="","",INDEX(Assumptions!$F$5:$F$12,MATCH($B1494,Assumptions!$D$5:$D$12,0)))</x:f>
        <x:v>1260</x:v>
      </x:c>
      <x:c r="D1494" s="11" t="n">
        <x:f>IF($A1494="","",INDEX(Assumptions!$G$5:$G$12,MATCH($B1494,Assumptions!$D$5:$D$12,0)))</x:f>
        <x:v>145</x:v>
      </x:c>
      <x:c r="E1494" s="11" t="n">
        <x:f>IF($A1494="","",INDEX(Assumptions!$M$5:$M$11,WEEKDAY($A1494,2)))</x:f>
        <x:v>1.03</x:v>
      </x:c>
      <x:c r="F1494" s="11" t="n">
        <x:f>IF($A1494="","",Assumptions!$B$15)</x:f>
        <x:v>0.35</x:v>
      </x:c>
      <x:c r="G1494" s="11" t="n">
        <x:f>IF($A1494="","",MAX(INDEX(Assumptions!$H$5:$H$12,MATCH($B1494,Assumptions!$D$5:$D$12,0)),MIN(INDEX(Assumptions!$I$5:$I$12,MATCH($B1494,Assumptions!$D$5:$D$12,0)),($C1494+$D1494*SQRT(-2*LN(RAND()))*COS(2*PI()*RAND()))*$E1494*$J1494*$K1494)))</x:f>
        <x:v>1159.5414476010158</x:v>
      </x:c>
      <x:c r="H1494" s="11" t="n">
        <x:f>IF($A1494="","",$G1494*$F1494+$C1494*(1-$F1494))</x:f>
        <x:v>1224.8395066603555</x:v>
      </x:c>
      <x:c r="I1494" s="11" t="n">
        <x:f>IF($A1494="","",AVERAGE($H1494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1241.7666330262775</x:v>
      </x:c>
      <x:c r="J1494" s="12" t="n">
        <x:f>IF($A1494="","",1+SUMIFS(Assumptions!$S$5:$S$10,Assumptions!$P$5:$P$10,$B1494,Assumptions!$Q$5:$Q$10,"&lt;="&amp;$A1494,Assumptions!$R$5:$R$10,"&gt;="&amp;$A1494))</x:f>
        <x:v>1</x:v>
      </x:c>
      <x:c r="K1494" s="12" t="n">
        <x:f>IF($A1494="","",1+((($A1494-Assumptions!$B$5)/30)*INDEX(Assumptions!$J$5:$J$12,MATCH($B1494,Assumptions!$D$5:$D$12,0))))</x:f>
        <x:v>1.0298</x:v>
      </x:c>
      <x:c r="L1494" t="str">
        <x:f>IF($A1494="","",IFERROR(INDEX(Assumptions!$O$5:$O$10,MATCH(1,(Assumptions!$P$5:$P$10=$B1494)*(Assumptions!$Q$5:$Q$10&lt;=$A1494)*(Assumptions!$R$5:$R$10&gt;=$A1494),0)),""))</x:f>
      </x:c>
      <x:c r="M1494" t="n">
        <x:f>--($A1494&lt;&gt;"")</x:f>
        <x:v>1</x:v>
      </x:c>
    </x:row>
    <x:row r="1495">
      <x:c r="A1495" s="10" t="n">
        <x:f>IF(Assumptions!$B$5+INT((ROW()-2)/Assumptions!$B$7)&gt;Assumptions!$B$6,"",Assumptions!$B$5+INT((ROW()-2)/Assumptions!$B$7))</x:f>
        <x:v>46321</x:v>
      </x:c>
      <x:c r="B1495" t="str">
        <x:f>IF($A1495="","",INDEX(Assumptions!$D$5:$D$12,MOD(ROW()-2,Assumptions!$B$7)+1))</x:f>
        <x:v>Hadley's Hope</x:v>
      </x:c>
      <x:c r="C1495" s="11" t="n">
        <x:f>IF($A1495="","",INDEX(Assumptions!$F$5:$F$12,MATCH($B1495,Assumptions!$D$5:$D$12,0)))</x:f>
        <x:v>845</x:v>
      </x:c>
      <x:c r="D1495" s="11" t="n">
        <x:f>IF($A1495="","",INDEX(Assumptions!$G$5:$G$12,MATCH($B1495,Assumptions!$D$5:$D$12,0)))</x:f>
        <x:v>80</x:v>
      </x:c>
      <x:c r="E1495" s="11" t="n">
        <x:f>IF($A1495="","",INDEX(Assumptions!$M$5:$M$11,WEEKDAY($A1495,2)))</x:f>
        <x:v>1.03</x:v>
      </x:c>
      <x:c r="F1495" s="11" t="n">
        <x:f>IF($A1495="","",Assumptions!$B$15)</x:f>
        <x:v>0.35</x:v>
      </x:c>
      <x:c r="G1495" s="11" t="n">
        <x:f>IF($A1495="","",MAX(INDEX(Assumptions!$H$5:$H$12,MATCH($B1495,Assumptions!$D$5:$D$12,0)),MIN(INDEX(Assumptions!$I$5:$I$12,MATCH($B1495,Assumptions!$D$5:$D$12,0)),($C1495+$D1495*SQRT(-2*LN(RAND()))*COS(2*PI()*RAND()))*$E1495*$J1495*$K1495)))</x:f>
        <x:v>825.8079671164037</x:v>
      </x:c>
      <x:c r="H1495" s="11" t="n">
        <x:f>IF($A1495="","",$G1495*$F1495+$C1495*(1-$F1495))</x:f>
        <x:v>838.2827884907413</x:v>
      </x:c>
      <x:c r="I1495" s="11" t="n">
        <x:f>IF($A1495="","",AVERAGE($H1495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831.3652046047572</x:v>
      </x:c>
      <x:c r="J1495" s="12" t="n">
        <x:f>IF($A1495="","",1+SUMIFS(Assumptions!$S$5:$S$10,Assumptions!$P$5:$P$10,$B1495,Assumptions!$Q$5:$Q$10,"&lt;="&amp;$A1495,Assumptions!$R$5:$R$10,"&gt;="&amp;$A1495))</x:f>
        <x:v>1</x:v>
      </x:c>
      <x:c r="K1495" s="12" t="n">
        <x:f>IF($A1495="","",1+((($A1495-Assumptions!$B$5)/30)*INDEX(Assumptions!$J$5:$J$12,MATCH($B1495,Assumptions!$D$5:$D$12,0))))</x:f>
        <x:v>1.0099333333333333</x:v>
      </x:c>
      <x:c r="L1495" t="str">
        <x:f>IF($A1495="","",IFERROR(INDEX(Assumptions!$O$5:$O$10,MATCH(1,(Assumptions!$P$5:$P$10=$B1495)*(Assumptions!$Q$5:$Q$10&lt;=$A1495)*(Assumptions!$R$5:$R$10&gt;=$A1495),0)),""))</x:f>
      </x:c>
      <x:c r="M1495" t="n">
        <x:f>--($A1495&lt;&gt;"")</x:f>
        <x:v>1</x:v>
      </x:c>
    </x:row>
    <x:row r="1496">
      <x:c r="A1496" s="10" t="n">
        <x:f>IF(Assumptions!$B$5+INT((ROW()-2)/Assumptions!$B$7)&gt;Assumptions!$B$6,"",Assumptions!$B$5+INT((ROW()-2)/Assumptions!$B$7))</x:f>
        <x:v>46321</x:v>
      </x:c>
      <x:c r="B1496" t="str">
        <x:f>IF($A1496="","",INDEX(Assumptions!$D$5:$D$12,MOD(ROW()-2,Assumptions!$B$7)+1))</x:f>
        <x:v>Yutani Ridge</x:v>
      </x:c>
      <x:c r="C1496" s="11" t="n">
        <x:f>IF($A1496="","",INDEX(Assumptions!$F$5:$F$12,MATCH($B1496,Assumptions!$D$5:$D$12,0)))</x:f>
        <x:v>1050</x:v>
      </x:c>
      <x:c r="D1496" s="11" t="n">
        <x:f>IF($A1496="","",INDEX(Assumptions!$G$5:$G$12,MATCH($B1496,Assumptions!$D$5:$D$12,0)))</x:f>
        <x:v>125</x:v>
      </x:c>
      <x:c r="E1496" s="11" t="n">
        <x:f>IF($A1496="","",INDEX(Assumptions!$M$5:$M$11,WEEKDAY($A1496,2)))</x:f>
        <x:v>1.03</x:v>
      </x:c>
      <x:c r="F1496" s="11" t="n">
        <x:f>IF($A1496="","",Assumptions!$B$15)</x:f>
        <x:v>0.35</x:v>
      </x:c>
      <x:c r="G1496" s="11" t="n">
        <x:f>IF($A1496="","",MAX(INDEX(Assumptions!$H$5:$H$12,MATCH($B1496,Assumptions!$D$5:$D$12,0)),MIN(INDEX(Assumptions!$I$5:$I$12,MATCH($B1496,Assumptions!$D$5:$D$12,0)),($C1496+$D1496*SQRT(-2*LN(RAND()))*COS(2*PI()*RAND()))*$E1496*$J1496*$K1496)))</x:f>
        <x:v>1047.786622265216</x:v>
      </x:c>
      <x:c r="H1496" s="11" t="n">
        <x:f>IF($A1496="","",$G1496*$F1496+$C1496*(1-$F1496))</x:f>
        <x:v>1049.2253177928255</x:v>
      </x:c>
      <x:c r="I1496" s="11" t="n">
        <x:f>IF($A1496="","",AVERAGE($H1496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1046.3590057482986</x:v>
      </x:c>
      <x:c r="J1496" s="12" t="n">
        <x:f>IF($A1496="","",1+SUMIFS(Assumptions!$S$5:$S$10,Assumptions!$P$5:$P$10,$B1496,Assumptions!$Q$5:$Q$10,"&lt;="&amp;$A1496,Assumptions!$R$5:$R$10,"&gt;="&amp;$A1496))</x:f>
        <x:v>1</x:v>
      </x:c>
      <x:c r="K1496" s="12" t="n">
        <x:f>IF($A1496="","",1+((($A1496-Assumptions!$B$5)/30)*INDEX(Assumptions!$J$5:$J$12,MATCH($B1496,Assumptions!$D$5:$D$12,0))))</x:f>
        <x:v>1.0248333333333333</x:v>
      </x:c>
      <x:c r="L1496" t="str">
        <x:f>IF($A1496="","",IFERROR(INDEX(Assumptions!$O$5:$O$10,MATCH(1,(Assumptions!$P$5:$P$10=$B1496)*(Assumptions!$Q$5:$Q$10&lt;=$A1496)*(Assumptions!$R$5:$R$10&gt;=$A1496),0)),""))</x:f>
      </x:c>
      <x:c r="M1496" t="n">
        <x:f>--($A1496&lt;&gt;"")</x:f>
        <x:v>1</x:v>
      </x:c>
    </x:row>
    <x:row r="1497">
      <x:c r="A1497" s="10" t="n">
        <x:f>IF(Assumptions!$B$5+INT((ROW()-2)/Assumptions!$B$7)&gt;Assumptions!$B$6,"",Assumptions!$B$5+INT((ROW()-2)/Assumptions!$B$7))</x:f>
        <x:v>46322</x:v>
      </x:c>
      <x:c r="B1497" t="str">
        <x:f>IF($A1497="","",INDEX(Assumptions!$D$5:$D$12,MOD(ROW()-2,Assumptions!$B$7)+1))</x:f>
        <x:v>Acheron Prime</x:v>
      </x:c>
      <x:c r="C1497" s="11" t="n">
        <x:f>IF($A1497="","",INDEX(Assumptions!$F$5:$F$12,MATCH($B1497,Assumptions!$D$5:$D$12,0)))</x:f>
        <x:v>1120</x:v>
      </x:c>
      <x:c r="D1497" s="11" t="n">
        <x:f>IF($A1497="","",INDEX(Assumptions!$G$5:$G$12,MATCH($B1497,Assumptions!$D$5:$D$12,0)))</x:f>
        <x:v>115</x:v>
      </x:c>
      <x:c r="E1497" s="11" t="n">
        <x:f>IF($A1497="","",INDEX(Assumptions!$M$5:$M$11,WEEKDAY($A1497,2)))</x:f>
        <x:v>1.02</x:v>
      </x:c>
      <x:c r="F1497" s="11" t="n">
        <x:f>IF($A1497="","",Assumptions!$B$15)</x:f>
        <x:v>0.35</x:v>
      </x:c>
      <x:c r="G1497" s="11" t="n">
        <x:f>IF($A1497="","",MAX(INDEX(Assumptions!$H$5:$H$12,MATCH($B1497,Assumptions!$D$5:$D$12,0)),MIN(INDEX(Assumptions!$I$5:$I$12,MATCH($B1497,Assumptions!$D$5:$D$12,0)),($C1497+$D1497*SQRT(-2*LN(RAND()))*COS(2*PI()*RAND()))*$E1497*$J1497*$K1497)))</x:f>
        <x:v>1113.7699289311252</x:v>
      </x:c>
      <x:c r="H1497" s="11" t="n">
        <x:f>IF($A1497="","",$G1497*$F1497+$C1497*(1-$F1497))</x:f>
        <x:v>1117.8194751258939</x:v>
      </x:c>
      <x:c r="I1497" s="11" t="n">
        <x:f>IF($A1497="","",AVERAGE($H1497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1129.0070943840335</x:v>
      </x:c>
      <x:c r="J1497" s="12" t="n">
        <x:f>IF($A1497="","",1+SUMIFS(Assumptions!$S$5:$S$10,Assumptions!$P$5:$P$10,$B1497,Assumptions!$Q$5:$Q$10,"&lt;="&amp;$A1497,Assumptions!$R$5:$R$10,"&gt;="&amp;$A1497))</x:f>
        <x:v>1</x:v>
      </x:c>
      <x:c r="K1497" s="12" t="n">
        <x:f>IF($A1497="","",1+((($A1497-Assumptions!$B$5)/30)*INDEX(Assumptions!$J$5:$J$12,MATCH($B1497,Assumptions!$D$5:$D$12,0))))</x:f>
        <x:v>1.0199333333333334</x:v>
      </x:c>
      <x:c r="L1497" t="str">
        <x:f>IF($A1497="","",IFERROR(INDEX(Assumptions!$O$5:$O$10,MATCH(1,(Assumptions!$P$5:$P$10=$B1497)*(Assumptions!$Q$5:$Q$10&lt;=$A1497)*(Assumptions!$R$5:$R$10&gt;=$A1497),0)),""))</x:f>
      </x:c>
      <x:c r="M1497" t="n">
        <x:f>--($A1497&lt;&gt;"")</x:f>
        <x:v>1</x:v>
      </x:c>
    </x:row>
    <x:row r="1498">
      <x:c r="A1498" s="10" t="n">
        <x:f>IF(Assumptions!$B$5+INT((ROW()-2)/Assumptions!$B$7)&gt;Assumptions!$B$6,"",Assumptions!$B$5+INT((ROW()-2)/Assumptions!$B$7))</x:f>
        <x:v>46322</x:v>
      </x:c>
      <x:c r="B1498" t="str">
        <x:f>IF($A1498="","",INDEX(Assumptions!$D$5:$D$12,MOD(ROW()-2,Assumptions!$B$7)+1))</x:f>
        <x:v>LV-426 North</x:v>
      </x:c>
      <x:c r="C1498" s="11" t="n">
        <x:f>IF($A1498="","",INDEX(Assumptions!$F$5:$F$12,MATCH($B1498,Assumptions!$D$5:$D$12,0)))</x:f>
        <x:v>930</x:v>
      </x:c>
      <x:c r="D1498" s="11" t="n">
        <x:f>IF($A1498="","",INDEX(Assumptions!$G$5:$G$12,MATCH($B1498,Assumptions!$D$5:$D$12,0)))</x:f>
        <x:v>95</x:v>
      </x:c>
      <x:c r="E1498" s="11" t="n">
        <x:f>IF($A1498="","",INDEX(Assumptions!$M$5:$M$11,WEEKDAY($A1498,2)))</x:f>
        <x:v>1.02</x:v>
      </x:c>
      <x:c r="F1498" s="11" t="n">
        <x:f>IF($A1498="","",Assumptions!$B$15)</x:f>
        <x:v>0.35</x:v>
      </x:c>
      <x:c r="G1498" s="11" t="n">
        <x:f>IF($A1498="","",MAX(INDEX(Assumptions!$H$5:$H$12,MATCH($B1498,Assumptions!$D$5:$D$12,0)),MIN(INDEX(Assumptions!$I$5:$I$12,MATCH($B1498,Assumptions!$D$5:$D$12,0)),($C1498+$D1498*SQRT(-2*LN(RAND()))*COS(2*PI()*RAND()))*$E1498*$J1498*$K1498)))</x:f>
        <x:v>660.6115160301242</x:v>
      </x:c>
      <x:c r="H1498" s="11" t="n">
        <x:f>IF($A1498="","",$G1498*$F1498+$C1498*(1-$F1498))</x:f>
        <x:v>835.7140306105434</x:v>
      </x:c>
      <x:c r="I1498" s="11" t="n">
        <x:f>IF($A1498="","",AVERAGE($H1498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896.3322481123706</x:v>
      </x:c>
      <x:c r="J1498" s="12" t="n">
        <x:f>IF($A1498="","",1+SUMIFS(Assumptions!$S$5:$S$10,Assumptions!$P$5:$P$10,$B1498,Assumptions!$Q$5:$Q$10,"&lt;="&amp;$A1498,Assumptions!$R$5:$R$10,"&gt;="&amp;$A1498))</x:f>
        <x:v>1</x:v>
      </x:c>
      <x:c r="K1498" s="12" t="n">
        <x:f>IF($A1498="","",1+((($A1498-Assumptions!$B$5)/30)*INDEX(Assumptions!$J$5:$J$12,MATCH($B1498,Assumptions!$D$5:$D$12,0))))</x:f>
        <x:v>0.9900333333333333</x:v>
      </x:c>
      <x:c r="L1498" t="str">
        <x:f>IF($A1498="","",IFERROR(INDEX(Assumptions!$O$5:$O$10,MATCH(1,(Assumptions!$P$5:$P$10=$B1498)*(Assumptions!$Q$5:$Q$10&lt;=$A1498)*(Assumptions!$R$5:$R$10&gt;=$A1498),0)),""))</x:f>
      </x:c>
      <x:c r="M1498" t="n">
        <x:f>--($A1498&lt;&gt;"")</x:f>
        <x:v>1</x:v>
      </x:c>
    </x:row>
    <x:row r="1499">
      <x:c r="A1499" s="10" t="n">
        <x:f>IF(Assumptions!$B$5+INT((ROW()-2)/Assumptions!$B$7)&gt;Assumptions!$B$6,"",Assumptions!$B$5+INT((ROW()-2)/Assumptions!$B$7))</x:f>
        <x:v>46322</x:v>
      </x:c>
      <x:c r="B1499" t="str">
        <x:f>IF($A1499="","",INDEX(Assumptions!$D$5:$D$12,MOD(ROW()-2,Assumptions!$B$7)+1))</x:f>
        <x:v>Nostromo Deep</x:v>
      </x:c>
      <x:c r="C1499" s="11" t="n">
        <x:f>IF($A1499="","",INDEX(Assumptions!$F$5:$F$12,MATCH($B1499,Assumptions!$D$5:$D$12,0)))</x:f>
        <x:v>1260</x:v>
      </x:c>
      <x:c r="D1499" s="11" t="n">
        <x:f>IF($A1499="","",INDEX(Assumptions!$G$5:$G$12,MATCH($B1499,Assumptions!$D$5:$D$12,0)))</x:f>
        <x:v>145</x:v>
      </x:c>
      <x:c r="E1499" s="11" t="n">
        <x:f>IF($A1499="","",INDEX(Assumptions!$M$5:$M$11,WEEKDAY($A1499,2)))</x:f>
        <x:v>1.02</x:v>
      </x:c>
      <x:c r="F1499" s="11" t="n">
        <x:f>IF($A1499="","",Assumptions!$B$15)</x:f>
        <x:v>0.35</x:v>
      </x:c>
      <x:c r="G1499" s="11" t="n">
        <x:f>IF($A1499="","",MAX(INDEX(Assumptions!$H$5:$H$12,MATCH($B1499,Assumptions!$D$5:$D$12,0)),MIN(INDEX(Assumptions!$I$5:$I$12,MATCH($B1499,Assumptions!$D$5:$D$12,0)),($C1499+$D1499*SQRT(-2*LN(RAND()))*COS(2*PI()*RAND()))*$E1499*$J1499*$K1499)))</x:f>
        <x:v>1265.9575910971305</x:v>
      </x:c>
      <x:c r="H1499" s="11" t="n">
        <x:f>IF($A1499="","",$G1499*$F1499+$C1499*(1-$F1499))</x:f>
        <x:v>1262.0851568839958</x:v>
      </x:c>
      <x:c r="I1499" s="11" t="n">
        <x:f>IF($A1499="","",AVERAGE($H1499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1233.610341241089</x:v>
      </x:c>
      <x:c r="J1499" s="12" t="n">
        <x:f>IF($A1499="","",1+SUMIFS(Assumptions!$S$5:$S$10,Assumptions!$P$5:$P$10,$B1499,Assumptions!$Q$5:$Q$10,"&lt;="&amp;$A1499,Assumptions!$R$5:$R$10,"&gt;="&amp;$A1499))</x:f>
        <x:v>1</x:v>
      </x:c>
      <x:c r="K1499" s="12" t="n">
        <x:f>IF($A1499="","",1+((($A1499-Assumptions!$B$5)/30)*INDEX(Assumptions!$J$5:$J$12,MATCH($B1499,Assumptions!$D$5:$D$12,0))))</x:f>
        <x:v>1.0299</x:v>
      </x:c>
      <x:c r="L1499" t="str">
        <x:f>IF($A1499="","",IFERROR(INDEX(Assumptions!$O$5:$O$10,MATCH(1,(Assumptions!$P$5:$P$10=$B1499)*(Assumptions!$Q$5:$Q$10&lt;=$A1499)*(Assumptions!$R$5:$R$10&gt;=$A1499),0)),""))</x:f>
      </x:c>
      <x:c r="M1499" t="n">
        <x:f>--($A1499&lt;&gt;"")</x:f>
        <x:v>1</x:v>
      </x:c>
    </x:row>
    <x:row r="1500">
      <x:c r="A1500" s="10" t="n">
        <x:f>IF(Assumptions!$B$5+INT((ROW()-2)/Assumptions!$B$7)&gt;Assumptions!$B$6,"",Assumptions!$B$5+INT((ROW()-2)/Assumptions!$B$7))</x:f>
        <x:v>46322</x:v>
      </x:c>
      <x:c r="B1500" t="str">
        <x:f>IF($A1500="","",INDEX(Assumptions!$D$5:$D$12,MOD(ROW()-2,Assumptions!$B$7)+1))</x:f>
        <x:v>Hadley's Hope</x:v>
      </x:c>
      <x:c r="C1500" s="11" t="n">
        <x:f>IF($A1500="","",INDEX(Assumptions!$F$5:$F$12,MATCH($B1500,Assumptions!$D$5:$D$12,0)))</x:f>
        <x:v>845</x:v>
      </x:c>
      <x:c r="D1500" s="11" t="n">
        <x:f>IF($A1500="","",INDEX(Assumptions!$G$5:$G$12,MATCH($B1500,Assumptions!$D$5:$D$12,0)))</x:f>
        <x:v>80</x:v>
      </x:c>
      <x:c r="E1500" s="11" t="n">
        <x:f>IF($A1500="","",INDEX(Assumptions!$M$5:$M$11,WEEKDAY($A1500,2)))</x:f>
        <x:v>1.02</x:v>
      </x:c>
      <x:c r="F1500" s="11" t="n">
        <x:f>IF($A1500="","",Assumptions!$B$15)</x:f>
        <x:v>0.35</x:v>
      </x:c>
      <x:c r="G1500" s="11" t="n">
        <x:f>IF($A1500="","",MAX(INDEX(Assumptions!$H$5:$H$12,MATCH($B1500,Assumptions!$D$5:$D$12,0)),MIN(INDEX(Assumptions!$I$5:$I$12,MATCH($B1500,Assumptions!$D$5:$D$12,0)),($C1500+$D1500*SQRT(-2*LN(RAND()))*COS(2*PI()*RAND()))*$E1500*$J1500*$K1500)))</x:f>
        <x:v>785.3935851443806</x:v>
      </x:c>
      <x:c r="H1500" s="11" t="n">
        <x:f>IF($A1500="","",$G1500*$F1500+$C1500*(1-$F1500))</x:f>
        <x:v>824.1377548005332</x:v>
      </x:c>
      <x:c r="I1500" s="11" t="n">
        <x:f>IF($A1500="","",AVERAGE($H1500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827.8835633164332</x:v>
      </x:c>
      <x:c r="J1500" s="12" t="n">
        <x:f>IF($A1500="","",1+SUMIFS(Assumptions!$S$5:$S$10,Assumptions!$P$5:$P$10,$B1500,Assumptions!$Q$5:$Q$10,"&lt;="&amp;$A1500,Assumptions!$R$5:$R$10,"&gt;="&amp;$A1500))</x:f>
        <x:v>1</x:v>
      </x:c>
      <x:c r="K1500" s="12" t="n">
        <x:f>IF($A1500="","",1+((($A1500-Assumptions!$B$5)/30)*INDEX(Assumptions!$J$5:$J$12,MATCH($B1500,Assumptions!$D$5:$D$12,0))))</x:f>
        <x:v>1.0099666666666667</x:v>
      </x:c>
      <x:c r="L1500" t="str">
        <x:f>IF($A1500="","",IFERROR(INDEX(Assumptions!$O$5:$O$10,MATCH(1,(Assumptions!$P$5:$P$10=$B1500)*(Assumptions!$Q$5:$Q$10&lt;=$A1500)*(Assumptions!$R$5:$R$10&gt;=$A1500),0)),""))</x:f>
      </x:c>
      <x:c r="M1500" t="n">
        <x:f>--($A1500&lt;&gt;"")</x:f>
        <x:v>1</x:v>
      </x:c>
    </x:row>
    <x:row r="1501">
      <x:c r="A1501" s="10" t="n">
        <x:f>IF(Assumptions!$B$5+INT((ROW()-2)/Assumptions!$B$7)&gt;Assumptions!$B$6,"",Assumptions!$B$5+INT((ROW()-2)/Assumptions!$B$7))</x:f>
        <x:v>46322</x:v>
      </x:c>
      <x:c r="B1501" t="str">
        <x:f>IF($A1501="","",INDEX(Assumptions!$D$5:$D$12,MOD(ROW()-2,Assumptions!$B$7)+1))</x:f>
        <x:v>Yutani Ridge</x:v>
      </x:c>
      <x:c r="C1501" s="11" t="n">
        <x:f>IF($A1501="","",INDEX(Assumptions!$F$5:$F$12,MATCH($B1501,Assumptions!$D$5:$D$12,0)))</x:f>
        <x:v>1050</x:v>
      </x:c>
      <x:c r="D1501" s="11" t="n">
        <x:f>IF($A1501="","",INDEX(Assumptions!$G$5:$G$12,MATCH($B1501,Assumptions!$D$5:$D$12,0)))</x:f>
        <x:v>125</x:v>
      </x:c>
      <x:c r="E1501" s="11" t="n">
        <x:f>IF($A1501="","",INDEX(Assumptions!$M$5:$M$11,WEEKDAY($A1501,2)))</x:f>
        <x:v>1.02</x:v>
      </x:c>
      <x:c r="F1501" s="11" t="n">
        <x:f>IF($A1501="","",Assumptions!$B$15)</x:f>
        <x:v>0.35</x:v>
      </x:c>
      <x:c r="G1501" s="11" t="n">
        <x:f>IF($A1501="","",MAX(INDEX(Assumptions!$H$5:$H$12,MATCH($B1501,Assumptions!$D$5:$D$12,0)),MIN(INDEX(Assumptions!$I$5:$I$12,MATCH($B1501,Assumptions!$D$5:$D$12,0)),($C1501+$D1501*SQRT(-2*LN(RAND()))*COS(2*PI()*RAND()))*$E1501*$J1501*$K1501)))</x:f>
        <x:v>1153.7250850983871</x:v>
      </x:c>
      <x:c r="H1501" s="11" t="n">
        <x:f>IF($A1501="","",$G1501*$F1501+$C1501*(1-$F1501))</x:f>
        <x:v>1086.3037797844354</x:v>
      </x:c>
      <x:c r="I1501" s="11" t="n">
        <x:f>IF($A1501="","",AVERAGE($H1501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1052.7164390526032</x:v>
      </x:c>
      <x:c r="J1501" s="12" t="n">
        <x:f>IF($A1501="","",1+SUMIFS(Assumptions!$S$5:$S$10,Assumptions!$P$5:$P$10,$B1501,Assumptions!$Q$5:$Q$10,"&lt;="&amp;$A1501,Assumptions!$R$5:$R$10,"&gt;="&amp;$A1501))</x:f>
        <x:v>1</x:v>
      </x:c>
      <x:c r="K1501" s="12" t="n">
        <x:f>IF($A1501="","",1+((($A1501-Assumptions!$B$5)/30)*INDEX(Assumptions!$J$5:$J$12,MATCH($B1501,Assumptions!$D$5:$D$12,0))))</x:f>
        <x:v>1.0249166666666667</x:v>
      </x:c>
      <x:c r="L1501" t="str">
        <x:f>IF($A1501="","",IFERROR(INDEX(Assumptions!$O$5:$O$10,MATCH(1,(Assumptions!$P$5:$P$10=$B1501)*(Assumptions!$Q$5:$Q$10&lt;=$A1501)*(Assumptions!$R$5:$R$10&gt;=$A1501),0)),""))</x:f>
      </x:c>
      <x:c r="M1501" t="n">
        <x:f>--($A1501&lt;&gt;"")</x:f>
        <x:v>1</x:v>
      </x:c>
    </x:row>
    <x:row r="1502">
      <x:c r="A1502" s="10" t="n">
        <x:f>IF(Assumptions!$B$5+INT((ROW()-2)/Assumptions!$B$7)&gt;Assumptions!$B$6,"",Assumptions!$B$5+INT((ROW()-2)/Assumptions!$B$7))</x:f>
        <x:v>46323</x:v>
      </x:c>
      <x:c r="B1502" t="str">
        <x:f>IF($A1502="","",INDEX(Assumptions!$D$5:$D$12,MOD(ROW()-2,Assumptions!$B$7)+1))</x:f>
        <x:v>Acheron Prime</x:v>
      </x:c>
      <x:c r="C1502" s="11" t="n">
        <x:f>IF($A1502="","",INDEX(Assumptions!$F$5:$F$12,MATCH($B1502,Assumptions!$D$5:$D$12,0)))</x:f>
        <x:v>1120</x:v>
      </x:c>
      <x:c r="D1502" s="11" t="n">
        <x:f>IF($A1502="","",INDEX(Assumptions!$G$5:$G$12,MATCH($B1502,Assumptions!$D$5:$D$12,0)))</x:f>
        <x:v>115</x:v>
      </x:c>
      <x:c r="E1502" s="11" t="n">
        <x:f>IF($A1502="","",INDEX(Assumptions!$M$5:$M$11,WEEKDAY($A1502,2)))</x:f>
        <x:v>1.01</x:v>
      </x:c>
      <x:c r="F1502" s="11" t="n">
        <x:f>IF($A1502="","",Assumptions!$B$15)</x:f>
        <x:v>0.35</x:v>
      </x:c>
      <x:c r="G1502" s="11" t="n">
        <x:f>IF($A1502="","",MAX(INDEX(Assumptions!$H$5:$H$12,MATCH($B1502,Assumptions!$D$5:$D$12,0)),MIN(INDEX(Assumptions!$I$5:$I$12,MATCH($B1502,Assumptions!$D$5:$D$12,0)),($C1502+$D1502*SQRT(-2*LN(RAND()))*COS(2*PI()*RAND()))*$E1502*$J1502*$K1502)))</x:f>
        <x:v>1261.7525581664556</x:v>
      </x:c>
      <x:c r="H1502" s="11" t="n">
        <x:f>IF($A1502="","",$G1502*$F1502+$C1502*(1-$F1502))</x:f>
        <x:v>1169.6133953582594</x:v>
      </x:c>
      <x:c r="I1502" s="11" t="n">
        <x:f>IF($A1502="","",AVERAGE($H1502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1130.513618574883</x:v>
      </x:c>
      <x:c r="J1502" s="12" t="n">
        <x:f>IF($A1502="","",1+SUMIFS(Assumptions!$S$5:$S$10,Assumptions!$P$5:$P$10,$B1502,Assumptions!$Q$5:$Q$10,"&lt;="&amp;$A1502,Assumptions!$R$5:$R$10,"&gt;="&amp;$A1502))</x:f>
        <x:v>1</x:v>
      </x:c>
      <x:c r="K1502" s="12" t="n">
        <x:f>IF($A1502="","",1+((($A1502-Assumptions!$B$5)/30)*INDEX(Assumptions!$J$5:$J$12,MATCH($B1502,Assumptions!$D$5:$D$12,0))))</x:f>
        <x:v>1.02</x:v>
      </x:c>
      <x:c r="L1502" t="str">
        <x:f>IF($A1502="","",IFERROR(INDEX(Assumptions!$O$5:$O$10,MATCH(1,(Assumptions!$P$5:$P$10=$B1502)*(Assumptions!$Q$5:$Q$10&lt;=$A1502)*(Assumptions!$R$5:$R$10&gt;=$A1502),0)),""))</x:f>
      </x:c>
      <x:c r="M1502" t="n">
        <x:f>--($A1502&lt;&gt;"")</x:f>
        <x:v>1</x:v>
      </x:c>
    </x:row>
    <x:row r="1503">
      <x:c r="A1503" s="10" t="n">
        <x:f>IF(Assumptions!$B$5+INT((ROW()-2)/Assumptions!$B$7)&gt;Assumptions!$B$6,"",Assumptions!$B$5+INT((ROW()-2)/Assumptions!$B$7))</x:f>
        <x:v>46323</x:v>
      </x:c>
      <x:c r="B1503" t="str">
        <x:f>IF($A1503="","",INDEX(Assumptions!$D$5:$D$12,MOD(ROW()-2,Assumptions!$B$7)+1))</x:f>
        <x:v>LV-426 North</x:v>
      </x:c>
      <x:c r="C1503" s="11" t="n">
        <x:f>IF($A1503="","",INDEX(Assumptions!$F$5:$F$12,MATCH($B1503,Assumptions!$D$5:$D$12,0)))</x:f>
        <x:v>930</x:v>
      </x:c>
      <x:c r="D1503" s="11" t="n">
        <x:f>IF($A1503="","",INDEX(Assumptions!$G$5:$G$12,MATCH($B1503,Assumptions!$D$5:$D$12,0)))</x:f>
        <x:v>95</x:v>
      </x:c>
      <x:c r="E1503" s="11" t="n">
        <x:f>IF($A1503="","",INDEX(Assumptions!$M$5:$M$11,WEEKDAY($A1503,2)))</x:f>
        <x:v>1.01</x:v>
      </x:c>
      <x:c r="F1503" s="11" t="n">
        <x:f>IF($A1503="","",Assumptions!$B$15)</x:f>
        <x:v>0.35</x:v>
      </x:c>
      <x:c r="G1503" s="11" t="n">
        <x:f>IF($A1503="","",MAX(INDEX(Assumptions!$H$5:$H$12,MATCH($B1503,Assumptions!$D$5:$D$12,0)),MIN(INDEX(Assumptions!$I$5:$I$12,MATCH($B1503,Assumptions!$D$5:$D$12,0)),($C1503+$D1503*SQRT(-2*LN(RAND()))*COS(2*PI()*RAND()))*$E1503*$J1503*$K1503)))</x:f>
        <x:v>950.9390862015999</x:v>
      </x:c>
      <x:c r="H1503" s="11" t="n">
        <x:f>IF($A1503="","",$G1503*$F1503+$C1503*(1-$F1503))</x:f>
        <x:v>937.3286801705599</x:v>
      </x:c>
      <x:c r="I1503" s="11" t="n">
        <x:f>IF($A1503="","",AVERAGE($H1503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897.3811125256532</x:v>
      </x:c>
      <x:c r="J1503" s="12" t="n">
        <x:f>IF($A1503="","",1+SUMIFS(Assumptions!$S$5:$S$10,Assumptions!$P$5:$P$10,$B1503,Assumptions!$Q$5:$Q$10,"&lt;="&amp;$A1503,Assumptions!$R$5:$R$10,"&gt;="&amp;$A1503))</x:f>
        <x:v>1</x:v>
      </x:c>
      <x:c r="K1503" s="12" t="n">
        <x:f>IF($A1503="","",1+((($A1503-Assumptions!$B$5)/30)*INDEX(Assumptions!$J$5:$J$12,MATCH($B1503,Assumptions!$D$5:$D$12,0))))</x:f>
        <x:v>0.99</x:v>
      </x:c>
      <x:c r="L1503" t="str">
        <x:f>IF($A1503="","",IFERROR(INDEX(Assumptions!$O$5:$O$10,MATCH(1,(Assumptions!$P$5:$P$10=$B1503)*(Assumptions!$Q$5:$Q$10&lt;=$A1503)*(Assumptions!$R$5:$R$10&gt;=$A1503),0)),""))</x:f>
      </x:c>
      <x:c r="M1503" t="n">
        <x:f>--($A1503&lt;&gt;"")</x:f>
        <x:v>1</x:v>
      </x:c>
    </x:row>
    <x:row r="1504">
      <x:c r="A1504" s="10" t="n">
        <x:f>IF(Assumptions!$B$5+INT((ROW()-2)/Assumptions!$B$7)&gt;Assumptions!$B$6,"",Assumptions!$B$5+INT((ROW()-2)/Assumptions!$B$7))</x:f>
        <x:v>46323</x:v>
      </x:c>
      <x:c r="B1504" t="str">
        <x:f>IF($A1504="","",INDEX(Assumptions!$D$5:$D$12,MOD(ROW()-2,Assumptions!$B$7)+1))</x:f>
        <x:v>Nostromo Deep</x:v>
      </x:c>
      <x:c r="C1504" s="11" t="n">
        <x:f>IF($A1504="","",INDEX(Assumptions!$F$5:$F$12,MATCH($B1504,Assumptions!$D$5:$D$12,0)))</x:f>
        <x:v>1260</x:v>
      </x:c>
      <x:c r="D1504" s="11" t="n">
        <x:f>IF($A1504="","",INDEX(Assumptions!$G$5:$G$12,MATCH($B1504,Assumptions!$D$5:$D$12,0)))</x:f>
        <x:v>145</x:v>
      </x:c>
      <x:c r="E1504" s="11" t="n">
        <x:f>IF($A1504="","",INDEX(Assumptions!$M$5:$M$11,WEEKDAY($A1504,2)))</x:f>
        <x:v>1.01</x:v>
      </x:c>
      <x:c r="F1504" s="11" t="n">
        <x:f>IF($A1504="","",Assumptions!$B$15)</x:f>
        <x:v>0.35</x:v>
      </x:c>
      <x:c r="G1504" s="11" t="n">
        <x:f>IF($A1504="","",MAX(INDEX(Assumptions!$H$5:$H$12,MATCH($B1504,Assumptions!$D$5:$D$12,0)),MIN(INDEX(Assumptions!$I$5:$I$12,MATCH($B1504,Assumptions!$D$5:$D$12,0)),($C1504+$D1504*SQRT(-2*LN(RAND()))*COS(2*PI()*RAND()))*$E1504*$J1504*$K1504)))</x:f>
        <x:v>1406.76901711935</x:v>
      </x:c>
      <x:c r="H1504" s="11" t="n">
        <x:f>IF($A1504="","",$G1504*$F1504+$C1504*(1-$F1504))</x:f>
        <x:v>1311.3691559917725</x:v>
      </x:c>
      <x:c r="I1504" s="11" t="n">
        <x:f>IF($A1504="","",AVERAGE($H1504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1242.2671607943814</x:v>
      </x:c>
      <x:c r="J1504" s="12" t="n">
        <x:f>IF($A1504="","",1+SUMIFS(Assumptions!$S$5:$S$10,Assumptions!$P$5:$P$10,$B1504,Assumptions!$Q$5:$Q$10,"&lt;="&amp;$A1504,Assumptions!$R$5:$R$10,"&gt;="&amp;$A1504))</x:f>
        <x:v>1</x:v>
      </x:c>
      <x:c r="K1504" s="12" t="n">
        <x:f>IF($A1504="","",1+((($A1504-Assumptions!$B$5)/30)*INDEX(Assumptions!$J$5:$J$12,MATCH($B1504,Assumptions!$D$5:$D$12,0))))</x:f>
        <x:v>1.03</x:v>
      </x:c>
      <x:c r="L1504" t="str">
        <x:f>IF($A1504="","",IFERROR(INDEX(Assumptions!$O$5:$O$10,MATCH(1,(Assumptions!$P$5:$P$10=$B1504)*(Assumptions!$Q$5:$Q$10&lt;=$A1504)*(Assumptions!$R$5:$R$10&gt;=$A1504),0)),""))</x:f>
      </x:c>
      <x:c r="M1504" t="n">
        <x:f>--($A1504&lt;&gt;"")</x:f>
        <x:v>1</x:v>
      </x:c>
    </x:row>
    <x:row r="1505">
      <x:c r="A1505" s="10" t="n">
        <x:f>IF(Assumptions!$B$5+INT((ROW()-2)/Assumptions!$B$7)&gt;Assumptions!$B$6,"",Assumptions!$B$5+INT((ROW()-2)/Assumptions!$B$7))</x:f>
        <x:v>46323</x:v>
      </x:c>
      <x:c r="B1505" t="str">
        <x:f>IF($A1505="","",INDEX(Assumptions!$D$5:$D$12,MOD(ROW()-2,Assumptions!$B$7)+1))</x:f>
        <x:v>Hadley's Hope</x:v>
      </x:c>
      <x:c r="C1505" s="11" t="n">
        <x:f>IF($A1505="","",INDEX(Assumptions!$F$5:$F$12,MATCH($B1505,Assumptions!$D$5:$D$12,0)))</x:f>
        <x:v>845</x:v>
      </x:c>
      <x:c r="D1505" s="11" t="n">
        <x:f>IF($A1505="","",INDEX(Assumptions!$G$5:$G$12,MATCH($B1505,Assumptions!$D$5:$D$12,0)))</x:f>
        <x:v>80</x:v>
      </x:c>
      <x:c r="E1505" s="11" t="n">
        <x:f>IF($A1505="","",INDEX(Assumptions!$M$5:$M$11,WEEKDAY($A1505,2)))</x:f>
        <x:v>1.01</x:v>
      </x:c>
      <x:c r="F1505" s="11" t="n">
        <x:f>IF($A1505="","",Assumptions!$B$15)</x:f>
        <x:v>0.35</x:v>
      </x:c>
      <x:c r="G1505" s="11" t="n">
        <x:f>IF($A1505="","",MAX(INDEX(Assumptions!$H$5:$H$12,MATCH($B1505,Assumptions!$D$5:$D$12,0)),MIN(INDEX(Assumptions!$I$5:$I$12,MATCH($B1505,Assumptions!$D$5:$D$12,0)),($C1505+$D1505*SQRT(-2*LN(RAND()))*COS(2*PI()*RAND()))*$E1505*$J1505*$K1505)))</x:f>
        <x:v>889.0100049958207</x:v>
      </x:c>
      <x:c r="H1505" s="11" t="n">
        <x:f>IF($A1505="","",$G1505*$F1505+$C1505*(1-$F1505))</x:f>
        <x:v>860.4035017485372</x:v>
      </x:c>
      <x:c r="I1505" s="11" t="n">
        <x:f>IF($A1505="","",AVERAGE($H1505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827.2905098474793</x:v>
      </x:c>
      <x:c r="J1505" s="12" t="n">
        <x:f>IF($A1505="","",1+SUMIFS(Assumptions!$S$5:$S$10,Assumptions!$P$5:$P$10,$B1505,Assumptions!$Q$5:$Q$10,"&lt;="&amp;$A1505,Assumptions!$R$5:$R$10,"&gt;="&amp;$A1505))</x:f>
        <x:v>1</x:v>
      </x:c>
      <x:c r="K1505" s="12" t="n">
        <x:f>IF($A1505="","",1+((($A1505-Assumptions!$B$5)/30)*INDEX(Assumptions!$J$5:$J$12,MATCH($B1505,Assumptions!$D$5:$D$12,0))))</x:f>
        <x:v>1.01</x:v>
      </x:c>
      <x:c r="L1505" t="str">
        <x:f>IF($A1505="","",IFERROR(INDEX(Assumptions!$O$5:$O$10,MATCH(1,(Assumptions!$P$5:$P$10=$B1505)*(Assumptions!$Q$5:$Q$10&lt;=$A1505)*(Assumptions!$R$5:$R$10&gt;=$A1505),0)),""))</x:f>
      </x:c>
      <x:c r="M1505" t="n">
        <x:f>--($A1505&lt;&gt;"")</x:f>
        <x:v>1</x:v>
      </x:c>
    </x:row>
    <x:row r="1506">
      <x:c r="A1506" s="10" t="n">
        <x:f>IF(Assumptions!$B$5+INT((ROW()-2)/Assumptions!$B$7)&gt;Assumptions!$B$6,"",Assumptions!$B$5+INT((ROW()-2)/Assumptions!$B$7))</x:f>
        <x:v>46323</x:v>
      </x:c>
      <x:c r="B1506" t="str">
        <x:f>IF($A1506="","",INDEX(Assumptions!$D$5:$D$12,MOD(ROW()-2,Assumptions!$B$7)+1))</x:f>
        <x:v>Yutani Ridge</x:v>
      </x:c>
      <x:c r="C1506" s="11" t="n">
        <x:f>IF($A1506="","",INDEX(Assumptions!$F$5:$F$12,MATCH($B1506,Assumptions!$D$5:$D$12,0)))</x:f>
        <x:v>1050</x:v>
      </x:c>
      <x:c r="D1506" s="11" t="n">
        <x:f>IF($A1506="","",INDEX(Assumptions!$G$5:$G$12,MATCH($B1506,Assumptions!$D$5:$D$12,0)))</x:f>
        <x:v>125</x:v>
      </x:c>
      <x:c r="E1506" s="11" t="n">
        <x:f>IF($A1506="","",INDEX(Assumptions!$M$5:$M$11,WEEKDAY($A1506,2)))</x:f>
        <x:v>1.01</x:v>
      </x:c>
      <x:c r="F1506" s="11" t="n">
        <x:f>IF($A1506="","",Assumptions!$B$15)</x:f>
        <x:v>0.35</x:v>
      </x:c>
      <x:c r="G1506" s="11" t="n">
        <x:f>IF($A1506="","",MAX(INDEX(Assumptions!$H$5:$H$12,MATCH($B1506,Assumptions!$D$5:$D$12,0)),MIN(INDEX(Assumptions!$I$5:$I$12,MATCH($B1506,Assumptions!$D$5:$D$12,0)),($C1506+$D1506*SQRT(-2*LN(RAND()))*COS(2*PI()*RAND()))*$E1506*$J1506*$K1506)))</x:f>
        <x:v>1175.390469735003</x:v>
      </x:c>
      <x:c r="H1506" s="11" t="n">
        <x:f>IF($A1506="","",$G1506*$F1506+$C1506*(1-$F1506))</x:f>
        <x:v>1093.886664407251</x:v>
      </x:c>
      <x:c r="I1506" s="11" t="n">
        <x:f>IF($A1506="","",AVERAGE($H1506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1063.7242729239817</x:v>
      </x:c>
      <x:c r="J1506" s="12" t="n">
        <x:f>IF($A1506="","",1+SUMIFS(Assumptions!$S$5:$S$10,Assumptions!$P$5:$P$10,$B1506,Assumptions!$Q$5:$Q$10,"&lt;="&amp;$A1506,Assumptions!$R$5:$R$10,"&gt;="&amp;$A1506))</x:f>
        <x:v>1</x:v>
      </x:c>
      <x:c r="K1506" s="12" t="n">
        <x:f>IF($A1506="","",1+((($A1506-Assumptions!$B$5)/30)*INDEX(Assumptions!$J$5:$J$12,MATCH($B1506,Assumptions!$D$5:$D$12,0))))</x:f>
        <x:v>1.025</x:v>
      </x:c>
      <x:c r="L1506" t="str">
        <x:f>IF($A1506="","",IFERROR(INDEX(Assumptions!$O$5:$O$10,MATCH(1,(Assumptions!$P$5:$P$10=$B1506)*(Assumptions!$Q$5:$Q$10&lt;=$A1506)*(Assumptions!$R$5:$R$10&gt;=$A1506),0)),""))</x:f>
      </x:c>
      <x:c r="M1506" t="n">
        <x:f>--($A1506&lt;&gt;"")</x:f>
        <x:v>1</x:v>
      </x:c>
    </x:row>
    <x:row r="1507">
      <x:c r="A1507" s="10" t="n">
        <x:f>IF(Assumptions!$B$5+INT((ROW()-2)/Assumptions!$B$7)&gt;Assumptions!$B$6,"",Assumptions!$B$5+INT((ROW()-2)/Assumptions!$B$7))</x:f>
        <x:v>46324</x:v>
      </x:c>
      <x:c r="B1507" t="str">
        <x:f>IF($A1507="","",INDEX(Assumptions!$D$5:$D$12,MOD(ROW()-2,Assumptions!$B$7)+1))</x:f>
        <x:v>Acheron Prime</x:v>
      </x:c>
      <x:c r="C1507" s="11" t="n">
        <x:f>IF($A1507="","",INDEX(Assumptions!$F$5:$F$12,MATCH($B1507,Assumptions!$D$5:$D$12,0)))</x:f>
        <x:v>1120</x:v>
      </x:c>
      <x:c r="D1507" s="11" t="n">
        <x:f>IF($A1507="","",INDEX(Assumptions!$G$5:$G$12,MATCH($B1507,Assumptions!$D$5:$D$12,0)))</x:f>
        <x:v>115</x:v>
      </x:c>
      <x:c r="E1507" s="11" t="n">
        <x:f>IF($A1507="","",INDEX(Assumptions!$M$5:$M$11,WEEKDAY($A1507,2)))</x:f>
        <x:v>1</x:v>
      </x:c>
      <x:c r="F1507" s="11" t="n">
        <x:f>IF($A1507="","",Assumptions!$B$15)</x:f>
        <x:v>0.35</x:v>
      </x:c>
      <x:c r="G1507" s="11" t="n">
        <x:f>IF($A1507="","",MAX(INDEX(Assumptions!$H$5:$H$12,MATCH($B1507,Assumptions!$D$5:$D$12,0)),MIN(INDEX(Assumptions!$I$5:$I$12,MATCH($B1507,Assumptions!$D$5:$D$12,0)),($C1507+$D1507*SQRT(-2*LN(RAND()))*COS(2*PI()*RAND()))*$E1507*$J1507*$K1507)))</x:f>
        <x:v>1259.827188347474</x:v>
      </x:c>
      <x:c r="H1507" s="11" t="n">
        <x:f>IF($A1507="","",$G1507*$F1507+$C1507*(1-$F1507))</x:f>
        <x:v>1168.939515921616</x:v>
      </x:c>
      <x:c r="I1507" s="11" t="n">
        <x:f>IF($A1507="","",AVERAGE($H1507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1132.6507239522605</x:v>
      </x:c>
      <x:c r="J1507" s="12" t="n">
        <x:f>IF($A1507="","",1+SUMIFS(Assumptions!$S$5:$S$10,Assumptions!$P$5:$P$10,$B1507,Assumptions!$Q$5:$Q$10,"&lt;="&amp;$A1507,Assumptions!$R$5:$R$10,"&gt;="&amp;$A1507))</x:f>
        <x:v>1</x:v>
      </x:c>
      <x:c r="K1507" s="12" t="n">
        <x:f>IF($A1507="","",1+((($A1507-Assumptions!$B$5)/30)*INDEX(Assumptions!$J$5:$J$12,MATCH($B1507,Assumptions!$D$5:$D$12,0))))</x:f>
        <x:v>1.0200666666666667</x:v>
      </x:c>
      <x:c r="L1507" t="str">
        <x:f>IF($A1507="","",IFERROR(INDEX(Assumptions!$O$5:$O$10,MATCH(1,(Assumptions!$P$5:$P$10=$B1507)*(Assumptions!$Q$5:$Q$10&lt;=$A1507)*(Assumptions!$R$5:$R$10&gt;=$A1507),0)),""))</x:f>
      </x:c>
      <x:c r="M1507" t="n">
        <x:f>--($A1507&lt;&gt;"")</x:f>
        <x:v>1</x:v>
      </x:c>
    </x:row>
    <x:row r="1508">
      <x:c r="A1508" s="10" t="n">
        <x:f>IF(Assumptions!$B$5+INT((ROW()-2)/Assumptions!$B$7)&gt;Assumptions!$B$6,"",Assumptions!$B$5+INT((ROW()-2)/Assumptions!$B$7))</x:f>
        <x:v>46324</x:v>
      </x:c>
      <x:c r="B1508" t="str">
        <x:f>IF($A1508="","",INDEX(Assumptions!$D$5:$D$12,MOD(ROW()-2,Assumptions!$B$7)+1))</x:f>
        <x:v>LV-426 North</x:v>
      </x:c>
      <x:c r="C1508" s="11" t="n">
        <x:f>IF($A1508="","",INDEX(Assumptions!$F$5:$F$12,MATCH($B1508,Assumptions!$D$5:$D$12,0)))</x:f>
        <x:v>930</x:v>
      </x:c>
      <x:c r="D1508" s="11" t="n">
        <x:f>IF($A1508="","",INDEX(Assumptions!$G$5:$G$12,MATCH($B1508,Assumptions!$D$5:$D$12,0)))</x:f>
        <x:v>95</x:v>
      </x:c>
      <x:c r="E1508" s="11" t="n">
        <x:f>IF($A1508="","",INDEX(Assumptions!$M$5:$M$11,WEEKDAY($A1508,2)))</x:f>
        <x:v>1</x:v>
      </x:c>
      <x:c r="F1508" s="11" t="n">
        <x:f>IF($A1508="","",Assumptions!$B$15)</x:f>
        <x:v>0.35</x:v>
      </x:c>
      <x:c r="G1508" s="11" t="n">
        <x:f>IF($A1508="","",MAX(INDEX(Assumptions!$H$5:$H$12,MATCH($B1508,Assumptions!$D$5:$D$12,0)),MIN(INDEX(Assumptions!$I$5:$I$12,MATCH($B1508,Assumptions!$D$5:$D$12,0)),($C1508+$D1508*SQRT(-2*LN(RAND()))*COS(2*PI()*RAND()))*$E1508*$J1508*$K1508)))</x:f>
        <x:v>914.5865466248864</x:v>
      </x:c>
      <x:c r="H1508" s="11" t="n">
        <x:f>IF($A1508="","",$G1508*$F1508+$C1508*(1-$F1508))</x:f>
        <x:v>924.6052913187102</x:v>
      </x:c>
      <x:c r="I1508" s="11" t="n">
        <x:f>IF($A1508="","",AVERAGE($H1508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903.3723581717084</x:v>
      </x:c>
      <x:c r="J1508" s="12" t="n">
        <x:f>IF($A1508="","",1+SUMIFS(Assumptions!$S$5:$S$10,Assumptions!$P$5:$P$10,$B1508,Assumptions!$Q$5:$Q$10,"&lt;="&amp;$A1508,Assumptions!$R$5:$R$10,"&gt;="&amp;$A1508))</x:f>
        <x:v>1</x:v>
      </x:c>
      <x:c r="K1508" s="12" t="n">
        <x:f>IF($A1508="","",1+((($A1508-Assumptions!$B$5)/30)*INDEX(Assumptions!$J$5:$J$12,MATCH($B1508,Assumptions!$D$5:$D$12,0))))</x:f>
        <x:v>0.9899666666666667</x:v>
      </x:c>
      <x:c r="L1508" t="str">
        <x:f>IF($A1508="","",IFERROR(INDEX(Assumptions!$O$5:$O$10,MATCH(1,(Assumptions!$P$5:$P$10=$B1508)*(Assumptions!$Q$5:$Q$10&lt;=$A1508)*(Assumptions!$R$5:$R$10&gt;=$A1508),0)),""))</x:f>
      </x:c>
      <x:c r="M1508" t="n">
        <x:f>--($A1508&lt;&gt;"")</x:f>
        <x:v>1</x:v>
      </x:c>
    </x:row>
    <x:row r="1509">
      <x:c r="A1509" s="10" t="n">
        <x:f>IF(Assumptions!$B$5+INT((ROW()-2)/Assumptions!$B$7)&gt;Assumptions!$B$6,"",Assumptions!$B$5+INT((ROW()-2)/Assumptions!$B$7))</x:f>
        <x:v>46324</x:v>
      </x:c>
      <x:c r="B1509" t="str">
        <x:f>IF($A1509="","",INDEX(Assumptions!$D$5:$D$12,MOD(ROW()-2,Assumptions!$B$7)+1))</x:f>
        <x:v>Nostromo Deep</x:v>
      </x:c>
      <x:c r="C1509" s="11" t="n">
        <x:f>IF($A1509="","",INDEX(Assumptions!$F$5:$F$12,MATCH($B1509,Assumptions!$D$5:$D$12,0)))</x:f>
        <x:v>1260</x:v>
      </x:c>
      <x:c r="D1509" s="11" t="n">
        <x:f>IF($A1509="","",INDEX(Assumptions!$G$5:$G$12,MATCH($B1509,Assumptions!$D$5:$D$12,0)))</x:f>
        <x:v>145</x:v>
      </x:c>
      <x:c r="E1509" s="11" t="n">
        <x:f>IF($A1509="","",INDEX(Assumptions!$M$5:$M$11,WEEKDAY($A1509,2)))</x:f>
        <x:v>1</x:v>
      </x:c>
      <x:c r="F1509" s="11" t="n">
        <x:f>IF($A1509="","",Assumptions!$B$15)</x:f>
        <x:v>0.35</x:v>
      </x:c>
      <x:c r="G1509" s="11" t="n">
        <x:f>IF($A1509="","",MAX(INDEX(Assumptions!$H$5:$H$12,MATCH($B1509,Assumptions!$D$5:$D$12,0)),MIN(INDEX(Assumptions!$I$5:$I$12,MATCH($B1509,Assumptions!$D$5:$D$12,0)),($C1509+$D1509*SQRT(-2*LN(RAND()))*COS(2*PI()*RAND()))*$E1509*$J1509*$K1509)))</x:f>
        <x:v>1339.876872053729</x:v>
      </x:c>
      <x:c r="H1509" s="11" t="n">
        <x:f>IF($A1509="","",$G1509*$F1509+$C1509*(1-$F1509))</x:f>
        <x:v>1287.956905218805</x:v>
      </x:c>
      <x:c r="I1509" s="11" t="n">
        <x:f>IF($A1509="","",AVERAGE($H1509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1255.3283029226645</x:v>
      </x:c>
      <x:c r="J1509" s="12" t="n">
        <x:f>IF($A1509="","",1+SUMIFS(Assumptions!$S$5:$S$10,Assumptions!$P$5:$P$10,$B1509,Assumptions!$Q$5:$Q$10,"&lt;="&amp;$A1509,Assumptions!$R$5:$R$10,"&gt;="&amp;$A1509))</x:f>
        <x:v>1</x:v>
      </x:c>
      <x:c r="K1509" s="12" t="n">
        <x:f>IF($A1509="","",1+((($A1509-Assumptions!$B$5)/30)*INDEX(Assumptions!$J$5:$J$12,MATCH($B1509,Assumptions!$D$5:$D$12,0))))</x:f>
        <x:v>1.0301</x:v>
      </x:c>
      <x:c r="L1509" t="str">
        <x:f>IF($A1509="","",IFERROR(INDEX(Assumptions!$O$5:$O$10,MATCH(1,(Assumptions!$P$5:$P$10=$B1509)*(Assumptions!$Q$5:$Q$10&lt;=$A1509)*(Assumptions!$R$5:$R$10&gt;=$A1509),0)),""))</x:f>
      </x:c>
      <x:c r="M1509" t="n">
        <x:f>--($A1509&lt;&gt;"")</x:f>
        <x:v>1</x:v>
      </x:c>
    </x:row>
    <x:row r="1510">
      <x:c r="A1510" s="10" t="n">
        <x:f>IF(Assumptions!$B$5+INT((ROW()-2)/Assumptions!$B$7)&gt;Assumptions!$B$6,"",Assumptions!$B$5+INT((ROW()-2)/Assumptions!$B$7))</x:f>
        <x:v>46324</x:v>
      </x:c>
      <x:c r="B1510" t="str">
        <x:f>IF($A1510="","",INDEX(Assumptions!$D$5:$D$12,MOD(ROW()-2,Assumptions!$B$7)+1))</x:f>
        <x:v>Hadley's Hope</x:v>
      </x:c>
      <x:c r="C1510" s="11" t="n">
        <x:f>IF($A1510="","",INDEX(Assumptions!$F$5:$F$12,MATCH($B1510,Assumptions!$D$5:$D$12,0)))</x:f>
        <x:v>845</x:v>
      </x:c>
      <x:c r="D1510" s="11" t="n">
        <x:f>IF($A1510="","",INDEX(Assumptions!$G$5:$G$12,MATCH($B1510,Assumptions!$D$5:$D$12,0)))</x:f>
        <x:v>80</x:v>
      </x:c>
      <x:c r="E1510" s="11" t="n">
        <x:f>IF($A1510="","",INDEX(Assumptions!$M$5:$M$11,WEEKDAY($A1510,2)))</x:f>
        <x:v>1</x:v>
      </x:c>
      <x:c r="F1510" s="11" t="n">
        <x:f>IF($A1510="","",Assumptions!$B$15)</x:f>
        <x:v>0.35</x:v>
      </x:c>
      <x:c r="G1510" s="11" t="n">
        <x:f>IF($A1510="","",MAX(INDEX(Assumptions!$H$5:$H$12,MATCH($B1510,Assumptions!$D$5:$D$12,0)),MIN(INDEX(Assumptions!$I$5:$I$12,MATCH($B1510,Assumptions!$D$5:$D$12,0)),($C1510+$D1510*SQRT(-2*LN(RAND()))*COS(2*PI()*RAND()))*$E1510*$J1510*$K1510)))</x:f>
        <x:v>901.3864320284998</x:v>
      </x:c>
      <x:c r="H1510" s="11" t="n">
        <x:f>IF($A1510="","",$G1510*$F1510+$C1510*(1-$F1510))</x:f>
        <x:v>864.7352512099749</x:v>
      </x:c>
      <x:c r="I1510" s="11" t="n">
        <x:f>IF($A1510="","",AVERAGE($H1510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831.4478840853675</x:v>
      </x:c>
      <x:c r="J1510" s="12" t="n">
        <x:f>IF($A1510="","",1+SUMIFS(Assumptions!$S$5:$S$10,Assumptions!$P$5:$P$10,$B1510,Assumptions!$Q$5:$Q$10,"&lt;="&amp;$A1510,Assumptions!$R$5:$R$10,"&gt;="&amp;$A1510))</x:f>
        <x:v>1</x:v>
      </x:c>
      <x:c r="K1510" s="12" t="n">
        <x:f>IF($A1510="","",1+((($A1510-Assumptions!$B$5)/30)*INDEX(Assumptions!$J$5:$J$12,MATCH($B1510,Assumptions!$D$5:$D$12,0))))</x:f>
        <x:v>1.0100333333333333</x:v>
      </x:c>
      <x:c r="L1510" t="str">
        <x:f>IF($A1510="","",IFERROR(INDEX(Assumptions!$O$5:$O$10,MATCH(1,(Assumptions!$P$5:$P$10=$B1510)*(Assumptions!$Q$5:$Q$10&lt;=$A1510)*(Assumptions!$R$5:$R$10&gt;=$A1510),0)),""))</x:f>
      </x:c>
      <x:c r="M1510" t="n">
        <x:f>--($A1510&lt;&gt;"")</x:f>
        <x:v>1</x:v>
      </x:c>
    </x:row>
    <x:row r="1511">
      <x:c r="A1511" s="10" t="n">
        <x:f>IF(Assumptions!$B$5+INT((ROW()-2)/Assumptions!$B$7)&gt;Assumptions!$B$6,"",Assumptions!$B$5+INT((ROW()-2)/Assumptions!$B$7))</x:f>
        <x:v>46324</x:v>
      </x:c>
      <x:c r="B1511" t="str">
        <x:f>IF($A1511="","",INDEX(Assumptions!$D$5:$D$12,MOD(ROW()-2,Assumptions!$B$7)+1))</x:f>
        <x:v>Yutani Ridge</x:v>
      </x:c>
      <x:c r="C1511" s="11" t="n">
        <x:f>IF($A1511="","",INDEX(Assumptions!$F$5:$F$12,MATCH($B1511,Assumptions!$D$5:$D$12,0)))</x:f>
        <x:v>1050</x:v>
      </x:c>
      <x:c r="D1511" s="11" t="n">
        <x:f>IF($A1511="","",INDEX(Assumptions!$G$5:$G$12,MATCH($B1511,Assumptions!$D$5:$D$12,0)))</x:f>
        <x:v>125</x:v>
      </x:c>
      <x:c r="E1511" s="11" t="n">
        <x:f>IF($A1511="","",INDEX(Assumptions!$M$5:$M$11,WEEKDAY($A1511,2)))</x:f>
        <x:v>1</x:v>
      </x:c>
      <x:c r="F1511" s="11" t="n">
        <x:f>IF($A1511="","",Assumptions!$B$15)</x:f>
        <x:v>0.35</x:v>
      </x:c>
      <x:c r="G1511" s="11" t="n">
        <x:f>IF($A1511="","",MAX(INDEX(Assumptions!$H$5:$H$12,MATCH($B1511,Assumptions!$D$5:$D$12,0)),MIN(INDEX(Assumptions!$I$5:$I$12,MATCH($B1511,Assumptions!$D$5:$D$12,0)),($C1511+$D1511*SQRT(-2*LN(RAND()))*COS(2*PI()*RAND()))*$E1511*$J1511*$K1511)))</x:f>
        <x:v>1261.297305534058</x:v>
      </x:c>
      <x:c r="H1511" s="11" t="n">
        <x:f>IF($A1511="","",$G1511*$F1511+$C1511*(1-$F1511))</x:f>
        <x:v>1123.9540569369203</x:v>
      </x:c>
      <x:c r="I1511" s="11" t="n">
        <x:f>IF($A1511="","",AVERAGE($H1511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1072.2483670593713</x:v>
      </x:c>
      <x:c r="J1511" s="12" t="n">
        <x:f>IF($A1511="","",1+SUMIFS(Assumptions!$S$5:$S$10,Assumptions!$P$5:$P$10,$B1511,Assumptions!$Q$5:$Q$10,"&lt;="&amp;$A1511,Assumptions!$R$5:$R$10,"&gt;="&amp;$A1511))</x:f>
        <x:v>1</x:v>
      </x:c>
      <x:c r="K1511" s="12" t="n">
        <x:f>IF($A1511="","",1+((($A1511-Assumptions!$B$5)/30)*INDEX(Assumptions!$J$5:$J$12,MATCH($B1511,Assumptions!$D$5:$D$12,0))))</x:f>
        <x:v>1.0250833333333333</x:v>
      </x:c>
      <x:c r="L1511" t="str">
        <x:f>IF($A1511="","",IFERROR(INDEX(Assumptions!$O$5:$O$10,MATCH(1,(Assumptions!$P$5:$P$10=$B1511)*(Assumptions!$Q$5:$Q$10&lt;=$A1511)*(Assumptions!$R$5:$R$10&gt;=$A1511),0)),""))</x:f>
      </x:c>
      <x:c r="M1511" t="n">
        <x:f>--($A1511&lt;&gt;"")</x:f>
        <x:v>1</x:v>
      </x:c>
    </x:row>
    <x:row r="1512">
      <x:c r="A1512" s="10" t="n">
        <x:f>IF(Assumptions!$B$5+INT((ROW()-2)/Assumptions!$B$7)&gt;Assumptions!$B$6,"",Assumptions!$B$5+INT((ROW()-2)/Assumptions!$B$7))</x:f>
        <x:v>46325</x:v>
      </x:c>
      <x:c r="B1512" t="str">
        <x:f>IF($A1512="","",INDEX(Assumptions!$D$5:$D$12,MOD(ROW()-2,Assumptions!$B$7)+1))</x:f>
        <x:v>Acheron Prime</x:v>
      </x:c>
      <x:c r="C1512" s="11" t="n">
        <x:f>IF($A1512="","",INDEX(Assumptions!$F$5:$F$12,MATCH($B1512,Assumptions!$D$5:$D$12,0)))</x:f>
        <x:v>1120</x:v>
      </x:c>
      <x:c r="D1512" s="11" t="n">
        <x:f>IF($A1512="","",INDEX(Assumptions!$G$5:$G$12,MATCH($B1512,Assumptions!$D$5:$D$12,0)))</x:f>
        <x:v>115</x:v>
      </x:c>
      <x:c r="E1512" s="11" t="n">
        <x:f>IF($A1512="","",INDEX(Assumptions!$M$5:$M$11,WEEKDAY($A1512,2)))</x:f>
        <x:v>0.98</x:v>
      </x:c>
      <x:c r="F1512" s="11" t="n">
        <x:f>IF($A1512="","",Assumptions!$B$15)</x:f>
        <x:v>0.35</x:v>
      </x:c>
      <x:c r="G1512" s="11" t="n">
        <x:f>IF($A1512="","",MAX(INDEX(Assumptions!$H$5:$H$12,MATCH($B1512,Assumptions!$D$5:$D$12,0)),MIN(INDEX(Assumptions!$I$5:$I$12,MATCH($B1512,Assumptions!$D$5:$D$12,0)),($C1512+$D1512*SQRT(-2*LN(RAND()))*COS(2*PI()*RAND()))*$E1512*$J1512*$K1512)))</x:f>
        <x:v>966.4355684165274</x:v>
      </x:c>
      <x:c r="H1512" s="11" t="n">
        <x:f>IF($A1512="","",$G1512*$F1512+$C1512*(1-$F1512))</x:f>
        <x:v>1066.2524489457846</x:v>
      </x:c>
      <x:c r="I1512" s="11" t="n">
        <x:f>IF($A1512="","",AVERAGE($H1512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1122.0501693680494</x:v>
      </x:c>
      <x:c r="J1512" s="12" t="n">
        <x:f>IF($A1512="","",1+SUMIFS(Assumptions!$S$5:$S$10,Assumptions!$P$5:$P$10,$B1512,Assumptions!$Q$5:$Q$10,"&lt;="&amp;$A1512,Assumptions!$R$5:$R$10,"&gt;="&amp;$A1512))</x:f>
        <x:v>1</x:v>
      </x:c>
      <x:c r="K1512" s="12" t="n">
        <x:f>IF($A1512="","",1+((($A1512-Assumptions!$B$5)/30)*INDEX(Assumptions!$J$5:$J$12,MATCH($B1512,Assumptions!$D$5:$D$12,0))))</x:f>
        <x:v>1.0201333333333333</x:v>
      </x:c>
      <x:c r="L1512" t="str">
        <x:f>IF($A1512="","",IFERROR(INDEX(Assumptions!$O$5:$O$10,MATCH(1,(Assumptions!$P$5:$P$10=$B1512)*(Assumptions!$Q$5:$Q$10&lt;=$A1512)*(Assumptions!$R$5:$R$10&gt;=$A1512),0)),""))</x:f>
      </x:c>
      <x:c r="M1512" t="n">
        <x:f>--($A1512&lt;&gt;"")</x:f>
        <x:v>1</x:v>
      </x:c>
    </x:row>
    <x:row r="1513">
      <x:c r="A1513" s="10" t="n">
        <x:f>IF(Assumptions!$B$5+INT((ROW()-2)/Assumptions!$B$7)&gt;Assumptions!$B$6,"",Assumptions!$B$5+INT((ROW()-2)/Assumptions!$B$7))</x:f>
        <x:v>46325</x:v>
      </x:c>
      <x:c r="B1513" t="str">
        <x:f>IF($A1513="","",INDEX(Assumptions!$D$5:$D$12,MOD(ROW()-2,Assumptions!$B$7)+1))</x:f>
        <x:v>LV-426 North</x:v>
      </x:c>
      <x:c r="C1513" s="11" t="n">
        <x:f>IF($A1513="","",INDEX(Assumptions!$F$5:$F$12,MATCH($B1513,Assumptions!$D$5:$D$12,0)))</x:f>
        <x:v>930</x:v>
      </x:c>
      <x:c r="D1513" s="11" t="n">
        <x:f>IF($A1513="","",INDEX(Assumptions!$G$5:$G$12,MATCH($B1513,Assumptions!$D$5:$D$12,0)))</x:f>
        <x:v>95</x:v>
      </x:c>
      <x:c r="E1513" s="11" t="n">
        <x:f>IF($A1513="","",INDEX(Assumptions!$M$5:$M$11,WEEKDAY($A1513,2)))</x:f>
        <x:v>0.98</x:v>
      </x:c>
      <x:c r="F1513" s="11" t="n">
        <x:f>IF($A1513="","",Assumptions!$B$15)</x:f>
        <x:v>0.35</x:v>
      </x:c>
      <x:c r="G1513" s="11" t="n">
        <x:f>IF($A1513="","",MAX(INDEX(Assumptions!$H$5:$H$12,MATCH($B1513,Assumptions!$D$5:$D$12,0)),MIN(INDEX(Assumptions!$I$5:$I$12,MATCH($B1513,Assumptions!$D$5:$D$12,0)),($C1513+$D1513*SQRT(-2*LN(RAND()))*COS(2*PI()*RAND()))*$E1513*$J1513*$K1513)))</x:f>
        <x:v>997.0915486479922</x:v>
      </x:c>
      <x:c r="H1513" s="11" t="n">
        <x:f>IF($A1513="","",$G1513*$F1513+$C1513*(1-$F1513))</x:f>
        <x:v>953.4820420267972</x:v>
      </x:c>
      <x:c r="I1513" s="11" t="n">
        <x:f>IF($A1513="","",AVERAGE($H1513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907.6113191126021</x:v>
      </x:c>
      <x:c r="J1513" s="12" t="n">
        <x:f>IF($A1513="","",1+SUMIFS(Assumptions!$S$5:$S$10,Assumptions!$P$5:$P$10,$B1513,Assumptions!$Q$5:$Q$10,"&lt;="&amp;$A1513,Assumptions!$R$5:$R$10,"&gt;="&amp;$A1513))</x:f>
        <x:v>1</x:v>
      </x:c>
      <x:c r="K1513" s="12" t="n">
        <x:f>IF($A1513="","",1+((($A1513-Assumptions!$B$5)/30)*INDEX(Assumptions!$J$5:$J$12,MATCH($B1513,Assumptions!$D$5:$D$12,0))))</x:f>
        <x:v>0.9899333333333333</x:v>
      </x:c>
      <x:c r="L1513" t="str">
        <x:f>IF($A1513="","",IFERROR(INDEX(Assumptions!$O$5:$O$10,MATCH(1,(Assumptions!$P$5:$P$10=$B1513)*(Assumptions!$Q$5:$Q$10&lt;=$A1513)*(Assumptions!$R$5:$R$10&gt;=$A1513),0)),""))</x:f>
      </x:c>
      <x:c r="M1513" t="n">
        <x:f>--($A1513&lt;&gt;"")</x:f>
        <x:v>1</x:v>
      </x:c>
    </x:row>
    <x:row r="1514">
      <x:c r="A1514" s="10" t="n">
        <x:f>IF(Assumptions!$B$5+INT((ROW()-2)/Assumptions!$B$7)&gt;Assumptions!$B$6,"",Assumptions!$B$5+INT((ROW()-2)/Assumptions!$B$7))</x:f>
        <x:v>46325</x:v>
      </x:c>
      <x:c r="B1514" t="str">
        <x:f>IF($A1514="","",INDEX(Assumptions!$D$5:$D$12,MOD(ROW()-2,Assumptions!$B$7)+1))</x:f>
        <x:v>Nostromo Deep</x:v>
      </x:c>
      <x:c r="C1514" s="11" t="n">
        <x:f>IF($A1514="","",INDEX(Assumptions!$F$5:$F$12,MATCH($B1514,Assumptions!$D$5:$D$12,0)))</x:f>
        <x:v>1260</x:v>
      </x:c>
      <x:c r="D1514" s="11" t="n">
        <x:f>IF($A1514="","",INDEX(Assumptions!$G$5:$G$12,MATCH($B1514,Assumptions!$D$5:$D$12,0)))</x:f>
        <x:v>145</x:v>
      </x:c>
      <x:c r="E1514" s="11" t="n">
        <x:f>IF($A1514="","",INDEX(Assumptions!$M$5:$M$11,WEEKDAY($A1514,2)))</x:f>
        <x:v>0.98</x:v>
      </x:c>
      <x:c r="F1514" s="11" t="n">
        <x:f>IF($A1514="","",Assumptions!$B$15)</x:f>
        <x:v>0.35</x:v>
      </x:c>
      <x:c r="G1514" s="11" t="n">
        <x:f>IF($A1514="","",MAX(INDEX(Assumptions!$H$5:$H$12,MATCH($B1514,Assumptions!$D$5:$D$12,0)),MIN(INDEX(Assumptions!$I$5:$I$12,MATCH($B1514,Assumptions!$D$5:$D$12,0)),($C1514+$D1514*SQRT(-2*LN(RAND()))*COS(2*PI()*RAND()))*$E1514*$J1514*$K1514)))</x:f>
        <x:v>1283.2464688249286</x:v>
      </x:c>
      <x:c r="H1514" s="11" t="n">
        <x:f>IF($A1514="","",$G1514*$F1514+$C1514*(1-$F1514))</x:f>
        <x:v>1268.136264088725</x:v>
      </x:c>
      <x:c r="I1514" s="11" t="n">
        <x:f>IF($A1514="","",AVERAGE($H1514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1253.295734099968</x:v>
      </x:c>
      <x:c r="J1514" s="12" t="n">
        <x:f>IF($A1514="","",1+SUMIFS(Assumptions!$S$5:$S$10,Assumptions!$P$5:$P$10,$B1514,Assumptions!$Q$5:$Q$10,"&lt;="&amp;$A1514,Assumptions!$R$5:$R$10,"&gt;="&amp;$A1514))</x:f>
        <x:v>1</x:v>
      </x:c>
      <x:c r="K1514" s="12" t="n">
        <x:f>IF($A1514="","",1+((($A1514-Assumptions!$B$5)/30)*INDEX(Assumptions!$J$5:$J$12,MATCH($B1514,Assumptions!$D$5:$D$12,0))))</x:f>
        <x:v>1.0302</x:v>
      </x:c>
      <x:c r="L1514" t="str">
        <x:f>IF($A1514="","",IFERROR(INDEX(Assumptions!$O$5:$O$10,MATCH(1,(Assumptions!$P$5:$P$10=$B1514)*(Assumptions!$Q$5:$Q$10&lt;=$A1514)*(Assumptions!$R$5:$R$10&gt;=$A1514),0)),""))</x:f>
      </x:c>
      <x:c r="M1514" t="n">
        <x:f>--($A1514&lt;&gt;"")</x:f>
        <x:v>1</x:v>
      </x:c>
    </x:row>
    <x:row r="1515">
      <x:c r="A1515" s="10" t="n">
        <x:f>IF(Assumptions!$B$5+INT((ROW()-2)/Assumptions!$B$7)&gt;Assumptions!$B$6,"",Assumptions!$B$5+INT((ROW()-2)/Assumptions!$B$7))</x:f>
        <x:v>46325</x:v>
      </x:c>
      <x:c r="B1515" t="str">
        <x:f>IF($A1515="","",INDEX(Assumptions!$D$5:$D$12,MOD(ROW()-2,Assumptions!$B$7)+1))</x:f>
        <x:v>Hadley's Hope</x:v>
      </x:c>
      <x:c r="C1515" s="11" t="n">
        <x:f>IF($A1515="","",INDEX(Assumptions!$F$5:$F$12,MATCH($B1515,Assumptions!$D$5:$D$12,0)))</x:f>
        <x:v>845</x:v>
      </x:c>
      <x:c r="D1515" s="11" t="n">
        <x:f>IF($A1515="","",INDEX(Assumptions!$G$5:$G$12,MATCH($B1515,Assumptions!$D$5:$D$12,0)))</x:f>
        <x:v>80</x:v>
      </x:c>
      <x:c r="E1515" s="11" t="n">
        <x:f>IF($A1515="","",INDEX(Assumptions!$M$5:$M$11,WEEKDAY($A1515,2)))</x:f>
        <x:v>0.98</x:v>
      </x:c>
      <x:c r="F1515" s="11" t="n">
        <x:f>IF($A1515="","",Assumptions!$B$15)</x:f>
        <x:v>0.35</x:v>
      </x:c>
      <x:c r="G1515" s="11" t="n">
        <x:f>IF($A1515="","",MAX(INDEX(Assumptions!$H$5:$H$12,MATCH($B1515,Assumptions!$D$5:$D$12,0)),MIN(INDEX(Assumptions!$I$5:$I$12,MATCH($B1515,Assumptions!$D$5:$D$12,0)),($C1515+$D1515*SQRT(-2*LN(RAND()))*COS(2*PI()*RAND()))*$E1515*$J1515*$K1515)))</x:f>
        <x:v>843.4608750579016</x:v>
      </x:c>
      <x:c r="H1515" s="11" t="n">
        <x:f>IF($A1515="","",$G1515*$F1515+$C1515*(1-$F1515))</x:f>
        <x:v>844.4613062702656</x:v>
      </x:c>
      <x:c r="I1515" s="11" t="n">
        <x:f>IF($A1515="","",AVERAGE($H1515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835.8002798245478</x:v>
      </x:c>
      <x:c r="J1515" s="12" t="n">
        <x:f>IF($A1515="","",1+SUMIFS(Assumptions!$S$5:$S$10,Assumptions!$P$5:$P$10,$B1515,Assumptions!$Q$5:$Q$10,"&lt;="&amp;$A1515,Assumptions!$R$5:$R$10,"&gt;="&amp;$A1515))</x:f>
        <x:v>1</x:v>
      </x:c>
      <x:c r="K1515" s="12" t="n">
        <x:f>IF($A1515="","",1+((($A1515-Assumptions!$B$5)/30)*INDEX(Assumptions!$J$5:$J$12,MATCH($B1515,Assumptions!$D$5:$D$12,0))))</x:f>
        <x:v>1.0100666666666667</x:v>
      </x:c>
      <x:c r="L1515" t="str">
        <x:f>IF($A1515="","",IFERROR(INDEX(Assumptions!$O$5:$O$10,MATCH(1,(Assumptions!$P$5:$P$10=$B1515)*(Assumptions!$Q$5:$Q$10&lt;=$A1515)*(Assumptions!$R$5:$R$10&gt;=$A1515),0)),""))</x:f>
      </x:c>
      <x:c r="M1515" t="n">
        <x:f>--($A1515&lt;&gt;"")</x:f>
        <x:v>1</x:v>
      </x:c>
    </x:row>
    <x:row r="1516">
      <x:c r="A1516" s="10" t="n">
        <x:f>IF(Assumptions!$B$5+INT((ROW()-2)/Assumptions!$B$7)&gt;Assumptions!$B$6,"",Assumptions!$B$5+INT((ROW()-2)/Assumptions!$B$7))</x:f>
        <x:v>46325</x:v>
      </x:c>
      <x:c r="B1516" t="str">
        <x:f>IF($A1516="","",INDEX(Assumptions!$D$5:$D$12,MOD(ROW()-2,Assumptions!$B$7)+1))</x:f>
        <x:v>Yutani Ridge</x:v>
      </x:c>
      <x:c r="C1516" s="11" t="n">
        <x:f>IF($A1516="","",INDEX(Assumptions!$F$5:$F$12,MATCH($B1516,Assumptions!$D$5:$D$12,0)))</x:f>
        <x:v>1050</x:v>
      </x:c>
      <x:c r="D1516" s="11" t="n">
        <x:f>IF($A1516="","",INDEX(Assumptions!$G$5:$G$12,MATCH($B1516,Assumptions!$D$5:$D$12,0)))</x:f>
        <x:v>125</x:v>
      </x:c>
      <x:c r="E1516" s="11" t="n">
        <x:f>IF($A1516="","",INDEX(Assumptions!$M$5:$M$11,WEEKDAY($A1516,2)))</x:f>
        <x:v>0.98</x:v>
      </x:c>
      <x:c r="F1516" s="11" t="n">
        <x:f>IF($A1516="","",Assumptions!$B$15)</x:f>
        <x:v>0.35</x:v>
      </x:c>
      <x:c r="G1516" s="11" t="n">
        <x:f>IF($A1516="","",MAX(INDEX(Assumptions!$H$5:$H$12,MATCH($B1516,Assumptions!$D$5:$D$12,0)),MIN(INDEX(Assumptions!$I$5:$I$12,MATCH($B1516,Assumptions!$D$5:$D$12,0)),($C1516+$D1516*SQRT(-2*LN(RAND()))*COS(2*PI()*RAND()))*$E1516*$J1516*$K1516)))</x:f>
        <x:v>1087.4764827074546</x:v>
      </x:c>
      <x:c r="H1516" s="11" t="n">
        <x:f>IF($A1516="","",$G1516*$F1516+$C1516*(1-$F1516))</x:f>
        <x:v>1063.1167689476092</x:v>
      </x:c>
      <x:c r="I1516" s="11" t="n">
        <x:f>IF($A1516="","",AVERAGE($H1516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1069.7465883827476</x:v>
      </x:c>
      <x:c r="J1516" s="12" t="n">
        <x:f>IF($A1516="","",1+SUMIFS(Assumptions!$S$5:$S$10,Assumptions!$P$5:$P$10,$B1516,Assumptions!$Q$5:$Q$10,"&lt;="&amp;$A1516,Assumptions!$R$5:$R$10,"&gt;="&amp;$A1516))</x:f>
        <x:v>1</x:v>
      </x:c>
      <x:c r="K1516" s="12" t="n">
        <x:f>IF($A1516="","",1+((($A1516-Assumptions!$B$5)/30)*INDEX(Assumptions!$J$5:$J$12,MATCH($B1516,Assumptions!$D$5:$D$12,0))))</x:f>
        <x:v>1.0251666666666666</x:v>
      </x:c>
      <x:c r="L1516" t="str">
        <x:f>IF($A1516="","",IFERROR(INDEX(Assumptions!$O$5:$O$10,MATCH(1,(Assumptions!$P$5:$P$10=$B1516)*(Assumptions!$Q$5:$Q$10&lt;=$A1516)*(Assumptions!$R$5:$R$10&gt;=$A1516),0)),""))</x:f>
      </x:c>
      <x:c r="M1516" t="n">
        <x:f>--($A1516&lt;&gt;"")</x:f>
        <x:v>1</x:v>
      </x:c>
    </x:row>
    <x:row r="1517">
      <x:c r="A1517" s="10" t="n">
        <x:f>IF(Assumptions!$B$5+INT((ROW()-2)/Assumptions!$B$7)&gt;Assumptions!$B$6,"",Assumptions!$B$5+INT((ROW()-2)/Assumptions!$B$7))</x:f>
        <x:v>46326</x:v>
      </x:c>
      <x:c r="B1517" t="str">
        <x:f>IF($A1517="","",INDEX(Assumptions!$D$5:$D$12,MOD(ROW()-2,Assumptions!$B$7)+1))</x:f>
        <x:v>Acheron Prime</x:v>
      </x:c>
      <x:c r="C1517" s="11" t="n">
        <x:f>IF($A1517="","",INDEX(Assumptions!$F$5:$F$12,MATCH($B1517,Assumptions!$D$5:$D$12,0)))</x:f>
        <x:v>1120</x:v>
      </x:c>
      <x:c r="D1517" s="11" t="n">
        <x:f>IF($A1517="","",INDEX(Assumptions!$G$5:$G$12,MATCH($B1517,Assumptions!$D$5:$D$12,0)))</x:f>
        <x:v>115</x:v>
      </x:c>
      <x:c r="E1517" s="11" t="n">
        <x:f>IF($A1517="","",INDEX(Assumptions!$M$5:$M$11,WEEKDAY($A1517,2)))</x:f>
        <x:v>0.91</x:v>
      </x:c>
      <x:c r="F1517" s="11" t="n">
        <x:f>IF($A1517="","",Assumptions!$B$15)</x:f>
        <x:v>0.35</x:v>
      </x:c>
      <x:c r="G1517" s="11" t="n">
        <x:f>IF($A1517="","",MAX(INDEX(Assumptions!$H$5:$H$12,MATCH($B1517,Assumptions!$D$5:$D$12,0)),MIN(INDEX(Assumptions!$I$5:$I$12,MATCH($B1517,Assumptions!$D$5:$D$12,0)),($C1517+$D1517*SQRT(-2*LN(RAND()))*COS(2*PI()*RAND()))*$E1517*$J1517*$K1517)))</x:f>
        <x:v>1033.0097785983062</x:v>
      </x:c>
      <x:c r="H1517" s="11" t="n">
        <x:f>IF($A1517="","",$G1517*$F1517+$C1517*(1-$F1517))</x:f>
        <x:v>1089.553422509407</x:v>
      </x:c>
      <x:c r="I1517" s="11" t="n">
        <x:f>IF($A1517="","",AVERAGE($H1517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1117.0362536564967</x:v>
      </x:c>
      <x:c r="J1517" s="12" t="n">
        <x:f>IF($A1517="","",1+SUMIFS(Assumptions!$S$5:$S$10,Assumptions!$P$5:$P$10,$B1517,Assumptions!$Q$5:$Q$10,"&lt;="&amp;$A1517,Assumptions!$R$5:$R$10,"&gt;="&amp;$A1517))</x:f>
        <x:v>1</x:v>
      </x:c>
      <x:c r="K1517" s="12" t="n">
        <x:f>IF($A1517="","",1+((($A1517-Assumptions!$B$5)/30)*INDEX(Assumptions!$J$5:$J$12,MATCH($B1517,Assumptions!$D$5:$D$12,0))))</x:f>
        <x:v>1.0202</x:v>
      </x:c>
      <x:c r="L1517" t="str">
        <x:f>IF($A1517="","",IFERROR(INDEX(Assumptions!$O$5:$O$10,MATCH(1,(Assumptions!$P$5:$P$10=$B1517)*(Assumptions!$Q$5:$Q$10&lt;=$A1517)*(Assumptions!$R$5:$R$10&gt;=$A1517),0)),""))</x:f>
      </x:c>
      <x:c r="M1517" t="n">
        <x:f>--($A1517&lt;&gt;"")</x:f>
        <x:v>1</x:v>
      </x:c>
    </x:row>
    <x:row r="1518">
      <x:c r="A1518" s="10" t="n">
        <x:f>IF(Assumptions!$B$5+INT((ROW()-2)/Assumptions!$B$7)&gt;Assumptions!$B$6,"",Assumptions!$B$5+INT((ROW()-2)/Assumptions!$B$7))</x:f>
        <x:v>46326</x:v>
      </x:c>
      <x:c r="B1518" t="str">
        <x:f>IF($A1518="","",INDEX(Assumptions!$D$5:$D$12,MOD(ROW()-2,Assumptions!$B$7)+1))</x:f>
        <x:v>LV-426 North</x:v>
      </x:c>
      <x:c r="C1518" s="11" t="n">
        <x:f>IF($A1518="","",INDEX(Assumptions!$F$5:$F$12,MATCH($B1518,Assumptions!$D$5:$D$12,0)))</x:f>
        <x:v>930</x:v>
      </x:c>
      <x:c r="D1518" s="11" t="n">
        <x:f>IF($A1518="","",INDEX(Assumptions!$G$5:$G$12,MATCH($B1518,Assumptions!$D$5:$D$12,0)))</x:f>
        <x:v>95</x:v>
      </x:c>
      <x:c r="E1518" s="11" t="n">
        <x:f>IF($A1518="","",INDEX(Assumptions!$M$5:$M$11,WEEKDAY($A1518,2)))</x:f>
        <x:v>0.91</x:v>
      </x:c>
      <x:c r="F1518" s="11" t="n">
        <x:f>IF($A1518="","",Assumptions!$B$15)</x:f>
        <x:v>0.35</x:v>
      </x:c>
      <x:c r="G1518" s="11" t="n">
        <x:f>IF($A1518="","",MAX(INDEX(Assumptions!$H$5:$H$12,MATCH($B1518,Assumptions!$D$5:$D$12,0)),MIN(INDEX(Assumptions!$I$5:$I$12,MATCH($B1518,Assumptions!$D$5:$D$12,0)),($C1518+$D1518*SQRT(-2*LN(RAND()))*COS(2*PI()*RAND()))*$E1518*$J1518*$K1518)))</x:f>
        <x:v>897.4425709712798</x:v>
      </x:c>
      <x:c r="H1518" s="11" t="n">
        <x:f>IF($A1518="","",$G1518*$F1518+$C1518*(1-$F1518))</x:f>
        <x:v>918.6048998399478</x:v>
      </x:c>
      <x:c r="I1518" s="11" t="n">
        <x:f>IF($A1518="","",AVERAGE($H1518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902.7998050581791</x:v>
      </x:c>
      <x:c r="J1518" s="12" t="n">
        <x:f>IF($A1518="","",1+SUMIFS(Assumptions!$S$5:$S$10,Assumptions!$P$5:$P$10,$B1518,Assumptions!$Q$5:$Q$10,"&lt;="&amp;$A1518,Assumptions!$R$5:$R$10,"&gt;="&amp;$A1518))</x:f>
        <x:v>1</x:v>
      </x:c>
      <x:c r="K1518" s="12" t="n">
        <x:f>IF($A1518="","",1+((($A1518-Assumptions!$B$5)/30)*INDEX(Assumptions!$J$5:$J$12,MATCH($B1518,Assumptions!$D$5:$D$12,0))))</x:f>
        <x:v>0.9899</x:v>
      </x:c>
      <x:c r="L1518" t="str">
        <x:f>IF($A1518="","",IFERROR(INDEX(Assumptions!$O$5:$O$10,MATCH(1,(Assumptions!$P$5:$P$10=$B1518)*(Assumptions!$Q$5:$Q$10&lt;=$A1518)*(Assumptions!$R$5:$R$10&gt;=$A1518),0)),""))</x:f>
      </x:c>
      <x:c r="M1518" t="n">
        <x:f>--($A1518&lt;&gt;"")</x:f>
        <x:v>1</x:v>
      </x:c>
    </x:row>
    <x:row r="1519">
      <x:c r="A1519" s="10" t="n">
        <x:f>IF(Assumptions!$B$5+INT((ROW()-2)/Assumptions!$B$7)&gt;Assumptions!$B$6,"",Assumptions!$B$5+INT((ROW()-2)/Assumptions!$B$7))</x:f>
        <x:v>46326</x:v>
      </x:c>
      <x:c r="B1519" t="str">
        <x:f>IF($A1519="","",INDEX(Assumptions!$D$5:$D$12,MOD(ROW()-2,Assumptions!$B$7)+1))</x:f>
        <x:v>Nostromo Deep</x:v>
      </x:c>
      <x:c r="C1519" s="11" t="n">
        <x:f>IF($A1519="","",INDEX(Assumptions!$F$5:$F$12,MATCH($B1519,Assumptions!$D$5:$D$12,0)))</x:f>
        <x:v>1260</x:v>
      </x:c>
      <x:c r="D1519" s="11" t="n">
        <x:f>IF($A1519="","",INDEX(Assumptions!$G$5:$G$12,MATCH($B1519,Assumptions!$D$5:$D$12,0)))</x:f>
        <x:v>145</x:v>
      </x:c>
      <x:c r="E1519" s="11" t="n">
        <x:f>IF($A1519="","",INDEX(Assumptions!$M$5:$M$11,WEEKDAY($A1519,2)))</x:f>
        <x:v>0.91</x:v>
      </x:c>
      <x:c r="F1519" s="11" t="n">
        <x:f>IF($A1519="","",Assumptions!$B$15)</x:f>
        <x:v>0.35</x:v>
      </x:c>
      <x:c r="G1519" s="11" t="n">
        <x:f>IF($A1519="","",MAX(INDEX(Assumptions!$H$5:$H$12,MATCH($B1519,Assumptions!$D$5:$D$12,0)),MIN(INDEX(Assumptions!$I$5:$I$12,MATCH($B1519,Assumptions!$D$5:$D$12,0)),($C1519+$D1519*SQRT(-2*LN(RAND()))*COS(2*PI()*RAND()))*$E1519*$J1519*$K1519)))</x:f>
        <x:v>1189.0287420138925</x:v>
      </x:c>
      <x:c r="H1519" s="11" t="n">
        <x:f>IF($A1519="","",$G1519*$F1519+$C1519*(1-$F1519))</x:f>
        <x:v>1235.1600597048623</x:v>
      </x:c>
      <x:c r="I1519" s="11" t="n">
        <x:f>IF($A1519="","",AVERAGE($H1519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1246.3376546933043</x:v>
      </x:c>
      <x:c r="J1519" s="12" t="n">
        <x:f>IF($A1519="","",1+SUMIFS(Assumptions!$S$5:$S$10,Assumptions!$P$5:$P$10,$B1519,Assumptions!$Q$5:$Q$10,"&lt;="&amp;$A1519,Assumptions!$R$5:$R$10,"&gt;="&amp;$A1519))</x:f>
        <x:v>1</x:v>
      </x:c>
      <x:c r="K1519" s="12" t="n">
        <x:f>IF($A1519="","",1+((($A1519-Assumptions!$B$5)/30)*INDEX(Assumptions!$J$5:$J$12,MATCH($B1519,Assumptions!$D$5:$D$12,0))))</x:f>
        <x:v>1.0303</x:v>
      </x:c>
      <x:c r="L1519" t="str">
        <x:f>IF($A1519="","",IFERROR(INDEX(Assumptions!$O$5:$O$10,MATCH(1,(Assumptions!$P$5:$P$10=$B1519)*(Assumptions!$Q$5:$Q$10&lt;=$A1519)*(Assumptions!$R$5:$R$10&gt;=$A1519),0)),""))</x:f>
      </x:c>
      <x:c r="M1519" t="n">
        <x:f>--($A1519&lt;&gt;"")</x:f>
        <x:v>1</x:v>
      </x:c>
    </x:row>
    <x:row r="1520">
      <x:c r="A1520" s="10" t="n">
        <x:f>IF(Assumptions!$B$5+INT((ROW()-2)/Assumptions!$B$7)&gt;Assumptions!$B$6,"",Assumptions!$B$5+INT((ROW()-2)/Assumptions!$B$7))</x:f>
        <x:v>46326</x:v>
      </x:c>
      <x:c r="B1520" t="str">
        <x:f>IF($A1520="","",INDEX(Assumptions!$D$5:$D$12,MOD(ROW()-2,Assumptions!$B$7)+1))</x:f>
        <x:v>Hadley's Hope</x:v>
      </x:c>
      <x:c r="C1520" s="11" t="n">
        <x:f>IF($A1520="","",INDEX(Assumptions!$F$5:$F$12,MATCH($B1520,Assumptions!$D$5:$D$12,0)))</x:f>
        <x:v>845</x:v>
      </x:c>
      <x:c r="D1520" s="11" t="n">
        <x:f>IF($A1520="","",INDEX(Assumptions!$G$5:$G$12,MATCH($B1520,Assumptions!$D$5:$D$12,0)))</x:f>
        <x:v>80</x:v>
      </x:c>
      <x:c r="E1520" s="11" t="n">
        <x:f>IF($A1520="","",INDEX(Assumptions!$M$5:$M$11,WEEKDAY($A1520,2)))</x:f>
        <x:v>0.91</x:v>
      </x:c>
      <x:c r="F1520" s="11" t="n">
        <x:f>IF($A1520="","",Assumptions!$B$15)</x:f>
        <x:v>0.35</x:v>
      </x:c>
      <x:c r="G1520" s="11" t="n">
        <x:f>IF($A1520="","",MAX(INDEX(Assumptions!$H$5:$H$12,MATCH($B1520,Assumptions!$D$5:$D$12,0)),MIN(INDEX(Assumptions!$I$5:$I$12,MATCH($B1520,Assumptions!$D$5:$D$12,0)),($C1520+$D1520*SQRT(-2*LN(RAND()))*COS(2*PI()*RAND()))*$E1520*$J1520*$K1520)))</x:f>
        <x:v>700.2073368581534</x:v>
      </x:c>
      <x:c r="H1520" s="11" t="n">
        <x:f>IF($A1520="","",$G1520*$F1520+$C1520*(1-$F1520))</x:f>
        <x:v>794.3225679003536</x:v>
      </x:c>
      <x:c r="I1520" s="11" t="n">
        <x:f>IF($A1520="","",AVERAGE($H1520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832.6813393280408</x:v>
      </x:c>
      <x:c r="J1520" s="12" t="n">
        <x:f>IF($A1520="","",1+SUMIFS(Assumptions!$S$5:$S$10,Assumptions!$P$5:$P$10,$B1520,Assumptions!$Q$5:$Q$10,"&lt;="&amp;$A1520,Assumptions!$R$5:$R$10,"&gt;="&amp;$A1520))</x:f>
        <x:v>1</x:v>
      </x:c>
      <x:c r="K1520" s="12" t="n">
        <x:f>IF($A1520="","",1+((($A1520-Assumptions!$B$5)/30)*INDEX(Assumptions!$J$5:$J$12,MATCH($B1520,Assumptions!$D$5:$D$12,0))))</x:f>
        <x:v>1.0101</x:v>
      </x:c>
      <x:c r="L1520" t="str">
        <x:f>IF($A1520="","",IFERROR(INDEX(Assumptions!$O$5:$O$10,MATCH(1,(Assumptions!$P$5:$P$10=$B1520)*(Assumptions!$Q$5:$Q$10&lt;=$A1520)*(Assumptions!$R$5:$R$10&gt;=$A1520),0)),""))</x:f>
      </x:c>
      <x:c r="M1520" t="n">
        <x:f>--($A1520&lt;&gt;"")</x:f>
        <x:v>1</x:v>
      </x:c>
    </x:row>
    <x:row r="1521">
      <x:c r="A1521" s="10" t="n">
        <x:f>IF(Assumptions!$B$5+INT((ROW()-2)/Assumptions!$B$7)&gt;Assumptions!$B$6,"",Assumptions!$B$5+INT((ROW()-2)/Assumptions!$B$7))</x:f>
        <x:v>46326</x:v>
      </x:c>
      <x:c r="B1521" t="str">
        <x:f>IF($A1521="","",INDEX(Assumptions!$D$5:$D$12,MOD(ROW()-2,Assumptions!$B$7)+1))</x:f>
        <x:v>Yutani Ridge</x:v>
      </x:c>
      <x:c r="C1521" s="11" t="n">
        <x:f>IF($A1521="","",INDEX(Assumptions!$F$5:$F$12,MATCH($B1521,Assumptions!$D$5:$D$12,0)))</x:f>
        <x:v>1050</x:v>
      </x:c>
      <x:c r="D1521" s="11" t="n">
        <x:f>IF($A1521="","",INDEX(Assumptions!$G$5:$G$12,MATCH($B1521,Assumptions!$D$5:$D$12,0)))</x:f>
        <x:v>125</x:v>
      </x:c>
      <x:c r="E1521" s="11" t="n">
        <x:f>IF($A1521="","",INDEX(Assumptions!$M$5:$M$11,WEEKDAY($A1521,2)))</x:f>
        <x:v>0.91</x:v>
      </x:c>
      <x:c r="F1521" s="11" t="n">
        <x:f>IF($A1521="","",Assumptions!$B$15)</x:f>
        <x:v>0.35</x:v>
      </x:c>
      <x:c r="G1521" s="11" t="n">
        <x:f>IF($A1521="","",MAX(INDEX(Assumptions!$H$5:$H$12,MATCH($B1521,Assumptions!$D$5:$D$12,0)),MIN(INDEX(Assumptions!$I$5:$I$12,MATCH($B1521,Assumptions!$D$5:$D$12,0)),($C1521+$D1521*SQRT(-2*LN(RAND()))*COS(2*PI()*RAND()))*$E1521*$J1521*$K1521)))</x:f>
        <x:v>1065.0120012445752</x:v>
      </x:c>
      <x:c r="H1521" s="11" t="n">
        <x:f>IF($A1521="","",$G1521*$F1521+$C1521*(1-$F1521))</x:f>
        <x:v>1055.2542004356014</x:v>
      </x:c>
      <x:c r="I1521" s="11" t="n">
        <x:f>IF($A1521="","",AVERAGE($H1521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1067.8324372044233</x:v>
      </x:c>
      <x:c r="J1521" s="12" t="n">
        <x:f>IF($A1521="","",1+SUMIFS(Assumptions!$S$5:$S$10,Assumptions!$P$5:$P$10,$B1521,Assumptions!$Q$5:$Q$10,"&lt;="&amp;$A1521,Assumptions!$R$5:$R$10,"&gt;="&amp;$A1521))</x:f>
        <x:v>1</x:v>
      </x:c>
      <x:c r="K1521" s="12" t="n">
        <x:f>IF($A1521="","",1+((($A1521-Assumptions!$B$5)/30)*INDEX(Assumptions!$J$5:$J$12,MATCH($B1521,Assumptions!$D$5:$D$12,0))))</x:f>
        <x:v>1.02525</x:v>
      </x:c>
      <x:c r="L1521" t="str">
        <x:f>IF($A1521="","",IFERROR(INDEX(Assumptions!$O$5:$O$10,MATCH(1,(Assumptions!$P$5:$P$10=$B1521)*(Assumptions!$Q$5:$Q$10&lt;=$A1521)*(Assumptions!$R$5:$R$10&gt;=$A1521),0)),""))</x:f>
      </x:c>
      <x:c r="M1521" t="n">
        <x:f>--($A1521&lt;&gt;"")</x:f>
        <x:v>1</x:v>
      </x:c>
    </x:row>
    <x:row r="1522">
      <x:c r="A1522" s="10" t="n">
        <x:f>IF(Assumptions!$B$5+INT((ROW()-2)/Assumptions!$B$7)&gt;Assumptions!$B$6,"",Assumptions!$B$5+INT((ROW()-2)/Assumptions!$B$7))</x:f>
        <x:v>46327</x:v>
      </x:c>
      <x:c r="B1522" t="str">
        <x:f>IF($A1522="","",INDEX(Assumptions!$D$5:$D$12,MOD(ROW()-2,Assumptions!$B$7)+1))</x:f>
        <x:v>Acheron Prime</x:v>
      </x:c>
      <x:c r="C1522" s="11" t="n">
        <x:f>IF($A1522="","",INDEX(Assumptions!$F$5:$F$12,MATCH($B1522,Assumptions!$D$5:$D$12,0)))</x:f>
        <x:v>1120</x:v>
      </x:c>
      <x:c r="D1522" s="11" t="n">
        <x:f>IF($A1522="","",INDEX(Assumptions!$G$5:$G$12,MATCH($B1522,Assumptions!$D$5:$D$12,0)))</x:f>
        <x:v>115</x:v>
      </x:c>
      <x:c r="E1522" s="11" t="n">
        <x:f>IF($A1522="","",INDEX(Assumptions!$M$5:$M$11,WEEKDAY($A1522,2)))</x:f>
        <x:v>0.87</x:v>
      </x:c>
      <x:c r="F1522" s="11" t="n">
        <x:f>IF($A1522="","",Assumptions!$B$15)</x:f>
        <x:v>0.35</x:v>
      </x:c>
      <x:c r="G1522" s="11" t="n">
        <x:f>IF($A1522="","",MAX(INDEX(Assumptions!$H$5:$H$12,MATCH($B1522,Assumptions!$D$5:$D$12,0)),MIN(INDEX(Assumptions!$I$5:$I$12,MATCH($B1522,Assumptions!$D$5:$D$12,0)),($C1522+$D1522*SQRT(-2*LN(RAND()))*COS(2*PI()*RAND()))*$E1522*$J1522*$K1522)))</x:f>
        <x:v>967.4767059085726</x:v>
      </x:c>
      <x:c r="H1522" s="11" t="n">
        <x:f>IF($A1522="","",$G1522*$F1522+$C1522*(1-$F1522))</x:f>
        <x:v>1066.6168470680004</x:v>
      </x:c>
      <x:c r="I1522" s="11" t="n">
        <x:f>IF($A1522="","",AVERAGE($H1522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1118.952539000237</x:v>
      </x:c>
      <x:c r="J1522" s="12" t="n">
        <x:f>IF($A1522="","",1+SUMIFS(Assumptions!$S$5:$S$10,Assumptions!$P$5:$P$10,$B1522,Assumptions!$Q$5:$Q$10,"&lt;="&amp;$A1522,Assumptions!$R$5:$R$10,"&gt;="&amp;$A1522))</x:f>
        <x:v>1</x:v>
      </x:c>
      <x:c r="K1522" s="12" t="n">
        <x:f>IF($A1522="","",1+((($A1522-Assumptions!$B$5)/30)*INDEX(Assumptions!$J$5:$J$12,MATCH($B1522,Assumptions!$D$5:$D$12,0))))</x:f>
        <x:v>1.0202666666666667</x:v>
      </x:c>
      <x:c r="L1522" t="str">
        <x:f>IF($A1522="","",IFERROR(INDEX(Assumptions!$O$5:$O$10,MATCH(1,(Assumptions!$P$5:$P$10=$B1522)*(Assumptions!$Q$5:$Q$10&lt;=$A1522)*(Assumptions!$R$5:$R$10&gt;=$A1522),0)),""))</x:f>
      </x:c>
      <x:c r="M1522" t="n">
        <x:f>--($A1522&lt;&gt;"")</x:f>
        <x:v>1</x:v>
      </x:c>
    </x:row>
    <x:row r="1523">
      <x:c r="A1523" s="10" t="n">
        <x:f>IF(Assumptions!$B$5+INT((ROW()-2)/Assumptions!$B$7)&gt;Assumptions!$B$6,"",Assumptions!$B$5+INT((ROW()-2)/Assumptions!$B$7))</x:f>
        <x:v>46327</x:v>
      </x:c>
      <x:c r="B1523" t="str">
        <x:f>IF($A1523="","",INDEX(Assumptions!$D$5:$D$12,MOD(ROW()-2,Assumptions!$B$7)+1))</x:f>
        <x:v>LV-426 North</x:v>
      </x:c>
      <x:c r="C1523" s="11" t="n">
        <x:f>IF($A1523="","",INDEX(Assumptions!$F$5:$F$12,MATCH($B1523,Assumptions!$D$5:$D$12,0)))</x:f>
        <x:v>930</x:v>
      </x:c>
      <x:c r="D1523" s="11" t="n">
        <x:f>IF($A1523="","",INDEX(Assumptions!$G$5:$G$12,MATCH($B1523,Assumptions!$D$5:$D$12,0)))</x:f>
        <x:v>95</x:v>
      </x:c>
      <x:c r="E1523" s="11" t="n">
        <x:f>IF($A1523="","",INDEX(Assumptions!$M$5:$M$11,WEEKDAY($A1523,2)))</x:f>
        <x:v>0.87</x:v>
      </x:c>
      <x:c r="F1523" s="11" t="n">
        <x:f>IF($A1523="","",Assumptions!$B$15)</x:f>
        <x:v>0.35</x:v>
      </x:c>
      <x:c r="G1523" s="11" t="n">
        <x:f>IF($A1523="","",MAX(INDEX(Assumptions!$H$5:$H$12,MATCH($B1523,Assumptions!$D$5:$D$12,0)),MIN(INDEX(Assumptions!$I$5:$I$12,MATCH($B1523,Assumptions!$D$5:$D$12,0)),($C1523+$D1523*SQRT(-2*LN(RAND()))*COS(2*PI()*RAND()))*$E1523*$J1523*$K1523)))</x:f>
        <x:v>874.8195566022688</x:v>
      </x:c>
      <x:c r="H1523" s="11" t="n">
        <x:f>IF($A1523="","",$G1523*$F1523+$C1523*(1-$F1523))</x:f>
        <x:v>910.6868448107941</x:v>
      </x:c>
      <x:c r="I1523" s="11" t="n">
        <x:f>IF($A1523="","",AVERAGE($H1523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906.3090928365034</x:v>
      </x:c>
      <x:c r="J1523" s="12" t="n">
        <x:f>IF($A1523="","",1+SUMIFS(Assumptions!$S$5:$S$10,Assumptions!$P$5:$P$10,$B1523,Assumptions!$Q$5:$Q$10,"&lt;="&amp;$A1523,Assumptions!$R$5:$R$10,"&gt;="&amp;$A1523))</x:f>
        <x:v>1</x:v>
      </x:c>
      <x:c r="K1523" s="12" t="n">
        <x:f>IF($A1523="","",1+((($A1523-Assumptions!$B$5)/30)*INDEX(Assumptions!$J$5:$J$12,MATCH($B1523,Assumptions!$D$5:$D$12,0))))</x:f>
        <x:v>0.9898666666666667</x:v>
      </x:c>
      <x:c r="L1523" t="str">
        <x:f>IF($A1523="","",IFERROR(INDEX(Assumptions!$O$5:$O$10,MATCH(1,(Assumptions!$P$5:$P$10=$B1523)*(Assumptions!$Q$5:$Q$10&lt;=$A1523)*(Assumptions!$R$5:$R$10&gt;=$A1523),0)),""))</x:f>
      </x:c>
      <x:c r="M1523" t="n">
        <x:f>--($A1523&lt;&gt;"")</x:f>
        <x:v>1</x:v>
      </x:c>
    </x:row>
    <x:row r="1524">
      <x:c r="A1524" s="10" t="n">
        <x:f>IF(Assumptions!$B$5+INT((ROW()-2)/Assumptions!$B$7)&gt;Assumptions!$B$6,"",Assumptions!$B$5+INT((ROW()-2)/Assumptions!$B$7))</x:f>
        <x:v>46327</x:v>
      </x:c>
      <x:c r="B1524" t="str">
        <x:f>IF($A1524="","",INDEX(Assumptions!$D$5:$D$12,MOD(ROW()-2,Assumptions!$B$7)+1))</x:f>
        <x:v>Nostromo Deep</x:v>
      </x:c>
      <x:c r="C1524" s="11" t="n">
        <x:f>IF($A1524="","",INDEX(Assumptions!$F$5:$F$12,MATCH($B1524,Assumptions!$D$5:$D$12,0)))</x:f>
        <x:v>1260</x:v>
      </x:c>
      <x:c r="D1524" s="11" t="n">
        <x:f>IF($A1524="","",INDEX(Assumptions!$G$5:$G$12,MATCH($B1524,Assumptions!$D$5:$D$12,0)))</x:f>
        <x:v>145</x:v>
      </x:c>
      <x:c r="E1524" s="11" t="n">
        <x:f>IF($A1524="","",INDEX(Assumptions!$M$5:$M$11,WEEKDAY($A1524,2)))</x:f>
        <x:v>0.87</x:v>
      </x:c>
      <x:c r="F1524" s="11" t="n">
        <x:f>IF($A1524="","",Assumptions!$B$15)</x:f>
        <x:v>0.35</x:v>
      </x:c>
      <x:c r="G1524" s="11" t="n">
        <x:f>IF($A1524="","",MAX(INDEX(Assumptions!$H$5:$H$12,MATCH($B1524,Assumptions!$D$5:$D$12,0)),MIN(INDEX(Assumptions!$I$5:$I$12,MATCH($B1524,Assumptions!$D$5:$D$12,0)),($C1524+$D1524*SQRT(-2*LN(RAND()))*COS(2*PI()*RAND()))*$E1524*$J1524*$K1524)))</x:f>
        <x:v>1066.671708303534</x:v>
      </x:c>
      <x:c r="H1524" s="11" t="n">
        <x:f>IF($A1524="","",$G1524*$F1524+$C1524*(1-$F1524))</x:f>
        <x:v>1192.3350979062368</x:v>
      </x:c>
      <x:c r="I1524" s="11" t="n">
        <x:f>IF($A1524="","",AVERAGE($H1524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1254.554592350679</x:v>
      </x:c>
      <x:c r="J1524" s="12" t="n">
        <x:f>IF($A1524="","",1+SUMIFS(Assumptions!$S$5:$S$10,Assumptions!$P$5:$P$10,$B1524,Assumptions!$Q$5:$Q$10,"&lt;="&amp;$A1524,Assumptions!$R$5:$R$10,"&gt;="&amp;$A1524))</x:f>
        <x:v>1</x:v>
      </x:c>
      <x:c r="K1524" s="12" t="n">
        <x:f>IF($A1524="","",1+((($A1524-Assumptions!$B$5)/30)*INDEX(Assumptions!$J$5:$J$12,MATCH($B1524,Assumptions!$D$5:$D$12,0))))</x:f>
        <x:v>1.0304</x:v>
      </x:c>
      <x:c r="L1524" t="str">
        <x:f>IF($A1524="","",IFERROR(INDEX(Assumptions!$O$5:$O$10,MATCH(1,(Assumptions!$P$5:$P$10=$B1524)*(Assumptions!$Q$5:$Q$10&lt;=$A1524)*(Assumptions!$R$5:$R$10&gt;=$A1524),0)),""))</x:f>
      </x:c>
      <x:c r="M1524" t="n">
        <x:f>--($A1524&lt;&gt;"")</x:f>
        <x:v>1</x:v>
      </x:c>
    </x:row>
    <x:row r="1525">
      <x:c r="A1525" s="10" t="n">
        <x:f>IF(Assumptions!$B$5+INT((ROW()-2)/Assumptions!$B$7)&gt;Assumptions!$B$6,"",Assumptions!$B$5+INT((ROW()-2)/Assumptions!$B$7))</x:f>
        <x:v>46327</x:v>
      </x:c>
      <x:c r="B1525" t="str">
        <x:f>IF($A1525="","",INDEX(Assumptions!$D$5:$D$12,MOD(ROW()-2,Assumptions!$B$7)+1))</x:f>
        <x:v>Hadley's Hope</x:v>
      </x:c>
      <x:c r="C1525" s="11" t="n">
        <x:f>IF($A1525="","",INDEX(Assumptions!$F$5:$F$12,MATCH($B1525,Assumptions!$D$5:$D$12,0)))</x:f>
        <x:v>845</x:v>
      </x:c>
      <x:c r="D1525" s="11" t="n">
        <x:f>IF($A1525="","",INDEX(Assumptions!$G$5:$G$12,MATCH($B1525,Assumptions!$D$5:$D$12,0)))</x:f>
        <x:v>80</x:v>
      </x:c>
      <x:c r="E1525" s="11" t="n">
        <x:f>IF($A1525="","",INDEX(Assumptions!$M$5:$M$11,WEEKDAY($A1525,2)))</x:f>
        <x:v>0.87</x:v>
      </x:c>
      <x:c r="F1525" s="11" t="n">
        <x:f>IF($A1525="","",Assumptions!$B$15)</x:f>
        <x:v>0.35</x:v>
      </x:c>
      <x:c r="G1525" s="11" t="n">
        <x:f>IF($A1525="","",MAX(INDEX(Assumptions!$H$5:$H$12,MATCH($B1525,Assumptions!$D$5:$D$12,0)),MIN(INDEX(Assumptions!$I$5:$I$12,MATCH($B1525,Assumptions!$D$5:$D$12,0)),($C1525+$D1525*SQRT(-2*LN(RAND()))*COS(2*PI()*RAND()))*$E1525*$J1525*$K1525)))</x:f>
        <x:v>805.1009297298048</x:v>
      </x:c>
      <x:c r="H1525" s="11" t="n">
        <x:f>IF($A1525="","",$G1525*$F1525+$C1525*(1-$F1525))</x:f>
        <x:v>831.0353254054316</x:v>
      </x:c>
      <x:c r="I1525" s="11" t="n">
        <x:f>IF($A1525="","",AVERAGE($H1525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836.7683565465483</x:v>
      </x:c>
      <x:c r="J1525" s="12" t="n">
        <x:f>IF($A1525="","",1+SUMIFS(Assumptions!$S$5:$S$10,Assumptions!$P$5:$P$10,$B1525,Assumptions!$Q$5:$Q$10,"&lt;="&amp;$A1525,Assumptions!$R$5:$R$10,"&gt;="&amp;$A1525))</x:f>
        <x:v>1</x:v>
      </x:c>
      <x:c r="K1525" s="12" t="n">
        <x:f>IF($A1525="","",1+((($A1525-Assumptions!$B$5)/30)*INDEX(Assumptions!$J$5:$J$12,MATCH($B1525,Assumptions!$D$5:$D$12,0))))</x:f>
        <x:v>1.0101333333333333</x:v>
      </x:c>
      <x:c r="L1525" t="str">
        <x:f>IF($A1525="","",IFERROR(INDEX(Assumptions!$O$5:$O$10,MATCH(1,(Assumptions!$P$5:$P$10=$B1525)*(Assumptions!$Q$5:$Q$10&lt;=$A1525)*(Assumptions!$R$5:$R$10&gt;=$A1525),0)),""))</x:f>
      </x:c>
      <x:c r="M1525" t="n">
        <x:f>--($A1525&lt;&gt;"")</x:f>
        <x:v>1</x:v>
      </x:c>
    </x:row>
    <x:row r="1526">
      <x:c r="A1526" s="10" t="n">
        <x:f>IF(Assumptions!$B$5+INT((ROW()-2)/Assumptions!$B$7)&gt;Assumptions!$B$6,"",Assumptions!$B$5+INT((ROW()-2)/Assumptions!$B$7))</x:f>
        <x:v>46327</x:v>
      </x:c>
      <x:c r="B1526" t="str">
        <x:f>IF($A1526="","",INDEX(Assumptions!$D$5:$D$12,MOD(ROW()-2,Assumptions!$B$7)+1))</x:f>
        <x:v>Yutani Ridge</x:v>
      </x:c>
      <x:c r="C1526" s="11" t="n">
        <x:f>IF($A1526="","",INDEX(Assumptions!$F$5:$F$12,MATCH($B1526,Assumptions!$D$5:$D$12,0)))</x:f>
        <x:v>1050</x:v>
      </x:c>
      <x:c r="D1526" s="11" t="n">
        <x:f>IF($A1526="","",INDEX(Assumptions!$G$5:$G$12,MATCH($B1526,Assumptions!$D$5:$D$12,0)))</x:f>
        <x:v>125</x:v>
      </x:c>
      <x:c r="E1526" s="11" t="n">
        <x:f>IF($A1526="","",INDEX(Assumptions!$M$5:$M$11,WEEKDAY($A1526,2)))</x:f>
        <x:v>0.87</x:v>
      </x:c>
      <x:c r="F1526" s="11" t="n">
        <x:f>IF($A1526="","",Assumptions!$B$15)</x:f>
        <x:v>0.35</x:v>
      </x:c>
      <x:c r="G1526" s="11" t="n">
        <x:f>IF($A1526="","",MAX(INDEX(Assumptions!$H$5:$H$12,MATCH($B1526,Assumptions!$D$5:$D$12,0)),MIN(INDEX(Assumptions!$I$5:$I$12,MATCH($B1526,Assumptions!$D$5:$D$12,0)),($C1526+$D1526*SQRT(-2*LN(RAND()))*COS(2*PI()*RAND()))*$E1526*$J1526*$K1526)))</x:f>
        <x:v>1006.1887154897147</x:v>
      </x:c>
      <x:c r="H1526" s="11" t="n">
        <x:f>IF($A1526="","",$G1526*$F1526+$C1526*(1-$F1526))</x:f>
        <x:v>1034.6660504214</x:v>
      </x:c>
      <x:c r="I1526" s="11" t="n">
        <x:f>IF($A1526="","",AVERAGE($H1526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1072.3438341037204</x:v>
      </x:c>
      <x:c r="J1526" s="12" t="n">
        <x:f>IF($A1526="","",1+SUMIFS(Assumptions!$S$5:$S$10,Assumptions!$P$5:$P$10,$B1526,Assumptions!$Q$5:$Q$10,"&lt;="&amp;$A1526,Assumptions!$R$5:$R$10,"&gt;="&amp;$A1526))</x:f>
        <x:v>1</x:v>
      </x:c>
      <x:c r="K1526" s="12" t="n">
        <x:f>IF($A1526="","",1+((($A1526-Assumptions!$B$5)/30)*INDEX(Assumptions!$J$5:$J$12,MATCH($B1526,Assumptions!$D$5:$D$12,0))))</x:f>
        <x:v>1.0253333333333334</x:v>
      </x:c>
      <x:c r="L1526" t="str">
        <x:f>IF($A1526="","",IFERROR(INDEX(Assumptions!$O$5:$O$10,MATCH(1,(Assumptions!$P$5:$P$10=$B1526)*(Assumptions!$Q$5:$Q$10&lt;=$A1526)*(Assumptions!$R$5:$R$10&gt;=$A1526),0)),""))</x:f>
      </x:c>
      <x:c r="M1526" t="n">
        <x:f>--($A1526&lt;&gt;"")</x:f>
        <x:v>1</x:v>
      </x:c>
    </x:row>
    <x:row r="1527">
      <x:c r="A1527" s="10" t="n">
        <x:f>IF(Assumptions!$B$5+INT((ROW()-2)/Assumptions!$B$7)&gt;Assumptions!$B$6,"",Assumptions!$B$5+INT((ROW()-2)/Assumptions!$B$7))</x:f>
        <x:v>46328</x:v>
      </x:c>
      <x:c r="B1527" t="str">
        <x:f>IF($A1527="","",INDEX(Assumptions!$D$5:$D$12,MOD(ROW()-2,Assumptions!$B$7)+1))</x:f>
        <x:v>Acheron Prime</x:v>
      </x:c>
      <x:c r="C1527" s="11" t="n">
        <x:f>IF($A1527="","",INDEX(Assumptions!$F$5:$F$12,MATCH($B1527,Assumptions!$D$5:$D$12,0)))</x:f>
        <x:v>1120</x:v>
      </x:c>
      <x:c r="D1527" s="11" t="n">
        <x:f>IF($A1527="","",INDEX(Assumptions!$G$5:$G$12,MATCH($B1527,Assumptions!$D$5:$D$12,0)))</x:f>
        <x:v>115</x:v>
      </x:c>
      <x:c r="E1527" s="11" t="n">
        <x:f>IF($A1527="","",INDEX(Assumptions!$M$5:$M$11,WEEKDAY($A1527,2)))</x:f>
        <x:v>1.03</x:v>
      </x:c>
      <x:c r="F1527" s="11" t="n">
        <x:f>IF($A1527="","",Assumptions!$B$15)</x:f>
        <x:v>0.35</x:v>
      </x:c>
      <x:c r="G1527" s="11" t="n">
        <x:f>IF($A1527="","",MAX(INDEX(Assumptions!$H$5:$H$12,MATCH($B1527,Assumptions!$D$5:$D$12,0)),MIN(INDEX(Assumptions!$I$5:$I$12,MATCH($B1527,Assumptions!$D$5:$D$12,0)),($C1527+$D1527*SQRT(-2*LN(RAND()))*COS(2*PI()*RAND()))*$E1527*$J1527*$K1527)))</x:f>
        <x:v>890.2697571459444</x:v>
      </x:c>
      <x:c r="H1527" s="11" t="n">
        <x:f>IF($A1527="","",$G1527*$F1527+$C1527*(1-$F1527))</x:f>
        <x:v>1039.5944150010805</x:v>
      </x:c>
      <x:c r="I1527" s="11" t="n">
        <x:f>IF($A1527="","",AVERAGE($H1527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1102.6270742757204</x:v>
      </x:c>
      <x:c r="J1527" s="12" t="n">
        <x:f>IF($A1527="","",1+SUMIFS(Assumptions!$S$5:$S$10,Assumptions!$P$5:$P$10,$B1527,Assumptions!$Q$5:$Q$10,"&lt;="&amp;$A1527,Assumptions!$R$5:$R$10,"&gt;="&amp;$A1527))</x:f>
        <x:v>1</x:v>
      </x:c>
      <x:c r="K1527" s="12" t="n">
        <x:f>IF($A1527="","",1+((($A1527-Assumptions!$B$5)/30)*INDEX(Assumptions!$J$5:$J$12,MATCH($B1527,Assumptions!$D$5:$D$12,0))))</x:f>
        <x:v>1.0203333333333333</x:v>
      </x:c>
      <x:c r="L1527" t="str">
        <x:f>IF($A1527="","",IFERROR(INDEX(Assumptions!$O$5:$O$10,MATCH(1,(Assumptions!$P$5:$P$10=$B1527)*(Assumptions!$Q$5:$Q$10&lt;=$A1527)*(Assumptions!$R$5:$R$10&gt;=$A1527),0)),""))</x:f>
      </x:c>
      <x:c r="M1527" t="n">
        <x:f>--($A1527&lt;&gt;"")</x:f>
        <x:v>1</x:v>
      </x:c>
    </x:row>
    <x:row r="1528">
      <x:c r="A1528" s="10" t="n">
        <x:f>IF(Assumptions!$B$5+INT((ROW()-2)/Assumptions!$B$7)&gt;Assumptions!$B$6,"",Assumptions!$B$5+INT((ROW()-2)/Assumptions!$B$7))</x:f>
        <x:v>46328</x:v>
      </x:c>
      <x:c r="B1528" t="str">
        <x:f>IF($A1528="","",INDEX(Assumptions!$D$5:$D$12,MOD(ROW()-2,Assumptions!$B$7)+1))</x:f>
        <x:v>LV-426 North</x:v>
      </x:c>
      <x:c r="C1528" s="11" t="n">
        <x:f>IF($A1528="","",INDEX(Assumptions!$F$5:$F$12,MATCH($B1528,Assumptions!$D$5:$D$12,0)))</x:f>
        <x:v>930</x:v>
      </x:c>
      <x:c r="D1528" s="11" t="n">
        <x:f>IF($A1528="","",INDEX(Assumptions!$G$5:$G$12,MATCH($B1528,Assumptions!$D$5:$D$12,0)))</x:f>
        <x:v>95</x:v>
      </x:c>
      <x:c r="E1528" s="11" t="n">
        <x:f>IF($A1528="","",INDEX(Assumptions!$M$5:$M$11,WEEKDAY($A1528,2)))</x:f>
        <x:v>1.03</x:v>
      </x:c>
      <x:c r="F1528" s="11" t="n">
        <x:f>IF($A1528="","",Assumptions!$B$15)</x:f>
        <x:v>0.35</x:v>
      </x:c>
      <x:c r="G1528" s="11" t="n">
        <x:f>IF($A1528="","",MAX(INDEX(Assumptions!$H$5:$H$12,MATCH($B1528,Assumptions!$D$5:$D$12,0)),MIN(INDEX(Assumptions!$I$5:$I$12,MATCH($B1528,Assumptions!$D$5:$D$12,0)),($C1528+$D1528*SQRT(-2*LN(RAND()))*COS(2*PI()*RAND()))*$E1528*$J1528*$K1528)))</x:f>
        <x:v>915.4215762692111</x:v>
      </x:c>
      <x:c r="H1528" s="11" t="n">
        <x:f>IF($A1528="","",$G1528*$F1528+$C1528*(1-$F1528))</x:f>
        <x:v>924.8975516942239</x:v>
      </x:c>
      <x:c r="I1528" s="11" t="n">
        <x:f>IF($A1528="","",AVERAGE($H1528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915.0456200673681</x:v>
      </x:c>
      <x:c r="J1528" s="12" t="n">
        <x:f>IF($A1528="","",1+SUMIFS(Assumptions!$S$5:$S$10,Assumptions!$P$5:$P$10,$B1528,Assumptions!$Q$5:$Q$10,"&lt;="&amp;$A1528,Assumptions!$R$5:$R$10,"&gt;="&amp;$A1528))</x:f>
        <x:v>1</x:v>
      </x:c>
      <x:c r="K1528" s="12" t="n">
        <x:f>IF($A1528="","",1+((($A1528-Assumptions!$B$5)/30)*INDEX(Assumptions!$J$5:$J$12,MATCH($B1528,Assumptions!$D$5:$D$12,0))))</x:f>
        <x:v>0.9898333333333333</x:v>
      </x:c>
      <x:c r="L1528" t="str">
        <x:f>IF($A1528="","",IFERROR(INDEX(Assumptions!$O$5:$O$10,MATCH(1,(Assumptions!$P$5:$P$10=$B1528)*(Assumptions!$Q$5:$Q$10&lt;=$A1528)*(Assumptions!$R$5:$R$10&gt;=$A1528),0)),""))</x:f>
      </x:c>
      <x:c r="M1528" t="n">
        <x:f>--($A1528&lt;&gt;"")</x:f>
        <x:v>1</x:v>
      </x:c>
    </x:row>
    <x:row r="1529">
      <x:c r="A1529" s="10" t="n">
        <x:f>IF(Assumptions!$B$5+INT((ROW()-2)/Assumptions!$B$7)&gt;Assumptions!$B$6,"",Assumptions!$B$5+INT((ROW()-2)/Assumptions!$B$7))</x:f>
        <x:v>46328</x:v>
      </x:c>
      <x:c r="B1529" t="str">
        <x:f>IF($A1529="","",INDEX(Assumptions!$D$5:$D$12,MOD(ROW()-2,Assumptions!$B$7)+1))</x:f>
        <x:v>Nostromo Deep</x:v>
      </x:c>
      <x:c r="C1529" s="11" t="n">
        <x:f>IF($A1529="","",INDEX(Assumptions!$F$5:$F$12,MATCH($B1529,Assumptions!$D$5:$D$12,0)))</x:f>
        <x:v>1260</x:v>
      </x:c>
      <x:c r="D1529" s="11" t="n">
        <x:f>IF($A1529="","",INDEX(Assumptions!$G$5:$G$12,MATCH($B1529,Assumptions!$D$5:$D$12,0)))</x:f>
        <x:v>145</x:v>
      </x:c>
      <x:c r="E1529" s="11" t="n">
        <x:f>IF($A1529="","",INDEX(Assumptions!$M$5:$M$11,WEEKDAY($A1529,2)))</x:f>
        <x:v>1.03</x:v>
      </x:c>
      <x:c r="F1529" s="11" t="n">
        <x:f>IF($A1529="","",Assumptions!$B$15)</x:f>
        <x:v>0.35</x:v>
      </x:c>
      <x:c r="G1529" s="11" t="n">
        <x:f>IF($A1529="","",MAX(INDEX(Assumptions!$H$5:$H$12,MATCH($B1529,Assumptions!$D$5:$D$12,0)),MIN(INDEX(Assumptions!$I$5:$I$12,MATCH($B1529,Assumptions!$D$5:$D$12,0)),($C1529+$D1529*SQRT(-2*LN(RAND()))*COS(2*PI()*RAND()))*$E1529*$J1529*$K1529)))</x:f>
        <x:v>1618.7011707505637</x:v>
      </x:c>
      <x:c r="H1529" s="11" t="n">
        <x:f>IF($A1529="","",$G1529*$F1529+$C1529*(1-$F1529))</x:f>
        <x:v>1385.5454097626973</x:v>
      </x:c>
      <x:c r="I1529" s="11" t="n">
        <x:f>IF($A1529="","",AVERAGE($H1529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1277.5125785081564</x:v>
      </x:c>
      <x:c r="J1529" s="12" t="n">
        <x:f>IF($A1529="","",1+SUMIFS(Assumptions!$S$5:$S$10,Assumptions!$P$5:$P$10,$B1529,Assumptions!$Q$5:$Q$10,"&lt;="&amp;$A1529,Assumptions!$R$5:$R$10,"&gt;="&amp;$A1529))</x:f>
        <x:v>1</x:v>
      </x:c>
      <x:c r="K1529" s="12" t="n">
        <x:f>IF($A1529="","",1+((($A1529-Assumptions!$B$5)/30)*INDEX(Assumptions!$J$5:$J$12,MATCH($B1529,Assumptions!$D$5:$D$12,0))))</x:f>
        <x:v>1.0305</x:v>
      </x:c>
      <x:c r="L1529" t="str">
        <x:f>IF($A1529="","",IFERROR(INDEX(Assumptions!$O$5:$O$10,MATCH(1,(Assumptions!$P$5:$P$10=$B1529)*(Assumptions!$Q$5:$Q$10&lt;=$A1529)*(Assumptions!$R$5:$R$10&gt;=$A1529),0)),""))</x:f>
      </x:c>
      <x:c r="M1529" t="n">
        <x:f>--($A1529&lt;&gt;"")</x:f>
        <x:v>1</x:v>
      </x:c>
    </x:row>
    <x:row r="1530">
      <x:c r="A1530" s="10" t="n">
        <x:f>IF(Assumptions!$B$5+INT((ROW()-2)/Assumptions!$B$7)&gt;Assumptions!$B$6,"",Assumptions!$B$5+INT((ROW()-2)/Assumptions!$B$7))</x:f>
        <x:v>46328</x:v>
      </x:c>
      <x:c r="B1530" t="str">
        <x:f>IF($A1530="","",INDEX(Assumptions!$D$5:$D$12,MOD(ROW()-2,Assumptions!$B$7)+1))</x:f>
        <x:v>Hadley's Hope</x:v>
      </x:c>
      <x:c r="C1530" s="11" t="n">
        <x:f>IF($A1530="","",INDEX(Assumptions!$F$5:$F$12,MATCH($B1530,Assumptions!$D$5:$D$12,0)))</x:f>
        <x:v>845</x:v>
      </x:c>
      <x:c r="D1530" s="11" t="n">
        <x:f>IF($A1530="","",INDEX(Assumptions!$G$5:$G$12,MATCH($B1530,Assumptions!$D$5:$D$12,0)))</x:f>
        <x:v>80</x:v>
      </x:c>
      <x:c r="E1530" s="11" t="n">
        <x:f>IF($A1530="","",INDEX(Assumptions!$M$5:$M$11,WEEKDAY($A1530,2)))</x:f>
        <x:v>1.03</x:v>
      </x:c>
      <x:c r="F1530" s="11" t="n">
        <x:f>IF($A1530="","",Assumptions!$B$15)</x:f>
        <x:v>0.35</x:v>
      </x:c>
      <x:c r="G1530" s="11" t="n">
        <x:f>IF($A1530="","",MAX(INDEX(Assumptions!$H$5:$H$12,MATCH($B1530,Assumptions!$D$5:$D$12,0)),MIN(INDEX(Assumptions!$I$5:$I$12,MATCH($B1530,Assumptions!$D$5:$D$12,0)),($C1530+$D1530*SQRT(-2*LN(RAND()))*COS(2*PI()*RAND()))*$E1530*$J1530*$K1530)))</x:f>
        <x:v>761.2412236213563</x:v>
      </x:c>
      <x:c r="H1530" s="11" t="n">
        <x:f>IF($A1530="","",$G1530*$F1530+$C1530*(1-$F1530))</x:f>
        <x:v>815.6844282674747</x:v>
      </x:c>
      <x:c r="I1530" s="11" t="n">
        <x:f>IF($A1530="","",AVERAGE($H1530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833.5400193717959</x:v>
      </x:c>
      <x:c r="J1530" s="12" t="n">
        <x:f>IF($A1530="","",1+SUMIFS(Assumptions!$S$5:$S$10,Assumptions!$P$5:$P$10,$B1530,Assumptions!$Q$5:$Q$10,"&lt;="&amp;$A1530,Assumptions!$R$5:$R$10,"&gt;="&amp;$A1530))</x:f>
        <x:v>1</x:v>
      </x:c>
      <x:c r="K1530" s="12" t="n">
        <x:f>IF($A1530="","",1+((($A1530-Assumptions!$B$5)/30)*INDEX(Assumptions!$J$5:$J$12,MATCH($B1530,Assumptions!$D$5:$D$12,0))))</x:f>
        <x:v>1.0101666666666667</x:v>
      </x:c>
      <x:c r="L1530" t="str">
        <x:f>IF($A1530="","",IFERROR(INDEX(Assumptions!$O$5:$O$10,MATCH(1,(Assumptions!$P$5:$P$10=$B1530)*(Assumptions!$Q$5:$Q$10&lt;=$A1530)*(Assumptions!$R$5:$R$10&gt;=$A1530),0)),""))</x:f>
      </x:c>
      <x:c r="M1530" t="n">
        <x:f>--($A1530&lt;&gt;"")</x:f>
        <x:v>1</x:v>
      </x:c>
    </x:row>
    <x:row r="1531">
      <x:c r="A1531" s="10" t="n">
        <x:f>IF(Assumptions!$B$5+INT((ROW()-2)/Assumptions!$B$7)&gt;Assumptions!$B$6,"",Assumptions!$B$5+INT((ROW()-2)/Assumptions!$B$7))</x:f>
        <x:v>46328</x:v>
      </x:c>
      <x:c r="B1531" t="str">
        <x:f>IF($A1531="","",INDEX(Assumptions!$D$5:$D$12,MOD(ROW()-2,Assumptions!$B$7)+1))</x:f>
        <x:v>Yutani Ridge</x:v>
      </x:c>
      <x:c r="C1531" s="11" t="n">
        <x:f>IF($A1531="","",INDEX(Assumptions!$F$5:$F$12,MATCH($B1531,Assumptions!$D$5:$D$12,0)))</x:f>
        <x:v>1050</x:v>
      </x:c>
      <x:c r="D1531" s="11" t="n">
        <x:f>IF($A1531="","",INDEX(Assumptions!$G$5:$G$12,MATCH($B1531,Assumptions!$D$5:$D$12,0)))</x:f>
        <x:v>125</x:v>
      </x:c>
      <x:c r="E1531" s="11" t="n">
        <x:f>IF($A1531="","",INDEX(Assumptions!$M$5:$M$11,WEEKDAY($A1531,2)))</x:f>
        <x:v>1.03</x:v>
      </x:c>
      <x:c r="F1531" s="11" t="n">
        <x:f>IF($A1531="","",Assumptions!$B$15)</x:f>
        <x:v>0.35</x:v>
      </x:c>
      <x:c r="G1531" s="11" t="n">
        <x:f>IF($A1531="","",MAX(INDEX(Assumptions!$H$5:$H$12,MATCH($B1531,Assumptions!$D$5:$D$12,0)),MIN(INDEX(Assumptions!$I$5:$I$12,MATCH($B1531,Assumptions!$D$5:$D$12,0)),($C1531+$D1531*SQRT(-2*LN(RAND()))*COS(2*PI()*RAND()))*$E1531*$J1531*$K1531)))</x:f>
        <x:v>1009.0921543112223</x:v>
      </x:c>
      <x:c r="H1531" s="11" t="n">
        <x:f>IF($A1531="","",$G1531*$F1531+$C1531*(1-$F1531))</x:f>
        <x:v>1035.6822540089279</x:v>
      </x:c>
      <x:c r="I1531" s="11" t="n">
        <x:f>IF($A1531="","",AVERAGE($H1531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1070.4091107060208</x:v>
      </x:c>
      <x:c r="J1531" s="12" t="n">
        <x:f>IF($A1531="","",1+SUMIFS(Assumptions!$S$5:$S$10,Assumptions!$P$5:$P$10,$B1531,Assumptions!$Q$5:$Q$10,"&lt;="&amp;$A1531,Assumptions!$R$5:$R$10,"&gt;="&amp;$A1531))</x:f>
        <x:v>1</x:v>
      </x:c>
      <x:c r="K1531" s="12" t="n">
        <x:f>IF($A1531="","",1+((($A1531-Assumptions!$B$5)/30)*INDEX(Assumptions!$J$5:$J$12,MATCH($B1531,Assumptions!$D$5:$D$12,0))))</x:f>
        <x:v>1.0254166666666666</x:v>
      </x:c>
      <x:c r="L1531" t="str">
        <x:f>IF($A1531="","",IFERROR(INDEX(Assumptions!$O$5:$O$10,MATCH(1,(Assumptions!$P$5:$P$10=$B1531)*(Assumptions!$Q$5:$Q$10&lt;=$A1531)*(Assumptions!$R$5:$R$10&gt;=$A1531),0)),""))</x:f>
      </x:c>
      <x:c r="M1531" t="n">
        <x:f>--($A1531&lt;&gt;"")</x:f>
        <x:v>1</x:v>
      </x:c>
    </x:row>
    <x:row r="1532">
      <x:c r="A1532" s="10" t="n">
        <x:f>IF(Assumptions!$B$5+INT((ROW()-2)/Assumptions!$B$7)&gt;Assumptions!$B$6,"",Assumptions!$B$5+INT((ROW()-2)/Assumptions!$B$7))</x:f>
        <x:v>46329</x:v>
      </x:c>
      <x:c r="B1532" t="str">
        <x:f>IF($A1532="","",INDEX(Assumptions!$D$5:$D$12,MOD(ROW()-2,Assumptions!$B$7)+1))</x:f>
        <x:v>Acheron Prime</x:v>
      </x:c>
      <x:c r="C1532" s="11" t="n">
        <x:f>IF($A1532="","",INDEX(Assumptions!$F$5:$F$12,MATCH($B1532,Assumptions!$D$5:$D$12,0)))</x:f>
        <x:v>1120</x:v>
      </x:c>
      <x:c r="D1532" s="11" t="n">
        <x:f>IF($A1532="","",INDEX(Assumptions!$G$5:$G$12,MATCH($B1532,Assumptions!$D$5:$D$12,0)))</x:f>
        <x:v>115</x:v>
      </x:c>
      <x:c r="E1532" s="11" t="n">
        <x:f>IF($A1532="","",INDEX(Assumptions!$M$5:$M$11,WEEKDAY($A1532,2)))</x:f>
        <x:v>1.02</x:v>
      </x:c>
      <x:c r="F1532" s="11" t="n">
        <x:f>IF($A1532="","",Assumptions!$B$15)</x:f>
        <x:v>0.35</x:v>
      </x:c>
      <x:c r="G1532" s="11" t="n">
        <x:f>IF($A1532="","",MAX(INDEX(Assumptions!$H$5:$H$12,MATCH($B1532,Assumptions!$D$5:$D$12,0)),MIN(INDEX(Assumptions!$I$5:$I$12,MATCH($B1532,Assumptions!$D$5:$D$12,0)),($C1532+$D1532*SQRT(-2*LN(RAND()))*COS(2*PI()*RAND()))*$E1532*$J1532*$K1532)))</x:f>
        <x:v>1095.7305421621122</x:v>
      </x:c>
      <x:c r="H1532" s="11" t="n">
        <x:f>IF($A1532="","",$G1532*$F1532+$C1532*(1-$F1532))</x:f>
        <x:v>1111.5056897567392</x:v>
      </x:c>
      <x:c r="I1532" s="11" t="n">
        <x:f>IF($A1532="","",AVERAGE($H1532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1101.7251049372696</x:v>
      </x:c>
      <x:c r="J1532" s="12" t="n">
        <x:f>IF($A1532="","",1+SUMIFS(Assumptions!$S$5:$S$10,Assumptions!$P$5:$P$10,$B1532,Assumptions!$Q$5:$Q$10,"&lt;="&amp;$A1532,Assumptions!$R$5:$R$10,"&gt;="&amp;$A1532))</x:f>
        <x:v>1</x:v>
      </x:c>
      <x:c r="K1532" s="12" t="n">
        <x:f>IF($A1532="","",1+((($A1532-Assumptions!$B$5)/30)*INDEX(Assumptions!$J$5:$J$12,MATCH($B1532,Assumptions!$D$5:$D$12,0))))</x:f>
        <x:v>1.0204</x:v>
      </x:c>
      <x:c r="L1532" t="str">
        <x:f>IF($A1532="","",IFERROR(INDEX(Assumptions!$O$5:$O$10,MATCH(1,(Assumptions!$P$5:$P$10=$B1532)*(Assumptions!$Q$5:$Q$10&lt;=$A1532)*(Assumptions!$R$5:$R$10&gt;=$A1532),0)),""))</x:f>
      </x:c>
      <x:c r="M1532" t="n">
        <x:f>--($A1532&lt;&gt;"")</x:f>
        <x:v>1</x:v>
      </x:c>
    </x:row>
    <x:row r="1533">
      <x:c r="A1533" s="10" t="n">
        <x:f>IF(Assumptions!$B$5+INT((ROW()-2)/Assumptions!$B$7)&gt;Assumptions!$B$6,"",Assumptions!$B$5+INT((ROW()-2)/Assumptions!$B$7))</x:f>
        <x:v>46329</x:v>
      </x:c>
      <x:c r="B1533" t="str">
        <x:f>IF($A1533="","",INDEX(Assumptions!$D$5:$D$12,MOD(ROW()-2,Assumptions!$B$7)+1))</x:f>
        <x:v>LV-426 North</x:v>
      </x:c>
      <x:c r="C1533" s="11" t="n">
        <x:f>IF($A1533="","",INDEX(Assumptions!$F$5:$F$12,MATCH($B1533,Assumptions!$D$5:$D$12,0)))</x:f>
        <x:v>930</x:v>
      </x:c>
      <x:c r="D1533" s="11" t="n">
        <x:f>IF($A1533="","",INDEX(Assumptions!$G$5:$G$12,MATCH($B1533,Assumptions!$D$5:$D$12,0)))</x:f>
        <x:v>95</x:v>
      </x:c>
      <x:c r="E1533" s="11" t="n">
        <x:f>IF($A1533="","",INDEX(Assumptions!$M$5:$M$11,WEEKDAY($A1533,2)))</x:f>
        <x:v>1.02</x:v>
      </x:c>
      <x:c r="F1533" s="11" t="n">
        <x:f>IF($A1533="","",Assumptions!$B$15)</x:f>
        <x:v>0.35</x:v>
      </x:c>
      <x:c r="G1533" s="11" t="n">
        <x:f>IF($A1533="","",MAX(INDEX(Assumptions!$H$5:$H$12,MATCH($B1533,Assumptions!$D$5:$D$12,0)),MIN(INDEX(Assumptions!$I$5:$I$12,MATCH($B1533,Assumptions!$D$5:$D$12,0)),($C1533+$D1533*SQRT(-2*LN(RAND()))*COS(2*PI()*RAND()))*$E1533*$J1533*$K1533)))</x:f>
        <x:v>1130.413024937393</x:v>
      </x:c>
      <x:c r="H1533" s="11" t="n">
        <x:f>IF($A1533="","",$G1533*$F1533+$C1533*(1-$F1533))</x:f>
        <x:v>1000.1445587280875</x:v>
      </x:c>
      <x:c r="I1533" s="11" t="n">
        <x:f>IF($A1533="","",AVERAGE($H1533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938.5356955127316</x:v>
      </x:c>
      <x:c r="J1533" s="12" t="n">
        <x:f>IF($A1533="","",1+SUMIFS(Assumptions!$S$5:$S$10,Assumptions!$P$5:$P$10,$B1533,Assumptions!$Q$5:$Q$10,"&lt;="&amp;$A1533,Assumptions!$R$5:$R$10,"&gt;="&amp;$A1533))</x:f>
        <x:v>1</x:v>
      </x:c>
      <x:c r="K1533" s="12" t="n">
        <x:f>IF($A1533="","",1+((($A1533-Assumptions!$B$5)/30)*INDEX(Assumptions!$J$5:$J$12,MATCH($B1533,Assumptions!$D$5:$D$12,0))))</x:f>
        <x:v>0.9898</x:v>
      </x:c>
      <x:c r="L1533" t="str">
        <x:f>IF($A1533="","",IFERROR(INDEX(Assumptions!$O$5:$O$10,MATCH(1,(Assumptions!$P$5:$P$10=$B1533)*(Assumptions!$Q$5:$Q$10&lt;=$A1533)*(Assumptions!$R$5:$R$10&gt;=$A1533),0)),""))</x:f>
      </x:c>
      <x:c r="M1533" t="n">
        <x:f>--($A1533&lt;&gt;"")</x:f>
        <x:v>1</x:v>
      </x:c>
    </x:row>
    <x:row r="1534">
      <x:c r="A1534" s="10" t="n">
        <x:f>IF(Assumptions!$B$5+INT((ROW()-2)/Assumptions!$B$7)&gt;Assumptions!$B$6,"",Assumptions!$B$5+INT((ROW()-2)/Assumptions!$B$7))</x:f>
        <x:v>46329</x:v>
      </x:c>
      <x:c r="B1534" t="str">
        <x:f>IF($A1534="","",INDEX(Assumptions!$D$5:$D$12,MOD(ROW()-2,Assumptions!$B$7)+1))</x:f>
        <x:v>Nostromo Deep</x:v>
      </x:c>
      <x:c r="C1534" s="11" t="n">
        <x:f>IF($A1534="","",INDEX(Assumptions!$F$5:$F$12,MATCH($B1534,Assumptions!$D$5:$D$12,0)))</x:f>
        <x:v>1260</x:v>
      </x:c>
      <x:c r="D1534" s="11" t="n">
        <x:f>IF($A1534="","",INDEX(Assumptions!$G$5:$G$12,MATCH($B1534,Assumptions!$D$5:$D$12,0)))</x:f>
        <x:v>145</x:v>
      </x:c>
      <x:c r="E1534" s="11" t="n">
        <x:f>IF($A1534="","",INDEX(Assumptions!$M$5:$M$11,WEEKDAY($A1534,2)))</x:f>
        <x:v>1.02</x:v>
      </x:c>
      <x:c r="F1534" s="11" t="n">
        <x:f>IF($A1534="","",Assumptions!$B$15)</x:f>
        <x:v>0.35</x:v>
      </x:c>
      <x:c r="G1534" s="11" t="n">
        <x:f>IF($A1534="","",MAX(INDEX(Assumptions!$H$5:$H$12,MATCH($B1534,Assumptions!$D$5:$D$12,0)),MIN(INDEX(Assumptions!$I$5:$I$12,MATCH($B1534,Assumptions!$D$5:$D$12,0)),($C1534+$D1534*SQRT(-2*LN(RAND()))*COS(2*PI()*RAND()))*$E1534*$J1534*$K1534)))</x:f>
        <x:v>1403.495746426387</x:v>
      </x:c>
      <x:c r="H1534" s="11" t="n">
        <x:f>IF($A1534="","",$G1534*$F1534+$C1534*(1-$F1534))</x:f>
        <x:v>1310.2235112492353</x:v>
      </x:c>
      <x:c r="I1534" s="11" t="n">
        <x:f>IF($A1534="","",AVERAGE($H1534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1284.389486274619</x:v>
      </x:c>
      <x:c r="J1534" s="12" t="n">
        <x:f>IF($A1534="","",1+SUMIFS(Assumptions!$S$5:$S$10,Assumptions!$P$5:$P$10,$B1534,Assumptions!$Q$5:$Q$10,"&lt;="&amp;$A1534,Assumptions!$R$5:$R$10,"&gt;="&amp;$A1534))</x:f>
        <x:v>1</x:v>
      </x:c>
      <x:c r="K1534" s="12" t="n">
        <x:f>IF($A1534="","",1+((($A1534-Assumptions!$B$5)/30)*INDEX(Assumptions!$J$5:$J$12,MATCH($B1534,Assumptions!$D$5:$D$12,0))))</x:f>
        <x:v>1.0306</x:v>
      </x:c>
      <x:c r="L1534" t="str">
        <x:f>IF($A1534="","",IFERROR(INDEX(Assumptions!$O$5:$O$10,MATCH(1,(Assumptions!$P$5:$P$10=$B1534)*(Assumptions!$Q$5:$Q$10&lt;=$A1534)*(Assumptions!$R$5:$R$10&gt;=$A1534),0)),""))</x:f>
      </x:c>
      <x:c r="M1534" t="n">
        <x:f>--($A1534&lt;&gt;"")</x:f>
        <x:v>1</x:v>
      </x:c>
    </x:row>
    <x:row r="1535">
      <x:c r="A1535" s="10" t="n">
        <x:f>IF(Assumptions!$B$5+INT((ROW()-2)/Assumptions!$B$7)&gt;Assumptions!$B$6,"",Assumptions!$B$5+INT((ROW()-2)/Assumptions!$B$7))</x:f>
        <x:v>46329</x:v>
      </x:c>
      <x:c r="B1535" t="str">
        <x:f>IF($A1535="","",INDEX(Assumptions!$D$5:$D$12,MOD(ROW()-2,Assumptions!$B$7)+1))</x:f>
        <x:v>Hadley's Hope</x:v>
      </x:c>
      <x:c r="C1535" s="11" t="n">
        <x:f>IF($A1535="","",INDEX(Assumptions!$F$5:$F$12,MATCH($B1535,Assumptions!$D$5:$D$12,0)))</x:f>
        <x:v>845</x:v>
      </x:c>
      <x:c r="D1535" s="11" t="n">
        <x:f>IF($A1535="","",INDEX(Assumptions!$G$5:$G$12,MATCH($B1535,Assumptions!$D$5:$D$12,0)))</x:f>
        <x:v>80</x:v>
      </x:c>
      <x:c r="E1535" s="11" t="n">
        <x:f>IF($A1535="","",INDEX(Assumptions!$M$5:$M$11,WEEKDAY($A1535,2)))</x:f>
        <x:v>1.02</x:v>
      </x:c>
      <x:c r="F1535" s="11" t="n">
        <x:f>IF($A1535="","",Assumptions!$B$15)</x:f>
        <x:v>0.35</x:v>
      </x:c>
      <x:c r="G1535" s="11" t="n">
        <x:f>IF($A1535="","",MAX(INDEX(Assumptions!$H$5:$H$12,MATCH($B1535,Assumptions!$D$5:$D$12,0)),MIN(INDEX(Assumptions!$I$5:$I$12,MATCH($B1535,Assumptions!$D$5:$D$12,0)),($C1535+$D1535*SQRT(-2*LN(RAND()))*COS(2*PI()*RAND()))*$E1535*$J1535*$K1535)))</x:f>
        <x:v>824.8163998482073</x:v>
      </x:c>
      <x:c r="H1535" s="11" t="n">
        <x:f>IF($A1535="","",$G1535*$F1535+$C1535*(1-$F1535))</x:f>
        <x:v>837.9357399468726</x:v>
      </x:c>
      <x:c r="I1535" s="11" t="n">
        <x:f>IF($A1535="","",AVERAGE($H1535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835.5111601069873</x:v>
      </x:c>
      <x:c r="J1535" s="12" t="n">
        <x:f>IF($A1535="","",1+SUMIFS(Assumptions!$S$5:$S$10,Assumptions!$P$5:$P$10,$B1535,Assumptions!$Q$5:$Q$10,"&lt;="&amp;$A1535,Assumptions!$R$5:$R$10,"&gt;="&amp;$A1535))</x:f>
        <x:v>1</x:v>
      </x:c>
      <x:c r="K1535" s="12" t="n">
        <x:f>IF($A1535="","",1+((($A1535-Assumptions!$B$5)/30)*INDEX(Assumptions!$J$5:$J$12,MATCH($B1535,Assumptions!$D$5:$D$12,0))))</x:f>
        <x:v>1.0102</x:v>
      </x:c>
      <x:c r="L1535" t="str">
        <x:f>IF($A1535="","",IFERROR(INDEX(Assumptions!$O$5:$O$10,MATCH(1,(Assumptions!$P$5:$P$10=$B1535)*(Assumptions!$Q$5:$Q$10&lt;=$A1535)*(Assumptions!$R$5:$R$10&gt;=$A1535),0)),""))</x:f>
      </x:c>
      <x:c r="M1535" t="n">
        <x:f>--($A1535&lt;&gt;"")</x:f>
        <x:v>1</x:v>
      </x:c>
    </x:row>
    <x:row r="1536">
      <x:c r="A1536" s="10" t="n">
        <x:f>IF(Assumptions!$B$5+INT((ROW()-2)/Assumptions!$B$7)&gt;Assumptions!$B$6,"",Assumptions!$B$5+INT((ROW()-2)/Assumptions!$B$7))</x:f>
        <x:v>46329</x:v>
      </x:c>
      <x:c r="B1536" t="str">
        <x:f>IF($A1536="","",INDEX(Assumptions!$D$5:$D$12,MOD(ROW()-2,Assumptions!$B$7)+1))</x:f>
        <x:v>Yutani Ridge</x:v>
      </x:c>
      <x:c r="C1536" s="11" t="n">
        <x:f>IF($A1536="","",INDEX(Assumptions!$F$5:$F$12,MATCH($B1536,Assumptions!$D$5:$D$12,0)))</x:f>
        <x:v>1050</x:v>
      </x:c>
      <x:c r="D1536" s="11" t="n">
        <x:f>IF($A1536="","",INDEX(Assumptions!$G$5:$G$12,MATCH($B1536,Assumptions!$D$5:$D$12,0)))</x:f>
        <x:v>125</x:v>
      </x:c>
      <x:c r="E1536" s="11" t="n">
        <x:f>IF($A1536="","",INDEX(Assumptions!$M$5:$M$11,WEEKDAY($A1536,2)))</x:f>
        <x:v>1.02</x:v>
      </x:c>
      <x:c r="F1536" s="11" t="n">
        <x:f>IF($A1536="","",Assumptions!$B$15)</x:f>
        <x:v>0.35</x:v>
      </x:c>
      <x:c r="G1536" s="11" t="n">
        <x:f>IF($A1536="","",MAX(INDEX(Assumptions!$H$5:$H$12,MATCH($B1536,Assumptions!$D$5:$D$12,0)),MIN(INDEX(Assumptions!$I$5:$I$12,MATCH($B1536,Assumptions!$D$5:$D$12,0)),($C1536+$D1536*SQRT(-2*LN(RAND()))*COS(2*PI()*RAND()))*$E1536*$J1536*$K1536)))</x:f>
        <x:v>1022.5823073390758</x:v>
      </x:c>
      <x:c r="H1536" s="11" t="n">
        <x:f>IF($A1536="","",$G1536*$F1536+$C1536*(1-$F1536))</x:f>
        <x:v>1040.4038075686765</x:v>
      </x:c>
      <x:c r="I1536" s="11" t="n">
        <x:f>IF($A1536="","",AVERAGE($H1536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1063.8519718180553</x:v>
      </x:c>
      <x:c r="J1536" s="12" t="n">
        <x:f>IF($A1536="","",1+SUMIFS(Assumptions!$S$5:$S$10,Assumptions!$P$5:$P$10,$B1536,Assumptions!$Q$5:$Q$10,"&lt;="&amp;$A1536,Assumptions!$R$5:$R$10,"&gt;="&amp;$A1536))</x:f>
        <x:v>1</x:v>
      </x:c>
      <x:c r="K1536" s="12" t="n">
        <x:f>IF($A1536="","",1+((($A1536-Assumptions!$B$5)/30)*INDEX(Assumptions!$J$5:$J$12,MATCH($B1536,Assumptions!$D$5:$D$12,0))))</x:f>
        <x:v>1.0255</x:v>
      </x:c>
      <x:c r="L1536" t="str">
        <x:f>IF($A1536="","",IFERROR(INDEX(Assumptions!$O$5:$O$10,MATCH(1,(Assumptions!$P$5:$P$10=$B1536)*(Assumptions!$Q$5:$Q$10&lt;=$A1536)*(Assumptions!$R$5:$R$10&gt;=$A1536),0)),""))</x:f>
      </x:c>
      <x:c r="M1536" t="n">
        <x:f>--($A1536&lt;&gt;"")</x:f>
        <x:v>1</x:v>
      </x:c>
    </x:row>
    <x:row r="1537">
      <x:c r="A1537" s="10" t="n">
        <x:f>IF(Assumptions!$B$5+INT((ROW()-2)/Assumptions!$B$7)&gt;Assumptions!$B$6,"",Assumptions!$B$5+INT((ROW()-2)/Assumptions!$B$7))</x:f>
        <x:v>46330</x:v>
      </x:c>
      <x:c r="B1537" t="str">
        <x:f>IF($A1537="","",INDEX(Assumptions!$D$5:$D$12,MOD(ROW()-2,Assumptions!$B$7)+1))</x:f>
        <x:v>Acheron Prime</x:v>
      </x:c>
      <x:c r="C1537" s="11" t="n">
        <x:f>IF($A1537="","",INDEX(Assumptions!$F$5:$F$12,MATCH($B1537,Assumptions!$D$5:$D$12,0)))</x:f>
        <x:v>1120</x:v>
      </x:c>
      <x:c r="D1537" s="11" t="n">
        <x:f>IF($A1537="","",INDEX(Assumptions!$G$5:$G$12,MATCH($B1537,Assumptions!$D$5:$D$12,0)))</x:f>
        <x:v>115</x:v>
      </x:c>
      <x:c r="E1537" s="11" t="n">
        <x:f>IF($A1537="","",INDEX(Assumptions!$M$5:$M$11,WEEKDAY($A1537,2)))</x:f>
        <x:v>1.01</x:v>
      </x:c>
      <x:c r="F1537" s="11" t="n">
        <x:f>IF($A1537="","",Assumptions!$B$15)</x:f>
        <x:v>0.35</x:v>
      </x:c>
      <x:c r="G1537" s="11" t="n">
        <x:f>IF($A1537="","",MAX(INDEX(Assumptions!$H$5:$H$12,MATCH($B1537,Assumptions!$D$5:$D$12,0)),MIN(INDEX(Assumptions!$I$5:$I$12,MATCH($B1537,Assumptions!$D$5:$D$12,0)),($C1537+$D1537*SQRT(-2*LN(RAND()))*COS(2*PI()*RAND()))*$E1537*$J1537*$K1537)))</x:f>
        <x:v>1182.2150778218509</x:v>
      </x:c>
      <x:c r="H1537" s="11" t="n">
        <x:f>IF($A1537="","",$G1537*$F1537+$C1537*(1-$F1537))</x:f>
        <x:v>1141.7752772376477</x:v>
      </x:c>
      <x:c r="I1537" s="11" t="n">
        <x:f>IF($A1537="","",AVERAGE($H1537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1097.7482309200393</x:v>
      </x:c>
      <x:c r="J1537" s="12" t="n">
        <x:f>IF($A1537="","",1+SUMIFS(Assumptions!$S$5:$S$10,Assumptions!$P$5:$P$10,$B1537,Assumptions!$Q$5:$Q$10,"&lt;="&amp;$A1537,Assumptions!$R$5:$R$10,"&gt;="&amp;$A1537))</x:f>
        <x:v>1</x:v>
      </x:c>
      <x:c r="K1537" s="12" t="n">
        <x:f>IF($A1537="","",1+((($A1537-Assumptions!$B$5)/30)*INDEX(Assumptions!$J$5:$J$12,MATCH($B1537,Assumptions!$D$5:$D$12,0))))</x:f>
        <x:v>1.0204666666666666</x:v>
      </x:c>
      <x:c r="L1537" t="str">
        <x:f>IF($A1537="","",IFERROR(INDEX(Assumptions!$O$5:$O$10,MATCH(1,(Assumptions!$P$5:$P$10=$B1537)*(Assumptions!$Q$5:$Q$10&lt;=$A1537)*(Assumptions!$R$5:$R$10&gt;=$A1537),0)),""))</x:f>
      </x:c>
      <x:c r="M1537" t="n">
        <x:f>--($A1537&lt;&gt;"")</x:f>
        <x:v>1</x:v>
      </x:c>
    </x:row>
    <x:row r="1538">
      <x:c r="A1538" s="10" t="n">
        <x:f>IF(Assumptions!$B$5+INT((ROW()-2)/Assumptions!$B$7)&gt;Assumptions!$B$6,"",Assumptions!$B$5+INT((ROW()-2)/Assumptions!$B$7))</x:f>
        <x:v>46330</x:v>
      </x:c>
      <x:c r="B1538" t="str">
        <x:f>IF($A1538="","",INDEX(Assumptions!$D$5:$D$12,MOD(ROW()-2,Assumptions!$B$7)+1))</x:f>
        <x:v>LV-426 North</x:v>
      </x:c>
      <x:c r="C1538" s="11" t="n">
        <x:f>IF($A1538="","",INDEX(Assumptions!$F$5:$F$12,MATCH($B1538,Assumptions!$D$5:$D$12,0)))</x:f>
        <x:v>930</x:v>
      </x:c>
      <x:c r="D1538" s="11" t="n">
        <x:f>IF($A1538="","",INDEX(Assumptions!$G$5:$G$12,MATCH($B1538,Assumptions!$D$5:$D$12,0)))</x:f>
        <x:v>95</x:v>
      </x:c>
      <x:c r="E1538" s="11" t="n">
        <x:f>IF($A1538="","",INDEX(Assumptions!$M$5:$M$11,WEEKDAY($A1538,2)))</x:f>
        <x:v>1.01</x:v>
      </x:c>
      <x:c r="F1538" s="11" t="n">
        <x:f>IF($A1538="","",Assumptions!$B$15)</x:f>
        <x:v>0.35</x:v>
      </x:c>
      <x:c r="G1538" s="11" t="n">
        <x:f>IF($A1538="","",MAX(INDEX(Assumptions!$H$5:$H$12,MATCH($B1538,Assumptions!$D$5:$D$12,0)),MIN(INDEX(Assumptions!$I$5:$I$12,MATCH($B1538,Assumptions!$D$5:$D$12,0)),($C1538+$D1538*SQRT(-2*LN(RAND()))*COS(2*PI()*RAND()))*$E1538*$J1538*$K1538)))</x:f>
        <x:v>1066.756737214731</x:v>
      </x:c>
      <x:c r="H1538" s="11" t="n">
        <x:f>IF($A1538="","",$G1538*$F1538+$C1538*(1-$F1538))</x:f>
        <x:v>977.8648580251559</x:v>
      </x:c>
      <x:c r="I1538" s="11" t="n">
        <x:f>IF($A1538="","",AVERAGE($H1538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944.3265780633881</x:v>
      </x:c>
      <x:c r="J1538" s="12" t="n">
        <x:f>IF($A1538="","",1+SUMIFS(Assumptions!$S$5:$S$10,Assumptions!$P$5:$P$10,$B1538,Assumptions!$Q$5:$Q$10,"&lt;="&amp;$A1538,Assumptions!$R$5:$R$10,"&gt;="&amp;$A1538))</x:f>
        <x:v>1</x:v>
      </x:c>
      <x:c r="K1538" s="12" t="n">
        <x:f>IF($A1538="","",1+((($A1538-Assumptions!$B$5)/30)*INDEX(Assumptions!$J$5:$J$12,MATCH($B1538,Assumptions!$D$5:$D$12,0))))</x:f>
        <x:v>0.9897666666666667</x:v>
      </x:c>
      <x:c r="L1538" t="str">
        <x:f>IF($A1538="","",IFERROR(INDEX(Assumptions!$O$5:$O$10,MATCH(1,(Assumptions!$P$5:$P$10=$B1538)*(Assumptions!$Q$5:$Q$10&lt;=$A1538)*(Assumptions!$R$5:$R$10&gt;=$A1538),0)),""))</x:f>
      </x:c>
      <x:c r="M1538" t="n">
        <x:f>--($A1538&lt;&gt;"")</x:f>
        <x:v>1</x:v>
      </x:c>
    </x:row>
    <x:row r="1539">
      <x:c r="A1539" s="10" t="n">
        <x:f>IF(Assumptions!$B$5+INT((ROW()-2)/Assumptions!$B$7)&gt;Assumptions!$B$6,"",Assumptions!$B$5+INT((ROW()-2)/Assumptions!$B$7))</x:f>
        <x:v>46330</x:v>
      </x:c>
      <x:c r="B1539" t="str">
        <x:f>IF($A1539="","",INDEX(Assumptions!$D$5:$D$12,MOD(ROW()-2,Assumptions!$B$7)+1))</x:f>
        <x:v>Nostromo Deep</x:v>
      </x:c>
      <x:c r="C1539" s="11" t="n">
        <x:f>IF($A1539="","",INDEX(Assumptions!$F$5:$F$12,MATCH($B1539,Assumptions!$D$5:$D$12,0)))</x:f>
        <x:v>1260</x:v>
      </x:c>
      <x:c r="D1539" s="11" t="n">
        <x:f>IF($A1539="","",INDEX(Assumptions!$G$5:$G$12,MATCH($B1539,Assumptions!$D$5:$D$12,0)))</x:f>
        <x:v>145</x:v>
      </x:c>
      <x:c r="E1539" s="11" t="n">
        <x:f>IF($A1539="","",INDEX(Assumptions!$M$5:$M$11,WEEKDAY($A1539,2)))</x:f>
        <x:v>1.01</x:v>
      </x:c>
      <x:c r="F1539" s="11" t="n">
        <x:f>IF($A1539="","",Assumptions!$B$15)</x:f>
        <x:v>0.35</x:v>
      </x:c>
      <x:c r="G1539" s="11" t="n">
        <x:f>IF($A1539="","",MAX(INDEX(Assumptions!$H$5:$H$12,MATCH($B1539,Assumptions!$D$5:$D$12,0)),MIN(INDEX(Assumptions!$I$5:$I$12,MATCH($B1539,Assumptions!$D$5:$D$12,0)),($C1539+$D1539*SQRT(-2*LN(RAND()))*COS(2*PI()*RAND()))*$E1539*$J1539*$K1539)))</x:f>
        <x:v>1219.5926918620048</x:v>
      </x:c>
      <x:c r="H1539" s="11" t="n">
        <x:f>IF($A1539="","",$G1539*$F1539+$C1539*(1-$F1539))</x:f>
        <x:v>1245.8574421517017</x:v>
      </x:c>
      <x:c r="I1539" s="11" t="n">
        <x:f>IF($A1539="","",AVERAGE($H1539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1275.0306700117521</x:v>
      </x:c>
      <x:c r="J1539" s="12" t="n">
        <x:f>IF($A1539="","",1+SUMIFS(Assumptions!$S$5:$S$10,Assumptions!$P$5:$P$10,$B1539,Assumptions!$Q$5:$Q$10,"&lt;="&amp;$A1539,Assumptions!$R$5:$R$10,"&gt;="&amp;$A1539))</x:f>
        <x:v>1</x:v>
      </x:c>
      <x:c r="K1539" s="12" t="n">
        <x:f>IF($A1539="","",1+((($A1539-Assumptions!$B$5)/30)*INDEX(Assumptions!$J$5:$J$12,MATCH($B1539,Assumptions!$D$5:$D$12,0))))</x:f>
        <x:v>1.0307</x:v>
      </x:c>
      <x:c r="L1539" t="str">
        <x:f>IF($A1539="","",IFERROR(INDEX(Assumptions!$O$5:$O$10,MATCH(1,(Assumptions!$P$5:$P$10=$B1539)*(Assumptions!$Q$5:$Q$10&lt;=$A1539)*(Assumptions!$R$5:$R$10&gt;=$A1539),0)),""))</x:f>
      </x:c>
      <x:c r="M1539" t="n">
        <x:f>--($A1539&lt;&gt;"")</x:f>
        <x:v>1</x:v>
      </x:c>
    </x:row>
    <x:row r="1540">
      <x:c r="A1540" s="10" t="n">
        <x:f>IF(Assumptions!$B$5+INT((ROW()-2)/Assumptions!$B$7)&gt;Assumptions!$B$6,"",Assumptions!$B$5+INT((ROW()-2)/Assumptions!$B$7))</x:f>
        <x:v>46330</x:v>
      </x:c>
      <x:c r="B1540" t="str">
        <x:f>IF($A1540="","",INDEX(Assumptions!$D$5:$D$12,MOD(ROW()-2,Assumptions!$B$7)+1))</x:f>
        <x:v>Hadley's Hope</x:v>
      </x:c>
      <x:c r="C1540" s="11" t="n">
        <x:f>IF($A1540="","",INDEX(Assumptions!$F$5:$F$12,MATCH($B1540,Assumptions!$D$5:$D$12,0)))</x:f>
        <x:v>845</x:v>
      </x:c>
      <x:c r="D1540" s="11" t="n">
        <x:f>IF($A1540="","",INDEX(Assumptions!$G$5:$G$12,MATCH($B1540,Assumptions!$D$5:$D$12,0)))</x:f>
        <x:v>80</x:v>
      </x:c>
      <x:c r="E1540" s="11" t="n">
        <x:f>IF($A1540="","",INDEX(Assumptions!$M$5:$M$11,WEEKDAY($A1540,2)))</x:f>
        <x:v>1.01</x:v>
      </x:c>
      <x:c r="F1540" s="11" t="n">
        <x:f>IF($A1540="","",Assumptions!$B$15)</x:f>
        <x:v>0.35</x:v>
      </x:c>
      <x:c r="G1540" s="11" t="n">
        <x:f>IF($A1540="","",MAX(INDEX(Assumptions!$H$5:$H$12,MATCH($B1540,Assumptions!$D$5:$D$12,0)),MIN(INDEX(Assumptions!$I$5:$I$12,MATCH($B1540,Assumptions!$D$5:$D$12,0)),($C1540+$D1540*SQRT(-2*LN(RAND()))*COS(2*PI()*RAND()))*$E1540*$J1540*$K1540)))</x:f>
        <x:v>894.5257728108853</x:v>
      </x:c>
      <x:c r="H1540" s="11" t="n">
        <x:f>IF($A1540="","",$G1540*$F1540+$C1540*(1-$F1540))</x:f>
        <x:v>862.3340204838098</x:v>
      </x:c>
      <x:c r="I1540" s="11" t="n">
        <x:f>IF($A1540="","",AVERAGE($H1540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835.7869484977404</x:v>
      </x:c>
      <x:c r="J1540" s="12" t="n">
        <x:f>IF($A1540="","",1+SUMIFS(Assumptions!$S$5:$S$10,Assumptions!$P$5:$P$10,$B1540,Assumptions!$Q$5:$Q$10,"&lt;="&amp;$A1540,Assumptions!$R$5:$R$10,"&gt;="&amp;$A1540))</x:f>
        <x:v>1</x:v>
      </x:c>
      <x:c r="K1540" s="12" t="n">
        <x:f>IF($A1540="","",1+((($A1540-Assumptions!$B$5)/30)*INDEX(Assumptions!$J$5:$J$12,MATCH($B1540,Assumptions!$D$5:$D$12,0))))</x:f>
        <x:v>1.0102333333333333</x:v>
      </x:c>
      <x:c r="L1540" t="str">
        <x:f>IF($A1540="","",IFERROR(INDEX(Assumptions!$O$5:$O$10,MATCH(1,(Assumptions!$P$5:$P$10=$B1540)*(Assumptions!$Q$5:$Q$10&lt;=$A1540)*(Assumptions!$R$5:$R$10&gt;=$A1540),0)),""))</x:f>
      </x:c>
      <x:c r="M1540" t="n">
        <x:f>--($A1540&lt;&gt;"")</x:f>
        <x:v>1</x:v>
      </x:c>
    </x:row>
    <x:row r="1541">
      <x:c r="A1541" s="10" t="n">
        <x:f>IF(Assumptions!$B$5+INT((ROW()-2)/Assumptions!$B$7)&gt;Assumptions!$B$6,"",Assumptions!$B$5+INT((ROW()-2)/Assumptions!$B$7))</x:f>
        <x:v>46330</x:v>
      </x:c>
      <x:c r="B1541" t="str">
        <x:f>IF($A1541="","",INDEX(Assumptions!$D$5:$D$12,MOD(ROW()-2,Assumptions!$B$7)+1))</x:f>
        <x:v>Yutani Ridge</x:v>
      </x:c>
      <x:c r="C1541" s="11" t="n">
        <x:f>IF($A1541="","",INDEX(Assumptions!$F$5:$F$12,MATCH($B1541,Assumptions!$D$5:$D$12,0)))</x:f>
        <x:v>1050</x:v>
      </x:c>
      <x:c r="D1541" s="11" t="n">
        <x:f>IF($A1541="","",INDEX(Assumptions!$G$5:$G$12,MATCH($B1541,Assumptions!$D$5:$D$12,0)))</x:f>
        <x:v>125</x:v>
      </x:c>
      <x:c r="E1541" s="11" t="n">
        <x:f>IF($A1541="","",INDEX(Assumptions!$M$5:$M$11,WEEKDAY($A1541,2)))</x:f>
        <x:v>1.01</x:v>
      </x:c>
      <x:c r="F1541" s="11" t="n">
        <x:f>IF($A1541="","",Assumptions!$B$15)</x:f>
        <x:v>0.35</x:v>
      </x:c>
      <x:c r="G1541" s="11" t="n">
        <x:f>IF($A1541="","",MAX(INDEX(Assumptions!$H$5:$H$12,MATCH($B1541,Assumptions!$D$5:$D$12,0)),MIN(INDEX(Assumptions!$I$5:$I$12,MATCH($B1541,Assumptions!$D$5:$D$12,0)),($C1541+$D1541*SQRT(-2*LN(RAND()))*COS(2*PI()*RAND()))*$E1541*$J1541*$K1541)))</x:f>
        <x:v>1098.8960062526467</x:v>
      </x:c>
      <x:c r="H1541" s="11" t="n">
        <x:f>IF($A1541="","",$G1541*$F1541+$C1541*(1-$F1541))</x:f>
        <x:v>1067.1136021884263</x:v>
      </x:c>
      <x:c r="I1541" s="11" t="n">
        <x:f>IF($A1541="","",AVERAGE($H1541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1060.0272486439374</x:v>
      </x:c>
      <x:c r="J1541" s="12" t="n">
        <x:f>IF($A1541="","",1+SUMIFS(Assumptions!$S$5:$S$10,Assumptions!$P$5:$P$10,$B1541,Assumptions!$Q$5:$Q$10,"&lt;="&amp;$A1541,Assumptions!$R$5:$R$10,"&gt;="&amp;$A1541))</x:f>
        <x:v>1</x:v>
      </x:c>
      <x:c r="K1541" s="12" t="n">
        <x:f>IF($A1541="","",1+((($A1541-Assumptions!$B$5)/30)*INDEX(Assumptions!$J$5:$J$12,MATCH($B1541,Assumptions!$D$5:$D$12,0))))</x:f>
        <x:v>1.0255833333333333</x:v>
      </x:c>
      <x:c r="L1541" t="str">
        <x:f>IF($A1541="","",IFERROR(INDEX(Assumptions!$O$5:$O$10,MATCH(1,(Assumptions!$P$5:$P$10=$B1541)*(Assumptions!$Q$5:$Q$10&lt;=$A1541)*(Assumptions!$R$5:$R$10&gt;=$A1541),0)),""))</x:f>
      </x:c>
      <x:c r="M1541" t="n">
        <x:f>--($A1541&lt;&gt;"")</x:f>
        <x:v>1</x:v>
      </x:c>
    </x:row>
    <x:row r="1542">
      <x:c r="A1542" s="10" t="n">
        <x:f>IF(Assumptions!$B$5+INT((ROW()-2)/Assumptions!$B$7)&gt;Assumptions!$B$6,"",Assumptions!$B$5+INT((ROW()-2)/Assumptions!$B$7))</x:f>
        <x:v>46331</x:v>
      </x:c>
      <x:c r="B1542" t="str">
        <x:f>IF($A1542="","",INDEX(Assumptions!$D$5:$D$12,MOD(ROW()-2,Assumptions!$B$7)+1))</x:f>
        <x:v>Acheron Prime</x:v>
      </x:c>
      <x:c r="C1542" s="11" t="n">
        <x:f>IF($A1542="","",INDEX(Assumptions!$F$5:$F$12,MATCH($B1542,Assumptions!$D$5:$D$12,0)))</x:f>
        <x:v>1120</x:v>
      </x:c>
      <x:c r="D1542" s="11" t="n">
        <x:f>IF($A1542="","",INDEX(Assumptions!$G$5:$G$12,MATCH($B1542,Assumptions!$D$5:$D$12,0)))</x:f>
        <x:v>115</x:v>
      </x:c>
      <x:c r="E1542" s="11" t="n">
        <x:f>IF($A1542="","",INDEX(Assumptions!$M$5:$M$11,WEEKDAY($A1542,2)))</x:f>
        <x:v>1</x:v>
      </x:c>
      <x:c r="F1542" s="11" t="n">
        <x:f>IF($A1542="","",Assumptions!$B$15)</x:f>
        <x:v>0.35</x:v>
      </x:c>
      <x:c r="G1542" s="11" t="n">
        <x:f>IF($A1542="","",MAX(INDEX(Assumptions!$H$5:$H$12,MATCH($B1542,Assumptions!$D$5:$D$12,0)),MIN(INDEX(Assumptions!$I$5:$I$12,MATCH($B1542,Assumptions!$D$5:$D$12,0)),($C1542+$D1542*SQRT(-2*LN(RAND()))*COS(2*PI()*RAND()))*$E1542*$J1542*$K1542)))</x:f>
        <x:v>1397.2012567622626</x:v>
      </x:c>
      <x:c r="H1542" s="11" t="n">
        <x:f>IF($A1542="","",$G1542*$F1542+$C1542*(1-$F1542))</x:f>
        <x:v>1217.020439866792</x:v>
      </x:c>
      <x:c r="I1542" s="11" t="n">
        <x:f>IF($A1542="","",AVERAGE($H1542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1104.6169343407787</x:v>
      </x:c>
      <x:c r="J1542" s="12" t="n">
        <x:f>IF($A1542="","",1+SUMIFS(Assumptions!$S$5:$S$10,Assumptions!$P$5:$P$10,$B1542,Assumptions!$Q$5:$Q$10,"&lt;="&amp;$A1542,Assumptions!$R$5:$R$10,"&gt;="&amp;$A1542))</x:f>
        <x:v>1</x:v>
      </x:c>
      <x:c r="K1542" s="12" t="n">
        <x:f>IF($A1542="","",1+((($A1542-Assumptions!$B$5)/30)*INDEX(Assumptions!$J$5:$J$12,MATCH($B1542,Assumptions!$D$5:$D$12,0))))</x:f>
        <x:v>1.0205333333333333</x:v>
      </x:c>
      <x:c r="L1542" t="str">
        <x:f>IF($A1542="","",IFERROR(INDEX(Assumptions!$O$5:$O$10,MATCH(1,(Assumptions!$P$5:$P$10=$B1542)*(Assumptions!$Q$5:$Q$10&lt;=$A1542)*(Assumptions!$R$5:$R$10&gt;=$A1542),0)),""))</x:f>
      </x:c>
      <x:c r="M1542" t="n">
        <x:f>--($A1542&lt;&gt;"")</x:f>
        <x:v>1</x:v>
      </x:c>
    </x:row>
    <x:row r="1543">
      <x:c r="A1543" s="10" t="n">
        <x:f>IF(Assumptions!$B$5+INT((ROW()-2)/Assumptions!$B$7)&gt;Assumptions!$B$6,"",Assumptions!$B$5+INT((ROW()-2)/Assumptions!$B$7))</x:f>
        <x:v>46331</x:v>
      </x:c>
      <x:c r="B1543" t="str">
        <x:f>IF($A1543="","",INDEX(Assumptions!$D$5:$D$12,MOD(ROW()-2,Assumptions!$B$7)+1))</x:f>
        <x:v>LV-426 North</x:v>
      </x:c>
      <x:c r="C1543" s="11" t="n">
        <x:f>IF($A1543="","",INDEX(Assumptions!$F$5:$F$12,MATCH($B1543,Assumptions!$D$5:$D$12,0)))</x:f>
        <x:v>930</x:v>
      </x:c>
      <x:c r="D1543" s="11" t="n">
        <x:f>IF($A1543="","",INDEX(Assumptions!$G$5:$G$12,MATCH($B1543,Assumptions!$D$5:$D$12,0)))</x:f>
        <x:v>95</x:v>
      </x:c>
      <x:c r="E1543" s="11" t="n">
        <x:f>IF($A1543="","",INDEX(Assumptions!$M$5:$M$11,WEEKDAY($A1543,2)))</x:f>
        <x:v>1</x:v>
      </x:c>
      <x:c r="F1543" s="11" t="n">
        <x:f>IF($A1543="","",Assumptions!$B$15)</x:f>
        <x:v>0.35</x:v>
      </x:c>
      <x:c r="G1543" s="11" t="n">
        <x:f>IF($A1543="","",MAX(INDEX(Assumptions!$H$5:$H$12,MATCH($B1543,Assumptions!$D$5:$D$12,0)),MIN(INDEX(Assumptions!$I$5:$I$12,MATCH($B1543,Assumptions!$D$5:$D$12,0)),($C1543+$D1543*SQRT(-2*LN(RAND()))*COS(2*PI()*RAND()))*$E1543*$J1543*$K1543)))</x:f>
        <x:v>1108.5097801514721</x:v>
      </x:c>
      <x:c r="H1543" s="11" t="n">
        <x:f>IF($A1543="","",$G1543*$F1543+$C1543*(1-$F1543))</x:f>
        <x:v>992.4784230530151</x:v>
      </x:c>
      <x:c r="I1543" s="11" t="n">
        <x:f>IF($A1543="","",AVERAGE($H1543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954.0227397397173</x:v>
      </x:c>
      <x:c r="J1543" s="12" t="n">
        <x:f>IF($A1543="","",1+SUMIFS(Assumptions!$S$5:$S$10,Assumptions!$P$5:$P$10,$B1543,Assumptions!$Q$5:$Q$10,"&lt;="&amp;$A1543,Assumptions!$R$5:$R$10,"&gt;="&amp;$A1543))</x:f>
        <x:v>1</x:v>
      </x:c>
      <x:c r="K1543" s="12" t="n">
        <x:f>IF($A1543="","",1+((($A1543-Assumptions!$B$5)/30)*INDEX(Assumptions!$J$5:$J$12,MATCH($B1543,Assumptions!$D$5:$D$12,0))))</x:f>
        <x:v>0.9897333333333334</x:v>
      </x:c>
      <x:c r="L1543" t="str">
        <x:f>IF($A1543="","",IFERROR(INDEX(Assumptions!$O$5:$O$10,MATCH(1,(Assumptions!$P$5:$P$10=$B1543)*(Assumptions!$Q$5:$Q$10&lt;=$A1543)*(Assumptions!$R$5:$R$10&gt;=$A1543),0)),""))</x:f>
      </x:c>
      <x:c r="M1543" t="n">
        <x:f>--($A1543&lt;&gt;"")</x:f>
        <x:v>1</x:v>
      </x:c>
    </x:row>
    <x:row r="1544">
      <x:c r="A1544" s="10" t="n">
        <x:f>IF(Assumptions!$B$5+INT((ROW()-2)/Assumptions!$B$7)&gt;Assumptions!$B$6,"",Assumptions!$B$5+INT((ROW()-2)/Assumptions!$B$7))</x:f>
        <x:v>46331</x:v>
      </x:c>
      <x:c r="B1544" t="str">
        <x:f>IF($A1544="","",INDEX(Assumptions!$D$5:$D$12,MOD(ROW()-2,Assumptions!$B$7)+1))</x:f>
        <x:v>Nostromo Deep</x:v>
      </x:c>
      <x:c r="C1544" s="11" t="n">
        <x:f>IF($A1544="","",INDEX(Assumptions!$F$5:$F$12,MATCH($B1544,Assumptions!$D$5:$D$12,0)))</x:f>
        <x:v>1260</x:v>
      </x:c>
      <x:c r="D1544" s="11" t="n">
        <x:f>IF($A1544="","",INDEX(Assumptions!$G$5:$G$12,MATCH($B1544,Assumptions!$D$5:$D$12,0)))</x:f>
        <x:v>145</x:v>
      </x:c>
      <x:c r="E1544" s="11" t="n">
        <x:f>IF($A1544="","",INDEX(Assumptions!$M$5:$M$11,WEEKDAY($A1544,2)))</x:f>
        <x:v>1</x:v>
      </x:c>
      <x:c r="F1544" s="11" t="n">
        <x:f>IF($A1544="","",Assumptions!$B$15)</x:f>
        <x:v>0.35</x:v>
      </x:c>
      <x:c r="G1544" s="11" t="n">
        <x:f>IF($A1544="","",MAX(INDEX(Assumptions!$H$5:$H$12,MATCH($B1544,Assumptions!$D$5:$D$12,0)),MIN(INDEX(Assumptions!$I$5:$I$12,MATCH($B1544,Assumptions!$D$5:$D$12,0)),($C1544+$D1544*SQRT(-2*LN(RAND()))*COS(2*PI()*RAND()))*$E1544*$J1544*$K1544)))</x:f>
        <x:v>1398.0249272402357</x:v>
      </x:c>
      <x:c r="H1544" s="11" t="n">
        <x:f>IF($A1544="","",$G1544*$F1544+$C1544*(1-$F1544))</x:f>
        <x:v>1308.3087245340826</x:v>
      </x:c>
      <x:c r="I1544" s="11" t="n">
        <x:f>IF($A1544="","",AVERAGE($H1544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1277.9380727710775</x:v>
      </x:c>
      <x:c r="J1544" s="12" t="n">
        <x:f>IF($A1544="","",1+SUMIFS(Assumptions!$S$5:$S$10,Assumptions!$P$5:$P$10,$B1544,Assumptions!$Q$5:$Q$10,"&lt;="&amp;$A1544,Assumptions!$R$5:$R$10,"&gt;="&amp;$A1544))</x:f>
        <x:v>1</x:v>
      </x:c>
      <x:c r="K1544" s="12" t="n">
        <x:f>IF($A1544="","",1+((($A1544-Assumptions!$B$5)/30)*INDEX(Assumptions!$J$5:$J$12,MATCH($B1544,Assumptions!$D$5:$D$12,0))))</x:f>
        <x:v>1.0308</x:v>
      </x:c>
      <x:c r="L1544" t="str">
        <x:f>IF($A1544="","",IFERROR(INDEX(Assumptions!$O$5:$O$10,MATCH(1,(Assumptions!$P$5:$P$10=$B1544)*(Assumptions!$Q$5:$Q$10&lt;=$A1544)*(Assumptions!$R$5:$R$10&gt;=$A1544),0)),""))</x:f>
      </x:c>
      <x:c r="M1544" t="n">
        <x:f>--($A1544&lt;&gt;"")</x:f>
        <x:v>1</x:v>
      </x:c>
    </x:row>
    <x:row r="1545">
      <x:c r="A1545" s="10" t="n">
        <x:f>IF(Assumptions!$B$5+INT((ROW()-2)/Assumptions!$B$7)&gt;Assumptions!$B$6,"",Assumptions!$B$5+INT((ROW()-2)/Assumptions!$B$7))</x:f>
        <x:v>46331</x:v>
      </x:c>
      <x:c r="B1545" t="str">
        <x:f>IF($A1545="","",INDEX(Assumptions!$D$5:$D$12,MOD(ROW()-2,Assumptions!$B$7)+1))</x:f>
        <x:v>Hadley's Hope</x:v>
      </x:c>
      <x:c r="C1545" s="11" t="n">
        <x:f>IF($A1545="","",INDEX(Assumptions!$F$5:$F$12,MATCH($B1545,Assumptions!$D$5:$D$12,0)))</x:f>
        <x:v>845</x:v>
      </x:c>
      <x:c r="D1545" s="11" t="n">
        <x:f>IF($A1545="","",INDEX(Assumptions!$G$5:$G$12,MATCH($B1545,Assumptions!$D$5:$D$12,0)))</x:f>
        <x:v>80</x:v>
      </x:c>
      <x:c r="E1545" s="11" t="n">
        <x:f>IF($A1545="","",INDEX(Assumptions!$M$5:$M$11,WEEKDAY($A1545,2)))</x:f>
        <x:v>1</x:v>
      </x:c>
      <x:c r="F1545" s="11" t="n">
        <x:f>IF($A1545="","",Assumptions!$B$15)</x:f>
        <x:v>0.35</x:v>
      </x:c>
      <x:c r="G1545" s="11" t="n">
        <x:f>IF($A1545="","",MAX(INDEX(Assumptions!$H$5:$H$12,MATCH($B1545,Assumptions!$D$5:$D$12,0)),MIN(INDEX(Assumptions!$I$5:$I$12,MATCH($B1545,Assumptions!$D$5:$D$12,0)),($C1545+$D1545*SQRT(-2*LN(RAND()))*COS(2*PI()*RAND()))*$E1545*$J1545*$K1545)))</x:f>
        <x:v>951.404743582759</x:v>
      </x:c>
      <x:c r="H1545" s="11" t="n">
        <x:f>IF($A1545="","",$G1545*$F1545+$C1545*(1-$F1545))</x:f>
        <x:v>882.2416602539656</x:v>
      </x:c>
      <x:c r="I1545" s="11" t="n">
        <x:f>IF($A1545="","",AVERAGE($H1545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838.2878640754533</x:v>
      </x:c>
      <x:c r="J1545" s="12" t="n">
        <x:f>IF($A1545="","",1+SUMIFS(Assumptions!$S$5:$S$10,Assumptions!$P$5:$P$10,$B1545,Assumptions!$Q$5:$Q$10,"&lt;="&amp;$A1545,Assumptions!$R$5:$R$10,"&gt;="&amp;$A1545))</x:f>
        <x:v>1</x:v>
      </x:c>
      <x:c r="K1545" s="12" t="n">
        <x:f>IF($A1545="","",1+((($A1545-Assumptions!$B$5)/30)*INDEX(Assumptions!$J$5:$J$12,MATCH($B1545,Assumptions!$D$5:$D$12,0))))</x:f>
        <x:v>1.0102666666666666</x:v>
      </x:c>
      <x:c r="L1545" t="str">
        <x:f>IF($A1545="","",IFERROR(INDEX(Assumptions!$O$5:$O$10,MATCH(1,(Assumptions!$P$5:$P$10=$B1545)*(Assumptions!$Q$5:$Q$10&lt;=$A1545)*(Assumptions!$R$5:$R$10&gt;=$A1545),0)),""))</x:f>
      </x:c>
      <x:c r="M1545" t="n">
        <x:f>--($A1545&lt;&gt;"")</x:f>
        <x:v>1</x:v>
      </x:c>
    </x:row>
    <x:row r="1546">
      <x:c r="A1546" s="10" t="n">
        <x:f>IF(Assumptions!$B$5+INT((ROW()-2)/Assumptions!$B$7)&gt;Assumptions!$B$6,"",Assumptions!$B$5+INT((ROW()-2)/Assumptions!$B$7))</x:f>
        <x:v>46331</x:v>
      </x:c>
      <x:c r="B1546" t="str">
        <x:f>IF($A1546="","",INDEX(Assumptions!$D$5:$D$12,MOD(ROW()-2,Assumptions!$B$7)+1))</x:f>
        <x:v>Yutani Ridge</x:v>
      </x:c>
      <x:c r="C1546" s="11" t="n">
        <x:f>IF($A1546="","",INDEX(Assumptions!$F$5:$F$12,MATCH($B1546,Assumptions!$D$5:$D$12,0)))</x:f>
        <x:v>1050</x:v>
      </x:c>
      <x:c r="D1546" s="11" t="n">
        <x:f>IF($A1546="","",INDEX(Assumptions!$G$5:$G$12,MATCH($B1546,Assumptions!$D$5:$D$12,0)))</x:f>
        <x:v>125</x:v>
      </x:c>
      <x:c r="E1546" s="11" t="n">
        <x:f>IF($A1546="","",INDEX(Assumptions!$M$5:$M$11,WEEKDAY($A1546,2)))</x:f>
        <x:v>1</x:v>
      </x:c>
      <x:c r="F1546" s="11" t="n">
        <x:f>IF($A1546="","",Assumptions!$B$15)</x:f>
        <x:v>0.35</x:v>
      </x:c>
      <x:c r="G1546" s="11" t="n">
        <x:f>IF($A1546="","",MAX(INDEX(Assumptions!$H$5:$H$12,MATCH($B1546,Assumptions!$D$5:$D$12,0)),MIN(INDEX(Assumptions!$I$5:$I$12,MATCH($B1546,Assumptions!$D$5:$D$12,0)),($C1546+$D1546*SQRT(-2*LN(RAND()))*COS(2*PI()*RAND()))*$E1546*$J1546*$K1546)))</x:f>
        <x:v>899.2365782189397</x:v>
      </x:c>
      <x:c r="H1546" s="11" t="n">
        <x:f>IF($A1546="","",$G1546*$F1546+$C1546*(1-$F1546))</x:f>
        <x:v>997.2328023766288</x:v>
      </x:c>
      <x:c r="I1546" s="11" t="n">
        <x:f>IF($A1546="","",AVERAGE($H1546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1041.9242122781816</x:v>
      </x:c>
      <x:c r="J1546" s="12" t="n">
        <x:f>IF($A1546="","",1+SUMIFS(Assumptions!$S$5:$S$10,Assumptions!$P$5:$P$10,$B1546,Assumptions!$Q$5:$Q$10,"&lt;="&amp;$A1546,Assumptions!$R$5:$R$10,"&gt;="&amp;$A1546))</x:f>
        <x:v>1</x:v>
      </x:c>
      <x:c r="K1546" s="12" t="n">
        <x:f>IF($A1546="","",1+((($A1546-Assumptions!$B$5)/30)*INDEX(Assumptions!$J$5:$J$12,MATCH($B1546,Assumptions!$D$5:$D$12,0))))</x:f>
        <x:v>1.0256666666666667</x:v>
      </x:c>
      <x:c r="L1546" t="str">
        <x:f>IF($A1546="","",IFERROR(INDEX(Assumptions!$O$5:$O$10,MATCH(1,(Assumptions!$P$5:$P$10=$B1546)*(Assumptions!$Q$5:$Q$10&lt;=$A1546)*(Assumptions!$R$5:$R$10&gt;=$A1546),0)),""))</x:f>
      </x:c>
      <x:c r="M1546" t="n">
        <x:f>--($A1546&lt;&gt;"")</x:f>
        <x:v>1</x:v>
      </x:c>
    </x:row>
    <x:row r="1547">
      <x:c r="A1547" s="10" t="n">
        <x:f>IF(Assumptions!$B$5+INT((ROW()-2)/Assumptions!$B$7)&gt;Assumptions!$B$6,"",Assumptions!$B$5+INT((ROW()-2)/Assumptions!$B$7))</x:f>
        <x:v>46332</x:v>
      </x:c>
      <x:c r="B1547" t="str">
        <x:f>IF($A1547="","",INDEX(Assumptions!$D$5:$D$12,MOD(ROW()-2,Assumptions!$B$7)+1))</x:f>
        <x:v>Acheron Prime</x:v>
      </x:c>
      <x:c r="C1547" s="11" t="n">
        <x:f>IF($A1547="","",INDEX(Assumptions!$F$5:$F$12,MATCH($B1547,Assumptions!$D$5:$D$12,0)))</x:f>
        <x:v>1120</x:v>
      </x:c>
      <x:c r="D1547" s="11" t="n">
        <x:f>IF($A1547="","",INDEX(Assumptions!$G$5:$G$12,MATCH($B1547,Assumptions!$D$5:$D$12,0)))</x:f>
        <x:v>115</x:v>
      </x:c>
      <x:c r="E1547" s="11" t="n">
        <x:f>IF($A1547="","",INDEX(Assumptions!$M$5:$M$11,WEEKDAY($A1547,2)))</x:f>
        <x:v>0.98</x:v>
      </x:c>
      <x:c r="F1547" s="11" t="n">
        <x:f>IF($A1547="","",Assumptions!$B$15)</x:f>
        <x:v>0.35</x:v>
      </x:c>
      <x:c r="G1547" s="11" t="n">
        <x:f>IF($A1547="","",MAX(INDEX(Assumptions!$H$5:$H$12,MATCH($B1547,Assumptions!$D$5:$D$12,0)),MIN(INDEX(Assumptions!$I$5:$I$12,MATCH($B1547,Assumptions!$D$5:$D$12,0)),($C1547+$D1547*SQRT(-2*LN(RAND()))*COS(2*PI()*RAND()))*$E1547*$J1547*$K1547)))</x:f>
        <x:v>1156.7667538438125</x:v>
      </x:c>
      <x:c r="H1547" s="11" t="n">
        <x:f>IF($A1547="","",$G1547*$F1547+$C1547*(1-$F1547))</x:f>
        <x:v>1132.8683638453344</x:v>
      </x:c>
      <x:c r="I1547" s="11" t="n">
        <x:f>IF($A1547="","",AVERAGE($H1547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1114.1334936121432</x:v>
      </x:c>
      <x:c r="J1547" s="12" t="n">
        <x:f>IF($A1547="","",1+SUMIFS(Assumptions!$S$5:$S$10,Assumptions!$P$5:$P$10,$B1547,Assumptions!$Q$5:$Q$10,"&lt;="&amp;$A1547,Assumptions!$R$5:$R$10,"&gt;="&amp;$A1547))</x:f>
        <x:v>1</x:v>
      </x:c>
      <x:c r="K1547" s="12" t="n">
        <x:f>IF($A1547="","",1+((($A1547-Assumptions!$B$5)/30)*INDEX(Assumptions!$J$5:$J$12,MATCH($B1547,Assumptions!$D$5:$D$12,0))))</x:f>
        <x:v>1.0206</x:v>
      </x:c>
      <x:c r="L1547" t="str">
        <x:f>IF($A1547="","",IFERROR(INDEX(Assumptions!$O$5:$O$10,MATCH(1,(Assumptions!$P$5:$P$10=$B1547)*(Assumptions!$Q$5:$Q$10&lt;=$A1547)*(Assumptions!$R$5:$R$10&gt;=$A1547),0)),""))</x:f>
      </x:c>
      <x:c r="M1547" t="n">
        <x:f>--($A1547&lt;&gt;"")</x:f>
        <x:v>1</x:v>
      </x:c>
    </x:row>
    <x:row r="1548">
      <x:c r="A1548" s="10" t="n">
        <x:f>IF(Assumptions!$B$5+INT((ROW()-2)/Assumptions!$B$7)&gt;Assumptions!$B$6,"",Assumptions!$B$5+INT((ROW()-2)/Assumptions!$B$7))</x:f>
        <x:v>46332</x:v>
      </x:c>
      <x:c r="B1548" t="str">
        <x:f>IF($A1548="","",INDEX(Assumptions!$D$5:$D$12,MOD(ROW()-2,Assumptions!$B$7)+1))</x:f>
        <x:v>LV-426 North</x:v>
      </x:c>
      <x:c r="C1548" s="11" t="n">
        <x:f>IF($A1548="","",INDEX(Assumptions!$F$5:$F$12,MATCH($B1548,Assumptions!$D$5:$D$12,0)))</x:f>
        <x:v>930</x:v>
      </x:c>
      <x:c r="D1548" s="11" t="n">
        <x:f>IF($A1548="","",INDEX(Assumptions!$G$5:$G$12,MATCH($B1548,Assumptions!$D$5:$D$12,0)))</x:f>
        <x:v>95</x:v>
      </x:c>
      <x:c r="E1548" s="11" t="n">
        <x:f>IF($A1548="","",INDEX(Assumptions!$M$5:$M$11,WEEKDAY($A1548,2)))</x:f>
        <x:v>0.98</x:v>
      </x:c>
      <x:c r="F1548" s="11" t="n">
        <x:f>IF($A1548="","",Assumptions!$B$15)</x:f>
        <x:v>0.35</x:v>
      </x:c>
      <x:c r="G1548" s="11" t="n">
        <x:f>IF($A1548="","",MAX(INDEX(Assumptions!$H$5:$H$12,MATCH($B1548,Assumptions!$D$5:$D$12,0)),MIN(INDEX(Assumptions!$I$5:$I$12,MATCH($B1548,Assumptions!$D$5:$D$12,0)),($C1548+$D1548*SQRT(-2*LN(RAND()))*COS(2*PI()*RAND()))*$E1548*$J1548*$K1548)))</x:f>
        <x:v>874.4215960456321</x:v>
      </x:c>
      <x:c r="H1548" s="11" t="n">
        <x:f>IF($A1548="","",$G1548*$F1548+$C1548*(1-$F1548))</x:f>
        <x:v>910.5475586159712</x:v>
      </x:c>
      <x:c r="I1548" s="11" t="n">
        <x:f>IF($A1548="","",AVERAGE($H1548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947.8892421095994</x:v>
      </x:c>
      <x:c r="J1548" s="12" t="n">
        <x:f>IF($A1548="","",1+SUMIFS(Assumptions!$S$5:$S$10,Assumptions!$P$5:$P$10,$B1548,Assumptions!$Q$5:$Q$10,"&lt;="&amp;$A1548,Assumptions!$R$5:$R$10,"&gt;="&amp;$A1548))</x:f>
        <x:v>1</x:v>
      </x:c>
      <x:c r="K1548" s="12" t="n">
        <x:f>IF($A1548="","",1+((($A1548-Assumptions!$B$5)/30)*INDEX(Assumptions!$J$5:$J$12,MATCH($B1548,Assumptions!$D$5:$D$12,0))))</x:f>
        <x:v>0.9897</x:v>
      </x:c>
      <x:c r="L1548" t="str">
        <x:f>IF($A1548="","",IFERROR(INDEX(Assumptions!$O$5:$O$10,MATCH(1,(Assumptions!$P$5:$P$10=$B1548)*(Assumptions!$Q$5:$Q$10&lt;=$A1548)*(Assumptions!$R$5:$R$10&gt;=$A1548),0)),""))</x:f>
      </x:c>
      <x:c r="M1548" t="n">
        <x:f>--($A1548&lt;&gt;"")</x:f>
        <x:v>1</x:v>
      </x:c>
    </x:row>
    <x:row r="1549">
      <x:c r="A1549" s="10" t="n">
        <x:f>IF(Assumptions!$B$5+INT((ROW()-2)/Assumptions!$B$7)&gt;Assumptions!$B$6,"",Assumptions!$B$5+INT((ROW()-2)/Assumptions!$B$7))</x:f>
        <x:v>46332</x:v>
      </x:c>
      <x:c r="B1549" t="str">
        <x:f>IF($A1549="","",INDEX(Assumptions!$D$5:$D$12,MOD(ROW()-2,Assumptions!$B$7)+1))</x:f>
        <x:v>Nostromo Deep</x:v>
      </x:c>
      <x:c r="C1549" s="11" t="n">
        <x:f>IF($A1549="","",INDEX(Assumptions!$F$5:$F$12,MATCH($B1549,Assumptions!$D$5:$D$12,0)))</x:f>
        <x:v>1260</x:v>
      </x:c>
      <x:c r="D1549" s="11" t="n">
        <x:f>IF($A1549="","",INDEX(Assumptions!$G$5:$G$12,MATCH($B1549,Assumptions!$D$5:$D$12,0)))</x:f>
        <x:v>145</x:v>
      </x:c>
      <x:c r="E1549" s="11" t="n">
        <x:f>IF($A1549="","",INDEX(Assumptions!$M$5:$M$11,WEEKDAY($A1549,2)))</x:f>
        <x:v>0.98</x:v>
      </x:c>
      <x:c r="F1549" s="11" t="n">
        <x:f>IF($A1549="","",Assumptions!$B$15)</x:f>
        <x:v>0.35</x:v>
      </x:c>
      <x:c r="G1549" s="11" t="n">
        <x:f>IF($A1549="","",MAX(INDEX(Assumptions!$H$5:$H$12,MATCH($B1549,Assumptions!$D$5:$D$12,0)),MIN(INDEX(Assumptions!$I$5:$I$12,MATCH($B1549,Assumptions!$D$5:$D$12,0)),($C1549+$D1549*SQRT(-2*LN(RAND()))*COS(2*PI()*RAND()))*$E1549*$J1549*$K1549)))</x:f>
        <x:v>1275.0693804077662</x:v>
      </x:c>
      <x:c r="H1549" s="11" t="n">
        <x:f>IF($A1549="","",$G1549*$F1549+$C1549*(1-$F1549))</x:f>
        <x:v>1265.274283142718</x:v>
      </x:c>
      <x:c r="I1549" s="11" t="n">
        <x:f>IF($A1549="","",AVERAGE($H1549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1277.529218350219</x:v>
      </x:c>
      <x:c r="J1549" s="12" t="n">
        <x:f>IF($A1549="","",1+SUMIFS(Assumptions!$S$5:$S$10,Assumptions!$P$5:$P$10,$B1549,Assumptions!$Q$5:$Q$10,"&lt;="&amp;$A1549,Assumptions!$R$5:$R$10,"&gt;="&amp;$A1549))</x:f>
        <x:v>1</x:v>
      </x:c>
      <x:c r="K1549" s="12" t="n">
        <x:f>IF($A1549="","",1+((($A1549-Assumptions!$B$5)/30)*INDEX(Assumptions!$J$5:$J$12,MATCH($B1549,Assumptions!$D$5:$D$12,0))))</x:f>
        <x:v>1.0309</x:v>
      </x:c>
      <x:c r="L1549" t="str">
        <x:f>IF($A1549="","",IFERROR(INDEX(Assumptions!$O$5:$O$10,MATCH(1,(Assumptions!$P$5:$P$10=$B1549)*(Assumptions!$Q$5:$Q$10&lt;=$A1549)*(Assumptions!$R$5:$R$10&gt;=$A1549),0)),""))</x:f>
      </x:c>
      <x:c r="M1549" t="n">
        <x:f>--($A1549&lt;&gt;"")</x:f>
        <x:v>1</x:v>
      </x:c>
    </x:row>
    <x:row r="1550">
      <x:c r="A1550" s="10" t="n">
        <x:f>IF(Assumptions!$B$5+INT((ROW()-2)/Assumptions!$B$7)&gt;Assumptions!$B$6,"",Assumptions!$B$5+INT((ROW()-2)/Assumptions!$B$7))</x:f>
        <x:v>46332</x:v>
      </x:c>
      <x:c r="B1550" t="str">
        <x:f>IF($A1550="","",INDEX(Assumptions!$D$5:$D$12,MOD(ROW()-2,Assumptions!$B$7)+1))</x:f>
        <x:v>Hadley's Hope</x:v>
      </x:c>
      <x:c r="C1550" s="11" t="n">
        <x:f>IF($A1550="","",INDEX(Assumptions!$F$5:$F$12,MATCH($B1550,Assumptions!$D$5:$D$12,0)))</x:f>
        <x:v>845</x:v>
      </x:c>
      <x:c r="D1550" s="11" t="n">
        <x:f>IF($A1550="","",INDEX(Assumptions!$G$5:$G$12,MATCH($B1550,Assumptions!$D$5:$D$12,0)))</x:f>
        <x:v>80</x:v>
      </x:c>
      <x:c r="E1550" s="11" t="n">
        <x:f>IF($A1550="","",INDEX(Assumptions!$M$5:$M$11,WEEKDAY($A1550,2)))</x:f>
        <x:v>0.98</x:v>
      </x:c>
      <x:c r="F1550" s="11" t="n">
        <x:f>IF($A1550="","",Assumptions!$B$15)</x:f>
        <x:v>0.35</x:v>
      </x:c>
      <x:c r="G1550" s="11" t="n">
        <x:f>IF($A1550="","",MAX(INDEX(Assumptions!$H$5:$H$12,MATCH($B1550,Assumptions!$D$5:$D$12,0)),MIN(INDEX(Assumptions!$I$5:$I$12,MATCH($B1550,Assumptions!$D$5:$D$12,0)),($C1550+$D1550*SQRT(-2*LN(RAND()))*COS(2*PI()*RAND()))*$E1550*$J1550*$K1550)))</x:f>
        <x:v>848.1305206801079</x:v>
      </x:c>
      <x:c r="H1550" s="11" t="n">
        <x:f>IF($A1550="","",$G1550*$F1550+$C1550*(1-$F1550))</x:f>
        <x:v>846.0956822380377</x:v>
      </x:c>
      <x:c r="I1550" s="11" t="n">
        <x:f>IF($A1550="","",AVERAGE($H1550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838.5213463565636</x:v>
      </x:c>
      <x:c r="J1550" s="12" t="n">
        <x:f>IF($A1550="","",1+SUMIFS(Assumptions!$S$5:$S$10,Assumptions!$P$5:$P$10,$B1550,Assumptions!$Q$5:$Q$10,"&lt;="&amp;$A1550,Assumptions!$R$5:$R$10,"&gt;="&amp;$A1550))</x:f>
        <x:v>1</x:v>
      </x:c>
      <x:c r="K1550" s="12" t="n">
        <x:f>IF($A1550="","",1+((($A1550-Assumptions!$B$5)/30)*INDEX(Assumptions!$J$5:$J$12,MATCH($B1550,Assumptions!$D$5:$D$12,0))))</x:f>
        <x:v>1.0103</x:v>
      </x:c>
      <x:c r="L1550" t="str">
        <x:f>IF($A1550="","",IFERROR(INDEX(Assumptions!$O$5:$O$10,MATCH(1,(Assumptions!$P$5:$P$10=$B1550)*(Assumptions!$Q$5:$Q$10&lt;=$A1550)*(Assumptions!$R$5:$R$10&gt;=$A1550),0)),""))</x:f>
      </x:c>
      <x:c r="M1550" t="n">
        <x:f>--($A1550&lt;&gt;"")</x:f>
        <x:v>1</x:v>
      </x:c>
    </x:row>
    <x:row r="1551">
      <x:c r="A1551" s="10" t="n">
        <x:f>IF(Assumptions!$B$5+INT((ROW()-2)/Assumptions!$B$7)&gt;Assumptions!$B$6,"",Assumptions!$B$5+INT((ROW()-2)/Assumptions!$B$7))</x:f>
        <x:v>46332</x:v>
      </x:c>
      <x:c r="B1551" t="str">
        <x:f>IF($A1551="","",INDEX(Assumptions!$D$5:$D$12,MOD(ROW()-2,Assumptions!$B$7)+1))</x:f>
        <x:v>Yutani Ridge</x:v>
      </x:c>
      <x:c r="C1551" s="11" t="n">
        <x:f>IF($A1551="","",INDEX(Assumptions!$F$5:$F$12,MATCH($B1551,Assumptions!$D$5:$D$12,0)))</x:f>
        <x:v>1050</x:v>
      </x:c>
      <x:c r="D1551" s="11" t="n">
        <x:f>IF($A1551="","",INDEX(Assumptions!$G$5:$G$12,MATCH($B1551,Assumptions!$D$5:$D$12,0)))</x:f>
        <x:v>125</x:v>
      </x:c>
      <x:c r="E1551" s="11" t="n">
        <x:f>IF($A1551="","",INDEX(Assumptions!$M$5:$M$11,WEEKDAY($A1551,2)))</x:f>
        <x:v>0.98</x:v>
      </x:c>
      <x:c r="F1551" s="11" t="n">
        <x:f>IF($A1551="","",Assumptions!$B$15)</x:f>
        <x:v>0.35</x:v>
      </x:c>
      <x:c r="G1551" s="11" t="n">
        <x:f>IF($A1551="","",MAX(INDEX(Assumptions!$H$5:$H$12,MATCH($B1551,Assumptions!$D$5:$D$12,0)),MIN(INDEX(Assumptions!$I$5:$I$12,MATCH($B1551,Assumptions!$D$5:$D$12,0)),($C1551+$D1551*SQRT(-2*LN(RAND()))*COS(2*PI()*RAND()))*$E1551*$J1551*$K1551)))</x:f>
        <x:v>960.156636120141</x:v>
      </x:c>
      <x:c r="H1551" s="11" t="n">
        <x:f>IF($A1551="","",$G1551*$F1551+$C1551*(1-$F1551))</x:f>
        <x:v>1018.5548226420493</x:v>
      </x:c>
      <x:c r="I1551" s="11" t="n">
        <x:f>IF($A1551="","",AVERAGE($H1551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1035.5582199488158</x:v>
      </x:c>
      <x:c r="J1551" s="12" t="n">
        <x:f>IF($A1551="","",1+SUMIFS(Assumptions!$S$5:$S$10,Assumptions!$P$5:$P$10,$B1551,Assumptions!$Q$5:$Q$10,"&lt;="&amp;$A1551,Assumptions!$R$5:$R$10,"&gt;="&amp;$A1551))</x:f>
        <x:v>1</x:v>
      </x:c>
      <x:c r="K1551" s="12" t="n">
        <x:f>IF($A1551="","",1+((($A1551-Assumptions!$B$5)/30)*INDEX(Assumptions!$J$5:$J$12,MATCH($B1551,Assumptions!$D$5:$D$12,0))))</x:f>
        <x:v>1.02575</x:v>
      </x:c>
      <x:c r="L1551" t="str">
        <x:f>IF($A1551="","",IFERROR(INDEX(Assumptions!$O$5:$O$10,MATCH(1,(Assumptions!$P$5:$P$10=$B1551)*(Assumptions!$Q$5:$Q$10&lt;=$A1551)*(Assumptions!$R$5:$R$10&gt;=$A1551),0)),""))</x:f>
      </x:c>
      <x:c r="M1551" t="n">
        <x:f>--($A1551&lt;&gt;"")</x:f>
        <x:v>1</x:v>
      </x:c>
    </x:row>
    <x:row r="1552">
      <x:c r="A1552" s="10" t="n">
        <x:f>IF(Assumptions!$B$5+INT((ROW()-2)/Assumptions!$B$7)&gt;Assumptions!$B$6,"",Assumptions!$B$5+INT((ROW()-2)/Assumptions!$B$7))</x:f>
        <x:v>46333</x:v>
      </x:c>
      <x:c r="B1552" t="str">
        <x:f>IF($A1552="","",INDEX(Assumptions!$D$5:$D$12,MOD(ROW()-2,Assumptions!$B$7)+1))</x:f>
        <x:v>Acheron Prime</x:v>
      </x:c>
      <x:c r="C1552" s="11" t="n">
        <x:f>IF($A1552="","",INDEX(Assumptions!$F$5:$F$12,MATCH($B1552,Assumptions!$D$5:$D$12,0)))</x:f>
        <x:v>1120</x:v>
      </x:c>
      <x:c r="D1552" s="11" t="n">
        <x:f>IF($A1552="","",INDEX(Assumptions!$G$5:$G$12,MATCH($B1552,Assumptions!$D$5:$D$12,0)))</x:f>
        <x:v>115</x:v>
      </x:c>
      <x:c r="E1552" s="11" t="n">
        <x:f>IF($A1552="","",INDEX(Assumptions!$M$5:$M$11,WEEKDAY($A1552,2)))</x:f>
        <x:v>0.91</x:v>
      </x:c>
      <x:c r="F1552" s="11" t="n">
        <x:f>IF($A1552="","",Assumptions!$B$15)</x:f>
        <x:v>0.35</x:v>
      </x:c>
      <x:c r="G1552" s="11" t="n">
        <x:f>IF($A1552="","",MAX(INDEX(Assumptions!$H$5:$H$12,MATCH($B1552,Assumptions!$D$5:$D$12,0)),MIN(INDEX(Assumptions!$I$5:$I$12,MATCH($B1552,Assumptions!$D$5:$D$12,0)),($C1552+$D1552*SQRT(-2*LN(RAND()))*COS(2*PI()*RAND()))*$E1552*$J1552*$K1552)))</x:f>
        <x:v>950.3252303494738</x:v>
      </x:c>
      <x:c r="H1552" s="11" t="n">
        <x:f>IF($A1552="","",$G1552*$F1552+$C1552*(1-$F1552))</x:f>
        <x:v>1060.6138306223158</x:v>
      </x:c>
      <x:c r="I1552" s="11" t="n">
        <x:f>IF($A1552="","",AVERAGE($H1552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1109.9992661997017</x:v>
      </x:c>
      <x:c r="J1552" s="12" t="n">
        <x:f>IF($A1552="","",1+SUMIFS(Assumptions!$S$5:$S$10,Assumptions!$P$5:$P$10,$B1552,Assumptions!$Q$5:$Q$10,"&lt;="&amp;$A1552,Assumptions!$R$5:$R$10,"&gt;="&amp;$A1552))</x:f>
        <x:v>1</x:v>
      </x:c>
      <x:c r="K1552" s="12" t="n">
        <x:f>IF($A1552="","",1+((($A1552-Assumptions!$B$5)/30)*INDEX(Assumptions!$J$5:$J$12,MATCH($B1552,Assumptions!$D$5:$D$12,0))))</x:f>
        <x:v>1.0206666666666666</x:v>
      </x:c>
      <x:c r="L1552" t="str">
        <x:f>IF($A1552="","",IFERROR(INDEX(Assumptions!$O$5:$O$10,MATCH(1,(Assumptions!$P$5:$P$10=$B1552)*(Assumptions!$Q$5:$Q$10&lt;=$A1552)*(Assumptions!$R$5:$R$10&gt;=$A1552),0)),""))</x:f>
      </x:c>
      <x:c r="M1552" t="n">
        <x:f>--($A1552&lt;&gt;"")</x:f>
        <x:v>1</x:v>
      </x:c>
    </x:row>
    <x:row r="1553">
      <x:c r="A1553" s="10" t="n">
        <x:f>IF(Assumptions!$B$5+INT((ROW()-2)/Assumptions!$B$7)&gt;Assumptions!$B$6,"",Assumptions!$B$5+INT((ROW()-2)/Assumptions!$B$7))</x:f>
        <x:v>46333</x:v>
      </x:c>
      <x:c r="B1553" t="str">
        <x:f>IF($A1553="","",INDEX(Assumptions!$D$5:$D$12,MOD(ROW()-2,Assumptions!$B$7)+1))</x:f>
        <x:v>LV-426 North</x:v>
      </x:c>
      <x:c r="C1553" s="11" t="n">
        <x:f>IF($A1553="","",INDEX(Assumptions!$F$5:$F$12,MATCH($B1553,Assumptions!$D$5:$D$12,0)))</x:f>
        <x:v>930</x:v>
      </x:c>
      <x:c r="D1553" s="11" t="n">
        <x:f>IF($A1553="","",INDEX(Assumptions!$G$5:$G$12,MATCH($B1553,Assumptions!$D$5:$D$12,0)))</x:f>
        <x:v>95</x:v>
      </x:c>
      <x:c r="E1553" s="11" t="n">
        <x:f>IF($A1553="","",INDEX(Assumptions!$M$5:$M$11,WEEKDAY($A1553,2)))</x:f>
        <x:v>0.91</x:v>
      </x:c>
      <x:c r="F1553" s="11" t="n">
        <x:f>IF($A1553="","",Assumptions!$B$15)</x:f>
        <x:v>0.35</x:v>
      </x:c>
      <x:c r="G1553" s="11" t="n">
        <x:f>IF($A1553="","",MAX(INDEX(Assumptions!$H$5:$H$12,MATCH($B1553,Assumptions!$D$5:$D$12,0)),MIN(INDEX(Assumptions!$I$5:$I$12,MATCH($B1553,Assumptions!$D$5:$D$12,0)),($C1553+$D1553*SQRT(-2*LN(RAND()))*COS(2*PI()*RAND()))*$E1553*$J1553*$K1553)))</x:f>
        <x:v>924.9654163485952</x:v>
      </x:c>
      <x:c r="H1553" s="11" t="n">
        <x:f>IF($A1553="","",$G1553*$F1553+$C1553*(1-$F1553))</x:f>
        <x:v>928.2378957220083</x:v>
      </x:c>
      <x:c r="I1553" s="11" t="n">
        <x:f>IF($A1553="","",AVERAGE($H1553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949.2653843784652</x:v>
      </x:c>
      <x:c r="J1553" s="12" t="n">
        <x:f>IF($A1553="","",1+SUMIFS(Assumptions!$S$5:$S$10,Assumptions!$P$5:$P$10,$B1553,Assumptions!$Q$5:$Q$10,"&lt;="&amp;$A1553,Assumptions!$R$5:$R$10,"&gt;="&amp;$A1553))</x:f>
        <x:v>1</x:v>
      </x:c>
      <x:c r="K1553" s="12" t="n">
        <x:f>IF($A1553="","",1+((($A1553-Assumptions!$B$5)/30)*INDEX(Assumptions!$J$5:$J$12,MATCH($B1553,Assumptions!$D$5:$D$12,0))))</x:f>
        <x:v>0.9896666666666667</x:v>
      </x:c>
      <x:c r="L1553" t="str">
        <x:f>IF($A1553="","",IFERROR(INDEX(Assumptions!$O$5:$O$10,MATCH(1,(Assumptions!$P$5:$P$10=$B1553)*(Assumptions!$Q$5:$Q$10&lt;=$A1553)*(Assumptions!$R$5:$R$10&gt;=$A1553),0)),""))</x:f>
      </x:c>
      <x:c r="M1553" t="n">
        <x:f>--($A1553&lt;&gt;"")</x:f>
        <x:v>1</x:v>
      </x:c>
    </x:row>
    <x:row r="1554">
      <x:c r="A1554" s="10" t="n">
        <x:f>IF(Assumptions!$B$5+INT((ROW()-2)/Assumptions!$B$7)&gt;Assumptions!$B$6,"",Assumptions!$B$5+INT((ROW()-2)/Assumptions!$B$7))</x:f>
        <x:v>46333</x:v>
      </x:c>
      <x:c r="B1554" t="str">
        <x:f>IF($A1554="","",INDEX(Assumptions!$D$5:$D$12,MOD(ROW()-2,Assumptions!$B$7)+1))</x:f>
        <x:v>Nostromo Deep</x:v>
      </x:c>
      <x:c r="C1554" s="11" t="n">
        <x:f>IF($A1554="","",INDEX(Assumptions!$F$5:$F$12,MATCH($B1554,Assumptions!$D$5:$D$12,0)))</x:f>
        <x:v>1260</x:v>
      </x:c>
      <x:c r="D1554" s="11" t="n">
        <x:f>IF($A1554="","",INDEX(Assumptions!$G$5:$G$12,MATCH($B1554,Assumptions!$D$5:$D$12,0)))</x:f>
        <x:v>145</x:v>
      </x:c>
      <x:c r="E1554" s="11" t="n">
        <x:f>IF($A1554="","",INDEX(Assumptions!$M$5:$M$11,WEEKDAY($A1554,2)))</x:f>
        <x:v>0.91</x:v>
      </x:c>
      <x:c r="F1554" s="11" t="n">
        <x:f>IF($A1554="","",Assumptions!$B$15)</x:f>
        <x:v>0.35</x:v>
      </x:c>
      <x:c r="G1554" s="11" t="n">
        <x:f>IF($A1554="","",MAX(INDEX(Assumptions!$H$5:$H$12,MATCH($B1554,Assumptions!$D$5:$D$12,0)),MIN(INDEX(Assumptions!$I$5:$I$12,MATCH($B1554,Assumptions!$D$5:$D$12,0)),($C1554+$D1554*SQRT(-2*LN(RAND()))*COS(2*PI()*RAND()))*$E1554*$J1554*$K1554)))</x:f>
        <x:v>1324.0737198394816</x:v>
      </x:c>
      <x:c r="H1554" s="11" t="n">
        <x:f>IF($A1554="","",$G1554*$F1554+$C1554*(1-$F1554))</x:f>
        <x:v>1282.4258019438184</x:v>
      </x:c>
      <x:c r="I1554" s="11" t="n">
        <x:f>IF($A1554="","",AVERAGE($H1554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1284.2814672414986</x:v>
      </x:c>
      <x:c r="J1554" s="12" t="n">
        <x:f>IF($A1554="","",1+SUMIFS(Assumptions!$S$5:$S$10,Assumptions!$P$5:$P$10,$B1554,Assumptions!$Q$5:$Q$10,"&lt;="&amp;$A1554,Assumptions!$R$5:$R$10,"&gt;="&amp;$A1554))</x:f>
        <x:v>1</x:v>
      </x:c>
      <x:c r="K1554" s="12" t="n">
        <x:f>IF($A1554="","",1+((($A1554-Assumptions!$B$5)/30)*INDEX(Assumptions!$J$5:$J$12,MATCH($B1554,Assumptions!$D$5:$D$12,0))))</x:f>
        <x:v>1.031</x:v>
      </x:c>
      <x:c r="L1554" t="str">
        <x:f>IF($A1554="","",IFERROR(INDEX(Assumptions!$O$5:$O$10,MATCH(1,(Assumptions!$P$5:$P$10=$B1554)*(Assumptions!$Q$5:$Q$10&lt;=$A1554)*(Assumptions!$R$5:$R$10&gt;=$A1554),0)),""))</x:f>
      </x:c>
      <x:c r="M1554" t="n">
        <x:f>--($A1554&lt;&gt;"")</x:f>
        <x:v>1</x:v>
      </x:c>
    </x:row>
    <x:row r="1555">
      <x:c r="A1555" s="10" t="n">
        <x:f>IF(Assumptions!$B$5+INT((ROW()-2)/Assumptions!$B$7)&gt;Assumptions!$B$6,"",Assumptions!$B$5+INT((ROW()-2)/Assumptions!$B$7))</x:f>
        <x:v>46333</x:v>
      </x:c>
      <x:c r="B1555" t="str">
        <x:f>IF($A1555="","",INDEX(Assumptions!$D$5:$D$12,MOD(ROW()-2,Assumptions!$B$7)+1))</x:f>
        <x:v>Hadley's Hope</x:v>
      </x:c>
      <x:c r="C1555" s="11" t="n">
        <x:f>IF($A1555="","",INDEX(Assumptions!$F$5:$F$12,MATCH($B1555,Assumptions!$D$5:$D$12,0)))</x:f>
        <x:v>845</x:v>
      </x:c>
      <x:c r="D1555" s="11" t="n">
        <x:f>IF($A1555="","",INDEX(Assumptions!$G$5:$G$12,MATCH($B1555,Assumptions!$D$5:$D$12,0)))</x:f>
        <x:v>80</x:v>
      </x:c>
      <x:c r="E1555" s="11" t="n">
        <x:f>IF($A1555="","",INDEX(Assumptions!$M$5:$M$11,WEEKDAY($A1555,2)))</x:f>
        <x:v>0.91</x:v>
      </x:c>
      <x:c r="F1555" s="11" t="n">
        <x:f>IF($A1555="","",Assumptions!$B$15)</x:f>
        <x:v>0.35</x:v>
      </x:c>
      <x:c r="G1555" s="11" t="n">
        <x:f>IF($A1555="","",MAX(INDEX(Assumptions!$H$5:$H$12,MATCH($B1555,Assumptions!$D$5:$D$12,0)),MIN(INDEX(Assumptions!$I$5:$I$12,MATCH($B1555,Assumptions!$D$5:$D$12,0)),($C1555+$D1555*SQRT(-2*LN(RAND()))*COS(2*PI()*RAND()))*$E1555*$J1555*$K1555)))</x:f>
        <x:v>846.8654829470998</x:v>
      </x:c>
      <x:c r="H1555" s="11" t="n">
        <x:f>IF($A1555="","",$G1555*$F1555+$C1555*(1-$F1555))</x:f>
        <x:v>845.652919031485</x:v>
      </x:c>
      <x:c r="I1555" s="11" t="n">
        <x:f>IF($A1555="","",AVERAGE($H1555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845.8542536610111</x:v>
      </x:c>
      <x:c r="J1555" s="12" t="n">
        <x:f>IF($A1555="","",1+SUMIFS(Assumptions!$S$5:$S$10,Assumptions!$P$5:$P$10,$B1555,Assumptions!$Q$5:$Q$10,"&lt;="&amp;$A1555,Assumptions!$R$5:$R$10,"&gt;="&amp;$A1555))</x:f>
        <x:v>1</x:v>
      </x:c>
      <x:c r="K1555" s="12" t="n">
        <x:f>IF($A1555="","",1+((($A1555-Assumptions!$B$5)/30)*INDEX(Assumptions!$J$5:$J$12,MATCH($B1555,Assumptions!$D$5:$D$12,0))))</x:f>
        <x:v>1.0103333333333333</x:v>
      </x:c>
      <x:c r="L1555" t="str">
        <x:f>IF($A1555="","",IFERROR(INDEX(Assumptions!$O$5:$O$10,MATCH(1,(Assumptions!$P$5:$P$10=$B1555)*(Assumptions!$Q$5:$Q$10&lt;=$A1555)*(Assumptions!$R$5:$R$10&gt;=$A1555),0)),""))</x:f>
      </x:c>
      <x:c r="M1555" t="n">
        <x:f>--($A1555&lt;&gt;"")</x:f>
        <x:v>1</x:v>
      </x:c>
    </x:row>
    <x:row r="1556">
      <x:c r="A1556" s="10" t="n">
        <x:f>IF(Assumptions!$B$5+INT((ROW()-2)/Assumptions!$B$7)&gt;Assumptions!$B$6,"",Assumptions!$B$5+INT((ROW()-2)/Assumptions!$B$7))</x:f>
        <x:v>46333</x:v>
      </x:c>
      <x:c r="B1556" t="str">
        <x:f>IF($A1556="","",INDEX(Assumptions!$D$5:$D$12,MOD(ROW()-2,Assumptions!$B$7)+1))</x:f>
        <x:v>Yutani Ridge</x:v>
      </x:c>
      <x:c r="C1556" s="11" t="n">
        <x:f>IF($A1556="","",INDEX(Assumptions!$F$5:$F$12,MATCH($B1556,Assumptions!$D$5:$D$12,0)))</x:f>
        <x:v>1050</x:v>
      </x:c>
      <x:c r="D1556" s="11" t="n">
        <x:f>IF($A1556="","",INDEX(Assumptions!$G$5:$G$12,MATCH($B1556,Assumptions!$D$5:$D$12,0)))</x:f>
        <x:v>125</x:v>
      </x:c>
      <x:c r="E1556" s="11" t="n">
        <x:f>IF($A1556="","",INDEX(Assumptions!$M$5:$M$11,WEEKDAY($A1556,2)))</x:f>
        <x:v>0.91</x:v>
      </x:c>
      <x:c r="F1556" s="11" t="n">
        <x:f>IF($A1556="","",Assumptions!$B$15)</x:f>
        <x:v>0.35</x:v>
      </x:c>
      <x:c r="G1556" s="11" t="n">
        <x:f>IF($A1556="","",MAX(INDEX(Assumptions!$H$5:$H$12,MATCH($B1556,Assumptions!$D$5:$D$12,0)),MIN(INDEX(Assumptions!$I$5:$I$12,MATCH($B1556,Assumptions!$D$5:$D$12,0)),($C1556+$D1556*SQRT(-2*LN(RAND()))*COS(2*PI()*RAND()))*$E1556*$J1556*$K1556)))</x:f>
        <x:v>704.9217812022688</x:v>
      </x:c>
      <x:c r="H1556" s="11" t="n">
        <x:f>IF($A1556="","",$G1556*$F1556+$C1556*(1-$F1556))</x:f>
        <x:v>929.2226234207941</x:v>
      </x:c>
      <x:c r="I1556" s="11" t="n">
        <x:f>IF($A1556="","",AVERAGE($H1556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1017.5537089467003</x:v>
      </x:c>
      <x:c r="J1556" s="12" t="n">
        <x:f>IF($A1556="","",1+SUMIFS(Assumptions!$S$5:$S$10,Assumptions!$P$5:$P$10,$B1556,Assumptions!$Q$5:$Q$10,"&lt;="&amp;$A1556,Assumptions!$R$5:$R$10,"&gt;="&amp;$A1556))</x:f>
        <x:v>1</x:v>
      </x:c>
      <x:c r="K1556" s="12" t="n">
        <x:f>IF($A1556="","",1+((($A1556-Assumptions!$B$5)/30)*INDEX(Assumptions!$J$5:$J$12,MATCH($B1556,Assumptions!$D$5:$D$12,0))))</x:f>
        <x:v>1.0258333333333334</x:v>
      </x:c>
      <x:c r="L1556" t="str">
        <x:f>IF($A1556="","",IFERROR(INDEX(Assumptions!$O$5:$O$10,MATCH(1,(Assumptions!$P$5:$P$10=$B1556)*(Assumptions!$Q$5:$Q$10&lt;=$A1556)*(Assumptions!$R$5:$R$10&gt;=$A1556),0)),""))</x:f>
      </x:c>
      <x:c r="M1556" t="n">
        <x:f>--($A1556&lt;&gt;"")</x:f>
        <x:v>1</x:v>
      </x:c>
    </x:row>
    <x:row r="1557">
      <x:c r="A1557" s="10" t="n">
        <x:f>IF(Assumptions!$B$5+INT((ROW()-2)/Assumptions!$B$7)&gt;Assumptions!$B$6,"",Assumptions!$B$5+INT((ROW()-2)/Assumptions!$B$7))</x:f>
        <x:v>46334</x:v>
      </x:c>
      <x:c r="B1557" t="str">
        <x:f>IF($A1557="","",INDEX(Assumptions!$D$5:$D$12,MOD(ROW()-2,Assumptions!$B$7)+1))</x:f>
        <x:v>Acheron Prime</x:v>
      </x:c>
      <x:c r="C1557" s="11" t="n">
        <x:f>IF($A1557="","",INDEX(Assumptions!$F$5:$F$12,MATCH($B1557,Assumptions!$D$5:$D$12,0)))</x:f>
        <x:v>1120</x:v>
      </x:c>
      <x:c r="D1557" s="11" t="n">
        <x:f>IF($A1557="","",INDEX(Assumptions!$G$5:$G$12,MATCH($B1557,Assumptions!$D$5:$D$12,0)))</x:f>
        <x:v>115</x:v>
      </x:c>
      <x:c r="E1557" s="11" t="n">
        <x:f>IF($A1557="","",INDEX(Assumptions!$M$5:$M$11,WEEKDAY($A1557,2)))</x:f>
        <x:v>0.87</x:v>
      </x:c>
      <x:c r="F1557" s="11" t="n">
        <x:f>IF($A1557="","",Assumptions!$B$15)</x:f>
        <x:v>0.35</x:v>
      </x:c>
      <x:c r="G1557" s="11" t="n">
        <x:f>IF($A1557="","",MAX(INDEX(Assumptions!$H$5:$H$12,MATCH($B1557,Assumptions!$D$5:$D$12,0)),MIN(INDEX(Assumptions!$I$5:$I$12,MATCH($B1557,Assumptions!$D$5:$D$12,0)),($C1557+$D1557*SQRT(-2*LN(RAND()))*COS(2*PI()*RAND()))*$E1557*$J1557*$K1557)))</x:f>
        <x:v>1168.4256325004164</x:v>
      </x:c>
      <x:c r="H1557" s="11" t="n">
        <x:f>IF($A1557="","",$G1557*$F1557+$C1557*(1-$F1557))</x:f>
        <x:v>1136.9489713751457</x:v>
      </x:c>
      <x:c r="I1557" s="11" t="n">
        <x:f>IF($A1557="","",AVERAGE($H1557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1120.0467125292937</x:v>
      </x:c>
      <x:c r="J1557" s="12" t="n">
        <x:f>IF($A1557="","",1+SUMIFS(Assumptions!$S$5:$S$10,Assumptions!$P$5:$P$10,$B1557,Assumptions!$Q$5:$Q$10,"&lt;="&amp;$A1557,Assumptions!$R$5:$R$10,"&gt;="&amp;$A1557))</x:f>
        <x:v>1</x:v>
      </x:c>
      <x:c r="K1557" s="12" t="n">
        <x:f>IF($A1557="","",1+((($A1557-Assumptions!$B$5)/30)*INDEX(Assumptions!$J$5:$J$12,MATCH($B1557,Assumptions!$D$5:$D$12,0))))</x:f>
        <x:v>1.0207333333333333</x:v>
      </x:c>
      <x:c r="L1557" t="str">
        <x:f>IF($A1557="","",IFERROR(INDEX(Assumptions!$O$5:$O$10,MATCH(1,(Assumptions!$P$5:$P$10=$B1557)*(Assumptions!$Q$5:$Q$10&lt;=$A1557)*(Assumptions!$R$5:$R$10&gt;=$A1557),0)),""))</x:f>
      </x:c>
      <x:c r="M1557" t="n">
        <x:f>--($A1557&lt;&gt;"")</x:f>
        <x:v>1</x:v>
      </x:c>
    </x:row>
    <x:row r="1558">
      <x:c r="A1558" s="10" t="n">
        <x:f>IF(Assumptions!$B$5+INT((ROW()-2)/Assumptions!$B$7)&gt;Assumptions!$B$6,"",Assumptions!$B$5+INT((ROW()-2)/Assumptions!$B$7))</x:f>
        <x:v>46334</x:v>
      </x:c>
      <x:c r="B1558" t="str">
        <x:f>IF($A1558="","",INDEX(Assumptions!$D$5:$D$12,MOD(ROW()-2,Assumptions!$B$7)+1))</x:f>
        <x:v>LV-426 North</x:v>
      </x:c>
      <x:c r="C1558" s="11" t="n">
        <x:f>IF($A1558="","",INDEX(Assumptions!$F$5:$F$12,MATCH($B1558,Assumptions!$D$5:$D$12,0)))</x:f>
        <x:v>930</x:v>
      </x:c>
      <x:c r="D1558" s="11" t="n">
        <x:f>IF($A1558="","",INDEX(Assumptions!$G$5:$G$12,MATCH($B1558,Assumptions!$D$5:$D$12,0)))</x:f>
        <x:v>95</x:v>
      </x:c>
      <x:c r="E1558" s="11" t="n">
        <x:f>IF($A1558="","",INDEX(Assumptions!$M$5:$M$11,WEEKDAY($A1558,2)))</x:f>
        <x:v>0.87</x:v>
      </x:c>
      <x:c r="F1558" s="11" t="n">
        <x:f>IF($A1558="","",Assumptions!$B$15)</x:f>
        <x:v>0.35</x:v>
      </x:c>
      <x:c r="G1558" s="11" t="n">
        <x:f>IF($A1558="","",MAX(INDEX(Assumptions!$H$5:$H$12,MATCH($B1558,Assumptions!$D$5:$D$12,0)),MIN(INDEX(Assumptions!$I$5:$I$12,MATCH($B1558,Assumptions!$D$5:$D$12,0)),($C1558+$D1558*SQRT(-2*LN(RAND()))*COS(2*PI()*RAND()))*$E1558*$J1558*$K1558)))</x:f>
        <x:v>728.9346781280987</x:v>
      </x:c>
      <x:c r="H1558" s="11" t="n">
        <x:f>IF($A1558="","",$G1558*$F1558+$C1558*(1-$F1558))</x:f>
        <x:v>859.6271373448345</x:v>
      </x:c>
      <x:c r="I1558" s="11" t="n">
        <x:f>IF($A1558="","",AVERAGE($H1558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941.9711404547567</x:v>
      </x:c>
      <x:c r="J1558" s="12" t="n">
        <x:f>IF($A1558="","",1+SUMIFS(Assumptions!$S$5:$S$10,Assumptions!$P$5:$P$10,$B1558,Assumptions!$Q$5:$Q$10,"&lt;="&amp;$A1558,Assumptions!$R$5:$R$10,"&gt;="&amp;$A1558))</x:f>
        <x:v>1</x:v>
      </x:c>
      <x:c r="K1558" s="12" t="n">
        <x:f>IF($A1558="","",1+((($A1558-Assumptions!$B$5)/30)*INDEX(Assumptions!$J$5:$J$12,MATCH($B1558,Assumptions!$D$5:$D$12,0))))</x:f>
        <x:v>0.9896333333333334</x:v>
      </x:c>
      <x:c r="L1558" t="str">
        <x:f>IF($A1558="","",IFERROR(INDEX(Assumptions!$O$5:$O$10,MATCH(1,(Assumptions!$P$5:$P$10=$B1558)*(Assumptions!$Q$5:$Q$10&lt;=$A1558)*(Assumptions!$R$5:$R$10&gt;=$A1558),0)),""))</x:f>
      </x:c>
      <x:c r="M1558" t="n">
        <x:f>--($A1558&lt;&gt;"")</x:f>
        <x:v>1</x:v>
      </x:c>
    </x:row>
    <x:row r="1559">
      <x:c r="A1559" s="10" t="n">
        <x:f>IF(Assumptions!$B$5+INT((ROW()-2)/Assumptions!$B$7)&gt;Assumptions!$B$6,"",Assumptions!$B$5+INT((ROW()-2)/Assumptions!$B$7))</x:f>
        <x:v>46334</x:v>
      </x:c>
      <x:c r="B1559" t="str">
        <x:f>IF($A1559="","",INDEX(Assumptions!$D$5:$D$12,MOD(ROW()-2,Assumptions!$B$7)+1))</x:f>
        <x:v>Nostromo Deep</x:v>
      </x:c>
      <x:c r="C1559" s="11" t="n">
        <x:f>IF($A1559="","",INDEX(Assumptions!$F$5:$F$12,MATCH($B1559,Assumptions!$D$5:$D$12,0)))</x:f>
        <x:v>1260</x:v>
      </x:c>
      <x:c r="D1559" s="11" t="n">
        <x:f>IF($A1559="","",INDEX(Assumptions!$G$5:$G$12,MATCH($B1559,Assumptions!$D$5:$D$12,0)))</x:f>
        <x:v>145</x:v>
      </x:c>
      <x:c r="E1559" s="11" t="n">
        <x:f>IF($A1559="","",INDEX(Assumptions!$M$5:$M$11,WEEKDAY($A1559,2)))</x:f>
        <x:v>0.87</x:v>
      </x:c>
      <x:c r="F1559" s="11" t="n">
        <x:f>IF($A1559="","",Assumptions!$B$15)</x:f>
        <x:v>0.35</x:v>
      </x:c>
      <x:c r="G1559" s="11" t="n">
        <x:f>IF($A1559="","",MAX(INDEX(Assumptions!$H$5:$H$12,MATCH($B1559,Assumptions!$D$5:$D$12,0)),MIN(INDEX(Assumptions!$I$5:$I$12,MATCH($B1559,Assumptions!$D$5:$D$12,0)),($C1559+$D1559*SQRT(-2*LN(RAND()))*COS(2*PI()*RAND()))*$E1559*$J1559*$K1559)))</x:f>
        <x:v>1210.3147983662461</x:v>
      </x:c>
      <x:c r="H1559" s="11" t="n">
        <x:f>IF($A1559="","",$G1559*$F1559+$C1559*(1-$F1559))</x:f>
        <x:v>1242.6101794281863</x:v>
      </x:c>
      <x:c r="I1559" s="11" t="n">
        <x:f>IF($A1559="","",AVERAGE($H1559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1291.4636217446343</x:v>
      </x:c>
      <x:c r="J1559" s="12" t="n">
        <x:f>IF($A1559="","",1+SUMIFS(Assumptions!$S$5:$S$10,Assumptions!$P$5:$P$10,$B1559,Assumptions!$Q$5:$Q$10,"&lt;="&amp;$A1559,Assumptions!$R$5:$R$10,"&gt;="&amp;$A1559))</x:f>
        <x:v>1</x:v>
      </x:c>
      <x:c r="K1559" s="12" t="n">
        <x:f>IF($A1559="","",1+((($A1559-Assumptions!$B$5)/30)*INDEX(Assumptions!$J$5:$J$12,MATCH($B1559,Assumptions!$D$5:$D$12,0))))</x:f>
        <x:v>1.0311</x:v>
      </x:c>
      <x:c r="L1559" t="str">
        <x:f>IF($A1559="","",IFERROR(INDEX(Assumptions!$O$5:$O$10,MATCH(1,(Assumptions!$P$5:$P$10=$B1559)*(Assumptions!$Q$5:$Q$10&lt;=$A1559)*(Assumptions!$R$5:$R$10&gt;=$A1559),0)),""))</x:f>
      </x:c>
      <x:c r="M1559" t="n">
        <x:f>--($A1559&lt;&gt;"")</x:f>
        <x:v>1</x:v>
      </x:c>
    </x:row>
    <x:row r="1560">
      <x:c r="A1560" s="10" t="n">
        <x:f>IF(Assumptions!$B$5+INT((ROW()-2)/Assumptions!$B$7)&gt;Assumptions!$B$6,"",Assumptions!$B$5+INT((ROW()-2)/Assumptions!$B$7))</x:f>
        <x:v>46334</x:v>
      </x:c>
      <x:c r="B1560" t="str">
        <x:f>IF($A1560="","",INDEX(Assumptions!$D$5:$D$12,MOD(ROW()-2,Assumptions!$B$7)+1))</x:f>
        <x:v>Hadley's Hope</x:v>
      </x:c>
      <x:c r="C1560" s="11" t="n">
        <x:f>IF($A1560="","",INDEX(Assumptions!$F$5:$F$12,MATCH($B1560,Assumptions!$D$5:$D$12,0)))</x:f>
        <x:v>845</x:v>
      </x:c>
      <x:c r="D1560" s="11" t="n">
        <x:f>IF($A1560="","",INDEX(Assumptions!$G$5:$G$12,MATCH($B1560,Assumptions!$D$5:$D$12,0)))</x:f>
        <x:v>80</x:v>
      </x:c>
      <x:c r="E1560" s="11" t="n">
        <x:f>IF($A1560="","",INDEX(Assumptions!$M$5:$M$11,WEEKDAY($A1560,2)))</x:f>
        <x:v>0.87</x:v>
      </x:c>
      <x:c r="F1560" s="11" t="n">
        <x:f>IF($A1560="","",Assumptions!$B$15)</x:f>
        <x:v>0.35</x:v>
      </x:c>
      <x:c r="G1560" s="11" t="n">
        <x:f>IF($A1560="","",MAX(INDEX(Assumptions!$H$5:$H$12,MATCH($B1560,Assumptions!$D$5:$D$12,0)),MIN(INDEX(Assumptions!$I$5:$I$12,MATCH($B1560,Assumptions!$D$5:$D$12,0)),($C1560+$D1560*SQRT(-2*LN(RAND()))*COS(2*PI()*RAND()))*$E1560*$J1560*$K1560)))</x:f>
        <x:v>733.7485460366871</x:v>
      </x:c>
      <x:c r="H1560" s="11" t="n">
        <x:f>IF($A1560="","",$G1560*$F1560+$C1560*(1-$F1560))</x:f>
        <x:v>806.0619911128405</x:v>
      </x:c>
      <x:c r="I1560" s="11" t="n">
        <x:f>IF($A1560="","",AVERAGE($H1560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842.2866344763552</x:v>
      </x:c>
      <x:c r="J1560" s="12" t="n">
        <x:f>IF($A1560="","",1+SUMIFS(Assumptions!$S$5:$S$10,Assumptions!$P$5:$P$10,$B1560,Assumptions!$Q$5:$Q$10,"&lt;="&amp;$A1560,Assumptions!$R$5:$R$10,"&gt;="&amp;$A1560))</x:f>
        <x:v>1</x:v>
      </x:c>
      <x:c r="K1560" s="12" t="n">
        <x:f>IF($A1560="","",1+((($A1560-Assumptions!$B$5)/30)*INDEX(Assumptions!$J$5:$J$12,MATCH($B1560,Assumptions!$D$5:$D$12,0))))</x:f>
        <x:v>1.0103666666666666</x:v>
      </x:c>
      <x:c r="L1560" t="str">
        <x:f>IF($A1560="","",IFERROR(INDEX(Assumptions!$O$5:$O$10,MATCH(1,(Assumptions!$P$5:$P$10=$B1560)*(Assumptions!$Q$5:$Q$10&lt;=$A1560)*(Assumptions!$R$5:$R$10&gt;=$A1560),0)),""))</x:f>
      </x:c>
      <x:c r="M1560" t="n">
        <x:f>--($A1560&lt;&gt;"")</x:f>
        <x:v>1</x:v>
      </x:c>
    </x:row>
    <x:row r="1561">
      <x:c r="A1561" s="10" t="n">
        <x:f>IF(Assumptions!$B$5+INT((ROW()-2)/Assumptions!$B$7)&gt;Assumptions!$B$6,"",Assumptions!$B$5+INT((ROW()-2)/Assumptions!$B$7))</x:f>
        <x:v>46334</x:v>
      </x:c>
      <x:c r="B1561" t="str">
        <x:f>IF($A1561="","",INDEX(Assumptions!$D$5:$D$12,MOD(ROW()-2,Assumptions!$B$7)+1))</x:f>
        <x:v>Yutani Ridge</x:v>
      </x:c>
      <x:c r="C1561" s="11" t="n">
        <x:f>IF($A1561="","",INDEX(Assumptions!$F$5:$F$12,MATCH($B1561,Assumptions!$D$5:$D$12,0)))</x:f>
        <x:v>1050</x:v>
      </x:c>
      <x:c r="D1561" s="11" t="n">
        <x:f>IF($A1561="","",INDEX(Assumptions!$G$5:$G$12,MATCH($B1561,Assumptions!$D$5:$D$12,0)))</x:f>
        <x:v>125</x:v>
      </x:c>
      <x:c r="E1561" s="11" t="n">
        <x:f>IF($A1561="","",INDEX(Assumptions!$M$5:$M$11,WEEKDAY($A1561,2)))</x:f>
        <x:v>0.87</x:v>
      </x:c>
      <x:c r="F1561" s="11" t="n">
        <x:f>IF($A1561="","",Assumptions!$B$15)</x:f>
        <x:v>0.35</x:v>
      </x:c>
      <x:c r="G1561" s="11" t="n">
        <x:f>IF($A1561="","",MAX(INDEX(Assumptions!$H$5:$H$12,MATCH($B1561,Assumptions!$D$5:$D$12,0)),MIN(INDEX(Assumptions!$I$5:$I$12,MATCH($B1561,Assumptions!$D$5:$D$12,0)),($C1561+$D1561*SQRT(-2*LN(RAND()))*COS(2*PI()*RAND()))*$E1561*$J1561*$K1561)))</x:f>
        <x:v>838.7939229347469</x:v>
      </x:c>
      <x:c r="H1561" s="11" t="n">
        <x:f>IF($A1561="","",$G1561*$F1561+$C1561*(1-$F1561))</x:f>
        <x:v>976.0778730271613</x:v>
      </x:c>
      <x:c r="I1561" s="11" t="n">
        <x:f>IF($A1561="","",AVERAGE($H1561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1009.1839693189521</x:v>
      </x:c>
      <x:c r="J1561" s="12" t="n">
        <x:f>IF($A1561="","",1+SUMIFS(Assumptions!$S$5:$S$10,Assumptions!$P$5:$P$10,$B1561,Assumptions!$Q$5:$Q$10,"&lt;="&amp;$A1561,Assumptions!$R$5:$R$10,"&gt;="&amp;$A1561))</x:f>
        <x:v>1</x:v>
      </x:c>
      <x:c r="K1561" s="12" t="n">
        <x:f>IF($A1561="","",1+((($A1561-Assumptions!$B$5)/30)*INDEX(Assumptions!$J$5:$J$12,MATCH($B1561,Assumptions!$D$5:$D$12,0))))</x:f>
        <x:v>1.0259166666666666</x:v>
      </x:c>
      <x:c r="L1561" t="str">
        <x:f>IF($A1561="","",IFERROR(INDEX(Assumptions!$O$5:$O$10,MATCH(1,(Assumptions!$P$5:$P$10=$B1561)*(Assumptions!$Q$5:$Q$10&lt;=$A1561)*(Assumptions!$R$5:$R$10&gt;=$A1561),0)),""))</x:f>
      </x:c>
      <x:c r="M1561" t="n">
        <x:f>--($A1561&lt;&gt;"")</x:f>
        <x:v>1</x:v>
      </x:c>
    </x:row>
    <x:row r="1562">
      <x:c r="A1562" s="10" t="n">
        <x:f>IF(Assumptions!$B$5+INT((ROW()-2)/Assumptions!$B$7)&gt;Assumptions!$B$6,"",Assumptions!$B$5+INT((ROW()-2)/Assumptions!$B$7))</x:f>
        <x:v>46335</x:v>
      </x:c>
      <x:c r="B1562" t="str">
        <x:f>IF($A1562="","",INDEX(Assumptions!$D$5:$D$12,MOD(ROW()-2,Assumptions!$B$7)+1))</x:f>
        <x:v>Acheron Prime</x:v>
      </x:c>
      <x:c r="C1562" s="11" t="n">
        <x:f>IF($A1562="","",INDEX(Assumptions!$F$5:$F$12,MATCH($B1562,Assumptions!$D$5:$D$12,0)))</x:f>
        <x:v>1120</x:v>
      </x:c>
      <x:c r="D1562" s="11" t="n">
        <x:f>IF($A1562="","",INDEX(Assumptions!$G$5:$G$12,MATCH($B1562,Assumptions!$D$5:$D$12,0)))</x:f>
        <x:v>115</x:v>
      </x:c>
      <x:c r="E1562" s="11" t="n">
        <x:f>IF($A1562="","",INDEX(Assumptions!$M$5:$M$11,WEEKDAY($A1562,2)))</x:f>
        <x:v>1.03</x:v>
      </x:c>
      <x:c r="F1562" s="11" t="n">
        <x:f>IF($A1562="","",Assumptions!$B$15)</x:f>
        <x:v>0.35</x:v>
      </x:c>
      <x:c r="G1562" s="11" t="n">
        <x:f>IF($A1562="","",MAX(INDEX(Assumptions!$H$5:$H$12,MATCH($B1562,Assumptions!$D$5:$D$12,0)),MIN(INDEX(Assumptions!$I$5:$I$12,MATCH($B1562,Assumptions!$D$5:$D$12,0)),($C1562+$D1562*SQRT(-2*LN(RAND()))*COS(2*PI()*RAND()))*$E1562*$J1562*$K1562)))</x:f>
        <x:v>1394.0433722959006</x:v>
      </x:c>
      <x:c r="H1562" s="11" t="n">
        <x:f>IF($A1562="","",$G1562*$F1562+$C1562*(1-$F1562))</x:f>
        <x:v>1215.9151803035652</x:v>
      </x:c>
      <x:c r="I1562" s="11" t="n">
        <x:f>IF($A1562="","",AVERAGE($H1562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1145.2353932867916</x:v>
      </x:c>
      <x:c r="J1562" s="12" t="n">
        <x:f>IF($A1562="","",1+SUMIFS(Assumptions!$S$5:$S$10,Assumptions!$P$5:$P$10,$B1562,Assumptions!$Q$5:$Q$10,"&lt;="&amp;$A1562,Assumptions!$R$5:$R$10,"&gt;="&amp;$A1562))</x:f>
        <x:v>1</x:v>
      </x:c>
      <x:c r="K1562" s="12" t="n">
        <x:f>IF($A1562="","",1+((($A1562-Assumptions!$B$5)/30)*INDEX(Assumptions!$J$5:$J$12,MATCH($B1562,Assumptions!$D$5:$D$12,0))))</x:f>
        <x:v>1.0208</x:v>
      </x:c>
      <x:c r="L1562" t="str">
        <x:f>IF($A1562="","",IFERROR(INDEX(Assumptions!$O$5:$O$10,MATCH(1,(Assumptions!$P$5:$P$10=$B1562)*(Assumptions!$Q$5:$Q$10&lt;=$A1562)*(Assumptions!$R$5:$R$10&gt;=$A1562),0)),""))</x:f>
      </x:c>
      <x:c r="M1562" t="n">
        <x:f>--($A1562&lt;&gt;"")</x:f>
        <x:v>1</x:v>
      </x:c>
    </x:row>
    <x:row r="1563">
      <x:c r="A1563" s="10" t="n">
        <x:f>IF(Assumptions!$B$5+INT((ROW()-2)/Assumptions!$B$7)&gt;Assumptions!$B$6,"",Assumptions!$B$5+INT((ROW()-2)/Assumptions!$B$7))</x:f>
        <x:v>46335</x:v>
      </x:c>
      <x:c r="B1563" t="str">
        <x:f>IF($A1563="","",INDEX(Assumptions!$D$5:$D$12,MOD(ROW()-2,Assumptions!$B$7)+1))</x:f>
        <x:v>LV-426 North</x:v>
      </x:c>
      <x:c r="C1563" s="11" t="n">
        <x:f>IF($A1563="","",INDEX(Assumptions!$F$5:$F$12,MATCH($B1563,Assumptions!$D$5:$D$12,0)))</x:f>
        <x:v>930</x:v>
      </x:c>
      <x:c r="D1563" s="11" t="n">
        <x:f>IF($A1563="","",INDEX(Assumptions!$G$5:$G$12,MATCH($B1563,Assumptions!$D$5:$D$12,0)))</x:f>
        <x:v>95</x:v>
      </x:c>
      <x:c r="E1563" s="11" t="n">
        <x:f>IF($A1563="","",INDEX(Assumptions!$M$5:$M$11,WEEKDAY($A1563,2)))</x:f>
        <x:v>1.03</x:v>
      </x:c>
      <x:c r="F1563" s="11" t="n">
        <x:f>IF($A1563="","",Assumptions!$B$15)</x:f>
        <x:v>0.35</x:v>
      </x:c>
      <x:c r="G1563" s="11" t="n">
        <x:f>IF($A1563="","",MAX(INDEX(Assumptions!$H$5:$H$12,MATCH($B1563,Assumptions!$D$5:$D$12,0)),MIN(INDEX(Assumptions!$I$5:$I$12,MATCH($B1563,Assumptions!$D$5:$D$12,0)),($C1563+$D1563*SQRT(-2*LN(RAND()))*COS(2*PI()*RAND()))*$E1563*$J1563*$K1563)))</x:f>
        <x:v>1007.2679629418083</x:v>
      </x:c>
      <x:c r="H1563" s="11" t="n">
        <x:f>IF($A1563="","",$G1563*$F1563+$C1563*(1-$F1563))</x:f>
        <x:v>957.0437870296329</x:v>
      </x:c>
      <x:c r="I1563" s="11" t="n">
        <x:f>IF($A1563="","",AVERAGE($H1563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946.5634597883865</x:v>
      </x:c>
      <x:c r="J1563" s="12" t="n">
        <x:f>IF($A1563="","",1+SUMIFS(Assumptions!$S$5:$S$10,Assumptions!$P$5:$P$10,$B1563,Assumptions!$Q$5:$Q$10,"&lt;="&amp;$A1563,Assumptions!$R$5:$R$10,"&gt;="&amp;$A1563))</x:f>
        <x:v>1</x:v>
      </x:c>
      <x:c r="K1563" s="12" t="n">
        <x:f>IF($A1563="","",1+((($A1563-Assumptions!$B$5)/30)*INDEX(Assumptions!$J$5:$J$12,MATCH($B1563,Assumptions!$D$5:$D$12,0))))</x:f>
        <x:v>0.9896</x:v>
      </x:c>
      <x:c r="L1563" t="str">
        <x:f>IF($A1563="","",IFERROR(INDEX(Assumptions!$O$5:$O$10,MATCH(1,(Assumptions!$P$5:$P$10=$B1563)*(Assumptions!$Q$5:$Q$10&lt;=$A1563)*(Assumptions!$R$5:$R$10&gt;=$A1563),0)),""))</x:f>
      </x:c>
      <x:c r="M1563" t="n">
        <x:f>--($A1563&lt;&gt;"")</x:f>
        <x:v>1</x:v>
      </x:c>
    </x:row>
    <x:row r="1564">
      <x:c r="A1564" s="10" t="n">
        <x:f>IF(Assumptions!$B$5+INT((ROW()-2)/Assumptions!$B$7)&gt;Assumptions!$B$6,"",Assumptions!$B$5+INT((ROW()-2)/Assumptions!$B$7))</x:f>
        <x:v>46335</x:v>
      </x:c>
      <x:c r="B1564" t="str">
        <x:f>IF($A1564="","",INDEX(Assumptions!$D$5:$D$12,MOD(ROW()-2,Assumptions!$B$7)+1))</x:f>
        <x:v>Nostromo Deep</x:v>
      </x:c>
      <x:c r="C1564" s="11" t="n">
        <x:f>IF($A1564="","",INDEX(Assumptions!$F$5:$F$12,MATCH($B1564,Assumptions!$D$5:$D$12,0)))</x:f>
        <x:v>1260</x:v>
      </x:c>
      <x:c r="D1564" s="11" t="n">
        <x:f>IF($A1564="","",INDEX(Assumptions!$G$5:$G$12,MATCH($B1564,Assumptions!$D$5:$D$12,0)))</x:f>
        <x:v>145</x:v>
      </x:c>
      <x:c r="E1564" s="11" t="n">
        <x:f>IF($A1564="","",INDEX(Assumptions!$M$5:$M$11,WEEKDAY($A1564,2)))</x:f>
        <x:v>1.03</x:v>
      </x:c>
      <x:c r="F1564" s="11" t="n">
        <x:f>IF($A1564="","",Assumptions!$B$15)</x:f>
        <x:v>0.35</x:v>
      </x:c>
      <x:c r="G1564" s="11" t="n">
        <x:f>IF($A1564="","",MAX(INDEX(Assumptions!$H$5:$H$12,MATCH($B1564,Assumptions!$D$5:$D$12,0)),MIN(INDEX(Assumptions!$I$5:$I$12,MATCH($B1564,Assumptions!$D$5:$D$12,0)),($C1564+$D1564*SQRT(-2*LN(RAND()))*COS(2*PI()*RAND()))*$E1564*$J1564*$K1564)))</x:f>
        <x:v>1238.8093800213635</x:v>
      </x:c>
      <x:c r="H1564" s="11" t="n">
        <x:f>IF($A1564="","",$G1564*$F1564+$C1564*(1-$F1564))</x:f>
        <x:v>1252.5832830074771</x:v>
      </x:c>
      <x:c r="I1564" s="11" t="n">
        <x:f>IF($A1564="","",AVERAGE($H1564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1272.4690322081744</x:v>
      </x:c>
      <x:c r="J1564" s="12" t="n">
        <x:f>IF($A1564="","",1+SUMIFS(Assumptions!$S$5:$S$10,Assumptions!$P$5:$P$10,$B1564,Assumptions!$Q$5:$Q$10,"&lt;="&amp;$A1564,Assumptions!$R$5:$R$10,"&gt;="&amp;$A1564))</x:f>
        <x:v>1</x:v>
      </x:c>
      <x:c r="K1564" s="12" t="n">
        <x:f>IF($A1564="","",1+((($A1564-Assumptions!$B$5)/30)*INDEX(Assumptions!$J$5:$J$12,MATCH($B1564,Assumptions!$D$5:$D$12,0))))</x:f>
        <x:v>1.0312</x:v>
      </x:c>
      <x:c r="L1564" t="str">
        <x:f>IF($A1564="","",IFERROR(INDEX(Assumptions!$O$5:$O$10,MATCH(1,(Assumptions!$P$5:$P$10=$B1564)*(Assumptions!$Q$5:$Q$10&lt;=$A1564)*(Assumptions!$R$5:$R$10&gt;=$A1564),0)),""))</x:f>
      </x:c>
      <x:c r="M1564" t="n">
        <x:f>--($A1564&lt;&gt;"")</x:f>
        <x:v>1</x:v>
      </x:c>
    </x:row>
    <x:row r="1565">
      <x:c r="A1565" s="10" t="n">
        <x:f>IF(Assumptions!$B$5+INT((ROW()-2)/Assumptions!$B$7)&gt;Assumptions!$B$6,"",Assumptions!$B$5+INT((ROW()-2)/Assumptions!$B$7))</x:f>
        <x:v>46335</x:v>
      </x:c>
      <x:c r="B1565" t="str">
        <x:f>IF($A1565="","",INDEX(Assumptions!$D$5:$D$12,MOD(ROW()-2,Assumptions!$B$7)+1))</x:f>
        <x:v>Hadley's Hope</x:v>
      </x:c>
      <x:c r="C1565" s="11" t="n">
        <x:f>IF($A1565="","",INDEX(Assumptions!$F$5:$F$12,MATCH($B1565,Assumptions!$D$5:$D$12,0)))</x:f>
        <x:v>845</x:v>
      </x:c>
      <x:c r="D1565" s="11" t="n">
        <x:f>IF($A1565="","",INDEX(Assumptions!$G$5:$G$12,MATCH($B1565,Assumptions!$D$5:$D$12,0)))</x:f>
        <x:v>80</x:v>
      </x:c>
      <x:c r="E1565" s="11" t="n">
        <x:f>IF($A1565="","",INDEX(Assumptions!$M$5:$M$11,WEEKDAY($A1565,2)))</x:f>
        <x:v>1.03</x:v>
      </x:c>
      <x:c r="F1565" s="11" t="n">
        <x:f>IF($A1565="","",Assumptions!$B$15)</x:f>
        <x:v>0.35</x:v>
      </x:c>
      <x:c r="G1565" s="11" t="n">
        <x:f>IF($A1565="","",MAX(INDEX(Assumptions!$H$5:$H$12,MATCH($B1565,Assumptions!$D$5:$D$12,0)),MIN(INDEX(Assumptions!$I$5:$I$12,MATCH($B1565,Assumptions!$D$5:$D$12,0)),($C1565+$D1565*SQRT(-2*LN(RAND()))*COS(2*PI()*RAND()))*$E1565*$J1565*$K1565)))</x:f>
        <x:v>929.8673691571448</x:v>
      </x:c>
      <x:c r="H1565" s="11" t="n">
        <x:f>IF($A1565="","",$G1565*$F1565+$C1565*(1-$F1565))</x:f>
        <x:v>874.7035792050007</x:v>
      </x:c>
      <x:c r="I1565" s="11" t="n">
        <x:f>IF($A1565="","",AVERAGE($H1565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850.7179417531445</x:v>
      </x:c>
      <x:c r="J1565" s="12" t="n">
        <x:f>IF($A1565="","",1+SUMIFS(Assumptions!$S$5:$S$10,Assumptions!$P$5:$P$10,$B1565,Assumptions!$Q$5:$Q$10,"&lt;="&amp;$A1565,Assumptions!$R$5:$R$10,"&gt;="&amp;$A1565))</x:f>
        <x:v>1</x:v>
      </x:c>
      <x:c r="K1565" s="12" t="n">
        <x:f>IF($A1565="","",1+((($A1565-Assumptions!$B$5)/30)*INDEX(Assumptions!$J$5:$J$12,MATCH($B1565,Assumptions!$D$5:$D$12,0))))</x:f>
        <x:v>1.0104</x:v>
      </x:c>
      <x:c r="L1565" t="str">
        <x:f>IF($A1565="","",IFERROR(INDEX(Assumptions!$O$5:$O$10,MATCH(1,(Assumptions!$P$5:$P$10=$B1565)*(Assumptions!$Q$5:$Q$10&lt;=$A1565)*(Assumptions!$R$5:$R$10&gt;=$A1565),0)),""))</x:f>
      </x:c>
      <x:c r="M1565" t="n">
        <x:f>--($A1565&lt;&gt;"")</x:f>
        <x:v>1</x:v>
      </x:c>
    </x:row>
    <x:row r="1566">
      <x:c r="A1566" s="10" t="n">
        <x:f>IF(Assumptions!$B$5+INT((ROW()-2)/Assumptions!$B$7)&gt;Assumptions!$B$6,"",Assumptions!$B$5+INT((ROW()-2)/Assumptions!$B$7))</x:f>
        <x:v>46335</x:v>
      </x:c>
      <x:c r="B1566" t="str">
        <x:f>IF($A1566="","",INDEX(Assumptions!$D$5:$D$12,MOD(ROW()-2,Assumptions!$B$7)+1))</x:f>
        <x:v>Yutani Ridge</x:v>
      </x:c>
      <x:c r="C1566" s="11" t="n">
        <x:f>IF($A1566="","",INDEX(Assumptions!$F$5:$F$12,MATCH($B1566,Assumptions!$D$5:$D$12,0)))</x:f>
        <x:v>1050</x:v>
      </x:c>
      <x:c r="D1566" s="11" t="n">
        <x:f>IF($A1566="","",INDEX(Assumptions!$G$5:$G$12,MATCH($B1566,Assumptions!$D$5:$D$12,0)))</x:f>
        <x:v>125</x:v>
      </x:c>
      <x:c r="E1566" s="11" t="n">
        <x:f>IF($A1566="","",INDEX(Assumptions!$M$5:$M$11,WEEKDAY($A1566,2)))</x:f>
        <x:v>1.03</x:v>
      </x:c>
      <x:c r="F1566" s="11" t="n">
        <x:f>IF($A1566="","",Assumptions!$B$15)</x:f>
        <x:v>0.35</x:v>
      </x:c>
      <x:c r="G1566" s="11" t="n">
        <x:f>IF($A1566="","",MAX(INDEX(Assumptions!$H$5:$H$12,MATCH($B1566,Assumptions!$D$5:$D$12,0)),MIN(INDEX(Assumptions!$I$5:$I$12,MATCH($B1566,Assumptions!$D$5:$D$12,0)),($C1566+$D1566*SQRT(-2*LN(RAND()))*COS(2*PI()*RAND()))*$E1566*$J1566*$K1566)))</x:f>
        <x:v>1056.1195548375035</x:v>
      </x:c>
      <x:c r="H1566" s="11" t="n">
        <x:f>IF($A1566="","",$G1566*$F1566+$C1566*(1-$F1566))</x:f>
        <x:v>1052.1418441931262</x:v>
      </x:c>
      <x:c r="I1566" s="11" t="n">
        <x:f>IF($A1566="","",AVERAGE($H1566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1011.535339345266</x:v>
      </x:c>
      <x:c r="J1566" s="12" t="n">
        <x:f>IF($A1566="","",1+SUMIFS(Assumptions!$S$5:$S$10,Assumptions!$P$5:$P$10,$B1566,Assumptions!$Q$5:$Q$10,"&lt;="&amp;$A1566,Assumptions!$R$5:$R$10,"&gt;="&amp;$A1566))</x:f>
        <x:v>1</x:v>
      </x:c>
      <x:c r="K1566" s="12" t="n">
        <x:f>IF($A1566="","",1+((($A1566-Assumptions!$B$5)/30)*INDEX(Assumptions!$J$5:$J$12,MATCH($B1566,Assumptions!$D$5:$D$12,0))))</x:f>
        <x:v>1.026</x:v>
      </x:c>
      <x:c r="L1566" t="str">
        <x:f>IF($A1566="","",IFERROR(INDEX(Assumptions!$O$5:$O$10,MATCH(1,(Assumptions!$P$5:$P$10=$B1566)*(Assumptions!$Q$5:$Q$10&lt;=$A1566)*(Assumptions!$R$5:$R$10&gt;=$A1566),0)),""))</x:f>
      </x:c>
      <x:c r="M1566" t="n">
        <x:f>--($A1566&lt;&gt;"")</x:f>
        <x:v>1</x:v>
      </x:c>
    </x:row>
    <x:row r="1567">
      <x:c r="A1567" s="10" t="n">
        <x:f>IF(Assumptions!$B$5+INT((ROW()-2)/Assumptions!$B$7)&gt;Assumptions!$B$6,"",Assumptions!$B$5+INT((ROW()-2)/Assumptions!$B$7))</x:f>
        <x:v>46336</x:v>
      </x:c>
      <x:c r="B1567" t="str">
        <x:f>IF($A1567="","",INDEX(Assumptions!$D$5:$D$12,MOD(ROW()-2,Assumptions!$B$7)+1))</x:f>
        <x:v>Acheron Prime</x:v>
      </x:c>
      <x:c r="C1567" s="11" t="n">
        <x:f>IF($A1567="","",INDEX(Assumptions!$F$5:$F$12,MATCH($B1567,Assumptions!$D$5:$D$12,0)))</x:f>
        <x:v>1120</x:v>
      </x:c>
      <x:c r="D1567" s="11" t="n">
        <x:f>IF($A1567="","",INDEX(Assumptions!$G$5:$G$12,MATCH($B1567,Assumptions!$D$5:$D$12,0)))</x:f>
        <x:v>115</x:v>
      </x:c>
      <x:c r="E1567" s="11" t="n">
        <x:f>IF($A1567="","",INDEX(Assumptions!$M$5:$M$11,WEEKDAY($A1567,2)))</x:f>
        <x:v>1.02</x:v>
      </x:c>
      <x:c r="F1567" s="11" t="n">
        <x:f>IF($A1567="","",Assumptions!$B$15)</x:f>
        <x:v>0.35</x:v>
      </x:c>
      <x:c r="G1567" s="11" t="n">
        <x:f>IF($A1567="","",MAX(INDEX(Assumptions!$H$5:$H$12,MATCH($B1567,Assumptions!$D$5:$D$12,0)),MIN(INDEX(Assumptions!$I$5:$I$12,MATCH($B1567,Assumptions!$D$5:$D$12,0)),($C1567+$D1567*SQRT(-2*LN(RAND()))*COS(2*PI()*RAND()))*$E1567*$J1567*$K1567)))</x:f>
        <x:v>1180.4976834331626</x:v>
      </x:c>
      <x:c r="H1567" s="11" t="n">
        <x:f>IF($A1567="","",$G1567*$F1567+$C1567*(1-$F1567))</x:f>
        <x:v>1141.1741892016069</x:v>
      </x:c>
      <x:c r="I1567" s="11" t="n">
        <x:f>IF($A1567="","",AVERAGE($H1567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1149.4737503503438</x:v>
      </x:c>
      <x:c r="J1567" s="12" t="n">
        <x:f>IF($A1567="","",1+SUMIFS(Assumptions!$S$5:$S$10,Assumptions!$P$5:$P$10,$B1567,Assumptions!$Q$5:$Q$10,"&lt;="&amp;$A1567,Assumptions!$R$5:$R$10,"&gt;="&amp;$A1567))</x:f>
        <x:v>1</x:v>
      </x:c>
      <x:c r="K1567" s="12" t="n">
        <x:f>IF($A1567="","",1+((($A1567-Assumptions!$B$5)/30)*INDEX(Assumptions!$J$5:$J$12,MATCH($B1567,Assumptions!$D$5:$D$12,0))))</x:f>
        <x:v>1.0208666666666666</x:v>
      </x:c>
      <x:c r="L1567" t="str">
        <x:f>IF($A1567="","",IFERROR(INDEX(Assumptions!$O$5:$O$10,MATCH(1,(Assumptions!$P$5:$P$10=$B1567)*(Assumptions!$Q$5:$Q$10&lt;=$A1567)*(Assumptions!$R$5:$R$10&gt;=$A1567),0)),""))</x:f>
      </x:c>
      <x:c r="M1567" t="n">
        <x:f>--($A1567&lt;&gt;"")</x:f>
        <x:v>1</x:v>
      </x:c>
    </x:row>
    <x:row r="1568">
      <x:c r="A1568" s="10" t="n">
        <x:f>IF(Assumptions!$B$5+INT((ROW()-2)/Assumptions!$B$7)&gt;Assumptions!$B$6,"",Assumptions!$B$5+INT((ROW()-2)/Assumptions!$B$7))</x:f>
        <x:v>46336</x:v>
      </x:c>
      <x:c r="B1568" t="str">
        <x:f>IF($A1568="","",INDEX(Assumptions!$D$5:$D$12,MOD(ROW()-2,Assumptions!$B$7)+1))</x:f>
        <x:v>LV-426 North</x:v>
      </x:c>
      <x:c r="C1568" s="11" t="n">
        <x:f>IF($A1568="","",INDEX(Assumptions!$F$5:$F$12,MATCH($B1568,Assumptions!$D$5:$D$12,0)))</x:f>
        <x:v>930</x:v>
      </x:c>
      <x:c r="D1568" s="11" t="n">
        <x:f>IF($A1568="","",INDEX(Assumptions!$G$5:$G$12,MATCH($B1568,Assumptions!$D$5:$D$12,0)))</x:f>
        <x:v>95</x:v>
      </x:c>
      <x:c r="E1568" s="11" t="n">
        <x:f>IF($A1568="","",INDEX(Assumptions!$M$5:$M$11,WEEKDAY($A1568,2)))</x:f>
        <x:v>1.02</x:v>
      </x:c>
      <x:c r="F1568" s="11" t="n">
        <x:f>IF($A1568="","",Assumptions!$B$15)</x:f>
        <x:v>0.35</x:v>
      </x:c>
      <x:c r="G1568" s="11" t="n">
        <x:f>IF($A1568="","",MAX(INDEX(Assumptions!$H$5:$H$12,MATCH($B1568,Assumptions!$D$5:$D$12,0)),MIN(INDEX(Assumptions!$I$5:$I$12,MATCH($B1568,Assumptions!$D$5:$D$12,0)),($C1568+$D1568*SQRT(-2*LN(RAND()))*COS(2*PI()*RAND()))*$E1568*$J1568*$K1568)))</x:f>
        <x:v>888.9099765478201</x:v>
      </x:c>
      <x:c r="H1568" s="11" t="n">
        <x:f>IF($A1568="","",$G1568*$F1568+$C1568*(1-$F1568))</x:f>
        <x:v>915.618491791737</x:v>
      </x:c>
      <x:c r="I1568" s="11" t="n">
        <x:f>IF($A1568="","",AVERAGE($H1568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934.4883073689077</x:v>
      </x:c>
      <x:c r="J1568" s="12" t="n">
        <x:f>IF($A1568="","",1+SUMIFS(Assumptions!$S$5:$S$10,Assumptions!$P$5:$P$10,$B1568,Assumptions!$Q$5:$Q$10,"&lt;="&amp;$A1568,Assumptions!$R$5:$R$10,"&gt;="&amp;$A1568))</x:f>
        <x:v>1</x:v>
      </x:c>
      <x:c r="K1568" s="12" t="n">
        <x:f>IF($A1568="","",1+((($A1568-Assumptions!$B$5)/30)*INDEX(Assumptions!$J$5:$J$12,MATCH($B1568,Assumptions!$D$5:$D$12,0))))</x:f>
        <x:v>0.9895666666666667</x:v>
      </x:c>
      <x:c r="L1568" t="str">
        <x:f>IF($A1568="","",IFERROR(INDEX(Assumptions!$O$5:$O$10,MATCH(1,(Assumptions!$P$5:$P$10=$B1568)*(Assumptions!$Q$5:$Q$10&lt;=$A1568)*(Assumptions!$R$5:$R$10&gt;=$A1568),0)),""))</x:f>
      </x:c>
      <x:c r="M1568" t="n">
        <x:f>--($A1568&lt;&gt;"")</x:f>
        <x:v>1</x:v>
      </x:c>
    </x:row>
    <x:row r="1569">
      <x:c r="A1569" s="10" t="n">
        <x:f>IF(Assumptions!$B$5+INT((ROW()-2)/Assumptions!$B$7)&gt;Assumptions!$B$6,"",Assumptions!$B$5+INT((ROW()-2)/Assumptions!$B$7))</x:f>
        <x:v>46336</x:v>
      </x:c>
      <x:c r="B1569" t="str">
        <x:f>IF($A1569="","",INDEX(Assumptions!$D$5:$D$12,MOD(ROW()-2,Assumptions!$B$7)+1))</x:f>
        <x:v>Nostromo Deep</x:v>
      </x:c>
      <x:c r="C1569" s="11" t="n">
        <x:f>IF($A1569="","",INDEX(Assumptions!$F$5:$F$12,MATCH($B1569,Assumptions!$D$5:$D$12,0)))</x:f>
        <x:v>1260</x:v>
      </x:c>
      <x:c r="D1569" s="11" t="n">
        <x:f>IF($A1569="","",INDEX(Assumptions!$G$5:$G$12,MATCH($B1569,Assumptions!$D$5:$D$12,0)))</x:f>
        <x:v>145</x:v>
      </x:c>
      <x:c r="E1569" s="11" t="n">
        <x:f>IF($A1569="","",INDEX(Assumptions!$M$5:$M$11,WEEKDAY($A1569,2)))</x:f>
        <x:v>1.02</x:v>
      </x:c>
      <x:c r="F1569" s="11" t="n">
        <x:f>IF($A1569="","",Assumptions!$B$15)</x:f>
        <x:v>0.35</x:v>
      </x:c>
      <x:c r="G1569" s="11" t="n">
        <x:f>IF($A1569="","",MAX(INDEX(Assumptions!$H$5:$H$12,MATCH($B1569,Assumptions!$D$5:$D$12,0)),MIN(INDEX(Assumptions!$I$5:$I$12,MATCH($B1569,Assumptions!$D$5:$D$12,0)),($C1569+$D1569*SQRT(-2*LN(RAND()))*COS(2*PI()*RAND()))*$E1569*$J1569*$K1569)))</x:f>
        <x:v>1389.2068490316374</x:v>
      </x:c>
      <x:c r="H1569" s="11" t="n">
        <x:f>IF($A1569="","",$G1569*$F1569+$C1569*(1-$F1569))</x:f>
        <x:v>1305.222397161073</x:v>
      </x:c>
      <x:c r="I1569" s="11" t="n">
        <x:f>IF($A1569="","",AVERAGE($H1569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1271.754587338437</x:v>
      </x:c>
      <x:c r="J1569" s="12" t="n">
        <x:f>IF($A1569="","",1+SUMIFS(Assumptions!$S$5:$S$10,Assumptions!$P$5:$P$10,$B1569,Assumptions!$Q$5:$Q$10,"&lt;="&amp;$A1569,Assumptions!$R$5:$R$10,"&gt;="&amp;$A1569))</x:f>
        <x:v>1</x:v>
      </x:c>
      <x:c r="K1569" s="12" t="n">
        <x:f>IF($A1569="","",1+((($A1569-Assumptions!$B$5)/30)*INDEX(Assumptions!$J$5:$J$12,MATCH($B1569,Assumptions!$D$5:$D$12,0))))</x:f>
        <x:v>1.0313</x:v>
      </x:c>
      <x:c r="L1569" t="str">
        <x:f>IF($A1569="","",IFERROR(INDEX(Assumptions!$O$5:$O$10,MATCH(1,(Assumptions!$P$5:$P$10=$B1569)*(Assumptions!$Q$5:$Q$10&lt;=$A1569)*(Assumptions!$R$5:$R$10&gt;=$A1569),0)),""))</x:f>
      </x:c>
      <x:c r="M1569" t="n">
        <x:f>--($A1569&lt;&gt;"")</x:f>
        <x:v>1</x:v>
      </x:c>
    </x:row>
    <x:row r="1570">
      <x:c r="A1570" s="10" t="n">
        <x:f>IF(Assumptions!$B$5+INT((ROW()-2)/Assumptions!$B$7)&gt;Assumptions!$B$6,"",Assumptions!$B$5+INT((ROW()-2)/Assumptions!$B$7))</x:f>
        <x:v>46336</x:v>
      </x:c>
      <x:c r="B1570" t="str">
        <x:f>IF($A1570="","",INDEX(Assumptions!$D$5:$D$12,MOD(ROW()-2,Assumptions!$B$7)+1))</x:f>
        <x:v>Hadley's Hope</x:v>
      </x:c>
      <x:c r="C1570" s="11" t="n">
        <x:f>IF($A1570="","",INDEX(Assumptions!$F$5:$F$12,MATCH($B1570,Assumptions!$D$5:$D$12,0)))</x:f>
        <x:v>845</x:v>
      </x:c>
      <x:c r="D1570" s="11" t="n">
        <x:f>IF($A1570="","",INDEX(Assumptions!$G$5:$G$12,MATCH($B1570,Assumptions!$D$5:$D$12,0)))</x:f>
        <x:v>80</x:v>
      </x:c>
      <x:c r="E1570" s="11" t="n">
        <x:f>IF($A1570="","",INDEX(Assumptions!$M$5:$M$11,WEEKDAY($A1570,2)))</x:f>
        <x:v>1.02</x:v>
      </x:c>
      <x:c r="F1570" s="11" t="n">
        <x:f>IF($A1570="","",Assumptions!$B$15)</x:f>
        <x:v>0.35</x:v>
      </x:c>
      <x:c r="G1570" s="11" t="n">
        <x:f>IF($A1570="","",MAX(INDEX(Assumptions!$H$5:$H$12,MATCH($B1570,Assumptions!$D$5:$D$12,0)),MIN(INDEX(Assumptions!$I$5:$I$12,MATCH($B1570,Assumptions!$D$5:$D$12,0)),($C1570+$D1570*SQRT(-2*LN(RAND()))*COS(2*PI()*RAND()))*$E1570*$J1570*$K1570)))</x:f>
        <x:v>837.942794247846</x:v>
      </x:c>
      <x:c r="H1570" s="11" t="n">
        <x:f>IF($A1570="","",$G1570*$F1570+$C1570*(1-$F1570))</x:f>
        <x:v>842.5299779867461</x:v>
      </x:c>
      <x:c r="I1570" s="11" t="n">
        <x:f>IF($A1570="","",AVERAGE($H1570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851.3742614731265</x:v>
      </x:c>
      <x:c r="J1570" s="12" t="n">
        <x:f>IF($A1570="","",1+SUMIFS(Assumptions!$S$5:$S$10,Assumptions!$P$5:$P$10,$B1570,Assumptions!$Q$5:$Q$10,"&lt;="&amp;$A1570,Assumptions!$R$5:$R$10,"&gt;="&amp;$A1570))</x:f>
        <x:v>1</x:v>
      </x:c>
      <x:c r="K1570" s="12" t="n">
        <x:f>IF($A1570="","",1+((($A1570-Assumptions!$B$5)/30)*INDEX(Assumptions!$J$5:$J$12,MATCH($B1570,Assumptions!$D$5:$D$12,0))))</x:f>
        <x:v>1.0104333333333333</x:v>
      </x:c>
      <x:c r="L1570" t="str">
        <x:f>IF($A1570="","",IFERROR(INDEX(Assumptions!$O$5:$O$10,MATCH(1,(Assumptions!$P$5:$P$10=$B1570)*(Assumptions!$Q$5:$Q$10&lt;=$A1570)*(Assumptions!$R$5:$R$10&gt;=$A1570),0)),""))</x:f>
      </x:c>
      <x:c r="M1570" t="n">
        <x:f>--($A1570&lt;&gt;"")</x:f>
        <x:v>1</x:v>
      </x:c>
    </x:row>
    <x:row r="1571">
      <x:c r="A1571" s="10" t="n">
        <x:f>IF(Assumptions!$B$5+INT((ROW()-2)/Assumptions!$B$7)&gt;Assumptions!$B$6,"",Assumptions!$B$5+INT((ROW()-2)/Assumptions!$B$7))</x:f>
        <x:v>46336</x:v>
      </x:c>
      <x:c r="B1571" t="str">
        <x:f>IF($A1571="","",INDEX(Assumptions!$D$5:$D$12,MOD(ROW()-2,Assumptions!$B$7)+1))</x:f>
        <x:v>Yutani Ridge</x:v>
      </x:c>
      <x:c r="C1571" s="11" t="n">
        <x:f>IF($A1571="","",INDEX(Assumptions!$F$5:$F$12,MATCH($B1571,Assumptions!$D$5:$D$12,0)))</x:f>
        <x:v>1050</x:v>
      </x:c>
      <x:c r="D1571" s="11" t="n">
        <x:f>IF($A1571="","",INDEX(Assumptions!$G$5:$G$12,MATCH($B1571,Assumptions!$D$5:$D$12,0)))</x:f>
        <x:v>125</x:v>
      </x:c>
      <x:c r="E1571" s="11" t="n">
        <x:f>IF($A1571="","",INDEX(Assumptions!$M$5:$M$11,WEEKDAY($A1571,2)))</x:f>
        <x:v>1.02</x:v>
      </x:c>
      <x:c r="F1571" s="11" t="n">
        <x:f>IF($A1571="","",Assumptions!$B$15)</x:f>
        <x:v>0.35</x:v>
      </x:c>
      <x:c r="G1571" s="11" t="n">
        <x:f>IF($A1571="","",MAX(INDEX(Assumptions!$H$5:$H$12,MATCH($B1571,Assumptions!$D$5:$D$12,0)),MIN(INDEX(Assumptions!$I$5:$I$12,MATCH($B1571,Assumptions!$D$5:$D$12,0)),($C1571+$D1571*SQRT(-2*LN(RAND()))*COS(2*PI()*RAND()))*$E1571*$J1571*$K1571)))</x:f>
        <x:v>1108.998940250704</x:v>
      </x:c>
      <x:c r="H1571" s="11" t="n">
        <x:f>IF($A1571="","",$G1571*$F1571+$C1571*(1-$F1571))</x:f>
        <x:v>1070.6496290877462</x:v>
      </x:c>
      <x:c r="I1571" s="11" t="n">
        <x:f>IF($A1571="","",AVERAGE($H1571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1015.8561709908473</x:v>
      </x:c>
      <x:c r="J1571" s="12" t="n">
        <x:f>IF($A1571="","",1+SUMIFS(Assumptions!$S$5:$S$10,Assumptions!$P$5:$P$10,$B1571,Assumptions!$Q$5:$Q$10,"&lt;="&amp;$A1571,Assumptions!$R$5:$R$10,"&gt;="&amp;$A1571))</x:f>
        <x:v>1</x:v>
      </x:c>
      <x:c r="K1571" s="12" t="n">
        <x:f>IF($A1571="","",1+((($A1571-Assumptions!$B$5)/30)*INDEX(Assumptions!$J$5:$J$12,MATCH($B1571,Assumptions!$D$5:$D$12,0))))</x:f>
        <x:v>1.0260833333333332</x:v>
      </x:c>
      <x:c r="L1571" t="str">
        <x:f>IF($A1571="","",IFERROR(INDEX(Assumptions!$O$5:$O$10,MATCH(1,(Assumptions!$P$5:$P$10=$B1571)*(Assumptions!$Q$5:$Q$10&lt;=$A1571)*(Assumptions!$R$5:$R$10&gt;=$A1571),0)),""))</x:f>
      </x:c>
      <x:c r="M1571" t="n">
        <x:f>--($A1571&lt;&gt;"")</x:f>
        <x:v>1</x:v>
      </x:c>
    </x:row>
    <x:row r="1572">
      <x:c r="A1572" s="10" t="n">
        <x:f>IF(Assumptions!$B$5+INT((ROW()-2)/Assumptions!$B$7)&gt;Assumptions!$B$6,"",Assumptions!$B$5+INT((ROW()-2)/Assumptions!$B$7))</x:f>
        <x:v>46337</x:v>
      </x:c>
      <x:c r="B1572" t="str">
        <x:f>IF($A1572="","",INDEX(Assumptions!$D$5:$D$12,MOD(ROW()-2,Assumptions!$B$7)+1))</x:f>
        <x:v>Acheron Prime</x:v>
      </x:c>
      <x:c r="C1572" s="11" t="n">
        <x:f>IF($A1572="","",INDEX(Assumptions!$F$5:$F$12,MATCH($B1572,Assumptions!$D$5:$D$12,0)))</x:f>
        <x:v>1120</x:v>
      </x:c>
      <x:c r="D1572" s="11" t="n">
        <x:f>IF($A1572="","",INDEX(Assumptions!$G$5:$G$12,MATCH($B1572,Assumptions!$D$5:$D$12,0)))</x:f>
        <x:v>115</x:v>
      </x:c>
      <x:c r="E1572" s="11" t="n">
        <x:f>IF($A1572="","",INDEX(Assumptions!$M$5:$M$11,WEEKDAY($A1572,2)))</x:f>
        <x:v>1.01</x:v>
      </x:c>
      <x:c r="F1572" s="11" t="n">
        <x:f>IF($A1572="","",Assumptions!$B$15)</x:f>
        <x:v>0.35</x:v>
      </x:c>
      <x:c r="G1572" s="11" t="n">
        <x:f>IF($A1572="","",MAX(INDEX(Assumptions!$H$5:$H$12,MATCH($B1572,Assumptions!$D$5:$D$12,0)),MIN(INDEX(Assumptions!$I$5:$I$12,MATCH($B1572,Assumptions!$D$5:$D$12,0)),($C1572+$D1572*SQRT(-2*LN(RAND()))*COS(2*PI()*RAND()))*$E1572*$J1572*$K1572)))</x:f>
        <x:v>1069.6977190104997</x:v>
      </x:c>
      <x:c r="H1572" s="11" t="n">
        <x:f>IF($A1572="","",$G1572*$F1572+$C1572*(1-$F1572))</x:f>
        <x:v>1102.3942016536748</x:v>
      </x:c>
      <x:c r="I1572" s="11" t="n">
        <x:f>IF($A1572="","",AVERAGE($H1572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1143.8478824097765</x:v>
      </x:c>
      <x:c r="J1572" s="12" t="n">
        <x:f>IF($A1572="","",1+SUMIFS(Assumptions!$S$5:$S$10,Assumptions!$P$5:$P$10,$B1572,Assumptions!$Q$5:$Q$10,"&lt;="&amp;$A1572,Assumptions!$R$5:$R$10,"&gt;="&amp;$A1572))</x:f>
        <x:v>1</x:v>
      </x:c>
      <x:c r="K1572" s="12" t="n">
        <x:f>IF($A1572="","",1+((($A1572-Assumptions!$B$5)/30)*INDEX(Assumptions!$J$5:$J$12,MATCH($B1572,Assumptions!$D$5:$D$12,0))))</x:f>
        <x:v>1.0209333333333332</x:v>
      </x:c>
      <x:c r="L1572" t="str">
        <x:f>IF($A1572="","",IFERROR(INDEX(Assumptions!$O$5:$O$10,MATCH(1,(Assumptions!$P$5:$P$10=$B1572)*(Assumptions!$Q$5:$Q$10&lt;=$A1572)*(Assumptions!$R$5:$R$10&gt;=$A1572),0)),""))</x:f>
      </x:c>
      <x:c r="M1572" t="n">
        <x:f>--($A1572&lt;&gt;"")</x:f>
        <x:v>1</x:v>
      </x:c>
    </x:row>
    <x:row r="1573">
      <x:c r="A1573" s="10" t="n">
        <x:f>IF(Assumptions!$B$5+INT((ROW()-2)/Assumptions!$B$7)&gt;Assumptions!$B$6,"",Assumptions!$B$5+INT((ROW()-2)/Assumptions!$B$7))</x:f>
        <x:v>46337</x:v>
      </x:c>
      <x:c r="B1573" t="str">
        <x:f>IF($A1573="","",INDEX(Assumptions!$D$5:$D$12,MOD(ROW()-2,Assumptions!$B$7)+1))</x:f>
        <x:v>LV-426 North</x:v>
      </x:c>
      <x:c r="C1573" s="11" t="n">
        <x:f>IF($A1573="","",INDEX(Assumptions!$F$5:$F$12,MATCH($B1573,Assumptions!$D$5:$D$12,0)))</x:f>
        <x:v>930</x:v>
      </x:c>
      <x:c r="D1573" s="11" t="n">
        <x:f>IF($A1573="","",INDEX(Assumptions!$G$5:$G$12,MATCH($B1573,Assumptions!$D$5:$D$12,0)))</x:f>
        <x:v>95</x:v>
      </x:c>
      <x:c r="E1573" s="11" t="n">
        <x:f>IF($A1573="","",INDEX(Assumptions!$M$5:$M$11,WEEKDAY($A1573,2)))</x:f>
        <x:v>1.01</x:v>
      </x:c>
      <x:c r="F1573" s="11" t="n">
        <x:f>IF($A1573="","",Assumptions!$B$15)</x:f>
        <x:v>0.35</x:v>
      </x:c>
      <x:c r="G1573" s="11" t="n">
        <x:f>IF($A1573="","",MAX(INDEX(Assumptions!$H$5:$H$12,MATCH($B1573,Assumptions!$D$5:$D$12,0)),MIN(INDEX(Assumptions!$I$5:$I$12,MATCH($B1573,Assumptions!$D$5:$D$12,0)),($C1573+$D1573*SQRT(-2*LN(RAND()))*COS(2*PI()*RAND()))*$E1573*$J1573*$K1573)))</x:f>
        <x:v>1042.2948827795276</x:v>
      </x:c>
      <x:c r="H1573" s="11" t="n">
        <x:f>IF($A1573="","",$G1573*$F1573+$C1573*(1-$F1573))</x:f>
        <x:v>969.3032089728347</x:v>
      </x:c>
      <x:c r="I1573" s="11" t="n">
        <x:f>IF($A1573="","",AVERAGE($H1573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933.2652146471476</x:v>
      </x:c>
      <x:c r="J1573" s="12" t="n">
        <x:f>IF($A1573="","",1+SUMIFS(Assumptions!$S$5:$S$10,Assumptions!$P$5:$P$10,$B1573,Assumptions!$Q$5:$Q$10,"&lt;="&amp;$A1573,Assumptions!$R$5:$R$10,"&gt;="&amp;$A1573))</x:f>
        <x:v>1</x:v>
      </x:c>
      <x:c r="K1573" s="12" t="n">
        <x:f>IF($A1573="","",1+((($A1573-Assumptions!$B$5)/30)*INDEX(Assumptions!$J$5:$J$12,MATCH($B1573,Assumptions!$D$5:$D$12,0))))</x:f>
        <x:v>0.9895333333333334</x:v>
      </x:c>
      <x:c r="L1573" t="str">
        <x:f>IF($A1573="","",IFERROR(INDEX(Assumptions!$O$5:$O$10,MATCH(1,(Assumptions!$P$5:$P$10=$B1573)*(Assumptions!$Q$5:$Q$10&lt;=$A1573)*(Assumptions!$R$5:$R$10&gt;=$A1573),0)),""))</x:f>
      </x:c>
      <x:c r="M1573" t="n">
        <x:f>--($A1573&lt;&gt;"")</x:f>
        <x:v>1</x:v>
      </x:c>
    </x:row>
    <x:row r="1574">
      <x:c r="A1574" s="10" t="n">
        <x:f>IF(Assumptions!$B$5+INT((ROW()-2)/Assumptions!$B$7)&gt;Assumptions!$B$6,"",Assumptions!$B$5+INT((ROW()-2)/Assumptions!$B$7))</x:f>
        <x:v>46337</x:v>
      </x:c>
      <x:c r="B1574" t="str">
        <x:f>IF($A1574="","",INDEX(Assumptions!$D$5:$D$12,MOD(ROW()-2,Assumptions!$B$7)+1))</x:f>
        <x:v>Nostromo Deep</x:v>
      </x:c>
      <x:c r="C1574" s="11" t="n">
        <x:f>IF($A1574="","",INDEX(Assumptions!$F$5:$F$12,MATCH($B1574,Assumptions!$D$5:$D$12,0)))</x:f>
        <x:v>1260</x:v>
      </x:c>
      <x:c r="D1574" s="11" t="n">
        <x:f>IF($A1574="","",INDEX(Assumptions!$G$5:$G$12,MATCH($B1574,Assumptions!$D$5:$D$12,0)))</x:f>
        <x:v>145</x:v>
      </x:c>
      <x:c r="E1574" s="11" t="n">
        <x:f>IF($A1574="","",INDEX(Assumptions!$M$5:$M$11,WEEKDAY($A1574,2)))</x:f>
        <x:v>1.01</x:v>
      </x:c>
      <x:c r="F1574" s="11" t="n">
        <x:f>IF($A1574="","",Assumptions!$B$15)</x:f>
        <x:v>0.35</x:v>
      </x:c>
      <x:c r="G1574" s="11" t="n">
        <x:f>IF($A1574="","",MAX(INDEX(Assumptions!$H$5:$H$12,MATCH($B1574,Assumptions!$D$5:$D$12,0)),MIN(INDEX(Assumptions!$I$5:$I$12,MATCH($B1574,Assumptions!$D$5:$D$12,0)),($C1574+$D1574*SQRT(-2*LN(RAND()))*COS(2*PI()*RAND()))*$E1574*$J1574*$K1574)))</x:f>
        <x:v>1568.5165169565269</x:v>
      </x:c>
      <x:c r="H1574" s="11" t="n">
        <x:f>IF($A1574="","",$G1574*$F1574+$C1574*(1-$F1574))</x:f>
        <x:v>1367.9807809347844</x:v>
      </x:c>
      <x:c r="I1574" s="11" t="n">
        <x:f>IF($A1574="","",AVERAGE($H1574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1289.200778593163</x:v>
      </x:c>
      <x:c r="J1574" s="12" t="n">
        <x:f>IF($A1574="","",1+SUMIFS(Assumptions!$S$5:$S$10,Assumptions!$P$5:$P$10,$B1574,Assumptions!$Q$5:$Q$10,"&lt;="&amp;$A1574,Assumptions!$R$5:$R$10,"&gt;="&amp;$A1574))</x:f>
        <x:v>1</x:v>
      </x:c>
      <x:c r="K1574" s="12" t="n">
        <x:f>IF($A1574="","",1+((($A1574-Assumptions!$B$5)/30)*INDEX(Assumptions!$J$5:$J$12,MATCH($B1574,Assumptions!$D$5:$D$12,0))))</x:f>
        <x:v>1.0314</x:v>
      </x:c>
      <x:c r="L1574" t="str">
        <x:f>IF($A1574="","",IFERROR(INDEX(Assumptions!$O$5:$O$10,MATCH(1,(Assumptions!$P$5:$P$10=$B1574)*(Assumptions!$Q$5:$Q$10&lt;=$A1574)*(Assumptions!$R$5:$R$10&gt;=$A1574),0)),""))</x:f>
      </x:c>
      <x:c r="M1574" t="n">
        <x:f>--($A1574&lt;&gt;"")</x:f>
        <x:v>1</x:v>
      </x:c>
    </x:row>
    <x:row r="1575">
      <x:c r="A1575" s="10" t="n">
        <x:f>IF(Assumptions!$B$5+INT((ROW()-2)/Assumptions!$B$7)&gt;Assumptions!$B$6,"",Assumptions!$B$5+INT((ROW()-2)/Assumptions!$B$7))</x:f>
        <x:v>46337</x:v>
      </x:c>
      <x:c r="B1575" t="str">
        <x:f>IF($A1575="","",INDEX(Assumptions!$D$5:$D$12,MOD(ROW()-2,Assumptions!$B$7)+1))</x:f>
        <x:v>Hadley's Hope</x:v>
      </x:c>
      <x:c r="C1575" s="11" t="n">
        <x:f>IF($A1575="","",INDEX(Assumptions!$F$5:$F$12,MATCH($B1575,Assumptions!$D$5:$D$12,0)))</x:f>
        <x:v>845</x:v>
      </x:c>
      <x:c r="D1575" s="11" t="n">
        <x:f>IF($A1575="","",INDEX(Assumptions!$G$5:$G$12,MATCH($B1575,Assumptions!$D$5:$D$12,0)))</x:f>
        <x:v>80</x:v>
      </x:c>
      <x:c r="E1575" s="11" t="n">
        <x:f>IF($A1575="","",INDEX(Assumptions!$M$5:$M$11,WEEKDAY($A1575,2)))</x:f>
        <x:v>1.01</x:v>
      </x:c>
      <x:c r="F1575" s="11" t="n">
        <x:f>IF($A1575="","",Assumptions!$B$15)</x:f>
        <x:v>0.35</x:v>
      </x:c>
      <x:c r="G1575" s="11" t="n">
        <x:f>IF($A1575="","",MAX(INDEX(Assumptions!$H$5:$H$12,MATCH($B1575,Assumptions!$D$5:$D$12,0)),MIN(INDEX(Assumptions!$I$5:$I$12,MATCH($B1575,Assumptions!$D$5:$D$12,0)),($C1575+$D1575*SQRT(-2*LN(RAND()))*COS(2*PI()*RAND()))*$E1575*$J1575*$K1575)))</x:f>
        <x:v>1000.8283276435453</x:v>
      </x:c>
      <x:c r="H1575" s="11" t="n">
        <x:f>IF($A1575="","",$G1575*$F1575+$C1575*(1-$F1575))</x:f>
        <x:v>899.5399146752409</x:v>
      </x:c>
      <x:c r="I1575" s="11" t="n">
        <x:f>IF($A1575="","",AVERAGE($H1575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856.6893892147594</x:v>
      </x:c>
      <x:c r="J1575" s="12" t="n">
        <x:f>IF($A1575="","",1+SUMIFS(Assumptions!$S$5:$S$10,Assumptions!$P$5:$P$10,$B1575,Assumptions!$Q$5:$Q$10,"&lt;="&amp;$A1575,Assumptions!$R$5:$R$10,"&gt;="&amp;$A1575))</x:f>
        <x:v>1</x:v>
      </x:c>
      <x:c r="K1575" s="12" t="n">
        <x:f>IF($A1575="","",1+((($A1575-Assumptions!$B$5)/30)*INDEX(Assumptions!$J$5:$J$12,MATCH($B1575,Assumptions!$D$5:$D$12,0))))</x:f>
        <x:v>1.0104666666666666</x:v>
      </x:c>
      <x:c r="L1575" t="str">
        <x:f>IF($A1575="","",IFERROR(INDEX(Assumptions!$O$5:$O$10,MATCH(1,(Assumptions!$P$5:$P$10=$B1575)*(Assumptions!$Q$5:$Q$10&lt;=$A1575)*(Assumptions!$R$5:$R$10&gt;=$A1575),0)),""))</x:f>
      </x:c>
      <x:c r="M1575" t="n">
        <x:f>--($A1575&lt;&gt;"")</x:f>
        <x:v>1</x:v>
      </x:c>
    </x:row>
    <x:row r="1576">
      <x:c r="A1576" s="10" t="n">
        <x:f>IF(Assumptions!$B$5+INT((ROW()-2)/Assumptions!$B$7)&gt;Assumptions!$B$6,"",Assumptions!$B$5+INT((ROW()-2)/Assumptions!$B$7))</x:f>
        <x:v>46337</x:v>
      </x:c>
      <x:c r="B1576" t="str">
        <x:f>IF($A1576="","",INDEX(Assumptions!$D$5:$D$12,MOD(ROW()-2,Assumptions!$B$7)+1))</x:f>
        <x:v>Yutani Ridge</x:v>
      </x:c>
      <x:c r="C1576" s="11" t="n">
        <x:f>IF($A1576="","",INDEX(Assumptions!$F$5:$F$12,MATCH($B1576,Assumptions!$D$5:$D$12,0)))</x:f>
        <x:v>1050</x:v>
      </x:c>
      <x:c r="D1576" s="11" t="n">
        <x:f>IF($A1576="","",INDEX(Assumptions!$G$5:$G$12,MATCH($B1576,Assumptions!$D$5:$D$12,0)))</x:f>
        <x:v>125</x:v>
      </x:c>
      <x:c r="E1576" s="11" t="n">
        <x:f>IF($A1576="","",INDEX(Assumptions!$M$5:$M$11,WEEKDAY($A1576,2)))</x:f>
        <x:v>1.01</x:v>
      </x:c>
      <x:c r="F1576" s="11" t="n">
        <x:f>IF($A1576="","",Assumptions!$B$15)</x:f>
        <x:v>0.35</x:v>
      </x:c>
      <x:c r="G1576" s="11" t="n">
        <x:f>IF($A1576="","",MAX(INDEX(Assumptions!$H$5:$H$12,MATCH($B1576,Assumptions!$D$5:$D$12,0)),MIN(INDEX(Assumptions!$I$5:$I$12,MATCH($B1576,Assumptions!$D$5:$D$12,0)),($C1576+$D1576*SQRT(-2*LN(RAND()))*COS(2*PI()*RAND()))*$E1576*$J1576*$K1576)))</x:f>
        <x:v>1125.7705851604817</x:v>
      </x:c>
      <x:c r="H1576" s="11" t="n">
        <x:f>IF($A1576="","",$G1576*$F1576+$C1576*(1-$F1576))</x:f>
        <x:v>1076.5197048061686</x:v>
      </x:c>
      <x:c r="I1576" s="11" t="n">
        <x:f>IF($A1576="","",AVERAGE($H1576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1017.1998999362393</x:v>
      </x:c>
      <x:c r="J1576" s="12" t="n">
        <x:f>IF($A1576="","",1+SUMIFS(Assumptions!$S$5:$S$10,Assumptions!$P$5:$P$10,$B1576,Assumptions!$Q$5:$Q$10,"&lt;="&amp;$A1576,Assumptions!$R$5:$R$10,"&gt;="&amp;$A1576))</x:f>
        <x:v>1</x:v>
      </x:c>
      <x:c r="K1576" s="12" t="n">
        <x:f>IF($A1576="","",1+((($A1576-Assumptions!$B$5)/30)*INDEX(Assumptions!$J$5:$J$12,MATCH($B1576,Assumptions!$D$5:$D$12,0))))</x:f>
        <x:v>1.0261666666666667</x:v>
      </x:c>
      <x:c r="L1576" t="str">
        <x:f>IF($A1576="","",IFERROR(INDEX(Assumptions!$O$5:$O$10,MATCH(1,(Assumptions!$P$5:$P$10=$B1576)*(Assumptions!$Q$5:$Q$10&lt;=$A1576)*(Assumptions!$R$5:$R$10&gt;=$A1576),0)),""))</x:f>
      </x:c>
      <x:c r="M1576" t="n">
        <x:f>--($A1576&lt;&gt;"")</x:f>
        <x:v>1</x:v>
      </x:c>
    </x:row>
    <x:row r="1577">
      <x:c r="A1577" s="10" t="n">
        <x:f>IF(Assumptions!$B$5+INT((ROW()-2)/Assumptions!$B$7)&gt;Assumptions!$B$6,"",Assumptions!$B$5+INT((ROW()-2)/Assumptions!$B$7))</x:f>
        <x:v>46338</x:v>
      </x:c>
      <x:c r="B1577" t="str">
        <x:f>IF($A1577="","",INDEX(Assumptions!$D$5:$D$12,MOD(ROW()-2,Assumptions!$B$7)+1))</x:f>
        <x:v>Acheron Prime</x:v>
      </x:c>
      <x:c r="C1577" s="11" t="n">
        <x:f>IF($A1577="","",INDEX(Assumptions!$F$5:$F$12,MATCH($B1577,Assumptions!$D$5:$D$12,0)))</x:f>
        <x:v>1120</x:v>
      </x:c>
      <x:c r="D1577" s="11" t="n">
        <x:f>IF($A1577="","",INDEX(Assumptions!$G$5:$G$12,MATCH($B1577,Assumptions!$D$5:$D$12,0)))</x:f>
        <x:v>115</x:v>
      </x:c>
      <x:c r="E1577" s="11" t="n">
        <x:f>IF($A1577="","",INDEX(Assumptions!$M$5:$M$11,WEEKDAY($A1577,2)))</x:f>
        <x:v>1</x:v>
      </x:c>
      <x:c r="F1577" s="11" t="n">
        <x:f>IF($A1577="","",Assumptions!$B$15)</x:f>
        <x:v>0.35</x:v>
      </x:c>
      <x:c r="G1577" s="11" t="n">
        <x:f>IF($A1577="","",MAX(INDEX(Assumptions!$H$5:$H$12,MATCH($B1577,Assumptions!$D$5:$D$12,0)),MIN(INDEX(Assumptions!$I$5:$I$12,MATCH($B1577,Assumptions!$D$5:$D$12,0)),($C1577+$D1577*SQRT(-2*LN(RAND()))*COS(2*PI()*RAND()))*$E1577*$J1577*$K1577)))</x:f>
        <x:v>1318.4487506803628</x:v>
      </x:c>
      <x:c r="H1577" s="11" t="n">
        <x:f>IF($A1577="","",$G1577*$F1577+$C1577*(1-$F1577))</x:f>
        <x:v>1189.457062738127</x:v>
      </x:c>
      <x:c r="I1577" s="11" t="n">
        <x:f>IF($A1577="","",AVERAGE($H1577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1139.9102571056815</x:v>
      </x:c>
      <x:c r="J1577" s="12" t="n">
        <x:f>IF($A1577="","",1+SUMIFS(Assumptions!$S$5:$S$10,Assumptions!$P$5:$P$10,$B1577,Assumptions!$Q$5:$Q$10,"&lt;="&amp;$A1577,Assumptions!$R$5:$R$10,"&gt;="&amp;$A1577))</x:f>
        <x:v>1</x:v>
      </x:c>
      <x:c r="K1577" s="12" t="n">
        <x:f>IF($A1577="","",1+((($A1577-Assumptions!$B$5)/30)*INDEX(Assumptions!$J$5:$J$12,MATCH($B1577,Assumptions!$D$5:$D$12,0))))</x:f>
        <x:v>1.021</x:v>
      </x:c>
      <x:c r="L1577" t="str">
        <x:f>IF($A1577="","",IFERROR(INDEX(Assumptions!$O$5:$O$10,MATCH(1,(Assumptions!$P$5:$P$10=$B1577)*(Assumptions!$Q$5:$Q$10&lt;=$A1577)*(Assumptions!$R$5:$R$10&gt;=$A1577),0)),""))</x:f>
      </x:c>
      <x:c r="M1577" t="n">
        <x:f>--($A1577&lt;&gt;"")</x:f>
        <x:v>1</x:v>
      </x:c>
    </x:row>
    <x:row r="1578">
      <x:c r="A1578" s="10" t="n">
        <x:f>IF(Assumptions!$B$5+INT((ROW()-2)/Assumptions!$B$7)&gt;Assumptions!$B$6,"",Assumptions!$B$5+INT((ROW()-2)/Assumptions!$B$7))</x:f>
        <x:v>46338</x:v>
      </x:c>
      <x:c r="B1578" t="str">
        <x:f>IF($A1578="","",INDEX(Assumptions!$D$5:$D$12,MOD(ROW()-2,Assumptions!$B$7)+1))</x:f>
        <x:v>LV-426 North</x:v>
      </x:c>
      <x:c r="C1578" s="11" t="n">
        <x:f>IF($A1578="","",INDEX(Assumptions!$F$5:$F$12,MATCH($B1578,Assumptions!$D$5:$D$12,0)))</x:f>
        <x:v>930</x:v>
      </x:c>
      <x:c r="D1578" s="11" t="n">
        <x:f>IF($A1578="","",INDEX(Assumptions!$G$5:$G$12,MATCH($B1578,Assumptions!$D$5:$D$12,0)))</x:f>
        <x:v>95</x:v>
      </x:c>
      <x:c r="E1578" s="11" t="n">
        <x:f>IF($A1578="","",INDEX(Assumptions!$M$5:$M$11,WEEKDAY($A1578,2)))</x:f>
        <x:v>1</x:v>
      </x:c>
      <x:c r="F1578" s="11" t="n">
        <x:f>IF($A1578="","",Assumptions!$B$15)</x:f>
        <x:v>0.35</x:v>
      </x:c>
      <x:c r="G1578" s="11" t="n">
        <x:f>IF($A1578="","",MAX(INDEX(Assumptions!$H$5:$H$12,MATCH($B1578,Assumptions!$D$5:$D$12,0)),MIN(INDEX(Assumptions!$I$5:$I$12,MATCH($B1578,Assumptions!$D$5:$D$12,0)),($C1578+$D1578*SQRT(-2*LN(RAND()))*COS(2*PI()*RAND()))*$E1578*$J1578*$K1578)))</x:f>
        <x:v>806.4429436633853</x:v>
      </x:c>
      <x:c r="H1578" s="11" t="n">
        <x:f>IF($A1578="","",$G1578*$F1578+$C1578*(1-$F1578))</x:f>
        <x:v>886.7550302821849</x:v>
      </x:c>
      <x:c r="I1578" s="11" t="n">
        <x:f>IF($A1578="","",AVERAGE($H1578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918.1618728227432</x:v>
      </x:c>
      <x:c r="J1578" s="12" t="n">
        <x:f>IF($A1578="","",1+SUMIFS(Assumptions!$S$5:$S$10,Assumptions!$P$5:$P$10,$B1578,Assumptions!$Q$5:$Q$10,"&lt;="&amp;$A1578,Assumptions!$R$5:$R$10,"&gt;="&amp;$A1578))</x:f>
        <x:v>1</x:v>
      </x:c>
      <x:c r="K1578" s="12" t="n">
        <x:f>IF($A1578="","",1+((($A1578-Assumptions!$B$5)/30)*INDEX(Assumptions!$J$5:$J$12,MATCH($B1578,Assumptions!$D$5:$D$12,0))))</x:f>
        <x:v>0.9895</x:v>
      </x:c>
      <x:c r="L1578" t="str">
        <x:f>IF($A1578="","",IFERROR(INDEX(Assumptions!$O$5:$O$10,MATCH(1,(Assumptions!$P$5:$P$10=$B1578)*(Assumptions!$Q$5:$Q$10&lt;=$A1578)*(Assumptions!$R$5:$R$10&gt;=$A1578),0)),""))</x:f>
      </x:c>
      <x:c r="M1578" t="n">
        <x:f>--($A1578&lt;&gt;"")</x:f>
        <x:v>1</x:v>
      </x:c>
    </x:row>
    <x:row r="1579">
      <x:c r="A1579" s="10" t="n">
        <x:f>IF(Assumptions!$B$5+INT((ROW()-2)/Assumptions!$B$7)&gt;Assumptions!$B$6,"",Assumptions!$B$5+INT((ROW()-2)/Assumptions!$B$7))</x:f>
        <x:v>46338</x:v>
      </x:c>
      <x:c r="B1579" t="str">
        <x:f>IF($A1579="","",INDEX(Assumptions!$D$5:$D$12,MOD(ROW()-2,Assumptions!$B$7)+1))</x:f>
        <x:v>Nostromo Deep</x:v>
      </x:c>
      <x:c r="C1579" s="11" t="n">
        <x:f>IF($A1579="","",INDEX(Assumptions!$F$5:$F$12,MATCH($B1579,Assumptions!$D$5:$D$12,0)))</x:f>
        <x:v>1260</x:v>
      </x:c>
      <x:c r="D1579" s="11" t="n">
        <x:f>IF($A1579="","",INDEX(Assumptions!$G$5:$G$12,MATCH($B1579,Assumptions!$D$5:$D$12,0)))</x:f>
        <x:v>145</x:v>
      </x:c>
      <x:c r="E1579" s="11" t="n">
        <x:f>IF($A1579="","",INDEX(Assumptions!$M$5:$M$11,WEEKDAY($A1579,2)))</x:f>
        <x:v>1</x:v>
      </x:c>
      <x:c r="F1579" s="11" t="n">
        <x:f>IF($A1579="","",Assumptions!$B$15)</x:f>
        <x:v>0.35</x:v>
      </x:c>
      <x:c r="G1579" s="11" t="n">
        <x:f>IF($A1579="","",MAX(INDEX(Assumptions!$H$5:$H$12,MATCH($B1579,Assumptions!$D$5:$D$12,0)),MIN(INDEX(Assumptions!$I$5:$I$12,MATCH($B1579,Assumptions!$D$5:$D$12,0)),($C1579+$D1579*SQRT(-2*LN(RAND()))*COS(2*PI()*RAND()))*$E1579*$J1579*$K1579)))</x:f>
        <x:v>1123.3216763647013</x:v>
      </x:c>
      <x:c r="H1579" s="11" t="n">
        <x:f>IF($A1579="","",$G1579*$F1579+$C1579*(1-$F1579))</x:f>
        <x:v>1212.1625867276455</x:v>
      </x:c>
      <x:c r="I1579" s="11" t="n">
        <x:f>IF($A1579="","",AVERAGE($H1579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1275.4656160493862</x:v>
      </x:c>
      <x:c r="J1579" s="12" t="n">
        <x:f>IF($A1579="","",1+SUMIFS(Assumptions!$S$5:$S$10,Assumptions!$P$5:$P$10,$B1579,Assumptions!$Q$5:$Q$10,"&lt;="&amp;$A1579,Assumptions!$R$5:$R$10,"&gt;="&amp;$A1579))</x:f>
        <x:v>1</x:v>
      </x:c>
      <x:c r="K1579" s="12" t="n">
        <x:f>IF($A1579="","",1+((($A1579-Assumptions!$B$5)/30)*INDEX(Assumptions!$J$5:$J$12,MATCH($B1579,Assumptions!$D$5:$D$12,0))))</x:f>
        <x:v>1.0315</x:v>
      </x:c>
      <x:c r="L1579" t="str">
        <x:f>IF($A1579="","",IFERROR(INDEX(Assumptions!$O$5:$O$10,MATCH(1,(Assumptions!$P$5:$P$10=$B1579)*(Assumptions!$Q$5:$Q$10&lt;=$A1579)*(Assumptions!$R$5:$R$10&gt;=$A1579),0)),""))</x:f>
      </x:c>
      <x:c r="M1579" t="n">
        <x:f>--($A1579&lt;&gt;"")</x:f>
        <x:v>1</x:v>
      </x:c>
    </x:row>
    <x:row r="1580">
      <x:c r="A1580" s="10" t="n">
        <x:f>IF(Assumptions!$B$5+INT((ROW()-2)/Assumptions!$B$7)&gt;Assumptions!$B$6,"",Assumptions!$B$5+INT((ROW()-2)/Assumptions!$B$7))</x:f>
        <x:v>46338</x:v>
      </x:c>
      <x:c r="B1580" t="str">
        <x:f>IF($A1580="","",INDEX(Assumptions!$D$5:$D$12,MOD(ROW()-2,Assumptions!$B$7)+1))</x:f>
        <x:v>Hadley's Hope</x:v>
      </x:c>
      <x:c r="C1580" s="11" t="n">
        <x:f>IF($A1580="","",INDEX(Assumptions!$F$5:$F$12,MATCH($B1580,Assumptions!$D$5:$D$12,0)))</x:f>
        <x:v>845</x:v>
      </x:c>
      <x:c r="D1580" s="11" t="n">
        <x:f>IF($A1580="","",INDEX(Assumptions!$G$5:$G$12,MATCH($B1580,Assumptions!$D$5:$D$12,0)))</x:f>
        <x:v>80</x:v>
      </x:c>
      <x:c r="E1580" s="11" t="n">
        <x:f>IF($A1580="","",INDEX(Assumptions!$M$5:$M$11,WEEKDAY($A1580,2)))</x:f>
        <x:v>1</x:v>
      </x:c>
      <x:c r="F1580" s="11" t="n">
        <x:f>IF($A1580="","",Assumptions!$B$15)</x:f>
        <x:v>0.35</x:v>
      </x:c>
      <x:c r="G1580" s="11" t="n">
        <x:f>IF($A1580="","",MAX(INDEX(Assumptions!$H$5:$H$12,MATCH($B1580,Assumptions!$D$5:$D$12,0)),MIN(INDEX(Assumptions!$I$5:$I$12,MATCH($B1580,Assumptions!$D$5:$D$12,0)),($C1580+$D1580*SQRT(-2*LN(RAND()))*COS(2*PI()*RAND()))*$E1580*$J1580*$K1580)))</x:f>
        <x:v>829.103751529746</x:v>
      </x:c>
      <x:c r="H1580" s="11" t="n">
        <x:f>IF($A1580="","",$G1580*$F1580+$C1580*(1-$F1580))</x:f>
        <x:v>839.4363130354111</x:v>
      </x:c>
      <x:c r="I1580" s="11" t="n">
        <x:f>IF($A1580="","",AVERAGE($H1580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850.5743396121088</x:v>
      </x:c>
      <x:c r="J1580" s="12" t="n">
        <x:f>IF($A1580="","",1+SUMIFS(Assumptions!$S$5:$S$10,Assumptions!$P$5:$P$10,$B1580,Assumptions!$Q$5:$Q$10,"&lt;="&amp;$A1580,Assumptions!$R$5:$R$10,"&gt;="&amp;$A1580))</x:f>
        <x:v>1</x:v>
      </x:c>
      <x:c r="K1580" s="12" t="n">
        <x:f>IF($A1580="","",1+((($A1580-Assumptions!$B$5)/30)*INDEX(Assumptions!$J$5:$J$12,MATCH($B1580,Assumptions!$D$5:$D$12,0))))</x:f>
        <x:v>1.0105</x:v>
      </x:c>
      <x:c r="L1580" t="str">
        <x:f>IF($A1580="","",IFERROR(INDEX(Assumptions!$O$5:$O$10,MATCH(1,(Assumptions!$P$5:$P$10=$B1580)*(Assumptions!$Q$5:$Q$10&lt;=$A1580)*(Assumptions!$R$5:$R$10&gt;=$A1580),0)),""))</x:f>
      </x:c>
      <x:c r="M1580" t="n">
        <x:f>--($A1580&lt;&gt;"")</x:f>
        <x:v>1</x:v>
      </x:c>
    </x:row>
    <x:row r="1581">
      <x:c r="A1581" s="10" t="n">
        <x:f>IF(Assumptions!$B$5+INT((ROW()-2)/Assumptions!$B$7)&gt;Assumptions!$B$6,"",Assumptions!$B$5+INT((ROW()-2)/Assumptions!$B$7))</x:f>
        <x:v>46338</x:v>
      </x:c>
      <x:c r="B1581" t="str">
        <x:f>IF($A1581="","",INDEX(Assumptions!$D$5:$D$12,MOD(ROW()-2,Assumptions!$B$7)+1))</x:f>
        <x:v>Yutani Ridge</x:v>
      </x:c>
      <x:c r="C1581" s="11" t="n">
        <x:f>IF($A1581="","",INDEX(Assumptions!$F$5:$F$12,MATCH($B1581,Assumptions!$D$5:$D$12,0)))</x:f>
        <x:v>1050</x:v>
      </x:c>
      <x:c r="D1581" s="11" t="n">
        <x:f>IF($A1581="","",INDEX(Assumptions!$G$5:$G$12,MATCH($B1581,Assumptions!$D$5:$D$12,0)))</x:f>
        <x:v>125</x:v>
      </x:c>
      <x:c r="E1581" s="11" t="n">
        <x:f>IF($A1581="","",INDEX(Assumptions!$M$5:$M$11,WEEKDAY($A1581,2)))</x:f>
        <x:v>1</x:v>
      </x:c>
      <x:c r="F1581" s="11" t="n">
        <x:f>IF($A1581="","",Assumptions!$B$15)</x:f>
        <x:v>0.35</x:v>
      </x:c>
      <x:c r="G1581" s="11" t="n">
        <x:f>IF($A1581="","",MAX(INDEX(Assumptions!$H$5:$H$12,MATCH($B1581,Assumptions!$D$5:$D$12,0)),MIN(INDEX(Assumptions!$I$5:$I$12,MATCH($B1581,Assumptions!$D$5:$D$12,0)),($C1581+$D1581*SQRT(-2*LN(RAND()))*COS(2*PI()*RAND()))*$E1581*$J1581*$K1581)))</x:f>
        <x:v>986.9059319260402</x:v>
      </x:c>
      <x:c r="H1581" s="11" t="n">
        <x:f>IF($A1581="","",$G1581*$F1581+$C1581*(1-$F1581))</x:f>
        <x:v>1027.917076174114</x:v>
      </x:c>
      <x:c r="I1581" s="11" t="n">
        <x:f>IF($A1581="","",AVERAGE($H1581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1021.5833676215942</x:v>
      </x:c>
      <x:c r="J1581" s="12" t="n">
        <x:f>IF($A1581="","",1+SUMIFS(Assumptions!$S$5:$S$10,Assumptions!$P$5:$P$10,$B1581,Assumptions!$Q$5:$Q$10,"&lt;="&amp;$A1581,Assumptions!$R$5:$R$10,"&gt;="&amp;$A1581))</x:f>
        <x:v>1</x:v>
      </x:c>
      <x:c r="K1581" s="12" t="n">
        <x:f>IF($A1581="","",1+((($A1581-Assumptions!$B$5)/30)*INDEX(Assumptions!$J$5:$J$12,MATCH($B1581,Assumptions!$D$5:$D$12,0))))</x:f>
        <x:v>1.02625</x:v>
      </x:c>
      <x:c r="L1581" t="str">
        <x:f>IF($A1581="","",IFERROR(INDEX(Assumptions!$O$5:$O$10,MATCH(1,(Assumptions!$P$5:$P$10=$B1581)*(Assumptions!$Q$5:$Q$10&lt;=$A1581)*(Assumptions!$R$5:$R$10&gt;=$A1581),0)),""))</x:f>
      </x:c>
      <x:c r="M1581" t="n">
        <x:f>--($A1581&lt;&gt;"")</x:f>
        <x:v>1</x:v>
      </x:c>
    </x:row>
    <x:row r="1582">
      <x:c r="A1582" s="10" t="n">
        <x:f>IF(Assumptions!$B$5+INT((ROW()-2)/Assumptions!$B$7)&gt;Assumptions!$B$6,"",Assumptions!$B$5+INT((ROW()-2)/Assumptions!$B$7))</x:f>
        <x:v>46339</x:v>
      </x:c>
      <x:c r="B1582" t="str">
        <x:f>IF($A1582="","",INDEX(Assumptions!$D$5:$D$12,MOD(ROW()-2,Assumptions!$B$7)+1))</x:f>
        <x:v>Acheron Prime</x:v>
      </x:c>
      <x:c r="C1582" s="11" t="n">
        <x:f>IF($A1582="","",INDEX(Assumptions!$F$5:$F$12,MATCH($B1582,Assumptions!$D$5:$D$12,0)))</x:f>
        <x:v>1120</x:v>
      </x:c>
      <x:c r="D1582" s="11" t="n">
        <x:f>IF($A1582="","",INDEX(Assumptions!$G$5:$G$12,MATCH($B1582,Assumptions!$D$5:$D$12,0)))</x:f>
        <x:v>115</x:v>
      </x:c>
      <x:c r="E1582" s="11" t="n">
        <x:f>IF($A1582="","",INDEX(Assumptions!$M$5:$M$11,WEEKDAY($A1582,2)))</x:f>
        <x:v>0.98</x:v>
      </x:c>
      <x:c r="F1582" s="11" t="n">
        <x:f>IF($A1582="","",Assumptions!$B$15)</x:f>
        <x:v>0.35</x:v>
      </x:c>
      <x:c r="G1582" s="11" t="n">
        <x:f>IF($A1582="","",MAX(INDEX(Assumptions!$H$5:$H$12,MATCH($B1582,Assumptions!$D$5:$D$12,0)),MIN(INDEX(Assumptions!$I$5:$I$12,MATCH($B1582,Assumptions!$D$5:$D$12,0)),($C1582+$D1582*SQRT(-2*LN(RAND()))*COS(2*PI()*RAND()))*$E1582*$J1582*$K1582)))</x:f>
        <x:v>1252.144485855101</x:v>
      </x:c>
      <x:c r="H1582" s="11" t="n">
        <x:f>IF($A1582="","",$G1582*$F1582+$C1582*(1-$F1582))</x:f>
        <x:v>1166.2505700492852</x:v>
      </x:c>
      <x:c r="I1582" s="11" t="n">
        <x:f>IF($A1582="","",AVERAGE($H1582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1144.6791437062457</x:v>
      </x:c>
      <x:c r="J1582" s="12" t="n">
        <x:f>IF($A1582="","",1+SUMIFS(Assumptions!$S$5:$S$10,Assumptions!$P$5:$P$10,$B1582,Assumptions!$Q$5:$Q$10,"&lt;="&amp;$A1582,Assumptions!$R$5:$R$10,"&gt;="&amp;$A1582))</x:f>
        <x:v>1</x:v>
      </x:c>
      <x:c r="K1582" s="12" t="n">
        <x:f>IF($A1582="","",1+((($A1582-Assumptions!$B$5)/30)*INDEX(Assumptions!$J$5:$J$12,MATCH($B1582,Assumptions!$D$5:$D$12,0))))</x:f>
        <x:v>1.0210666666666666</x:v>
      </x:c>
      <x:c r="L1582" t="str">
        <x:f>IF($A1582="","",IFERROR(INDEX(Assumptions!$O$5:$O$10,MATCH(1,(Assumptions!$P$5:$P$10=$B1582)*(Assumptions!$Q$5:$Q$10&lt;=$A1582)*(Assumptions!$R$5:$R$10&gt;=$A1582),0)),""))</x:f>
      </x:c>
      <x:c r="M1582" t="n">
        <x:f>--($A1582&lt;&gt;"")</x:f>
        <x:v>1</x:v>
      </x:c>
    </x:row>
    <x:row r="1583">
      <x:c r="A1583" s="10" t="n">
        <x:f>IF(Assumptions!$B$5+INT((ROW()-2)/Assumptions!$B$7)&gt;Assumptions!$B$6,"",Assumptions!$B$5+INT((ROW()-2)/Assumptions!$B$7))</x:f>
        <x:v>46339</x:v>
      </x:c>
      <x:c r="B1583" t="str">
        <x:f>IF($A1583="","",INDEX(Assumptions!$D$5:$D$12,MOD(ROW()-2,Assumptions!$B$7)+1))</x:f>
        <x:v>LV-426 North</x:v>
      </x:c>
      <x:c r="C1583" s="11" t="n">
        <x:f>IF($A1583="","",INDEX(Assumptions!$F$5:$F$12,MATCH($B1583,Assumptions!$D$5:$D$12,0)))</x:f>
        <x:v>930</x:v>
      </x:c>
      <x:c r="D1583" s="11" t="n">
        <x:f>IF($A1583="","",INDEX(Assumptions!$G$5:$G$12,MATCH($B1583,Assumptions!$D$5:$D$12,0)))</x:f>
        <x:v>95</x:v>
      </x:c>
      <x:c r="E1583" s="11" t="n">
        <x:f>IF($A1583="","",INDEX(Assumptions!$M$5:$M$11,WEEKDAY($A1583,2)))</x:f>
        <x:v>0.98</x:v>
      </x:c>
      <x:c r="F1583" s="11" t="n">
        <x:f>IF($A1583="","",Assumptions!$B$15)</x:f>
        <x:v>0.35</x:v>
      </x:c>
      <x:c r="G1583" s="11" t="n">
        <x:f>IF($A1583="","",MAX(INDEX(Assumptions!$H$5:$H$12,MATCH($B1583,Assumptions!$D$5:$D$12,0)),MIN(INDEX(Assumptions!$I$5:$I$12,MATCH($B1583,Assumptions!$D$5:$D$12,0)),($C1583+$D1583*SQRT(-2*LN(RAND()))*COS(2*PI()*RAND()))*$E1583*$J1583*$K1583)))</x:f>
        <x:v>813.1966832973131</x:v>
      </x:c>
      <x:c r="H1583" s="11" t="n">
        <x:f>IF($A1583="","",$G1583*$F1583+$C1583*(1-$F1583))</x:f>
        <x:v>889.1188391540595</x:v>
      </x:c>
      <x:c r="I1583" s="11" t="n">
        <x:f>IF($A1583="","",AVERAGE($H1583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915.1006271853274</x:v>
      </x:c>
      <x:c r="J1583" s="12" t="n">
        <x:f>IF($A1583="","",1+SUMIFS(Assumptions!$S$5:$S$10,Assumptions!$P$5:$P$10,$B1583,Assumptions!$Q$5:$Q$10,"&lt;="&amp;$A1583,Assumptions!$R$5:$R$10,"&gt;="&amp;$A1583))</x:f>
        <x:v>1</x:v>
      </x:c>
      <x:c r="K1583" s="12" t="n">
        <x:f>IF($A1583="","",1+((($A1583-Assumptions!$B$5)/30)*INDEX(Assumptions!$J$5:$J$12,MATCH($B1583,Assumptions!$D$5:$D$12,0))))</x:f>
        <x:v>0.9894666666666667</x:v>
      </x:c>
      <x:c r="L1583" t="str">
        <x:f>IF($A1583="","",IFERROR(INDEX(Assumptions!$O$5:$O$10,MATCH(1,(Assumptions!$P$5:$P$10=$B1583)*(Assumptions!$Q$5:$Q$10&lt;=$A1583)*(Assumptions!$R$5:$R$10&gt;=$A1583),0)),""))</x:f>
      </x:c>
      <x:c r="M1583" t="n">
        <x:f>--($A1583&lt;&gt;"")</x:f>
        <x:v>1</x:v>
      </x:c>
    </x:row>
    <x:row r="1584">
      <x:c r="A1584" s="10" t="n">
        <x:f>IF(Assumptions!$B$5+INT((ROW()-2)/Assumptions!$B$7)&gt;Assumptions!$B$6,"",Assumptions!$B$5+INT((ROW()-2)/Assumptions!$B$7))</x:f>
        <x:v>46339</x:v>
      </x:c>
      <x:c r="B1584" t="str">
        <x:f>IF($A1584="","",INDEX(Assumptions!$D$5:$D$12,MOD(ROW()-2,Assumptions!$B$7)+1))</x:f>
        <x:v>Nostromo Deep</x:v>
      </x:c>
      <x:c r="C1584" s="11" t="n">
        <x:f>IF($A1584="","",INDEX(Assumptions!$F$5:$F$12,MATCH($B1584,Assumptions!$D$5:$D$12,0)))</x:f>
        <x:v>1260</x:v>
      </x:c>
      <x:c r="D1584" s="11" t="n">
        <x:f>IF($A1584="","",INDEX(Assumptions!$G$5:$G$12,MATCH($B1584,Assumptions!$D$5:$D$12,0)))</x:f>
        <x:v>145</x:v>
      </x:c>
      <x:c r="E1584" s="11" t="n">
        <x:f>IF($A1584="","",INDEX(Assumptions!$M$5:$M$11,WEEKDAY($A1584,2)))</x:f>
        <x:v>0.98</x:v>
      </x:c>
      <x:c r="F1584" s="11" t="n">
        <x:f>IF($A1584="","",Assumptions!$B$15)</x:f>
        <x:v>0.35</x:v>
      </x:c>
      <x:c r="G1584" s="11" t="n">
        <x:f>IF($A1584="","",MAX(INDEX(Assumptions!$H$5:$H$12,MATCH($B1584,Assumptions!$D$5:$D$12,0)),MIN(INDEX(Assumptions!$I$5:$I$12,MATCH($B1584,Assumptions!$D$5:$D$12,0)),($C1584+$D1584*SQRT(-2*LN(RAND()))*COS(2*PI()*RAND()))*$E1584*$J1584*$K1584)))</x:f>
        <x:v>1269.7659083716414</x:v>
      </x:c>
      <x:c r="H1584" s="11" t="n">
        <x:f>IF($A1584="","",$G1584*$F1584+$C1584*(1-$F1584))</x:f>
        <x:v>1263.4180679300744</x:v>
      </x:c>
      <x:c r="I1584" s="11" t="n">
        <x:f>IF($A1584="","",AVERAGE($H1584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1275.20044244758</x:v>
      </x:c>
      <x:c r="J1584" s="12" t="n">
        <x:f>IF($A1584="","",1+SUMIFS(Assumptions!$S$5:$S$10,Assumptions!$P$5:$P$10,$B1584,Assumptions!$Q$5:$Q$10,"&lt;="&amp;$A1584,Assumptions!$R$5:$R$10,"&gt;="&amp;$A1584))</x:f>
        <x:v>1</x:v>
      </x:c>
      <x:c r="K1584" s="12" t="n">
        <x:f>IF($A1584="","",1+((($A1584-Assumptions!$B$5)/30)*INDEX(Assumptions!$J$5:$J$12,MATCH($B1584,Assumptions!$D$5:$D$12,0))))</x:f>
        <x:v>1.0316</x:v>
      </x:c>
      <x:c r="L1584" t="str">
        <x:f>IF($A1584="","",IFERROR(INDEX(Assumptions!$O$5:$O$10,MATCH(1,(Assumptions!$P$5:$P$10=$B1584)*(Assumptions!$Q$5:$Q$10&lt;=$A1584)*(Assumptions!$R$5:$R$10&gt;=$A1584),0)),""))</x:f>
      </x:c>
      <x:c r="M1584" t="n">
        <x:f>--($A1584&lt;&gt;"")</x:f>
        <x:v>1</x:v>
      </x:c>
    </x:row>
    <x:row r="1585">
      <x:c r="A1585" s="10" t="n">
        <x:f>IF(Assumptions!$B$5+INT((ROW()-2)/Assumptions!$B$7)&gt;Assumptions!$B$6,"",Assumptions!$B$5+INT((ROW()-2)/Assumptions!$B$7))</x:f>
        <x:v>46339</x:v>
      </x:c>
      <x:c r="B1585" t="str">
        <x:f>IF($A1585="","",INDEX(Assumptions!$D$5:$D$12,MOD(ROW()-2,Assumptions!$B$7)+1))</x:f>
        <x:v>Hadley's Hope</x:v>
      </x:c>
      <x:c r="C1585" s="11" t="n">
        <x:f>IF($A1585="","",INDEX(Assumptions!$F$5:$F$12,MATCH($B1585,Assumptions!$D$5:$D$12,0)))</x:f>
        <x:v>845</x:v>
      </x:c>
      <x:c r="D1585" s="11" t="n">
        <x:f>IF($A1585="","",INDEX(Assumptions!$G$5:$G$12,MATCH($B1585,Assumptions!$D$5:$D$12,0)))</x:f>
        <x:v>80</x:v>
      </x:c>
      <x:c r="E1585" s="11" t="n">
        <x:f>IF($A1585="","",INDEX(Assumptions!$M$5:$M$11,WEEKDAY($A1585,2)))</x:f>
        <x:v>0.98</x:v>
      </x:c>
      <x:c r="F1585" s="11" t="n">
        <x:f>IF($A1585="","",Assumptions!$B$15)</x:f>
        <x:v>0.35</x:v>
      </x:c>
      <x:c r="G1585" s="11" t="n">
        <x:f>IF($A1585="","",MAX(INDEX(Assumptions!$H$5:$H$12,MATCH($B1585,Assumptions!$D$5:$D$12,0)),MIN(INDEX(Assumptions!$I$5:$I$12,MATCH($B1585,Assumptions!$D$5:$D$12,0)),($C1585+$D1585*SQRT(-2*LN(RAND()))*COS(2*PI()*RAND()))*$E1585*$J1585*$K1585)))</x:f>
        <x:v>873.4675559906324</x:v>
      </x:c>
      <x:c r="H1585" s="11" t="n">
        <x:f>IF($A1585="","",$G1585*$F1585+$C1585*(1-$F1585))</x:f>
        <x:v>854.9636445967213</x:v>
      </x:c>
      <x:c r="I1585" s="11" t="n">
        <x:f>IF($A1585="","",AVERAGE($H1585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851.8411913776351</x:v>
      </x:c>
      <x:c r="J1585" s="12" t="n">
        <x:f>IF($A1585="","",1+SUMIFS(Assumptions!$S$5:$S$10,Assumptions!$P$5:$P$10,$B1585,Assumptions!$Q$5:$Q$10,"&lt;="&amp;$A1585,Assumptions!$R$5:$R$10,"&gt;="&amp;$A1585))</x:f>
        <x:v>1</x:v>
      </x:c>
      <x:c r="K1585" s="12" t="n">
        <x:f>IF($A1585="","",1+((($A1585-Assumptions!$B$5)/30)*INDEX(Assumptions!$J$5:$J$12,MATCH($B1585,Assumptions!$D$5:$D$12,0))))</x:f>
        <x:v>1.0105333333333333</x:v>
      </x:c>
      <x:c r="L1585" t="str">
        <x:f>IF($A1585="","",IFERROR(INDEX(Assumptions!$O$5:$O$10,MATCH(1,(Assumptions!$P$5:$P$10=$B1585)*(Assumptions!$Q$5:$Q$10&lt;=$A1585)*(Assumptions!$R$5:$R$10&gt;=$A1585),0)),""))</x:f>
      </x:c>
      <x:c r="M1585" t="n">
        <x:f>--($A1585&lt;&gt;"")</x:f>
        <x:v>1</x:v>
      </x:c>
    </x:row>
    <x:row r="1586">
      <x:c r="A1586" s="10" t="n">
        <x:f>IF(Assumptions!$B$5+INT((ROW()-2)/Assumptions!$B$7)&gt;Assumptions!$B$6,"",Assumptions!$B$5+INT((ROW()-2)/Assumptions!$B$7))</x:f>
        <x:v>46339</x:v>
      </x:c>
      <x:c r="B1586" t="str">
        <x:f>IF($A1586="","",INDEX(Assumptions!$D$5:$D$12,MOD(ROW()-2,Assumptions!$B$7)+1))</x:f>
        <x:v>Yutani Ridge</x:v>
      </x:c>
      <x:c r="C1586" s="11" t="n">
        <x:f>IF($A1586="","",INDEX(Assumptions!$F$5:$F$12,MATCH($B1586,Assumptions!$D$5:$D$12,0)))</x:f>
        <x:v>1050</x:v>
      </x:c>
      <x:c r="D1586" s="11" t="n">
        <x:f>IF($A1586="","",INDEX(Assumptions!$G$5:$G$12,MATCH($B1586,Assumptions!$D$5:$D$12,0)))</x:f>
        <x:v>125</x:v>
      </x:c>
      <x:c r="E1586" s="11" t="n">
        <x:f>IF($A1586="","",INDEX(Assumptions!$M$5:$M$11,WEEKDAY($A1586,2)))</x:f>
        <x:v>0.98</x:v>
      </x:c>
      <x:c r="F1586" s="11" t="n">
        <x:f>IF($A1586="","",Assumptions!$B$15)</x:f>
        <x:v>0.35</x:v>
      </x:c>
      <x:c r="G1586" s="11" t="n">
        <x:f>IF($A1586="","",MAX(INDEX(Assumptions!$H$5:$H$12,MATCH($B1586,Assumptions!$D$5:$D$12,0)),MIN(INDEX(Assumptions!$I$5:$I$12,MATCH($B1586,Assumptions!$D$5:$D$12,0)),($C1586+$D1586*SQRT(-2*LN(RAND()))*COS(2*PI()*RAND()))*$E1586*$J1586*$K1586)))</x:f>
        <x:v>1157.1858363604242</x:v>
      </x:c>
      <x:c r="H1586" s="11" t="n">
        <x:f>IF($A1586="","",$G1586*$F1586+$C1586*(1-$F1586))</x:f>
        <x:v>1087.5150427261485</x:v>
      </x:c>
      <x:c r="I1586" s="11" t="n">
        <x:f>IF($A1586="","",AVERAGE($H1586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1031.4348276336084</x:v>
      </x:c>
      <x:c r="J1586" s="12" t="n">
        <x:f>IF($A1586="","",1+SUMIFS(Assumptions!$S$5:$S$10,Assumptions!$P$5:$P$10,$B1586,Assumptions!$Q$5:$Q$10,"&lt;="&amp;$A1586,Assumptions!$R$5:$R$10,"&gt;="&amp;$A1586))</x:f>
        <x:v>1</x:v>
      </x:c>
      <x:c r="K1586" s="12" t="n">
        <x:f>IF($A1586="","",1+((($A1586-Assumptions!$B$5)/30)*INDEX(Assumptions!$J$5:$J$12,MATCH($B1586,Assumptions!$D$5:$D$12,0))))</x:f>
        <x:v>1.0263333333333333</x:v>
      </x:c>
      <x:c r="L1586" t="str">
        <x:f>IF($A1586="","",IFERROR(INDEX(Assumptions!$O$5:$O$10,MATCH(1,(Assumptions!$P$5:$P$10=$B1586)*(Assumptions!$Q$5:$Q$10&lt;=$A1586)*(Assumptions!$R$5:$R$10&gt;=$A1586),0)),""))</x:f>
      </x:c>
      <x:c r="M1586" t="n">
        <x:f>--($A1586&lt;&gt;"")</x:f>
        <x:v>1</x:v>
      </x:c>
    </x:row>
    <x:row r="1587">
      <x:c r="A1587" s="10" t="n">
        <x:f>IF(Assumptions!$B$5+INT((ROW()-2)/Assumptions!$B$7)&gt;Assumptions!$B$6,"",Assumptions!$B$5+INT((ROW()-2)/Assumptions!$B$7))</x:f>
        <x:v>46340</x:v>
      </x:c>
      <x:c r="B1587" t="str">
        <x:f>IF($A1587="","",INDEX(Assumptions!$D$5:$D$12,MOD(ROW()-2,Assumptions!$B$7)+1))</x:f>
        <x:v>Acheron Prime</x:v>
      </x:c>
      <x:c r="C1587" s="11" t="n">
        <x:f>IF($A1587="","",INDEX(Assumptions!$F$5:$F$12,MATCH($B1587,Assumptions!$D$5:$D$12,0)))</x:f>
        <x:v>1120</x:v>
      </x:c>
      <x:c r="D1587" s="11" t="n">
        <x:f>IF($A1587="","",INDEX(Assumptions!$G$5:$G$12,MATCH($B1587,Assumptions!$D$5:$D$12,0)))</x:f>
        <x:v>115</x:v>
      </x:c>
      <x:c r="E1587" s="11" t="n">
        <x:f>IF($A1587="","",INDEX(Assumptions!$M$5:$M$11,WEEKDAY($A1587,2)))</x:f>
        <x:v>0.91</x:v>
      </x:c>
      <x:c r="F1587" s="11" t="n">
        <x:f>IF($A1587="","",Assumptions!$B$15)</x:f>
        <x:v>0.35</x:v>
      </x:c>
      <x:c r="G1587" s="11" t="n">
        <x:f>IF($A1587="","",MAX(INDEX(Assumptions!$H$5:$H$12,MATCH($B1587,Assumptions!$D$5:$D$12,0)),MIN(INDEX(Assumptions!$I$5:$I$12,MATCH($B1587,Assumptions!$D$5:$D$12,0)),($C1587+$D1587*SQRT(-2*LN(RAND()))*COS(2*PI()*RAND()))*$E1587*$J1587*$K1587)))</x:f>
        <x:v>1069.5224757675928</x:v>
      </x:c>
      <x:c r="H1587" s="11" t="n">
        <x:f>IF($A1587="","",$G1587*$F1587+$C1587*(1-$F1587))</x:f>
        <x:v>1102.3328665186575</x:v>
      </x:c>
      <x:c r="I1587" s="11" t="n">
        <x:f>IF($A1587="","",AVERAGE($H1587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1150.6390059771518</x:v>
      </x:c>
      <x:c r="J1587" s="12" t="n">
        <x:f>IF($A1587="","",1+SUMIFS(Assumptions!$S$5:$S$10,Assumptions!$P$5:$P$10,$B1587,Assumptions!$Q$5:$Q$10,"&lt;="&amp;$A1587,Assumptions!$R$5:$R$10,"&gt;="&amp;$A1587))</x:f>
        <x:v>1</x:v>
      </x:c>
      <x:c r="K1587" s="12" t="n">
        <x:f>IF($A1587="","",1+((($A1587-Assumptions!$B$5)/30)*INDEX(Assumptions!$J$5:$J$12,MATCH($B1587,Assumptions!$D$5:$D$12,0))))</x:f>
        <x:v>1.0211333333333332</x:v>
      </x:c>
      <x:c r="L1587" t="str">
        <x:f>IF($A1587="","",IFERROR(INDEX(Assumptions!$O$5:$O$10,MATCH(1,(Assumptions!$P$5:$P$10=$B1587)*(Assumptions!$Q$5:$Q$10&lt;=$A1587)*(Assumptions!$R$5:$R$10&gt;=$A1587),0)),""))</x:f>
      </x:c>
      <x:c r="M1587" t="n">
        <x:f>--($A1587&lt;&gt;"")</x:f>
        <x:v>1</x:v>
      </x:c>
    </x:row>
    <x:row r="1588">
      <x:c r="A1588" s="10" t="n">
        <x:f>IF(Assumptions!$B$5+INT((ROW()-2)/Assumptions!$B$7)&gt;Assumptions!$B$6,"",Assumptions!$B$5+INT((ROW()-2)/Assumptions!$B$7))</x:f>
        <x:v>46340</x:v>
      </x:c>
      <x:c r="B1588" t="str">
        <x:f>IF($A1588="","",INDEX(Assumptions!$D$5:$D$12,MOD(ROW()-2,Assumptions!$B$7)+1))</x:f>
        <x:v>LV-426 North</x:v>
      </x:c>
      <x:c r="C1588" s="11" t="n">
        <x:f>IF($A1588="","",INDEX(Assumptions!$F$5:$F$12,MATCH($B1588,Assumptions!$D$5:$D$12,0)))</x:f>
        <x:v>930</x:v>
      </x:c>
      <x:c r="D1588" s="11" t="n">
        <x:f>IF($A1588="","",INDEX(Assumptions!$G$5:$G$12,MATCH($B1588,Assumptions!$D$5:$D$12,0)))</x:f>
        <x:v>95</x:v>
      </x:c>
      <x:c r="E1588" s="11" t="n">
        <x:f>IF($A1588="","",INDEX(Assumptions!$M$5:$M$11,WEEKDAY($A1588,2)))</x:f>
        <x:v>0.91</x:v>
      </x:c>
      <x:c r="F1588" s="11" t="n">
        <x:f>IF($A1588="","",Assumptions!$B$15)</x:f>
        <x:v>0.35</x:v>
      </x:c>
      <x:c r="G1588" s="11" t="n">
        <x:f>IF($A1588="","",MAX(INDEX(Assumptions!$H$5:$H$12,MATCH($B1588,Assumptions!$D$5:$D$12,0)),MIN(INDEX(Assumptions!$I$5:$I$12,MATCH($B1588,Assumptions!$D$5:$D$12,0)),($C1588+$D1588*SQRT(-2*LN(RAND()))*COS(2*PI()*RAND()))*$E1588*$J1588*$K1588)))</x:f>
        <x:v>712.2532108226673</x:v>
      </x:c>
      <x:c r="H1588" s="11" t="n">
        <x:f>IF($A1588="","",$G1588*$F1588+$C1588*(1-$F1588))</x:f>
        <x:v>853.7886237879335</x:v>
      </x:c>
      <x:c r="I1588" s="11" t="n">
        <x:f>IF($A1588="","",AVERAGE($H1588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904.465016909031</x:v>
      </x:c>
      <x:c r="J1588" s="12" t="n">
        <x:f>IF($A1588="","",1+SUMIFS(Assumptions!$S$5:$S$10,Assumptions!$P$5:$P$10,$B1588,Assumptions!$Q$5:$Q$10,"&lt;="&amp;$A1588,Assumptions!$R$5:$R$10,"&gt;="&amp;$A1588))</x:f>
        <x:v>1</x:v>
      </x:c>
      <x:c r="K1588" s="12" t="n">
        <x:f>IF($A1588="","",1+((($A1588-Assumptions!$B$5)/30)*INDEX(Assumptions!$J$5:$J$12,MATCH($B1588,Assumptions!$D$5:$D$12,0))))</x:f>
        <x:v>0.9894333333333334</x:v>
      </x:c>
      <x:c r="L1588" t="str">
        <x:f>IF($A1588="","",IFERROR(INDEX(Assumptions!$O$5:$O$10,MATCH(1,(Assumptions!$P$5:$P$10=$B1588)*(Assumptions!$Q$5:$Q$10&lt;=$A1588)*(Assumptions!$R$5:$R$10&gt;=$A1588),0)),""))</x:f>
      </x:c>
      <x:c r="M1588" t="n">
        <x:f>--($A1588&lt;&gt;"")</x:f>
        <x:v>1</x:v>
      </x:c>
    </x:row>
    <x:row r="1589">
      <x:c r="A1589" s="10" t="n">
        <x:f>IF(Assumptions!$B$5+INT((ROW()-2)/Assumptions!$B$7)&gt;Assumptions!$B$6,"",Assumptions!$B$5+INT((ROW()-2)/Assumptions!$B$7))</x:f>
        <x:v>46340</x:v>
      </x:c>
      <x:c r="B1589" t="str">
        <x:f>IF($A1589="","",INDEX(Assumptions!$D$5:$D$12,MOD(ROW()-2,Assumptions!$B$7)+1))</x:f>
        <x:v>Nostromo Deep</x:v>
      </x:c>
      <x:c r="C1589" s="11" t="n">
        <x:f>IF($A1589="","",INDEX(Assumptions!$F$5:$F$12,MATCH($B1589,Assumptions!$D$5:$D$12,0)))</x:f>
        <x:v>1260</x:v>
      </x:c>
      <x:c r="D1589" s="11" t="n">
        <x:f>IF($A1589="","",INDEX(Assumptions!$G$5:$G$12,MATCH($B1589,Assumptions!$D$5:$D$12,0)))</x:f>
        <x:v>145</x:v>
      </x:c>
      <x:c r="E1589" s="11" t="n">
        <x:f>IF($A1589="","",INDEX(Assumptions!$M$5:$M$11,WEEKDAY($A1589,2)))</x:f>
        <x:v>0.91</x:v>
      </x:c>
      <x:c r="F1589" s="11" t="n">
        <x:f>IF($A1589="","",Assumptions!$B$15)</x:f>
        <x:v>0.35</x:v>
      </x:c>
      <x:c r="G1589" s="11" t="n">
        <x:f>IF($A1589="","",MAX(INDEX(Assumptions!$H$5:$H$12,MATCH($B1589,Assumptions!$D$5:$D$12,0)),MIN(INDEX(Assumptions!$I$5:$I$12,MATCH($B1589,Assumptions!$D$5:$D$12,0)),($C1589+$D1589*SQRT(-2*LN(RAND()))*COS(2*PI()*RAND()))*$E1589*$J1589*$K1589)))</x:f>
        <x:v>1159.4522019988965</x:v>
      </x:c>
      <x:c r="H1589" s="11" t="n">
        <x:f>IF($A1589="","",$G1589*$F1589+$C1589*(1-$F1589))</x:f>
        <x:v>1224.8082706996138</x:v>
      </x:c>
      <x:c r="I1589" s="11" t="n">
        <x:f>IF($A1589="","",AVERAGE($H1589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1266.9693665555508</x:v>
      </x:c>
      <x:c r="J1589" s="12" t="n">
        <x:f>IF($A1589="","",1+SUMIFS(Assumptions!$S$5:$S$10,Assumptions!$P$5:$P$10,$B1589,Assumptions!$Q$5:$Q$10,"&lt;="&amp;$A1589,Assumptions!$R$5:$R$10,"&gt;="&amp;$A1589))</x:f>
        <x:v>1</x:v>
      </x:c>
      <x:c r="K1589" s="12" t="n">
        <x:f>IF($A1589="","",1+((($A1589-Assumptions!$B$5)/30)*INDEX(Assumptions!$J$5:$J$12,MATCH($B1589,Assumptions!$D$5:$D$12,0))))</x:f>
        <x:v>1.0317</x:v>
      </x:c>
      <x:c r="L1589" t="str">
        <x:f>IF($A1589="","",IFERROR(INDEX(Assumptions!$O$5:$O$10,MATCH(1,(Assumptions!$P$5:$P$10=$B1589)*(Assumptions!$Q$5:$Q$10&lt;=$A1589)*(Assumptions!$R$5:$R$10&gt;=$A1589),0)),""))</x:f>
      </x:c>
      <x:c r="M1589" t="n">
        <x:f>--($A1589&lt;&gt;"")</x:f>
        <x:v>1</x:v>
      </x:c>
    </x:row>
    <x:row r="1590">
      <x:c r="A1590" s="10" t="n">
        <x:f>IF(Assumptions!$B$5+INT((ROW()-2)/Assumptions!$B$7)&gt;Assumptions!$B$6,"",Assumptions!$B$5+INT((ROW()-2)/Assumptions!$B$7))</x:f>
        <x:v>46340</x:v>
      </x:c>
      <x:c r="B1590" t="str">
        <x:f>IF($A1590="","",INDEX(Assumptions!$D$5:$D$12,MOD(ROW()-2,Assumptions!$B$7)+1))</x:f>
        <x:v>Hadley's Hope</x:v>
      </x:c>
      <x:c r="C1590" s="11" t="n">
        <x:f>IF($A1590="","",INDEX(Assumptions!$F$5:$F$12,MATCH($B1590,Assumptions!$D$5:$D$12,0)))</x:f>
        <x:v>845</x:v>
      </x:c>
      <x:c r="D1590" s="11" t="n">
        <x:f>IF($A1590="","",INDEX(Assumptions!$G$5:$G$12,MATCH($B1590,Assumptions!$D$5:$D$12,0)))</x:f>
        <x:v>80</x:v>
      </x:c>
      <x:c r="E1590" s="11" t="n">
        <x:f>IF($A1590="","",INDEX(Assumptions!$M$5:$M$11,WEEKDAY($A1590,2)))</x:f>
        <x:v>0.91</x:v>
      </x:c>
      <x:c r="F1590" s="11" t="n">
        <x:f>IF($A1590="","",Assumptions!$B$15)</x:f>
        <x:v>0.35</x:v>
      </x:c>
      <x:c r="G1590" s="11" t="n">
        <x:f>IF($A1590="","",MAX(INDEX(Assumptions!$H$5:$H$12,MATCH($B1590,Assumptions!$D$5:$D$12,0)),MIN(INDEX(Assumptions!$I$5:$I$12,MATCH($B1590,Assumptions!$D$5:$D$12,0)),($C1590+$D1590*SQRT(-2*LN(RAND()))*COS(2*PI()*RAND()))*$E1590*$J1590*$K1590)))</x:f>
        <x:v>748.6457677590514</x:v>
      </x:c>
      <x:c r="H1590" s="11" t="n">
        <x:f>IF($A1590="","",$G1590*$F1590+$C1590*(1-$F1590))</x:f>
        <x:v>811.276018715668</x:v>
      </x:c>
      <x:c r="I1590" s="11" t="n">
        <x:f>IF($A1590="","",AVERAGE($H1590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846.9302056182327</x:v>
      </x:c>
      <x:c r="J1590" s="12" t="n">
        <x:f>IF($A1590="","",1+SUMIFS(Assumptions!$S$5:$S$10,Assumptions!$P$5:$P$10,$B1590,Assumptions!$Q$5:$Q$10,"&lt;="&amp;$A1590,Assumptions!$R$5:$R$10,"&gt;="&amp;$A1590))</x:f>
        <x:v>1</x:v>
      </x:c>
      <x:c r="K1590" s="12" t="n">
        <x:f>IF($A1590="","",1+((($A1590-Assumptions!$B$5)/30)*INDEX(Assumptions!$J$5:$J$12,MATCH($B1590,Assumptions!$D$5:$D$12,0))))</x:f>
        <x:v>1.0105666666666666</x:v>
      </x:c>
      <x:c r="L1590" t="str">
        <x:f>IF($A1590="","",IFERROR(INDEX(Assumptions!$O$5:$O$10,MATCH(1,(Assumptions!$P$5:$P$10=$B1590)*(Assumptions!$Q$5:$Q$10&lt;=$A1590)*(Assumptions!$R$5:$R$10&gt;=$A1590),0)),""))</x:f>
      </x:c>
      <x:c r="M1590" t="n">
        <x:f>--($A1590&lt;&gt;"")</x:f>
        <x:v>1</x:v>
      </x:c>
    </x:row>
    <x:row r="1591">
      <x:c r="A1591" s="10" t="n">
        <x:f>IF(Assumptions!$B$5+INT((ROW()-2)/Assumptions!$B$7)&gt;Assumptions!$B$6,"",Assumptions!$B$5+INT((ROW()-2)/Assumptions!$B$7))</x:f>
        <x:v>46340</x:v>
      </x:c>
      <x:c r="B1591" t="str">
        <x:f>IF($A1591="","",INDEX(Assumptions!$D$5:$D$12,MOD(ROW()-2,Assumptions!$B$7)+1))</x:f>
        <x:v>Yutani Ridge</x:v>
      </x:c>
      <x:c r="C1591" s="11" t="n">
        <x:f>IF($A1591="","",INDEX(Assumptions!$F$5:$F$12,MATCH($B1591,Assumptions!$D$5:$D$12,0)))</x:f>
        <x:v>1050</x:v>
      </x:c>
      <x:c r="D1591" s="11" t="n">
        <x:f>IF($A1591="","",INDEX(Assumptions!$G$5:$G$12,MATCH($B1591,Assumptions!$D$5:$D$12,0)))</x:f>
        <x:v>125</x:v>
      </x:c>
      <x:c r="E1591" s="11" t="n">
        <x:f>IF($A1591="","",INDEX(Assumptions!$M$5:$M$11,WEEKDAY($A1591,2)))</x:f>
        <x:v>0.91</x:v>
      </x:c>
      <x:c r="F1591" s="11" t="n">
        <x:f>IF($A1591="","",Assumptions!$B$15)</x:f>
        <x:v>0.35</x:v>
      </x:c>
      <x:c r="G1591" s="11" t="n">
        <x:f>IF($A1591="","",MAX(INDEX(Assumptions!$H$5:$H$12,MATCH($B1591,Assumptions!$D$5:$D$12,0)),MIN(INDEX(Assumptions!$I$5:$I$12,MATCH($B1591,Assumptions!$D$5:$D$12,0)),($C1591+$D1591*SQRT(-2*LN(RAND()))*COS(2*PI()*RAND()))*$E1591*$J1591*$K1591)))</x:f>
        <x:v>900.6524493850337</x:v>
      </x:c>
      <x:c r="H1591" s="11" t="n">
        <x:f>IF($A1591="","",$G1591*$F1591+$C1591*(1-$F1591))</x:f>
        <x:v>997.7283572847618</x:v>
      </x:c>
      <x:c r="I1591" s="11" t="n">
        <x:f>IF($A1591="","",AVERAGE($H1591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1041.2213610427468</x:v>
      </x:c>
      <x:c r="J1591" s="12" t="n">
        <x:f>IF($A1591="","",1+SUMIFS(Assumptions!$S$5:$S$10,Assumptions!$P$5:$P$10,$B1591,Assumptions!$Q$5:$Q$10,"&lt;="&amp;$A1591,Assumptions!$R$5:$R$10,"&gt;="&amp;$A1591))</x:f>
        <x:v>1</x:v>
      </x:c>
      <x:c r="K1591" s="12" t="n">
        <x:f>IF($A1591="","",1+((($A1591-Assumptions!$B$5)/30)*INDEX(Assumptions!$J$5:$J$12,MATCH($B1591,Assumptions!$D$5:$D$12,0))))</x:f>
        <x:v>1.0264166666666668</x:v>
      </x:c>
      <x:c r="L1591" t="str">
        <x:f>IF($A1591="","",IFERROR(INDEX(Assumptions!$O$5:$O$10,MATCH(1,(Assumptions!$P$5:$P$10=$B1591)*(Assumptions!$Q$5:$Q$10&lt;=$A1591)*(Assumptions!$R$5:$R$10&gt;=$A1591),0)),""))</x:f>
      </x:c>
      <x:c r="M1591" t="n">
        <x:f>--($A1591&lt;&gt;"")</x:f>
        <x:v>1</x:v>
      </x:c>
    </x:row>
    <x:row r="1592">
      <x:c r="A1592" s="10" t="n">
        <x:f>IF(Assumptions!$B$5+INT((ROW()-2)/Assumptions!$B$7)&gt;Assumptions!$B$6,"",Assumptions!$B$5+INT((ROW()-2)/Assumptions!$B$7))</x:f>
        <x:v>46341</x:v>
      </x:c>
      <x:c r="B1592" t="str">
        <x:f>IF($A1592="","",INDEX(Assumptions!$D$5:$D$12,MOD(ROW()-2,Assumptions!$B$7)+1))</x:f>
        <x:v>Acheron Prime</x:v>
      </x:c>
      <x:c r="C1592" s="11" t="n">
        <x:f>IF($A1592="","",INDEX(Assumptions!$F$5:$F$12,MATCH($B1592,Assumptions!$D$5:$D$12,0)))</x:f>
        <x:v>1120</x:v>
      </x:c>
      <x:c r="D1592" s="11" t="n">
        <x:f>IF($A1592="","",INDEX(Assumptions!$G$5:$G$12,MATCH($B1592,Assumptions!$D$5:$D$12,0)))</x:f>
        <x:v>115</x:v>
      </x:c>
      <x:c r="E1592" s="11" t="n">
        <x:f>IF($A1592="","",INDEX(Assumptions!$M$5:$M$11,WEEKDAY($A1592,2)))</x:f>
        <x:v>0.87</x:v>
      </x:c>
      <x:c r="F1592" s="11" t="n">
        <x:f>IF($A1592="","",Assumptions!$B$15)</x:f>
        <x:v>0.35</x:v>
      </x:c>
      <x:c r="G1592" s="11" t="n">
        <x:f>IF($A1592="","",MAX(INDEX(Assumptions!$H$5:$H$12,MATCH($B1592,Assumptions!$D$5:$D$12,0)),MIN(INDEX(Assumptions!$I$5:$I$12,MATCH($B1592,Assumptions!$D$5:$D$12,0)),($C1592+$D1592*SQRT(-2*LN(RAND()))*COS(2*PI()*RAND()))*$E1592*$J1592*$K1592)))</x:f>
        <x:v>1002.4780129199622</x:v>
      </x:c>
      <x:c r="H1592" s="11" t="n">
        <x:f>IF($A1592="","",$G1592*$F1592+$C1592*(1-$F1592))</x:f>
        <x:v>1078.8673045219866</x:v>
      </x:c>
      <x:c r="I1592" s="11" t="n">
        <x:f>IF($A1592="","",AVERAGE($H1592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1142.341624998129</x:v>
      </x:c>
      <x:c r="J1592" s="12" t="n">
        <x:f>IF($A1592="","",1+SUMIFS(Assumptions!$S$5:$S$10,Assumptions!$P$5:$P$10,$B1592,Assumptions!$Q$5:$Q$10,"&lt;="&amp;$A1592,Assumptions!$R$5:$R$10,"&gt;="&amp;$A1592))</x:f>
        <x:v>1</x:v>
      </x:c>
      <x:c r="K1592" s="12" t="n">
        <x:f>IF($A1592="","",1+((($A1592-Assumptions!$B$5)/30)*INDEX(Assumptions!$J$5:$J$12,MATCH($B1592,Assumptions!$D$5:$D$12,0))))</x:f>
        <x:v>1.0212</x:v>
      </x:c>
      <x:c r="L1592" t="str">
        <x:f>IF($A1592="","",IFERROR(INDEX(Assumptions!$O$5:$O$10,MATCH(1,(Assumptions!$P$5:$P$10=$B1592)*(Assumptions!$Q$5:$Q$10&lt;=$A1592)*(Assumptions!$R$5:$R$10&gt;=$A1592),0)),""))</x:f>
      </x:c>
      <x:c r="M1592" t="n">
        <x:f>--($A1592&lt;&gt;"")</x:f>
        <x:v>1</x:v>
      </x:c>
    </x:row>
    <x:row r="1593">
      <x:c r="A1593" s="10" t="n">
        <x:f>IF(Assumptions!$B$5+INT((ROW()-2)/Assumptions!$B$7)&gt;Assumptions!$B$6,"",Assumptions!$B$5+INT((ROW()-2)/Assumptions!$B$7))</x:f>
        <x:v>46341</x:v>
      </x:c>
      <x:c r="B1593" t="str">
        <x:f>IF($A1593="","",INDEX(Assumptions!$D$5:$D$12,MOD(ROW()-2,Assumptions!$B$7)+1))</x:f>
        <x:v>LV-426 North</x:v>
      </x:c>
      <x:c r="C1593" s="11" t="n">
        <x:f>IF($A1593="","",INDEX(Assumptions!$F$5:$F$12,MATCH($B1593,Assumptions!$D$5:$D$12,0)))</x:f>
        <x:v>930</x:v>
      </x:c>
      <x:c r="D1593" s="11" t="n">
        <x:f>IF($A1593="","",INDEX(Assumptions!$G$5:$G$12,MATCH($B1593,Assumptions!$D$5:$D$12,0)))</x:f>
        <x:v>95</x:v>
      </x:c>
      <x:c r="E1593" s="11" t="n">
        <x:f>IF($A1593="","",INDEX(Assumptions!$M$5:$M$11,WEEKDAY($A1593,2)))</x:f>
        <x:v>0.87</x:v>
      </x:c>
      <x:c r="F1593" s="11" t="n">
        <x:f>IF($A1593="","",Assumptions!$B$15)</x:f>
        <x:v>0.35</x:v>
      </x:c>
      <x:c r="G1593" s="11" t="n">
        <x:f>IF($A1593="","",MAX(INDEX(Assumptions!$H$5:$H$12,MATCH($B1593,Assumptions!$D$5:$D$12,0)),MIN(INDEX(Assumptions!$I$5:$I$12,MATCH($B1593,Assumptions!$D$5:$D$12,0)),($C1593+$D1593*SQRT(-2*LN(RAND()))*COS(2*PI()*RAND()))*$E1593*$J1593*$K1593)))</x:f>
        <x:v>981.3881493112438</x:v>
      </x:c>
      <x:c r="H1593" s="11" t="n">
        <x:f>IF($A1593="","",$G1593*$F1593+$C1593*(1-$F1593))</x:f>
        <x:v>947.9858522589352</x:v>
      </x:c>
      <x:c r="I1593" s="11" t="n">
        <x:f>IF($A1593="","",AVERAGE($H1593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917.0876904681883</x:v>
      </x:c>
      <x:c r="J1593" s="12" t="n">
        <x:f>IF($A1593="","",1+SUMIFS(Assumptions!$S$5:$S$10,Assumptions!$P$5:$P$10,$B1593,Assumptions!$Q$5:$Q$10,"&lt;="&amp;$A1593,Assumptions!$R$5:$R$10,"&gt;="&amp;$A1593))</x:f>
        <x:v>1</x:v>
      </x:c>
      <x:c r="K1593" s="12" t="n">
        <x:f>IF($A1593="","",1+((($A1593-Assumptions!$B$5)/30)*INDEX(Assumptions!$J$5:$J$12,MATCH($B1593,Assumptions!$D$5:$D$12,0))))</x:f>
        <x:v>0.9894</x:v>
      </x:c>
      <x:c r="L1593" t="str">
        <x:f>IF($A1593="","",IFERROR(INDEX(Assumptions!$O$5:$O$10,MATCH(1,(Assumptions!$P$5:$P$10=$B1593)*(Assumptions!$Q$5:$Q$10&lt;=$A1593)*(Assumptions!$R$5:$R$10&gt;=$A1593),0)),""))</x:f>
      </x:c>
      <x:c r="M1593" t="n">
        <x:f>--($A1593&lt;&gt;"")</x:f>
        <x:v>1</x:v>
      </x:c>
    </x:row>
    <x:row r="1594">
      <x:c r="A1594" s="10" t="n">
        <x:f>IF(Assumptions!$B$5+INT((ROW()-2)/Assumptions!$B$7)&gt;Assumptions!$B$6,"",Assumptions!$B$5+INT((ROW()-2)/Assumptions!$B$7))</x:f>
        <x:v>46341</x:v>
      </x:c>
      <x:c r="B1594" t="str">
        <x:f>IF($A1594="","",INDEX(Assumptions!$D$5:$D$12,MOD(ROW()-2,Assumptions!$B$7)+1))</x:f>
        <x:v>Nostromo Deep</x:v>
      </x:c>
      <x:c r="C1594" s="11" t="n">
        <x:f>IF($A1594="","",INDEX(Assumptions!$F$5:$F$12,MATCH($B1594,Assumptions!$D$5:$D$12,0)))</x:f>
        <x:v>1260</x:v>
      </x:c>
      <x:c r="D1594" s="11" t="n">
        <x:f>IF($A1594="","",INDEX(Assumptions!$G$5:$G$12,MATCH($B1594,Assumptions!$D$5:$D$12,0)))</x:f>
        <x:v>145</x:v>
      </x:c>
      <x:c r="E1594" s="11" t="n">
        <x:f>IF($A1594="","",INDEX(Assumptions!$M$5:$M$11,WEEKDAY($A1594,2)))</x:f>
        <x:v>0.87</x:v>
      </x:c>
      <x:c r="F1594" s="11" t="n">
        <x:f>IF($A1594="","",Assumptions!$B$15)</x:f>
        <x:v>0.35</x:v>
      </x:c>
      <x:c r="G1594" s="11" t="n">
        <x:f>IF($A1594="","",MAX(INDEX(Assumptions!$H$5:$H$12,MATCH($B1594,Assumptions!$D$5:$D$12,0)),MIN(INDEX(Assumptions!$I$5:$I$12,MATCH($B1594,Assumptions!$D$5:$D$12,0)),($C1594+$D1594*SQRT(-2*LN(RAND()))*COS(2*PI()*RAND()))*$E1594*$J1594*$K1594)))</x:f>
        <x:v>997.4243186374493</x:v>
      </x:c>
      <x:c r="H1594" s="11" t="n">
        <x:f>IF($A1594="","",$G1594*$F1594+$C1594*(1-$F1594))</x:f>
        <x:v>1168.0985115231074</x:v>
      </x:c>
      <x:c r="I1594" s="11" t="n">
        <x:f>IF($A1594="","",AVERAGE($H1594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1256.3248425691108</x:v>
      </x:c>
      <x:c r="J1594" s="12" t="n">
        <x:f>IF($A1594="","",1+SUMIFS(Assumptions!$S$5:$S$10,Assumptions!$P$5:$P$10,$B1594,Assumptions!$Q$5:$Q$10,"&lt;="&amp;$A1594,Assumptions!$R$5:$R$10,"&gt;="&amp;$A1594))</x:f>
        <x:v>1</x:v>
      </x:c>
      <x:c r="K1594" s="12" t="n">
        <x:f>IF($A1594="","",1+((($A1594-Assumptions!$B$5)/30)*INDEX(Assumptions!$J$5:$J$12,MATCH($B1594,Assumptions!$D$5:$D$12,0))))</x:f>
        <x:v>1.0318</x:v>
      </x:c>
      <x:c r="L1594" t="str">
        <x:f>IF($A1594="","",IFERROR(INDEX(Assumptions!$O$5:$O$10,MATCH(1,(Assumptions!$P$5:$P$10=$B1594)*(Assumptions!$Q$5:$Q$10&lt;=$A1594)*(Assumptions!$R$5:$R$10&gt;=$A1594),0)),""))</x:f>
      </x:c>
      <x:c r="M1594" t="n">
        <x:f>--($A1594&lt;&gt;"")</x:f>
        <x:v>1</x:v>
      </x:c>
    </x:row>
    <x:row r="1595">
      <x:c r="A1595" s="10" t="n">
        <x:f>IF(Assumptions!$B$5+INT((ROW()-2)/Assumptions!$B$7)&gt;Assumptions!$B$6,"",Assumptions!$B$5+INT((ROW()-2)/Assumptions!$B$7))</x:f>
        <x:v>46341</x:v>
      </x:c>
      <x:c r="B1595" t="str">
        <x:f>IF($A1595="","",INDEX(Assumptions!$D$5:$D$12,MOD(ROW()-2,Assumptions!$B$7)+1))</x:f>
        <x:v>Hadley's Hope</x:v>
      </x:c>
      <x:c r="C1595" s="11" t="n">
        <x:f>IF($A1595="","",INDEX(Assumptions!$F$5:$F$12,MATCH($B1595,Assumptions!$D$5:$D$12,0)))</x:f>
        <x:v>845</x:v>
      </x:c>
      <x:c r="D1595" s="11" t="n">
        <x:f>IF($A1595="","",INDEX(Assumptions!$G$5:$G$12,MATCH($B1595,Assumptions!$D$5:$D$12,0)))</x:f>
        <x:v>80</x:v>
      </x:c>
      <x:c r="E1595" s="11" t="n">
        <x:f>IF($A1595="","",INDEX(Assumptions!$M$5:$M$11,WEEKDAY($A1595,2)))</x:f>
        <x:v>0.87</x:v>
      </x:c>
      <x:c r="F1595" s="11" t="n">
        <x:f>IF($A1595="","",Assumptions!$B$15)</x:f>
        <x:v>0.35</x:v>
      </x:c>
      <x:c r="G1595" s="11" t="n">
        <x:f>IF($A1595="","",MAX(INDEX(Assumptions!$H$5:$H$12,MATCH($B1595,Assumptions!$D$5:$D$12,0)),MIN(INDEX(Assumptions!$I$5:$I$12,MATCH($B1595,Assumptions!$D$5:$D$12,0)),($C1595+$D1595*SQRT(-2*LN(RAND()))*COS(2*PI()*RAND()))*$E1595*$J1595*$K1595)))</x:f>
        <x:v>751.7336101666182</x:v>
      </x:c>
      <x:c r="H1595" s="11" t="n">
        <x:f>IF($A1595="","",$G1595*$F1595+$C1595*(1-$F1595))</x:f>
        <x:v>812.3567635583163</x:v>
      </x:c>
      <x:c r="I1595" s="11" t="n">
        <x:f>IF($A1595="","",AVERAGE($H1595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847.8294588247293</x:v>
      </x:c>
      <x:c r="J1595" s="12" t="n">
        <x:f>IF($A1595="","",1+SUMIFS(Assumptions!$S$5:$S$10,Assumptions!$P$5:$P$10,$B1595,Assumptions!$Q$5:$Q$10,"&lt;="&amp;$A1595,Assumptions!$R$5:$R$10,"&gt;="&amp;$A1595))</x:f>
        <x:v>1</x:v>
      </x:c>
      <x:c r="K1595" s="12" t="n">
        <x:f>IF($A1595="","",1+((($A1595-Assumptions!$B$5)/30)*INDEX(Assumptions!$J$5:$J$12,MATCH($B1595,Assumptions!$D$5:$D$12,0))))</x:f>
        <x:v>1.0106</x:v>
      </x:c>
      <x:c r="L1595" t="str">
        <x:f>IF($A1595="","",IFERROR(INDEX(Assumptions!$O$5:$O$10,MATCH(1,(Assumptions!$P$5:$P$10=$B1595)*(Assumptions!$Q$5:$Q$10&lt;=$A1595)*(Assumptions!$R$5:$R$10&gt;=$A1595),0)),""))</x:f>
      </x:c>
      <x:c r="M1595" t="n">
        <x:f>--($A1595&lt;&gt;"")</x:f>
        <x:v>1</x:v>
      </x:c>
    </x:row>
    <x:row r="1596">
      <x:c r="A1596" s="10" t="n">
        <x:f>IF(Assumptions!$B$5+INT((ROW()-2)/Assumptions!$B$7)&gt;Assumptions!$B$6,"",Assumptions!$B$5+INT((ROW()-2)/Assumptions!$B$7))</x:f>
        <x:v>46341</x:v>
      </x:c>
      <x:c r="B1596" t="str">
        <x:f>IF($A1596="","",INDEX(Assumptions!$D$5:$D$12,MOD(ROW()-2,Assumptions!$B$7)+1))</x:f>
        <x:v>Yutani Ridge</x:v>
      </x:c>
      <x:c r="C1596" s="11" t="n">
        <x:f>IF($A1596="","",INDEX(Assumptions!$F$5:$F$12,MATCH($B1596,Assumptions!$D$5:$D$12,0)))</x:f>
        <x:v>1050</x:v>
      </x:c>
      <x:c r="D1596" s="11" t="n">
        <x:f>IF($A1596="","",INDEX(Assumptions!$G$5:$G$12,MATCH($B1596,Assumptions!$D$5:$D$12,0)))</x:f>
        <x:v>125</x:v>
      </x:c>
      <x:c r="E1596" s="11" t="n">
        <x:f>IF($A1596="","",INDEX(Assumptions!$M$5:$M$11,WEEKDAY($A1596,2)))</x:f>
        <x:v>0.87</x:v>
      </x:c>
      <x:c r="F1596" s="11" t="n">
        <x:f>IF($A1596="","",Assumptions!$B$15)</x:f>
        <x:v>0.35</x:v>
      </x:c>
      <x:c r="G1596" s="11" t="n">
        <x:f>IF($A1596="","",MAX(INDEX(Assumptions!$H$5:$H$12,MATCH($B1596,Assumptions!$D$5:$D$12,0)),MIN(INDEX(Assumptions!$I$5:$I$12,MATCH($B1596,Assumptions!$D$5:$D$12,0)),($C1596+$D1596*SQRT(-2*LN(RAND()))*COS(2*PI()*RAND()))*$E1596*$J1596*$K1596)))</x:f>
        <x:v>907.9329514240662</x:v>
      </x:c>
      <x:c r="H1596" s="11" t="n">
        <x:f>IF($A1596="","",$G1596*$F1596+$C1596*(1-$F1596))</x:f>
        <x:v>1000.2765329984231</x:v>
      </x:c>
      <x:c r="I1596" s="11" t="n">
        <x:f>IF($A1596="","",AVERAGE($H1596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1044.6783124672127</x:v>
      </x:c>
      <x:c r="J1596" s="12" t="n">
        <x:f>IF($A1596="","",1+SUMIFS(Assumptions!$S$5:$S$10,Assumptions!$P$5:$P$10,$B1596,Assumptions!$Q$5:$Q$10,"&lt;="&amp;$A1596,Assumptions!$R$5:$R$10,"&gt;="&amp;$A1596))</x:f>
        <x:v>1</x:v>
      </x:c>
      <x:c r="K1596" s="12" t="n">
        <x:f>IF($A1596="","",1+((($A1596-Assumptions!$B$5)/30)*INDEX(Assumptions!$J$5:$J$12,MATCH($B1596,Assumptions!$D$5:$D$12,0))))</x:f>
        <x:v>1.0265</x:v>
      </x:c>
      <x:c r="L1596" t="str">
        <x:f>IF($A1596="","",IFERROR(INDEX(Assumptions!$O$5:$O$10,MATCH(1,(Assumptions!$P$5:$P$10=$B1596)*(Assumptions!$Q$5:$Q$10&lt;=$A1596)*(Assumptions!$R$5:$R$10&gt;=$A1596),0)),""))</x:f>
      </x:c>
      <x:c r="M1596" t="n">
        <x:f>--($A1596&lt;&gt;"")</x:f>
        <x:v>1</x:v>
      </x:c>
    </x:row>
    <x:row r="1597">
      <x:c r="A1597" s="10" t="n">
        <x:f>IF(Assumptions!$B$5+INT((ROW()-2)/Assumptions!$B$7)&gt;Assumptions!$B$6,"",Assumptions!$B$5+INT((ROW()-2)/Assumptions!$B$7))</x:f>
        <x:v>46342</x:v>
      </x:c>
      <x:c r="B1597" t="str">
        <x:f>IF($A1597="","",INDEX(Assumptions!$D$5:$D$12,MOD(ROW()-2,Assumptions!$B$7)+1))</x:f>
        <x:v>Acheron Prime</x:v>
      </x:c>
      <x:c r="C1597" s="11" t="n">
        <x:f>IF($A1597="","",INDEX(Assumptions!$F$5:$F$12,MATCH($B1597,Assumptions!$D$5:$D$12,0)))</x:f>
        <x:v>1120</x:v>
      </x:c>
      <x:c r="D1597" s="11" t="n">
        <x:f>IF($A1597="","",INDEX(Assumptions!$G$5:$G$12,MATCH($B1597,Assumptions!$D$5:$D$12,0)))</x:f>
        <x:v>115</x:v>
      </x:c>
      <x:c r="E1597" s="11" t="n">
        <x:f>IF($A1597="","",INDEX(Assumptions!$M$5:$M$11,WEEKDAY($A1597,2)))</x:f>
        <x:v>1.03</x:v>
      </x:c>
      <x:c r="F1597" s="11" t="n">
        <x:f>IF($A1597="","",Assumptions!$B$15)</x:f>
        <x:v>0.35</x:v>
      </x:c>
      <x:c r="G1597" s="11" t="n">
        <x:f>IF($A1597="","",MAX(INDEX(Assumptions!$H$5:$H$12,MATCH($B1597,Assumptions!$D$5:$D$12,0)),MIN(INDEX(Assumptions!$I$5:$I$12,MATCH($B1597,Assumptions!$D$5:$D$12,0)),($C1597+$D1597*SQRT(-2*LN(RAND()))*COS(2*PI()*RAND()))*$E1597*$J1597*$K1597)))</x:f>
        <x:v>1086.4694420313454</x:v>
      </x:c>
      <x:c r="H1597" s="11" t="n">
        <x:f>IF($A1597="","",$G1597*$F1597+$C1597*(1-$F1597))</x:f>
        <x:v>1108.264304710971</x:v>
      </x:c>
      <x:c r="I1597" s="11" t="n">
        <x:f>IF($A1597="","",AVERAGE($H1597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1126.9629284849013</x:v>
      </x:c>
      <x:c r="J1597" s="12" t="n">
        <x:f>IF($A1597="","",1+SUMIFS(Assumptions!$S$5:$S$10,Assumptions!$P$5:$P$10,$B1597,Assumptions!$Q$5:$Q$10,"&lt;="&amp;$A1597,Assumptions!$R$5:$R$10,"&gt;="&amp;$A1597))</x:f>
        <x:v>1</x:v>
      </x:c>
      <x:c r="K1597" s="12" t="n">
        <x:f>IF($A1597="","",1+((($A1597-Assumptions!$B$5)/30)*INDEX(Assumptions!$J$5:$J$12,MATCH($B1597,Assumptions!$D$5:$D$12,0))))</x:f>
        <x:v>1.0212666666666668</x:v>
      </x:c>
      <x:c r="L1597" t="str">
        <x:f>IF($A1597="","",IFERROR(INDEX(Assumptions!$O$5:$O$10,MATCH(1,(Assumptions!$P$5:$P$10=$B1597)*(Assumptions!$Q$5:$Q$10&lt;=$A1597)*(Assumptions!$R$5:$R$10&gt;=$A1597),0)),""))</x:f>
      </x:c>
      <x:c r="M1597" t="n">
        <x:f>--($A1597&lt;&gt;"")</x:f>
        <x:v>1</x:v>
      </x:c>
    </x:row>
    <x:row r="1598">
      <x:c r="A1598" s="10" t="n">
        <x:f>IF(Assumptions!$B$5+INT((ROW()-2)/Assumptions!$B$7)&gt;Assumptions!$B$6,"",Assumptions!$B$5+INT((ROW()-2)/Assumptions!$B$7))</x:f>
        <x:v>46342</x:v>
      </x:c>
      <x:c r="B1598" t="str">
        <x:f>IF($A1598="","",INDEX(Assumptions!$D$5:$D$12,MOD(ROW()-2,Assumptions!$B$7)+1))</x:f>
        <x:v>LV-426 North</x:v>
      </x:c>
      <x:c r="C1598" s="11" t="n">
        <x:f>IF($A1598="","",INDEX(Assumptions!$F$5:$F$12,MATCH($B1598,Assumptions!$D$5:$D$12,0)))</x:f>
        <x:v>930</x:v>
      </x:c>
      <x:c r="D1598" s="11" t="n">
        <x:f>IF($A1598="","",INDEX(Assumptions!$G$5:$G$12,MATCH($B1598,Assumptions!$D$5:$D$12,0)))</x:f>
        <x:v>95</x:v>
      </x:c>
      <x:c r="E1598" s="11" t="n">
        <x:f>IF($A1598="","",INDEX(Assumptions!$M$5:$M$11,WEEKDAY($A1598,2)))</x:f>
        <x:v>1.03</x:v>
      </x:c>
      <x:c r="F1598" s="11" t="n">
        <x:f>IF($A1598="","",Assumptions!$B$15)</x:f>
        <x:v>0.35</x:v>
      </x:c>
      <x:c r="G1598" s="11" t="n">
        <x:f>IF($A1598="","",MAX(INDEX(Assumptions!$H$5:$H$12,MATCH($B1598,Assumptions!$D$5:$D$12,0)),MIN(INDEX(Assumptions!$I$5:$I$12,MATCH($B1598,Assumptions!$D$5:$D$12,0)),($C1598+$D1598*SQRT(-2*LN(RAND()))*COS(2*PI()*RAND()))*$E1598*$J1598*$K1598)))</x:f>
        <x:v>907.8643347851581</x:v>
      </x:c>
      <x:c r="H1598" s="11" t="n">
        <x:f>IF($A1598="","",$G1598*$F1598+$C1598*(1-$F1598))</x:f>
        <x:v>922.2525171748053</x:v>
      </x:c>
      <x:c r="I1598" s="11" t="n">
        <x:f>IF($A1598="","",AVERAGE($H1598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912.1175090603557</x:v>
      </x:c>
      <x:c r="J1598" s="12" t="n">
        <x:f>IF($A1598="","",1+SUMIFS(Assumptions!$S$5:$S$10,Assumptions!$P$5:$P$10,$B1598,Assumptions!$Q$5:$Q$10,"&lt;="&amp;$A1598,Assumptions!$R$5:$R$10,"&gt;="&amp;$A1598))</x:f>
        <x:v>1</x:v>
      </x:c>
      <x:c r="K1598" s="12" t="n">
        <x:f>IF($A1598="","",1+((($A1598-Assumptions!$B$5)/30)*INDEX(Assumptions!$J$5:$J$12,MATCH($B1598,Assumptions!$D$5:$D$12,0))))</x:f>
        <x:v>0.9893666666666666</x:v>
      </x:c>
      <x:c r="L1598" t="str">
        <x:f>IF($A1598="","",IFERROR(INDEX(Assumptions!$O$5:$O$10,MATCH(1,(Assumptions!$P$5:$P$10=$B1598)*(Assumptions!$Q$5:$Q$10&lt;=$A1598)*(Assumptions!$R$5:$R$10&gt;=$A1598),0)),""))</x:f>
      </x:c>
      <x:c r="M1598" t="n">
        <x:f>--($A1598&lt;&gt;"")</x:f>
        <x:v>1</x:v>
      </x:c>
    </x:row>
    <x:row r="1599">
      <x:c r="A1599" s="10" t="n">
        <x:f>IF(Assumptions!$B$5+INT((ROW()-2)/Assumptions!$B$7)&gt;Assumptions!$B$6,"",Assumptions!$B$5+INT((ROW()-2)/Assumptions!$B$7))</x:f>
        <x:v>46342</x:v>
      </x:c>
      <x:c r="B1599" t="str">
        <x:f>IF($A1599="","",INDEX(Assumptions!$D$5:$D$12,MOD(ROW()-2,Assumptions!$B$7)+1))</x:f>
        <x:v>Nostromo Deep</x:v>
      </x:c>
      <x:c r="C1599" s="11" t="n">
        <x:f>IF($A1599="","",INDEX(Assumptions!$F$5:$F$12,MATCH($B1599,Assumptions!$D$5:$D$12,0)))</x:f>
        <x:v>1260</x:v>
      </x:c>
      <x:c r="D1599" s="11" t="n">
        <x:f>IF($A1599="","",INDEX(Assumptions!$G$5:$G$12,MATCH($B1599,Assumptions!$D$5:$D$12,0)))</x:f>
        <x:v>145</x:v>
      </x:c>
      <x:c r="E1599" s="11" t="n">
        <x:f>IF($A1599="","",INDEX(Assumptions!$M$5:$M$11,WEEKDAY($A1599,2)))</x:f>
        <x:v>1.03</x:v>
      </x:c>
      <x:c r="F1599" s="11" t="n">
        <x:f>IF($A1599="","",Assumptions!$B$15)</x:f>
        <x:v>0.35</x:v>
      </x:c>
      <x:c r="G1599" s="11" t="n">
        <x:f>IF($A1599="","",MAX(INDEX(Assumptions!$H$5:$H$12,MATCH($B1599,Assumptions!$D$5:$D$12,0)),MIN(INDEX(Assumptions!$I$5:$I$12,MATCH($B1599,Assumptions!$D$5:$D$12,0)),($C1599+$D1599*SQRT(-2*LN(RAND()))*COS(2*PI()*RAND()))*$E1599*$J1599*$K1599)))</x:f>
        <x:v>1434.057567948188</x:v>
      </x:c>
      <x:c r="H1599" s="11" t="n">
        <x:f>IF($A1599="","",$G1599*$F1599+$C1599*(1-$F1599))</x:f>
        <x:v>1320.920148781866</x:v>
      </x:c>
      <x:c r="I1599" s="11" t="n">
        <x:f>IF($A1599="","",AVERAGE($H1599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1266.087251965452</x:v>
      </x:c>
      <x:c r="J1599" s="12" t="n">
        <x:f>IF($A1599="","",1+SUMIFS(Assumptions!$S$5:$S$10,Assumptions!$P$5:$P$10,$B1599,Assumptions!$Q$5:$Q$10,"&lt;="&amp;$A1599,Assumptions!$R$5:$R$10,"&gt;="&amp;$A1599))</x:f>
        <x:v>1</x:v>
      </x:c>
      <x:c r="K1599" s="12" t="n">
        <x:f>IF($A1599="","",1+((($A1599-Assumptions!$B$5)/30)*INDEX(Assumptions!$J$5:$J$12,MATCH($B1599,Assumptions!$D$5:$D$12,0))))</x:f>
        <x:v>1.0319</x:v>
      </x:c>
      <x:c r="L1599" t="str">
        <x:f>IF($A1599="","",IFERROR(INDEX(Assumptions!$O$5:$O$10,MATCH(1,(Assumptions!$P$5:$P$10=$B1599)*(Assumptions!$Q$5:$Q$10&lt;=$A1599)*(Assumptions!$R$5:$R$10&gt;=$A1599),0)),""))</x:f>
      </x:c>
      <x:c r="M1599" t="n">
        <x:f>--($A1599&lt;&gt;"")</x:f>
        <x:v>1</x:v>
      </x:c>
    </x:row>
    <x:row r="1600">
      <x:c r="A1600" s="10" t="n">
        <x:f>IF(Assumptions!$B$5+INT((ROW()-2)/Assumptions!$B$7)&gt;Assumptions!$B$6,"",Assumptions!$B$5+INT((ROW()-2)/Assumptions!$B$7))</x:f>
        <x:v>46342</x:v>
      </x:c>
      <x:c r="B1600" t="str">
        <x:f>IF($A1600="","",INDEX(Assumptions!$D$5:$D$12,MOD(ROW()-2,Assumptions!$B$7)+1))</x:f>
        <x:v>Hadley's Hope</x:v>
      </x:c>
      <x:c r="C1600" s="11" t="n">
        <x:f>IF($A1600="","",INDEX(Assumptions!$F$5:$F$12,MATCH($B1600,Assumptions!$D$5:$D$12,0)))</x:f>
        <x:v>845</x:v>
      </x:c>
      <x:c r="D1600" s="11" t="n">
        <x:f>IF($A1600="","",INDEX(Assumptions!$G$5:$G$12,MATCH($B1600,Assumptions!$D$5:$D$12,0)))</x:f>
        <x:v>80</x:v>
      </x:c>
      <x:c r="E1600" s="11" t="n">
        <x:f>IF($A1600="","",INDEX(Assumptions!$M$5:$M$11,WEEKDAY($A1600,2)))</x:f>
        <x:v>1.03</x:v>
      </x:c>
      <x:c r="F1600" s="11" t="n">
        <x:f>IF($A1600="","",Assumptions!$B$15)</x:f>
        <x:v>0.35</x:v>
      </x:c>
      <x:c r="G1600" s="11" t="n">
        <x:f>IF($A1600="","",MAX(INDEX(Assumptions!$H$5:$H$12,MATCH($B1600,Assumptions!$D$5:$D$12,0)),MIN(INDEX(Assumptions!$I$5:$I$12,MATCH($B1600,Assumptions!$D$5:$D$12,0)),($C1600+$D1600*SQRT(-2*LN(RAND()))*COS(2*PI()*RAND()))*$E1600*$J1600*$K1600)))</x:f>
        <x:v>755.9360355765228</x:v>
      </x:c>
      <x:c r="H1600" s="11" t="n">
        <x:f>IF($A1600="","",$G1600*$F1600+$C1600*(1-$F1600))</x:f>
        <x:v>813.8276124517829</x:v>
      </x:c>
      <x:c r="I1600" s="11" t="n">
        <x:f>IF($A1600="","",AVERAGE($H1600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839.1328921456981</x:v>
      </x:c>
      <x:c r="J1600" s="12" t="n">
        <x:f>IF($A1600="","",1+SUMIFS(Assumptions!$S$5:$S$10,Assumptions!$P$5:$P$10,$B1600,Assumptions!$Q$5:$Q$10,"&lt;="&amp;$A1600,Assumptions!$R$5:$R$10,"&gt;="&amp;$A1600))</x:f>
        <x:v>1</x:v>
      </x:c>
      <x:c r="K1600" s="12" t="n">
        <x:f>IF($A1600="","",1+((($A1600-Assumptions!$B$5)/30)*INDEX(Assumptions!$J$5:$J$12,MATCH($B1600,Assumptions!$D$5:$D$12,0))))</x:f>
        <x:v>1.0106333333333333</x:v>
      </x:c>
      <x:c r="L1600" t="str">
        <x:f>IF($A1600="","",IFERROR(INDEX(Assumptions!$O$5:$O$10,MATCH(1,(Assumptions!$P$5:$P$10=$B1600)*(Assumptions!$Q$5:$Q$10&lt;=$A1600)*(Assumptions!$R$5:$R$10&gt;=$A1600),0)),""))</x:f>
      </x:c>
      <x:c r="M1600" t="n">
        <x:f>--($A1600&lt;&gt;"")</x:f>
        <x:v>1</x:v>
      </x:c>
    </x:row>
    <x:row r="1601">
      <x:c r="A1601" s="10" t="n">
        <x:f>IF(Assumptions!$B$5+INT((ROW()-2)/Assumptions!$B$7)&gt;Assumptions!$B$6,"",Assumptions!$B$5+INT((ROW()-2)/Assumptions!$B$7))</x:f>
        <x:v>46342</x:v>
      </x:c>
      <x:c r="B1601" t="str">
        <x:f>IF($A1601="","",INDEX(Assumptions!$D$5:$D$12,MOD(ROW()-2,Assumptions!$B$7)+1))</x:f>
        <x:v>Yutani Ridge</x:v>
      </x:c>
      <x:c r="C1601" s="11" t="n">
        <x:f>IF($A1601="","",INDEX(Assumptions!$F$5:$F$12,MATCH($B1601,Assumptions!$D$5:$D$12,0)))</x:f>
        <x:v>1050</x:v>
      </x:c>
      <x:c r="D1601" s="11" t="n">
        <x:f>IF($A1601="","",INDEX(Assumptions!$G$5:$G$12,MATCH($B1601,Assumptions!$D$5:$D$12,0)))</x:f>
        <x:v>125</x:v>
      </x:c>
      <x:c r="E1601" s="11" t="n">
        <x:f>IF($A1601="","",INDEX(Assumptions!$M$5:$M$11,WEEKDAY($A1601,2)))</x:f>
        <x:v>1.03</x:v>
      </x:c>
      <x:c r="F1601" s="11" t="n">
        <x:f>IF($A1601="","",Assumptions!$B$15)</x:f>
        <x:v>0.35</x:v>
      </x:c>
      <x:c r="G1601" s="11" t="n">
        <x:f>IF($A1601="","",MAX(INDEX(Assumptions!$H$5:$H$12,MATCH($B1601,Assumptions!$D$5:$D$12,0)),MIN(INDEX(Assumptions!$I$5:$I$12,MATCH($B1601,Assumptions!$D$5:$D$12,0)),($C1601+$D1601*SQRT(-2*LN(RAND()))*COS(2*PI()*RAND()))*$E1601*$J1601*$K1601)))</x:f>
        <x:v>1096.4492969473324</x:v>
      </x:c>
      <x:c r="H1601" s="11" t="n">
        <x:f>IF($A1601="","",$G1601*$F1601+$C1601*(1-$F1601))</x:f>
        <x:v>1066.2572539315663</x:v>
      </x:c>
      <x:c r="I1601" s="11" t="n">
        <x:f>IF($A1601="","",AVERAGE($H1601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1046.6947995727041</x:v>
      </x:c>
      <x:c r="J1601" s="12" t="n">
        <x:f>IF($A1601="","",1+SUMIFS(Assumptions!$S$5:$S$10,Assumptions!$P$5:$P$10,$B1601,Assumptions!$Q$5:$Q$10,"&lt;="&amp;$A1601,Assumptions!$R$5:$R$10,"&gt;="&amp;$A1601))</x:f>
        <x:v>1</x:v>
      </x:c>
      <x:c r="K1601" s="12" t="n">
        <x:f>IF($A1601="","",1+((($A1601-Assumptions!$B$5)/30)*INDEX(Assumptions!$J$5:$J$12,MATCH($B1601,Assumptions!$D$5:$D$12,0))))</x:f>
        <x:v>1.0265833333333334</x:v>
      </x:c>
      <x:c r="L1601" t="str">
        <x:f>IF($A1601="","",IFERROR(INDEX(Assumptions!$O$5:$O$10,MATCH(1,(Assumptions!$P$5:$P$10=$B1601)*(Assumptions!$Q$5:$Q$10&lt;=$A1601)*(Assumptions!$R$5:$R$10&gt;=$A1601),0)),""))</x:f>
      </x:c>
      <x:c r="M1601" t="n">
        <x:f>--($A1601&lt;&gt;"")</x:f>
        <x:v>1</x:v>
      </x:c>
    </x:row>
    <x:row r="1602">
      <x:c r="A1602" s="10" t="n">
        <x:f>IF(Assumptions!$B$5+INT((ROW()-2)/Assumptions!$B$7)&gt;Assumptions!$B$6,"",Assumptions!$B$5+INT((ROW()-2)/Assumptions!$B$7))</x:f>
        <x:v>46343</x:v>
      </x:c>
      <x:c r="B1602" t="str">
        <x:f>IF($A1602="","",INDEX(Assumptions!$D$5:$D$12,MOD(ROW()-2,Assumptions!$B$7)+1))</x:f>
        <x:v>Acheron Prime</x:v>
      </x:c>
      <x:c r="C1602" s="11" t="n">
        <x:f>IF($A1602="","",INDEX(Assumptions!$F$5:$F$12,MATCH($B1602,Assumptions!$D$5:$D$12,0)))</x:f>
        <x:v>1120</x:v>
      </x:c>
      <x:c r="D1602" s="11" t="n">
        <x:f>IF($A1602="","",INDEX(Assumptions!$G$5:$G$12,MATCH($B1602,Assumptions!$D$5:$D$12,0)))</x:f>
        <x:v>115</x:v>
      </x:c>
      <x:c r="E1602" s="11" t="n">
        <x:f>IF($A1602="","",INDEX(Assumptions!$M$5:$M$11,WEEKDAY($A1602,2)))</x:f>
        <x:v>1.02</x:v>
      </x:c>
      <x:c r="F1602" s="11" t="n">
        <x:f>IF($A1602="","",Assumptions!$B$15)</x:f>
        <x:v>0.35</x:v>
      </x:c>
      <x:c r="G1602" s="11" t="n">
        <x:f>IF($A1602="","",MAX(INDEX(Assumptions!$H$5:$H$12,MATCH($B1602,Assumptions!$D$5:$D$12,0)),MIN(INDEX(Assumptions!$I$5:$I$12,MATCH($B1602,Assumptions!$D$5:$D$12,0)),($C1602+$D1602*SQRT(-2*LN(RAND()))*COS(2*PI()*RAND()))*$E1602*$J1602*$K1602)))</x:f>
        <x:v>1251.706630015163</x:v>
      </x:c>
      <x:c r="H1602" s="11" t="n">
        <x:f>IF($A1602="","",$G1602*$F1602+$C1602*(1-$F1602))</x:f>
        <x:v>1166.097320505307</x:v>
      </x:c>
      <x:c r="I1602" s="11" t="n">
        <x:f>IF($A1602="","",AVERAGE($H1602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1130.5233758140014</x:v>
      </x:c>
      <x:c r="J1602" s="12" t="n">
        <x:f>IF($A1602="","",1+SUMIFS(Assumptions!$S$5:$S$10,Assumptions!$P$5:$P$10,$B1602,Assumptions!$Q$5:$Q$10,"&lt;="&amp;$A1602,Assumptions!$R$5:$R$10,"&gt;="&amp;$A1602))</x:f>
        <x:v>1</x:v>
      </x:c>
      <x:c r="K1602" s="12" t="n">
        <x:f>IF($A1602="","",1+((($A1602-Assumptions!$B$5)/30)*INDEX(Assumptions!$J$5:$J$12,MATCH($B1602,Assumptions!$D$5:$D$12,0))))</x:f>
        <x:v>1.0213333333333334</x:v>
      </x:c>
      <x:c r="L1602" t="str">
        <x:f>IF($A1602="","",IFERROR(INDEX(Assumptions!$O$5:$O$10,MATCH(1,(Assumptions!$P$5:$P$10=$B1602)*(Assumptions!$Q$5:$Q$10&lt;=$A1602)*(Assumptions!$R$5:$R$10&gt;=$A1602),0)),""))</x:f>
      </x:c>
      <x:c r="M1602" t="n">
        <x:f>--($A1602&lt;&gt;"")</x:f>
        <x:v>1</x:v>
      </x:c>
    </x:row>
    <x:row r="1603">
      <x:c r="A1603" s="10" t="n">
        <x:f>IF(Assumptions!$B$5+INT((ROW()-2)/Assumptions!$B$7)&gt;Assumptions!$B$6,"",Assumptions!$B$5+INT((ROW()-2)/Assumptions!$B$7))</x:f>
        <x:v>46343</x:v>
      </x:c>
      <x:c r="B1603" t="str">
        <x:f>IF($A1603="","",INDEX(Assumptions!$D$5:$D$12,MOD(ROW()-2,Assumptions!$B$7)+1))</x:f>
        <x:v>LV-426 North</x:v>
      </x:c>
      <x:c r="C1603" s="11" t="n">
        <x:f>IF($A1603="","",INDEX(Assumptions!$F$5:$F$12,MATCH($B1603,Assumptions!$D$5:$D$12,0)))</x:f>
        <x:v>930</x:v>
      </x:c>
      <x:c r="D1603" s="11" t="n">
        <x:f>IF($A1603="","",INDEX(Assumptions!$G$5:$G$12,MATCH($B1603,Assumptions!$D$5:$D$12,0)))</x:f>
        <x:v>95</x:v>
      </x:c>
      <x:c r="E1603" s="11" t="n">
        <x:f>IF($A1603="","",INDEX(Assumptions!$M$5:$M$11,WEEKDAY($A1603,2)))</x:f>
        <x:v>1.02</x:v>
      </x:c>
      <x:c r="F1603" s="11" t="n">
        <x:f>IF($A1603="","",Assumptions!$B$15)</x:f>
        <x:v>0.35</x:v>
      </x:c>
      <x:c r="G1603" s="11" t="n">
        <x:f>IF($A1603="","",MAX(INDEX(Assumptions!$H$5:$H$12,MATCH($B1603,Assumptions!$D$5:$D$12,0)),MIN(INDEX(Assumptions!$I$5:$I$12,MATCH($B1603,Assumptions!$D$5:$D$12,0)),($C1603+$D1603*SQRT(-2*LN(RAND()))*COS(2*PI()*RAND()))*$E1603*$J1603*$K1603)))</x:f>
        <x:v>826.7217760805204</x:v>
      </x:c>
      <x:c r="H1603" s="11" t="n">
        <x:f>IF($A1603="","",$G1603*$F1603+$C1603*(1-$F1603))</x:f>
        <x:v>893.8526216281821</x:v>
      </x:c>
      <x:c r="I1603" s="11" t="n">
        <x:f>IF($A1603="","",AVERAGE($H1603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909.0080990369906</x:v>
      </x:c>
      <x:c r="J1603" s="12" t="n">
        <x:f>IF($A1603="","",1+SUMIFS(Assumptions!$S$5:$S$10,Assumptions!$P$5:$P$10,$B1603,Assumptions!$Q$5:$Q$10,"&lt;="&amp;$A1603,Assumptions!$R$5:$R$10,"&gt;="&amp;$A1603))</x:f>
        <x:v>1</x:v>
      </x:c>
      <x:c r="K1603" s="12" t="n">
        <x:f>IF($A1603="","",1+((($A1603-Assumptions!$B$5)/30)*INDEX(Assumptions!$J$5:$J$12,MATCH($B1603,Assumptions!$D$5:$D$12,0))))</x:f>
        <x:v>0.9893333333333333</x:v>
      </x:c>
      <x:c r="L1603" t="str">
        <x:f>IF($A1603="","",IFERROR(INDEX(Assumptions!$O$5:$O$10,MATCH(1,(Assumptions!$P$5:$P$10=$B1603)*(Assumptions!$Q$5:$Q$10&lt;=$A1603)*(Assumptions!$R$5:$R$10&gt;=$A1603),0)),""))</x:f>
      </x:c>
      <x:c r="M1603" t="n">
        <x:f>--($A1603&lt;&gt;"")</x:f>
        <x:v>1</x:v>
      </x:c>
    </x:row>
    <x:row r="1604">
      <x:c r="A1604" s="10" t="n">
        <x:f>IF(Assumptions!$B$5+INT((ROW()-2)/Assumptions!$B$7)&gt;Assumptions!$B$6,"",Assumptions!$B$5+INT((ROW()-2)/Assumptions!$B$7))</x:f>
        <x:v>46343</x:v>
      </x:c>
      <x:c r="B1604" t="str">
        <x:f>IF($A1604="","",INDEX(Assumptions!$D$5:$D$12,MOD(ROW()-2,Assumptions!$B$7)+1))</x:f>
        <x:v>Nostromo Deep</x:v>
      </x:c>
      <x:c r="C1604" s="11" t="n">
        <x:f>IF($A1604="","",INDEX(Assumptions!$F$5:$F$12,MATCH($B1604,Assumptions!$D$5:$D$12,0)))</x:f>
        <x:v>1260</x:v>
      </x:c>
      <x:c r="D1604" s="11" t="n">
        <x:f>IF($A1604="","",INDEX(Assumptions!$G$5:$G$12,MATCH($B1604,Assumptions!$D$5:$D$12,0)))</x:f>
        <x:v>145</x:v>
      </x:c>
      <x:c r="E1604" s="11" t="n">
        <x:f>IF($A1604="","",INDEX(Assumptions!$M$5:$M$11,WEEKDAY($A1604,2)))</x:f>
        <x:v>1.02</x:v>
      </x:c>
      <x:c r="F1604" s="11" t="n">
        <x:f>IF($A1604="","",Assumptions!$B$15)</x:f>
        <x:v>0.35</x:v>
      </x:c>
      <x:c r="G1604" s="11" t="n">
        <x:f>IF($A1604="","",MAX(INDEX(Assumptions!$H$5:$H$12,MATCH($B1604,Assumptions!$D$5:$D$12,0)),MIN(INDEX(Assumptions!$I$5:$I$12,MATCH($B1604,Assumptions!$D$5:$D$12,0)),($C1604+$D1604*SQRT(-2*LN(RAND()))*COS(2*PI()*RAND()))*$E1604*$J1604*$K1604)))</x:f>
        <x:v>1342.1900463023098</x:v>
      </x:c>
      <x:c r="H1604" s="11" t="n">
        <x:f>IF($A1604="","",$G1604*$F1604+$C1604*(1-$F1604))</x:f>
        <x:v>1288.7665162058083</x:v>
      </x:c>
      <x:c r="I1604" s="11" t="n">
        <x:f>IF($A1604="","",AVERAGE($H1604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1263.7364118289856</x:v>
      </x:c>
      <x:c r="J1604" s="12" t="n">
        <x:f>IF($A1604="","",1+SUMIFS(Assumptions!$S$5:$S$10,Assumptions!$P$5:$P$10,$B1604,Assumptions!$Q$5:$Q$10,"&lt;="&amp;$A1604,Assumptions!$R$5:$R$10,"&gt;="&amp;$A1604))</x:f>
        <x:v>1</x:v>
      </x:c>
      <x:c r="K1604" s="12" t="n">
        <x:f>IF($A1604="","",1+((($A1604-Assumptions!$B$5)/30)*INDEX(Assumptions!$J$5:$J$12,MATCH($B1604,Assumptions!$D$5:$D$12,0))))</x:f>
        <x:v>1.032</x:v>
      </x:c>
      <x:c r="L1604" t="str">
        <x:f>IF($A1604="","",IFERROR(INDEX(Assumptions!$O$5:$O$10,MATCH(1,(Assumptions!$P$5:$P$10=$B1604)*(Assumptions!$Q$5:$Q$10&lt;=$A1604)*(Assumptions!$R$5:$R$10&gt;=$A1604),0)),""))</x:f>
      </x:c>
      <x:c r="M1604" t="n">
        <x:f>--($A1604&lt;&gt;"")</x:f>
        <x:v>1</x:v>
      </x:c>
    </x:row>
    <x:row r="1605">
      <x:c r="A1605" s="10" t="n">
        <x:f>IF(Assumptions!$B$5+INT((ROW()-2)/Assumptions!$B$7)&gt;Assumptions!$B$6,"",Assumptions!$B$5+INT((ROW()-2)/Assumptions!$B$7))</x:f>
        <x:v>46343</x:v>
      </x:c>
      <x:c r="B1605" t="str">
        <x:f>IF($A1605="","",INDEX(Assumptions!$D$5:$D$12,MOD(ROW()-2,Assumptions!$B$7)+1))</x:f>
        <x:v>Hadley's Hope</x:v>
      </x:c>
      <x:c r="C1605" s="11" t="n">
        <x:f>IF($A1605="","",INDEX(Assumptions!$F$5:$F$12,MATCH($B1605,Assumptions!$D$5:$D$12,0)))</x:f>
        <x:v>845</x:v>
      </x:c>
      <x:c r="D1605" s="11" t="n">
        <x:f>IF($A1605="","",INDEX(Assumptions!$G$5:$G$12,MATCH($B1605,Assumptions!$D$5:$D$12,0)))</x:f>
        <x:v>80</x:v>
      </x:c>
      <x:c r="E1605" s="11" t="n">
        <x:f>IF($A1605="","",INDEX(Assumptions!$M$5:$M$11,WEEKDAY($A1605,2)))</x:f>
        <x:v>1.02</x:v>
      </x:c>
      <x:c r="F1605" s="11" t="n">
        <x:f>IF($A1605="","",Assumptions!$B$15)</x:f>
        <x:v>0.35</x:v>
      </x:c>
      <x:c r="G1605" s="11" t="n">
        <x:f>IF($A1605="","",MAX(INDEX(Assumptions!$H$5:$H$12,MATCH($B1605,Assumptions!$D$5:$D$12,0)),MIN(INDEX(Assumptions!$I$5:$I$12,MATCH($B1605,Assumptions!$D$5:$D$12,0)),($C1605+$D1605*SQRT(-2*LN(RAND()))*COS(2*PI()*RAND()))*$E1605*$J1605*$K1605)))</x:f>
        <x:v>885.5676272891591</x:v>
      </x:c>
      <x:c r="H1605" s="11" t="n">
        <x:f>IF($A1605="","",$G1605*$F1605+$C1605*(1-$F1605))</x:f>
        <x:v>859.1986695512057</x:v>
      </x:c>
      <x:c r="I1605" s="11" t="n">
        <x:f>IF($A1605="","",AVERAGE($H1605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841.5141337977639</x:v>
      </x:c>
      <x:c r="J1605" s="12" t="n">
        <x:f>IF($A1605="","",1+SUMIFS(Assumptions!$S$5:$S$10,Assumptions!$P$5:$P$10,$B1605,Assumptions!$Q$5:$Q$10,"&lt;="&amp;$A1605,Assumptions!$R$5:$R$10,"&gt;="&amp;$A1605))</x:f>
        <x:v>1</x:v>
      </x:c>
      <x:c r="K1605" s="12" t="n">
        <x:f>IF($A1605="","",1+((($A1605-Assumptions!$B$5)/30)*INDEX(Assumptions!$J$5:$J$12,MATCH($B1605,Assumptions!$D$5:$D$12,0))))</x:f>
        <x:v>1.0106666666666666</x:v>
      </x:c>
      <x:c r="L1605" t="str">
        <x:f>IF($A1605="","",IFERROR(INDEX(Assumptions!$O$5:$O$10,MATCH(1,(Assumptions!$P$5:$P$10=$B1605)*(Assumptions!$Q$5:$Q$10&lt;=$A1605)*(Assumptions!$R$5:$R$10&gt;=$A1605),0)),""))</x:f>
      </x:c>
      <x:c r="M1605" t="n">
        <x:f>--($A1605&lt;&gt;"")</x:f>
        <x:v>1</x:v>
      </x:c>
    </x:row>
    <x:row r="1606">
      <x:c r="A1606" s="10" t="n">
        <x:f>IF(Assumptions!$B$5+INT((ROW()-2)/Assumptions!$B$7)&gt;Assumptions!$B$6,"",Assumptions!$B$5+INT((ROW()-2)/Assumptions!$B$7))</x:f>
        <x:v>46343</x:v>
      </x:c>
      <x:c r="B1606" t="str">
        <x:f>IF($A1606="","",INDEX(Assumptions!$D$5:$D$12,MOD(ROW()-2,Assumptions!$B$7)+1))</x:f>
        <x:v>Yutani Ridge</x:v>
      </x:c>
      <x:c r="C1606" s="11" t="n">
        <x:f>IF($A1606="","",INDEX(Assumptions!$F$5:$F$12,MATCH($B1606,Assumptions!$D$5:$D$12,0)))</x:f>
        <x:v>1050</x:v>
      </x:c>
      <x:c r="D1606" s="11" t="n">
        <x:f>IF($A1606="","",INDEX(Assumptions!$G$5:$G$12,MATCH($B1606,Assumptions!$D$5:$D$12,0)))</x:f>
        <x:v>125</x:v>
      </x:c>
      <x:c r="E1606" s="11" t="n">
        <x:f>IF($A1606="","",INDEX(Assumptions!$M$5:$M$11,WEEKDAY($A1606,2)))</x:f>
        <x:v>1.02</x:v>
      </x:c>
      <x:c r="F1606" s="11" t="n">
        <x:f>IF($A1606="","",Assumptions!$B$15)</x:f>
        <x:v>0.35</x:v>
      </x:c>
      <x:c r="G1606" s="11" t="n">
        <x:f>IF($A1606="","",MAX(INDEX(Assumptions!$H$5:$H$12,MATCH($B1606,Assumptions!$D$5:$D$12,0)),MIN(INDEX(Assumptions!$I$5:$I$12,MATCH($B1606,Assumptions!$D$5:$D$12,0)),($C1606+$D1606*SQRT(-2*LN(RAND()))*COS(2*PI()*RAND()))*$E1606*$J1606*$K1606)))</x:f>
        <x:v>1039.7155434076842</x:v>
      </x:c>
      <x:c r="H1606" s="11" t="n">
        <x:f>IF($A1606="","",$G1606*$F1606+$C1606*(1-$F1606))</x:f>
        <x:v>1046.4004401926895</x:v>
      </x:c>
      <x:c r="I1606" s="11" t="n">
        <x:f>IF($A1606="","",AVERAGE($H1606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1043.2306297305531</x:v>
      </x:c>
      <x:c r="J1606" s="12" t="n">
        <x:f>IF($A1606="","",1+SUMIFS(Assumptions!$S$5:$S$10,Assumptions!$P$5:$P$10,$B1606,Assumptions!$Q$5:$Q$10,"&lt;="&amp;$A1606,Assumptions!$R$5:$R$10,"&gt;="&amp;$A1606))</x:f>
        <x:v>1</x:v>
      </x:c>
      <x:c r="K1606" s="12" t="n">
        <x:f>IF($A1606="","",1+((($A1606-Assumptions!$B$5)/30)*INDEX(Assumptions!$J$5:$J$12,MATCH($B1606,Assumptions!$D$5:$D$12,0))))</x:f>
        <x:v>1.0266666666666666</x:v>
      </x:c>
      <x:c r="L1606" t="str">
        <x:f>IF($A1606="","",IFERROR(INDEX(Assumptions!$O$5:$O$10,MATCH(1,(Assumptions!$P$5:$P$10=$B1606)*(Assumptions!$Q$5:$Q$10&lt;=$A1606)*(Assumptions!$R$5:$R$10&gt;=$A1606),0)),""))</x:f>
      </x:c>
      <x:c r="M1606" t="n">
        <x:f>--($A1606&lt;&gt;"")</x:f>
        <x:v>1</x:v>
      </x:c>
    </x:row>
    <x:row r="1607">
      <x:c r="A1607" s="10" t="n">
        <x:f>IF(Assumptions!$B$5+INT((ROW()-2)/Assumptions!$B$7)&gt;Assumptions!$B$6,"",Assumptions!$B$5+INT((ROW()-2)/Assumptions!$B$7))</x:f>
        <x:v>46344</x:v>
      </x:c>
      <x:c r="B1607" t="str">
        <x:f>IF($A1607="","",INDEX(Assumptions!$D$5:$D$12,MOD(ROW()-2,Assumptions!$B$7)+1))</x:f>
        <x:v>Acheron Prime</x:v>
      </x:c>
      <x:c r="C1607" s="11" t="n">
        <x:f>IF($A1607="","",INDEX(Assumptions!$F$5:$F$12,MATCH($B1607,Assumptions!$D$5:$D$12,0)))</x:f>
        <x:v>1120</x:v>
      </x:c>
      <x:c r="D1607" s="11" t="n">
        <x:f>IF($A1607="","",INDEX(Assumptions!$G$5:$G$12,MATCH($B1607,Assumptions!$D$5:$D$12,0)))</x:f>
        <x:v>115</x:v>
      </x:c>
      <x:c r="E1607" s="11" t="n">
        <x:f>IF($A1607="","",INDEX(Assumptions!$M$5:$M$11,WEEKDAY($A1607,2)))</x:f>
        <x:v>1.01</x:v>
      </x:c>
      <x:c r="F1607" s="11" t="n">
        <x:f>IF($A1607="","",Assumptions!$B$15)</x:f>
        <x:v>0.35</x:v>
      </x:c>
      <x:c r="G1607" s="11" t="n">
        <x:f>IF($A1607="","",MAX(INDEX(Assumptions!$H$5:$H$12,MATCH($B1607,Assumptions!$D$5:$D$12,0)),MIN(INDEX(Assumptions!$I$5:$I$12,MATCH($B1607,Assumptions!$D$5:$D$12,0)),($C1607+$D1607*SQRT(-2*LN(RAND()))*COS(2*PI()*RAND()))*$E1607*$J1607*$K1607)))</x:f>
        <x:v>1112.7829281132633</x:v>
      </x:c>
      <x:c r="H1607" s="11" t="n">
        <x:f>IF($A1607="","",$G1607*$F1607+$C1607*(1-$F1607))</x:f>
        <x:v>1117.4740248396422</x:v>
      </x:c>
      <x:c r="I1607" s="11" t="n">
        <x:f>IF($A1607="","",AVERAGE($H1607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1132.6776362691394</x:v>
      </x:c>
      <x:c r="J1607" s="12" t="n">
        <x:f>IF($A1607="","",1+SUMIFS(Assumptions!$S$5:$S$10,Assumptions!$P$5:$P$10,$B1607,Assumptions!$Q$5:$Q$10,"&lt;="&amp;$A1607,Assumptions!$R$5:$R$10,"&gt;="&amp;$A1607))</x:f>
        <x:v>1</x:v>
      </x:c>
      <x:c r="K1607" s="12" t="n">
        <x:f>IF($A1607="","",1+((($A1607-Assumptions!$B$5)/30)*INDEX(Assumptions!$J$5:$J$12,MATCH($B1607,Assumptions!$D$5:$D$12,0))))</x:f>
        <x:v>1.0214</x:v>
      </x:c>
      <x:c r="L1607" t="str">
        <x:f>IF($A1607="","",IFERROR(INDEX(Assumptions!$O$5:$O$10,MATCH(1,(Assumptions!$P$5:$P$10=$B1607)*(Assumptions!$Q$5:$Q$10&lt;=$A1607)*(Assumptions!$R$5:$R$10&gt;=$A1607),0)),""))</x:f>
      </x:c>
      <x:c r="M1607" t="n">
        <x:f>--($A1607&lt;&gt;"")</x:f>
        <x:v>1</x:v>
      </x:c>
    </x:row>
    <x:row r="1608">
      <x:c r="A1608" s="10" t="n">
        <x:f>IF(Assumptions!$B$5+INT((ROW()-2)/Assumptions!$B$7)&gt;Assumptions!$B$6,"",Assumptions!$B$5+INT((ROW()-2)/Assumptions!$B$7))</x:f>
        <x:v>46344</x:v>
      </x:c>
      <x:c r="B1608" t="str">
        <x:f>IF($A1608="","",INDEX(Assumptions!$D$5:$D$12,MOD(ROW()-2,Assumptions!$B$7)+1))</x:f>
        <x:v>LV-426 North</x:v>
      </x:c>
      <x:c r="C1608" s="11" t="n">
        <x:f>IF($A1608="","",INDEX(Assumptions!$F$5:$F$12,MATCH($B1608,Assumptions!$D$5:$D$12,0)))</x:f>
        <x:v>930</x:v>
      </x:c>
      <x:c r="D1608" s="11" t="n">
        <x:f>IF($A1608="","",INDEX(Assumptions!$G$5:$G$12,MATCH($B1608,Assumptions!$D$5:$D$12,0)))</x:f>
        <x:v>95</x:v>
      </x:c>
      <x:c r="E1608" s="11" t="n">
        <x:f>IF($A1608="","",INDEX(Assumptions!$M$5:$M$11,WEEKDAY($A1608,2)))</x:f>
        <x:v>1.01</x:v>
      </x:c>
      <x:c r="F1608" s="11" t="n">
        <x:f>IF($A1608="","",Assumptions!$B$15)</x:f>
        <x:v>0.35</x:v>
      </x:c>
      <x:c r="G1608" s="11" t="n">
        <x:f>IF($A1608="","",MAX(INDEX(Assumptions!$H$5:$H$12,MATCH($B1608,Assumptions!$D$5:$D$12,0)),MIN(INDEX(Assumptions!$I$5:$I$12,MATCH($B1608,Assumptions!$D$5:$D$12,0)),($C1608+$D1608*SQRT(-2*LN(RAND()))*COS(2*PI()*RAND()))*$E1608*$J1608*$K1608)))</x:f>
        <x:v>942.9572682129955</x:v>
      </x:c>
      <x:c r="H1608" s="11" t="n">
        <x:f>IF($A1608="","",$G1608*$F1608+$C1608*(1-$F1608))</x:f>
        <x:v>934.5350438745484</x:v>
      </x:c>
      <x:c r="I1608" s="11" t="n">
        <x:f>IF($A1608="","",AVERAGE($H1608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904.0412183086643</x:v>
      </x:c>
      <x:c r="J1608" s="12" t="n">
        <x:f>IF($A1608="","",1+SUMIFS(Assumptions!$S$5:$S$10,Assumptions!$P$5:$P$10,$B1608,Assumptions!$Q$5:$Q$10,"&lt;="&amp;$A1608,Assumptions!$R$5:$R$10,"&gt;="&amp;$A1608))</x:f>
        <x:v>1</x:v>
      </x:c>
      <x:c r="K1608" s="12" t="n">
        <x:f>IF($A1608="","",1+((($A1608-Assumptions!$B$5)/30)*INDEX(Assumptions!$J$5:$J$12,MATCH($B1608,Assumptions!$D$5:$D$12,0))))</x:f>
        <x:v>0.9893</x:v>
      </x:c>
      <x:c r="L1608" t="str">
        <x:f>IF($A1608="","",IFERROR(INDEX(Assumptions!$O$5:$O$10,MATCH(1,(Assumptions!$P$5:$P$10=$B1608)*(Assumptions!$Q$5:$Q$10&lt;=$A1608)*(Assumptions!$R$5:$R$10&gt;=$A1608),0)),""))</x:f>
      </x:c>
      <x:c r="M1608" t="n">
        <x:f>--($A1608&lt;&gt;"")</x:f>
        <x:v>1</x:v>
      </x:c>
    </x:row>
    <x:row r="1609">
      <x:c r="A1609" s="10" t="n">
        <x:f>IF(Assumptions!$B$5+INT((ROW()-2)/Assumptions!$B$7)&gt;Assumptions!$B$6,"",Assumptions!$B$5+INT((ROW()-2)/Assumptions!$B$7))</x:f>
        <x:v>46344</x:v>
      </x:c>
      <x:c r="B1609" t="str">
        <x:f>IF($A1609="","",INDEX(Assumptions!$D$5:$D$12,MOD(ROW()-2,Assumptions!$B$7)+1))</x:f>
        <x:v>Nostromo Deep</x:v>
      </x:c>
      <x:c r="C1609" s="11" t="n">
        <x:f>IF($A1609="","",INDEX(Assumptions!$F$5:$F$12,MATCH($B1609,Assumptions!$D$5:$D$12,0)))</x:f>
        <x:v>1260</x:v>
      </x:c>
      <x:c r="D1609" s="11" t="n">
        <x:f>IF($A1609="","",INDEX(Assumptions!$G$5:$G$12,MATCH($B1609,Assumptions!$D$5:$D$12,0)))</x:f>
        <x:v>145</x:v>
      </x:c>
      <x:c r="E1609" s="11" t="n">
        <x:f>IF($A1609="","",INDEX(Assumptions!$M$5:$M$11,WEEKDAY($A1609,2)))</x:f>
        <x:v>1.01</x:v>
      </x:c>
      <x:c r="F1609" s="11" t="n">
        <x:f>IF($A1609="","",Assumptions!$B$15)</x:f>
        <x:v>0.35</x:v>
      </x:c>
      <x:c r="G1609" s="11" t="n">
        <x:f>IF($A1609="","",MAX(INDEX(Assumptions!$H$5:$H$12,MATCH($B1609,Assumptions!$D$5:$D$12,0)),MIN(INDEX(Assumptions!$I$5:$I$12,MATCH($B1609,Assumptions!$D$5:$D$12,0)),($C1609+$D1609*SQRT(-2*LN(RAND()))*COS(2*PI()*RAND()))*$E1609*$J1609*$K1609)))</x:f>
        <x:v>1148.7522290653058</x:v>
      </x:c>
      <x:c r="H1609" s="11" t="n">
        <x:f>IF($A1609="","",$G1609*$F1609+$C1609*(1-$F1609))</x:f>
        <x:v>1221.063280172857</x:v>
      </x:c>
      <x:c r="I1609" s="11" t="n">
        <x:f>IF($A1609="","",AVERAGE($H1609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1242.7481974344246</x:v>
      </x:c>
      <x:c r="J1609" s="12" t="n">
        <x:f>IF($A1609="","",1+SUMIFS(Assumptions!$S$5:$S$10,Assumptions!$P$5:$P$10,$B1609,Assumptions!$Q$5:$Q$10,"&lt;="&amp;$A1609,Assumptions!$R$5:$R$10,"&gt;="&amp;$A1609))</x:f>
        <x:v>1</x:v>
      </x:c>
      <x:c r="K1609" s="12" t="n">
        <x:f>IF($A1609="","",1+((($A1609-Assumptions!$B$5)/30)*INDEX(Assumptions!$J$5:$J$12,MATCH($B1609,Assumptions!$D$5:$D$12,0))))</x:f>
        <x:v>1.0321</x:v>
      </x:c>
      <x:c r="L1609" t="str">
        <x:f>IF($A1609="","",IFERROR(INDEX(Assumptions!$O$5:$O$10,MATCH(1,(Assumptions!$P$5:$P$10=$B1609)*(Assumptions!$Q$5:$Q$10&lt;=$A1609)*(Assumptions!$R$5:$R$10&gt;=$A1609),0)),""))</x:f>
      </x:c>
      <x:c r="M1609" t="n">
        <x:f>--($A1609&lt;&gt;"")</x:f>
        <x:v>1</x:v>
      </x:c>
    </x:row>
    <x:row r="1610">
      <x:c r="A1610" s="10" t="n">
        <x:f>IF(Assumptions!$B$5+INT((ROW()-2)/Assumptions!$B$7)&gt;Assumptions!$B$6,"",Assumptions!$B$5+INT((ROW()-2)/Assumptions!$B$7))</x:f>
        <x:v>46344</x:v>
      </x:c>
      <x:c r="B1610" t="str">
        <x:f>IF($A1610="","",INDEX(Assumptions!$D$5:$D$12,MOD(ROW()-2,Assumptions!$B$7)+1))</x:f>
        <x:v>Hadley's Hope</x:v>
      </x:c>
      <x:c r="C1610" s="11" t="n">
        <x:f>IF($A1610="","",INDEX(Assumptions!$F$5:$F$12,MATCH($B1610,Assumptions!$D$5:$D$12,0)))</x:f>
        <x:v>845</x:v>
      </x:c>
      <x:c r="D1610" s="11" t="n">
        <x:f>IF($A1610="","",INDEX(Assumptions!$G$5:$G$12,MATCH($B1610,Assumptions!$D$5:$D$12,0)))</x:f>
        <x:v>80</x:v>
      </x:c>
      <x:c r="E1610" s="11" t="n">
        <x:f>IF($A1610="","",INDEX(Assumptions!$M$5:$M$11,WEEKDAY($A1610,2)))</x:f>
        <x:v>1.01</x:v>
      </x:c>
      <x:c r="F1610" s="11" t="n">
        <x:f>IF($A1610="","",Assumptions!$B$15)</x:f>
        <x:v>0.35</x:v>
      </x:c>
      <x:c r="G1610" s="11" t="n">
        <x:f>IF($A1610="","",MAX(INDEX(Assumptions!$H$5:$H$12,MATCH($B1610,Assumptions!$D$5:$D$12,0)),MIN(INDEX(Assumptions!$I$5:$I$12,MATCH($B1610,Assumptions!$D$5:$D$12,0)),($C1610+$D1610*SQRT(-2*LN(RAND()))*COS(2*PI()*RAND()))*$E1610*$J1610*$K1610)))</x:f>
        <x:v>823.1807729843139</x:v>
      </x:c>
      <x:c r="H1610" s="11" t="n">
        <x:f>IF($A1610="","",$G1610*$F1610+$C1610*(1-$F1610))</x:f>
        <x:v>837.3632705445098</x:v>
      </x:c>
      <x:c r="I1610" s="11" t="n">
        <x:f>IF($A1610="","",AVERAGE($H1610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832.6317560648022</x:v>
      </x:c>
      <x:c r="J1610" s="12" t="n">
        <x:f>IF($A1610="","",1+SUMIFS(Assumptions!$S$5:$S$10,Assumptions!$P$5:$P$10,$B1610,Assumptions!$Q$5:$Q$10,"&lt;="&amp;$A1610,Assumptions!$R$5:$R$10,"&gt;="&amp;$A1610))</x:f>
        <x:v>1</x:v>
      </x:c>
      <x:c r="K1610" s="12" t="n">
        <x:f>IF($A1610="","",1+((($A1610-Assumptions!$B$5)/30)*INDEX(Assumptions!$J$5:$J$12,MATCH($B1610,Assumptions!$D$5:$D$12,0))))</x:f>
        <x:v>1.0107</x:v>
      </x:c>
      <x:c r="L1610" t="str">
        <x:f>IF($A1610="","",IFERROR(INDEX(Assumptions!$O$5:$O$10,MATCH(1,(Assumptions!$P$5:$P$10=$B1610)*(Assumptions!$Q$5:$Q$10&lt;=$A1610)*(Assumptions!$R$5:$R$10&gt;=$A1610),0)),""))</x:f>
      </x:c>
      <x:c r="M1610" t="n">
        <x:f>--($A1610&lt;&gt;"")</x:f>
        <x:v>1</x:v>
      </x:c>
    </x:row>
    <x:row r="1611">
      <x:c r="A1611" s="10" t="n">
        <x:f>IF(Assumptions!$B$5+INT((ROW()-2)/Assumptions!$B$7)&gt;Assumptions!$B$6,"",Assumptions!$B$5+INT((ROW()-2)/Assumptions!$B$7))</x:f>
        <x:v>46344</x:v>
      </x:c>
      <x:c r="B1611" t="str">
        <x:f>IF($A1611="","",INDEX(Assumptions!$D$5:$D$12,MOD(ROW()-2,Assumptions!$B$7)+1))</x:f>
        <x:v>Yutani Ridge</x:v>
      </x:c>
      <x:c r="C1611" s="11" t="n">
        <x:f>IF($A1611="","",INDEX(Assumptions!$F$5:$F$12,MATCH($B1611,Assumptions!$D$5:$D$12,0)))</x:f>
        <x:v>1050</x:v>
      </x:c>
      <x:c r="D1611" s="11" t="n">
        <x:f>IF($A1611="","",INDEX(Assumptions!$G$5:$G$12,MATCH($B1611,Assumptions!$D$5:$D$12,0)))</x:f>
        <x:v>125</x:v>
      </x:c>
      <x:c r="E1611" s="11" t="n">
        <x:f>IF($A1611="","",INDEX(Assumptions!$M$5:$M$11,WEEKDAY($A1611,2)))</x:f>
        <x:v>1.01</x:v>
      </x:c>
      <x:c r="F1611" s="11" t="n">
        <x:f>IF($A1611="","",Assumptions!$B$15)</x:f>
        <x:v>0.35</x:v>
      </x:c>
      <x:c r="G1611" s="11" t="n">
        <x:f>IF($A1611="","",MAX(INDEX(Assumptions!$H$5:$H$12,MATCH($B1611,Assumptions!$D$5:$D$12,0)),MIN(INDEX(Assumptions!$I$5:$I$12,MATCH($B1611,Assumptions!$D$5:$D$12,0)),($C1611+$D1611*SQRT(-2*LN(RAND()))*COS(2*PI()*RAND()))*$E1611*$J1611*$K1611)))</x:f>
        <x:v>1196.6607554335249</x:v>
      </x:c>
      <x:c r="H1611" s="11" t="n">
        <x:f>IF($A1611="","",$G1611*$F1611+$C1611*(1-$F1611))</x:f>
        <x:v>1101.3312644017337</x:v>
      </x:c>
      <x:c r="I1611" s="11" t="n">
        <x:f>IF($A1611="","",AVERAGE($H1611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1046.7751382442054</x:v>
      </x:c>
      <x:c r="J1611" s="12" t="n">
        <x:f>IF($A1611="","",1+SUMIFS(Assumptions!$S$5:$S$10,Assumptions!$P$5:$P$10,$B1611,Assumptions!$Q$5:$Q$10,"&lt;="&amp;$A1611,Assumptions!$R$5:$R$10,"&gt;="&amp;$A1611))</x:f>
        <x:v>1</x:v>
      </x:c>
      <x:c r="K1611" s="12" t="n">
        <x:f>IF($A1611="","",1+((($A1611-Assumptions!$B$5)/30)*INDEX(Assumptions!$J$5:$J$12,MATCH($B1611,Assumptions!$D$5:$D$12,0))))</x:f>
        <x:v>1.02675</x:v>
      </x:c>
      <x:c r="L1611" t="str">
        <x:f>IF($A1611="","",IFERROR(INDEX(Assumptions!$O$5:$O$10,MATCH(1,(Assumptions!$P$5:$P$10=$B1611)*(Assumptions!$Q$5:$Q$10&lt;=$A1611)*(Assumptions!$R$5:$R$10&gt;=$A1611),0)),""))</x:f>
      </x:c>
      <x:c r="M1611" t="n">
        <x:f>--($A1611&lt;&gt;"")</x:f>
        <x:v>1</x:v>
      </x:c>
    </x:row>
    <x:row r="1612">
      <x:c r="A1612" s="10" t="n">
        <x:f>IF(Assumptions!$B$5+INT((ROW()-2)/Assumptions!$B$7)&gt;Assumptions!$B$6,"",Assumptions!$B$5+INT((ROW()-2)/Assumptions!$B$7))</x:f>
        <x:v>46345</x:v>
      </x:c>
      <x:c r="B1612" t="str">
        <x:f>IF($A1612="","",INDEX(Assumptions!$D$5:$D$12,MOD(ROW()-2,Assumptions!$B$7)+1))</x:f>
        <x:v>Acheron Prime</x:v>
      </x:c>
      <x:c r="C1612" s="11" t="n">
        <x:f>IF($A1612="","",INDEX(Assumptions!$F$5:$F$12,MATCH($B1612,Assumptions!$D$5:$D$12,0)))</x:f>
        <x:v>1120</x:v>
      </x:c>
      <x:c r="D1612" s="11" t="n">
        <x:f>IF($A1612="","",INDEX(Assumptions!$G$5:$G$12,MATCH($B1612,Assumptions!$D$5:$D$12,0)))</x:f>
        <x:v>115</x:v>
      </x:c>
      <x:c r="E1612" s="11" t="n">
        <x:f>IF($A1612="","",INDEX(Assumptions!$M$5:$M$11,WEEKDAY($A1612,2)))</x:f>
        <x:v>1</x:v>
      </x:c>
      <x:c r="F1612" s="11" t="n">
        <x:f>IF($A1612="","",Assumptions!$B$15)</x:f>
        <x:v>0.35</x:v>
      </x:c>
      <x:c r="G1612" s="11" t="n">
        <x:f>IF($A1612="","",MAX(INDEX(Assumptions!$H$5:$H$12,MATCH($B1612,Assumptions!$D$5:$D$12,0)),MIN(INDEX(Assumptions!$I$5:$I$12,MATCH($B1612,Assumptions!$D$5:$D$12,0)),($C1612+$D1612*SQRT(-2*LN(RAND()))*COS(2*PI()*RAND()))*$E1612*$J1612*$K1612)))</x:f>
        <x:v>1152.1936076539046</x:v>
      </x:c>
      <x:c r="H1612" s="11" t="n">
        <x:f>IF($A1612="","",$G1612*$F1612+$C1612*(1-$F1612))</x:f>
        <x:v>1131.2677626788666</x:v>
      </x:c>
      <x:c r="I1612" s="11" t="n">
        <x:f>IF($A1612="","",AVERAGE($H1612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1124.3648791178166</x:v>
      </x:c>
      <x:c r="J1612" s="12" t="n">
        <x:f>IF($A1612="","",1+SUMIFS(Assumptions!$S$5:$S$10,Assumptions!$P$5:$P$10,$B1612,Assumptions!$Q$5:$Q$10,"&lt;="&amp;$A1612,Assumptions!$R$5:$R$10,"&gt;="&amp;$A1612))</x:f>
        <x:v>1</x:v>
      </x:c>
      <x:c r="K1612" s="12" t="n">
        <x:f>IF($A1612="","",1+((($A1612-Assumptions!$B$5)/30)*INDEX(Assumptions!$J$5:$J$12,MATCH($B1612,Assumptions!$D$5:$D$12,0))))</x:f>
        <x:v>1.0214666666666667</x:v>
      </x:c>
      <x:c r="L1612" t="str">
        <x:f>IF($A1612="","",IFERROR(INDEX(Assumptions!$O$5:$O$10,MATCH(1,(Assumptions!$P$5:$P$10=$B1612)*(Assumptions!$Q$5:$Q$10&lt;=$A1612)*(Assumptions!$R$5:$R$10&gt;=$A1612),0)),""))</x:f>
      </x:c>
      <x:c r="M1612" t="n">
        <x:f>--($A1612&lt;&gt;"")</x:f>
        <x:v>1</x:v>
      </x:c>
    </x:row>
    <x:row r="1613">
      <x:c r="A1613" s="10" t="n">
        <x:f>IF(Assumptions!$B$5+INT((ROW()-2)/Assumptions!$B$7)&gt;Assumptions!$B$6,"",Assumptions!$B$5+INT((ROW()-2)/Assumptions!$B$7))</x:f>
        <x:v>46345</x:v>
      </x:c>
      <x:c r="B1613" t="str">
        <x:f>IF($A1613="","",INDEX(Assumptions!$D$5:$D$12,MOD(ROW()-2,Assumptions!$B$7)+1))</x:f>
        <x:v>LV-426 North</x:v>
      </x:c>
      <x:c r="C1613" s="11" t="n">
        <x:f>IF($A1613="","",INDEX(Assumptions!$F$5:$F$12,MATCH($B1613,Assumptions!$D$5:$D$12,0)))</x:f>
        <x:v>930</x:v>
      </x:c>
      <x:c r="D1613" s="11" t="n">
        <x:f>IF($A1613="","",INDEX(Assumptions!$G$5:$G$12,MATCH($B1613,Assumptions!$D$5:$D$12,0)))</x:f>
        <x:v>95</x:v>
      </x:c>
      <x:c r="E1613" s="11" t="n">
        <x:f>IF($A1613="","",INDEX(Assumptions!$M$5:$M$11,WEEKDAY($A1613,2)))</x:f>
        <x:v>1</x:v>
      </x:c>
      <x:c r="F1613" s="11" t="n">
        <x:f>IF($A1613="","",Assumptions!$B$15)</x:f>
        <x:v>0.35</x:v>
      </x:c>
      <x:c r="G1613" s="11" t="n">
        <x:f>IF($A1613="","",MAX(INDEX(Assumptions!$H$5:$H$12,MATCH($B1613,Assumptions!$D$5:$D$12,0)),MIN(INDEX(Assumptions!$I$5:$I$12,MATCH($B1613,Assumptions!$D$5:$D$12,0)),($C1613+$D1613*SQRT(-2*LN(RAND()))*COS(2*PI()*RAND()))*$E1613*$J1613*$K1613)))</x:f>
        <x:v>1043.921292602642</x:v>
      </x:c>
      <x:c r="H1613" s="11" t="n">
        <x:f>IF($A1613="","",$G1613*$F1613+$C1613*(1-$F1613))</x:f>
        <x:v>969.8724524109248</x:v>
      </x:c>
      <x:c r="I1613" s="11" t="n">
        <x:f>IF($A1613="","",AVERAGE($H1613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915.9151357556269</x:v>
      </x:c>
      <x:c r="J1613" s="12" t="n">
        <x:f>IF($A1613="","",1+SUMIFS(Assumptions!$S$5:$S$10,Assumptions!$P$5:$P$10,$B1613,Assumptions!$Q$5:$Q$10,"&lt;="&amp;$A1613,Assumptions!$R$5:$R$10,"&gt;="&amp;$A1613))</x:f>
        <x:v>1</x:v>
      </x:c>
      <x:c r="K1613" s="12" t="n">
        <x:f>IF($A1613="","",1+((($A1613-Assumptions!$B$5)/30)*INDEX(Assumptions!$J$5:$J$12,MATCH($B1613,Assumptions!$D$5:$D$12,0))))</x:f>
        <x:v>0.9892666666666666</x:v>
      </x:c>
      <x:c r="L1613" t="str">
        <x:f>IF($A1613="","",IFERROR(INDEX(Assumptions!$O$5:$O$10,MATCH(1,(Assumptions!$P$5:$P$10=$B1613)*(Assumptions!$Q$5:$Q$10&lt;=$A1613)*(Assumptions!$R$5:$R$10&gt;=$A1613),0)),""))</x:f>
      </x:c>
      <x:c r="M1613" t="n">
        <x:f>--($A1613&lt;&gt;"")</x:f>
        <x:v>1</x:v>
      </x:c>
    </x:row>
    <x:row r="1614">
      <x:c r="A1614" s="10" t="n">
        <x:f>IF(Assumptions!$B$5+INT((ROW()-2)/Assumptions!$B$7)&gt;Assumptions!$B$6,"",Assumptions!$B$5+INT((ROW()-2)/Assumptions!$B$7))</x:f>
        <x:v>46345</x:v>
      </x:c>
      <x:c r="B1614" t="str">
        <x:f>IF($A1614="","",INDEX(Assumptions!$D$5:$D$12,MOD(ROW()-2,Assumptions!$B$7)+1))</x:f>
        <x:v>Nostromo Deep</x:v>
      </x:c>
      <x:c r="C1614" s="11" t="n">
        <x:f>IF($A1614="","",INDEX(Assumptions!$F$5:$F$12,MATCH($B1614,Assumptions!$D$5:$D$12,0)))</x:f>
        <x:v>1260</x:v>
      </x:c>
      <x:c r="D1614" s="11" t="n">
        <x:f>IF($A1614="","",INDEX(Assumptions!$G$5:$G$12,MATCH($B1614,Assumptions!$D$5:$D$12,0)))</x:f>
        <x:v>145</x:v>
      </x:c>
      <x:c r="E1614" s="11" t="n">
        <x:f>IF($A1614="","",INDEX(Assumptions!$M$5:$M$11,WEEKDAY($A1614,2)))</x:f>
        <x:v>1</x:v>
      </x:c>
      <x:c r="F1614" s="11" t="n">
        <x:f>IF($A1614="","",Assumptions!$B$15)</x:f>
        <x:v>0.35</x:v>
      </x:c>
      <x:c r="G1614" s="11" t="n">
        <x:f>IF($A1614="","",MAX(INDEX(Assumptions!$H$5:$H$12,MATCH($B1614,Assumptions!$D$5:$D$12,0)),MIN(INDEX(Assumptions!$I$5:$I$12,MATCH($B1614,Assumptions!$D$5:$D$12,0)),($C1614+$D1614*SQRT(-2*LN(RAND()))*COS(2*PI()*RAND()))*$E1614*$J1614*$K1614)))</x:f>
        <x:v>1181.7356938955322</x:v>
      </x:c>
      <x:c r="H1614" s="11" t="n">
        <x:f>IF($A1614="","",$G1614*$F1614+$C1614*(1-$F1614))</x:f>
        <x:v>1232.6074928634362</x:v>
      </x:c>
      <x:c r="I1614" s="11" t="n">
        <x:f>IF($A1614="","",AVERAGE($H1614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1245.668898310966</x:v>
      </x:c>
      <x:c r="J1614" s="12" t="n">
        <x:f>IF($A1614="","",1+SUMIFS(Assumptions!$S$5:$S$10,Assumptions!$P$5:$P$10,$B1614,Assumptions!$Q$5:$Q$10,"&lt;="&amp;$A1614,Assumptions!$R$5:$R$10,"&gt;="&amp;$A1614))</x:f>
        <x:v>1</x:v>
      </x:c>
      <x:c r="K1614" s="12" t="n">
        <x:f>IF($A1614="","",1+((($A1614-Assumptions!$B$5)/30)*INDEX(Assumptions!$J$5:$J$12,MATCH($B1614,Assumptions!$D$5:$D$12,0))))</x:f>
        <x:v>1.0322</x:v>
      </x:c>
      <x:c r="L1614" t="str">
        <x:f>IF($A1614="","",IFERROR(INDEX(Assumptions!$O$5:$O$10,MATCH(1,(Assumptions!$P$5:$P$10=$B1614)*(Assumptions!$Q$5:$Q$10&lt;=$A1614)*(Assumptions!$R$5:$R$10&gt;=$A1614),0)),""))</x:f>
      </x:c>
      <x:c r="M1614" t="n">
        <x:f>--($A1614&lt;&gt;"")</x:f>
        <x:v>1</x:v>
      </x:c>
    </x:row>
    <x:row r="1615">
      <x:c r="A1615" s="10" t="n">
        <x:f>IF(Assumptions!$B$5+INT((ROW()-2)/Assumptions!$B$7)&gt;Assumptions!$B$6,"",Assumptions!$B$5+INT((ROW()-2)/Assumptions!$B$7))</x:f>
        <x:v>46345</x:v>
      </x:c>
      <x:c r="B1615" t="str">
        <x:f>IF($A1615="","",INDEX(Assumptions!$D$5:$D$12,MOD(ROW()-2,Assumptions!$B$7)+1))</x:f>
        <x:v>Hadley's Hope</x:v>
      </x:c>
      <x:c r="C1615" s="11" t="n">
        <x:f>IF($A1615="","",INDEX(Assumptions!$F$5:$F$12,MATCH($B1615,Assumptions!$D$5:$D$12,0)))</x:f>
        <x:v>845</x:v>
      </x:c>
      <x:c r="D1615" s="11" t="n">
        <x:f>IF($A1615="","",INDEX(Assumptions!$G$5:$G$12,MATCH($B1615,Assumptions!$D$5:$D$12,0)))</x:f>
        <x:v>80</x:v>
      </x:c>
      <x:c r="E1615" s="11" t="n">
        <x:f>IF($A1615="","",INDEX(Assumptions!$M$5:$M$11,WEEKDAY($A1615,2)))</x:f>
        <x:v>1</x:v>
      </x:c>
      <x:c r="F1615" s="11" t="n">
        <x:f>IF($A1615="","",Assumptions!$B$15)</x:f>
        <x:v>0.35</x:v>
      </x:c>
      <x:c r="G1615" s="11" t="n">
        <x:f>IF($A1615="","",MAX(INDEX(Assumptions!$H$5:$H$12,MATCH($B1615,Assumptions!$D$5:$D$12,0)),MIN(INDEX(Assumptions!$I$5:$I$12,MATCH($B1615,Assumptions!$D$5:$D$12,0)),($C1615+$D1615*SQRT(-2*LN(RAND()))*COS(2*PI()*RAND()))*$E1615*$J1615*$K1615)))</x:f>
        <x:v>834.7433696648268</x:v>
      </x:c>
      <x:c r="H1615" s="11" t="n">
        <x:f>IF($A1615="","",$G1615*$F1615+$C1615*(1-$F1615))</x:f>
        <x:v>841.4101793826894</x:v>
      </x:c>
      <x:c r="I1615" s="11" t="n">
        <x:f>IF($A1615="","",AVERAGE($H1615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832.9137369715563</x:v>
      </x:c>
      <x:c r="J1615" s="12" t="n">
        <x:f>IF($A1615="","",1+SUMIFS(Assumptions!$S$5:$S$10,Assumptions!$P$5:$P$10,$B1615,Assumptions!$Q$5:$Q$10,"&lt;="&amp;$A1615,Assumptions!$R$5:$R$10,"&gt;="&amp;$A1615))</x:f>
        <x:v>1</x:v>
      </x:c>
      <x:c r="K1615" s="12" t="n">
        <x:f>IF($A1615="","",1+((($A1615-Assumptions!$B$5)/30)*INDEX(Assumptions!$J$5:$J$12,MATCH($B1615,Assumptions!$D$5:$D$12,0))))</x:f>
        <x:v>1.0107333333333333</x:v>
      </x:c>
      <x:c r="L1615" t="str">
        <x:f>IF($A1615="","",IFERROR(INDEX(Assumptions!$O$5:$O$10,MATCH(1,(Assumptions!$P$5:$P$10=$B1615)*(Assumptions!$Q$5:$Q$10&lt;=$A1615)*(Assumptions!$R$5:$R$10&gt;=$A1615),0)),""))</x:f>
      </x:c>
      <x:c r="M1615" t="n">
        <x:f>--($A1615&lt;&gt;"")</x:f>
        <x:v>1</x:v>
      </x:c>
    </x:row>
    <x:row r="1616">
      <x:c r="A1616" s="10" t="n">
        <x:f>IF(Assumptions!$B$5+INT((ROW()-2)/Assumptions!$B$7)&gt;Assumptions!$B$6,"",Assumptions!$B$5+INT((ROW()-2)/Assumptions!$B$7))</x:f>
        <x:v>46345</x:v>
      </x:c>
      <x:c r="B1616" t="str">
        <x:f>IF($A1616="","",INDEX(Assumptions!$D$5:$D$12,MOD(ROW()-2,Assumptions!$B$7)+1))</x:f>
        <x:v>Yutani Ridge</x:v>
      </x:c>
      <x:c r="C1616" s="11" t="n">
        <x:f>IF($A1616="","",INDEX(Assumptions!$F$5:$F$12,MATCH($B1616,Assumptions!$D$5:$D$12,0)))</x:f>
        <x:v>1050</x:v>
      </x:c>
      <x:c r="D1616" s="11" t="n">
        <x:f>IF($A1616="","",INDEX(Assumptions!$G$5:$G$12,MATCH($B1616,Assumptions!$D$5:$D$12,0)))</x:f>
        <x:v>125</x:v>
      </x:c>
      <x:c r="E1616" s="11" t="n">
        <x:f>IF($A1616="","",INDEX(Assumptions!$M$5:$M$11,WEEKDAY($A1616,2)))</x:f>
        <x:v>1</x:v>
      </x:c>
      <x:c r="F1616" s="11" t="n">
        <x:f>IF($A1616="","",Assumptions!$B$15)</x:f>
        <x:v>0.35</x:v>
      </x:c>
      <x:c r="G1616" s="11" t="n">
        <x:f>IF($A1616="","",MAX(INDEX(Assumptions!$H$5:$H$12,MATCH($B1616,Assumptions!$D$5:$D$12,0)),MIN(INDEX(Assumptions!$I$5:$I$12,MATCH($B1616,Assumptions!$D$5:$D$12,0)),($C1616+$D1616*SQRT(-2*LN(RAND()))*COS(2*PI()*RAND()))*$E1616*$J1616*$K1616)))</x:f>
        <x:v>1132.2264576538128</x:v>
      </x:c>
      <x:c r="H1616" s="11" t="n">
        <x:f>IF($A1616="","",$G1616*$F1616+$C1616*(1-$F1616))</x:f>
        <x:v>1078.7792601788344</x:v>
      </x:c>
      <x:c r="I1616" s="11" t="n">
        <x:f>IF($A1616="","",AVERAGE($H1616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1054.041164530594</x:v>
      </x:c>
      <x:c r="J1616" s="12" t="n">
        <x:f>IF($A1616="","",1+SUMIFS(Assumptions!$S$5:$S$10,Assumptions!$P$5:$P$10,$B1616,Assumptions!$Q$5:$Q$10,"&lt;="&amp;$A1616,Assumptions!$R$5:$R$10,"&gt;="&amp;$A1616))</x:f>
        <x:v>1</x:v>
      </x:c>
      <x:c r="K1616" s="12" t="n">
        <x:f>IF($A1616="","",1+((($A1616-Assumptions!$B$5)/30)*INDEX(Assumptions!$J$5:$J$12,MATCH($B1616,Assumptions!$D$5:$D$12,0))))</x:f>
        <x:v>1.0268333333333333</x:v>
      </x:c>
      <x:c r="L1616" t="str">
        <x:f>IF($A1616="","",IFERROR(INDEX(Assumptions!$O$5:$O$10,MATCH(1,(Assumptions!$P$5:$P$10=$B1616)*(Assumptions!$Q$5:$Q$10&lt;=$A1616)*(Assumptions!$R$5:$R$10&gt;=$A1616),0)),""))</x:f>
      </x:c>
      <x:c r="M1616" t="n">
        <x:f>--($A1616&lt;&gt;"")</x:f>
        <x:v>1</x:v>
      </x:c>
    </x:row>
    <x:row r="1617">
      <x:c r="A1617" s="10" t="n">
        <x:f>IF(Assumptions!$B$5+INT((ROW()-2)/Assumptions!$B$7)&gt;Assumptions!$B$6,"",Assumptions!$B$5+INT((ROW()-2)/Assumptions!$B$7))</x:f>
        <x:v>46346</x:v>
      </x:c>
      <x:c r="B1617" t="str">
        <x:f>IF($A1617="","",INDEX(Assumptions!$D$5:$D$12,MOD(ROW()-2,Assumptions!$B$7)+1))</x:f>
        <x:v>Acheron Prime</x:v>
      </x:c>
      <x:c r="C1617" s="11" t="n">
        <x:f>IF($A1617="","",INDEX(Assumptions!$F$5:$F$12,MATCH($B1617,Assumptions!$D$5:$D$12,0)))</x:f>
        <x:v>1120</x:v>
      </x:c>
      <x:c r="D1617" s="11" t="n">
        <x:f>IF($A1617="","",INDEX(Assumptions!$G$5:$G$12,MATCH($B1617,Assumptions!$D$5:$D$12,0)))</x:f>
        <x:v>115</x:v>
      </x:c>
      <x:c r="E1617" s="11" t="n">
        <x:f>IF($A1617="","",INDEX(Assumptions!$M$5:$M$11,WEEKDAY($A1617,2)))</x:f>
        <x:v>0.98</x:v>
      </x:c>
      <x:c r="F1617" s="11" t="n">
        <x:f>IF($A1617="","",Assumptions!$B$15)</x:f>
        <x:v>0.35</x:v>
      </x:c>
      <x:c r="G1617" s="11" t="n">
        <x:f>IF($A1617="","",MAX(INDEX(Assumptions!$H$5:$H$12,MATCH($B1617,Assumptions!$D$5:$D$12,0)),MIN(INDEX(Assumptions!$I$5:$I$12,MATCH($B1617,Assumptions!$D$5:$D$12,0)),($C1617+$D1617*SQRT(-2*LN(RAND()))*COS(2*PI()*RAND()))*$E1617*$J1617*$K1617)))</x:f>
        <x:v>1098.1042094863328</x:v>
      </x:c>
      <x:c r="H1617" s="11" t="n">
        <x:f>IF($A1617="","",$G1617*$F1617+$C1617*(1-$F1617))</x:f>
        <x:v>1112.3364733202166</x:v>
      </x:c>
      <x:c r="I1617" s="11" t="n">
        <x:f>IF($A1617="","",AVERAGE($H1617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1116.6628652993782</x:v>
      </x:c>
      <x:c r="J1617" s="12" t="n">
        <x:f>IF($A1617="","",1+SUMIFS(Assumptions!$S$5:$S$10,Assumptions!$P$5:$P$10,$B1617,Assumptions!$Q$5:$Q$10,"&lt;="&amp;$A1617,Assumptions!$R$5:$R$10,"&gt;="&amp;$A1617))</x:f>
        <x:v>1</x:v>
      </x:c>
      <x:c r="K1617" s="12" t="n">
        <x:f>IF($A1617="","",1+((($A1617-Assumptions!$B$5)/30)*INDEX(Assumptions!$J$5:$J$12,MATCH($B1617,Assumptions!$D$5:$D$12,0))))</x:f>
        <x:v>1.0215333333333334</x:v>
      </x:c>
      <x:c r="L1617" t="str">
        <x:f>IF($A1617="","",IFERROR(INDEX(Assumptions!$O$5:$O$10,MATCH(1,(Assumptions!$P$5:$P$10=$B1617)*(Assumptions!$Q$5:$Q$10&lt;=$A1617)*(Assumptions!$R$5:$R$10&gt;=$A1617),0)),""))</x:f>
      </x:c>
      <x:c r="M1617" t="n">
        <x:f>--($A1617&lt;&gt;"")</x:f>
        <x:v>1</x:v>
      </x:c>
    </x:row>
    <x:row r="1618">
      <x:c r="A1618" s="10" t="n">
        <x:f>IF(Assumptions!$B$5+INT((ROW()-2)/Assumptions!$B$7)&gt;Assumptions!$B$6,"",Assumptions!$B$5+INT((ROW()-2)/Assumptions!$B$7))</x:f>
        <x:v>46346</x:v>
      </x:c>
      <x:c r="B1618" t="str">
        <x:f>IF($A1618="","",INDEX(Assumptions!$D$5:$D$12,MOD(ROW()-2,Assumptions!$B$7)+1))</x:f>
        <x:v>LV-426 North</x:v>
      </x:c>
      <x:c r="C1618" s="11" t="n">
        <x:f>IF($A1618="","",INDEX(Assumptions!$F$5:$F$12,MATCH($B1618,Assumptions!$D$5:$D$12,0)))</x:f>
        <x:v>930</x:v>
      </x:c>
      <x:c r="D1618" s="11" t="n">
        <x:f>IF($A1618="","",INDEX(Assumptions!$G$5:$G$12,MATCH($B1618,Assumptions!$D$5:$D$12,0)))</x:f>
        <x:v>95</x:v>
      </x:c>
      <x:c r="E1618" s="11" t="n">
        <x:f>IF($A1618="","",INDEX(Assumptions!$M$5:$M$11,WEEKDAY($A1618,2)))</x:f>
        <x:v>0.98</x:v>
      </x:c>
      <x:c r="F1618" s="11" t="n">
        <x:f>IF($A1618="","",Assumptions!$B$15)</x:f>
        <x:v>0.35</x:v>
      </x:c>
      <x:c r="G1618" s="11" t="n">
        <x:f>IF($A1618="","",MAX(INDEX(Assumptions!$H$5:$H$12,MATCH($B1618,Assumptions!$D$5:$D$12,0)),MIN(INDEX(Assumptions!$I$5:$I$12,MATCH($B1618,Assumptions!$D$5:$D$12,0)),($C1618+$D1618*SQRT(-2*LN(RAND()))*COS(2*PI()*RAND()))*$E1618*$J1618*$K1618)))</x:f>
        <x:v>908.1550270118458</x:v>
      </x:c>
      <x:c r="H1618" s="11" t="n">
        <x:f>IF($A1618="","",$G1618*$F1618+$C1618*(1-$F1618))</x:f>
        <x:v>922.354259454146</x:v>
      </x:c>
      <x:c r="I1618" s="11" t="n">
        <x:f>IF($A1618="","",AVERAGE($H1618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920.6630529413536</x:v>
      </x:c>
      <x:c r="J1618" s="12" t="n">
        <x:f>IF($A1618="","",1+SUMIFS(Assumptions!$S$5:$S$10,Assumptions!$P$5:$P$10,$B1618,Assumptions!$Q$5:$Q$10,"&lt;="&amp;$A1618,Assumptions!$R$5:$R$10,"&gt;="&amp;$A1618))</x:f>
        <x:v>1</x:v>
      </x:c>
      <x:c r="K1618" s="12" t="n">
        <x:f>IF($A1618="","",1+((($A1618-Assumptions!$B$5)/30)*INDEX(Assumptions!$J$5:$J$12,MATCH($B1618,Assumptions!$D$5:$D$12,0))))</x:f>
        <x:v>0.9892333333333333</x:v>
      </x:c>
      <x:c r="L1618" t="str">
        <x:f>IF($A1618="","",IFERROR(INDEX(Assumptions!$O$5:$O$10,MATCH(1,(Assumptions!$P$5:$P$10=$B1618)*(Assumptions!$Q$5:$Q$10&lt;=$A1618)*(Assumptions!$R$5:$R$10&gt;=$A1618),0)),""))</x:f>
      </x:c>
      <x:c r="M1618" t="n">
        <x:f>--($A1618&lt;&gt;"")</x:f>
        <x:v>1</x:v>
      </x:c>
    </x:row>
    <x:row r="1619">
      <x:c r="A1619" s="10" t="n">
        <x:f>IF(Assumptions!$B$5+INT((ROW()-2)/Assumptions!$B$7)&gt;Assumptions!$B$6,"",Assumptions!$B$5+INT((ROW()-2)/Assumptions!$B$7))</x:f>
        <x:v>46346</x:v>
      </x:c>
      <x:c r="B1619" t="str">
        <x:f>IF($A1619="","",INDEX(Assumptions!$D$5:$D$12,MOD(ROW()-2,Assumptions!$B$7)+1))</x:f>
        <x:v>Nostromo Deep</x:v>
      </x:c>
      <x:c r="C1619" s="11" t="n">
        <x:f>IF($A1619="","",INDEX(Assumptions!$F$5:$F$12,MATCH($B1619,Assumptions!$D$5:$D$12,0)))</x:f>
        <x:v>1260</x:v>
      </x:c>
      <x:c r="D1619" s="11" t="n">
        <x:f>IF($A1619="","",INDEX(Assumptions!$G$5:$G$12,MATCH($B1619,Assumptions!$D$5:$D$12,0)))</x:f>
        <x:v>145</x:v>
      </x:c>
      <x:c r="E1619" s="11" t="n">
        <x:f>IF($A1619="","",INDEX(Assumptions!$M$5:$M$11,WEEKDAY($A1619,2)))</x:f>
        <x:v>0.98</x:v>
      </x:c>
      <x:c r="F1619" s="11" t="n">
        <x:f>IF($A1619="","",Assumptions!$B$15)</x:f>
        <x:v>0.35</x:v>
      </x:c>
      <x:c r="G1619" s="11" t="n">
        <x:f>IF($A1619="","",MAX(INDEX(Assumptions!$H$5:$H$12,MATCH($B1619,Assumptions!$D$5:$D$12,0)),MIN(INDEX(Assumptions!$I$5:$I$12,MATCH($B1619,Assumptions!$D$5:$D$12,0)),($C1619+$D1619*SQRT(-2*LN(RAND()))*COS(2*PI()*RAND()))*$E1619*$J1619*$K1619)))</x:f>
        <x:v>1481.3611374007876</x:v>
      </x:c>
      <x:c r="H1619" s="11" t="n">
        <x:f>IF($A1619="","",$G1619*$F1619+$C1619*(1-$F1619))</x:f>
        <x:v>1337.4763980902758</x:v>
      </x:c>
      <x:c r="I1619" s="11" t="n">
        <x:f>IF($A1619="","",AVERAGE($H1619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1256.2486597624234</x:v>
      </x:c>
      <x:c r="J1619" s="12" t="n">
        <x:f>IF($A1619="","",1+SUMIFS(Assumptions!$S$5:$S$10,Assumptions!$P$5:$P$10,$B1619,Assumptions!$Q$5:$Q$10,"&lt;="&amp;$A1619,Assumptions!$R$5:$R$10,"&gt;="&amp;$A1619))</x:f>
        <x:v>1</x:v>
      </x:c>
      <x:c r="K1619" s="12" t="n">
        <x:f>IF($A1619="","",1+((($A1619-Assumptions!$B$5)/30)*INDEX(Assumptions!$J$5:$J$12,MATCH($B1619,Assumptions!$D$5:$D$12,0))))</x:f>
        <x:v>1.0323</x:v>
      </x:c>
      <x:c r="L1619" t="str">
        <x:f>IF($A1619="","",IFERROR(INDEX(Assumptions!$O$5:$O$10,MATCH(1,(Assumptions!$P$5:$P$10=$B1619)*(Assumptions!$Q$5:$Q$10&lt;=$A1619)*(Assumptions!$R$5:$R$10&gt;=$A1619),0)),""))</x:f>
      </x:c>
      <x:c r="M1619" t="n">
        <x:f>--($A1619&lt;&gt;"")</x:f>
        <x:v>1</x:v>
      </x:c>
    </x:row>
    <x:row r="1620">
      <x:c r="A1620" s="10" t="n">
        <x:f>IF(Assumptions!$B$5+INT((ROW()-2)/Assumptions!$B$7)&gt;Assumptions!$B$6,"",Assumptions!$B$5+INT((ROW()-2)/Assumptions!$B$7))</x:f>
        <x:v>46346</x:v>
      </x:c>
      <x:c r="B1620" t="str">
        <x:f>IF($A1620="","",INDEX(Assumptions!$D$5:$D$12,MOD(ROW()-2,Assumptions!$B$7)+1))</x:f>
        <x:v>Hadley's Hope</x:v>
      </x:c>
      <x:c r="C1620" s="11" t="n">
        <x:f>IF($A1620="","",INDEX(Assumptions!$F$5:$F$12,MATCH($B1620,Assumptions!$D$5:$D$12,0)))</x:f>
        <x:v>845</x:v>
      </x:c>
      <x:c r="D1620" s="11" t="n">
        <x:f>IF($A1620="","",INDEX(Assumptions!$G$5:$G$12,MATCH($B1620,Assumptions!$D$5:$D$12,0)))</x:f>
        <x:v>80</x:v>
      </x:c>
      <x:c r="E1620" s="11" t="n">
        <x:f>IF($A1620="","",INDEX(Assumptions!$M$5:$M$11,WEEKDAY($A1620,2)))</x:f>
        <x:v>0.98</x:v>
      </x:c>
      <x:c r="F1620" s="11" t="n">
        <x:f>IF($A1620="","",Assumptions!$B$15)</x:f>
        <x:v>0.35</x:v>
      </x:c>
      <x:c r="G1620" s="11" t="n">
        <x:f>IF($A1620="","",MAX(INDEX(Assumptions!$H$5:$H$12,MATCH($B1620,Assumptions!$D$5:$D$12,0)),MIN(INDEX(Assumptions!$I$5:$I$12,MATCH($B1620,Assumptions!$D$5:$D$12,0)),($C1620+$D1620*SQRT(-2*LN(RAND()))*COS(2*PI()*RAND()))*$E1620*$J1620*$K1620)))</x:f>
        <x:v>862.1785545150409</x:v>
      </x:c>
      <x:c r="H1620" s="11" t="n">
        <x:f>IF($A1620="","",$G1620*$F1620+$C1620*(1-$F1620))</x:f>
        <x:v>851.0124940802643</x:v>
      </x:c>
      <x:c r="I1620" s="11" t="n">
        <x:f>IF($A1620="","",AVERAGE($H1620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832.3492868977767</x:v>
      </x:c>
      <x:c r="J1620" s="12" t="n">
        <x:f>IF($A1620="","",1+SUMIFS(Assumptions!$S$5:$S$10,Assumptions!$P$5:$P$10,$B1620,Assumptions!$Q$5:$Q$10,"&lt;="&amp;$A1620,Assumptions!$R$5:$R$10,"&gt;="&amp;$A1620))</x:f>
        <x:v>1</x:v>
      </x:c>
      <x:c r="K1620" s="12" t="n">
        <x:f>IF($A1620="","",1+((($A1620-Assumptions!$B$5)/30)*INDEX(Assumptions!$J$5:$J$12,MATCH($B1620,Assumptions!$D$5:$D$12,0))))</x:f>
        <x:v>1.0107666666666666</x:v>
      </x:c>
      <x:c r="L1620" t="str">
        <x:f>IF($A1620="","",IFERROR(INDEX(Assumptions!$O$5:$O$10,MATCH(1,(Assumptions!$P$5:$P$10=$B1620)*(Assumptions!$Q$5:$Q$10&lt;=$A1620)*(Assumptions!$R$5:$R$10&gt;=$A1620),0)),""))</x:f>
      </x:c>
      <x:c r="M1620" t="n">
        <x:f>--($A1620&lt;&gt;"")</x:f>
        <x:v>1</x:v>
      </x:c>
    </x:row>
    <x:row r="1621">
      <x:c r="A1621" s="10" t="n">
        <x:f>IF(Assumptions!$B$5+INT((ROW()-2)/Assumptions!$B$7)&gt;Assumptions!$B$6,"",Assumptions!$B$5+INT((ROW()-2)/Assumptions!$B$7))</x:f>
        <x:v>46346</x:v>
      </x:c>
      <x:c r="B1621" t="str">
        <x:f>IF($A1621="","",INDEX(Assumptions!$D$5:$D$12,MOD(ROW()-2,Assumptions!$B$7)+1))</x:f>
        <x:v>Yutani Ridge</x:v>
      </x:c>
      <x:c r="C1621" s="11" t="n">
        <x:f>IF($A1621="","",INDEX(Assumptions!$F$5:$F$12,MATCH($B1621,Assumptions!$D$5:$D$12,0)))</x:f>
        <x:v>1050</x:v>
      </x:c>
      <x:c r="D1621" s="11" t="n">
        <x:f>IF($A1621="","",INDEX(Assumptions!$G$5:$G$12,MATCH($B1621,Assumptions!$D$5:$D$12,0)))</x:f>
        <x:v>125</x:v>
      </x:c>
      <x:c r="E1621" s="11" t="n">
        <x:f>IF($A1621="","",INDEX(Assumptions!$M$5:$M$11,WEEKDAY($A1621,2)))</x:f>
        <x:v>0.98</x:v>
      </x:c>
      <x:c r="F1621" s="11" t="n">
        <x:f>IF($A1621="","",Assumptions!$B$15)</x:f>
        <x:v>0.35</x:v>
      </x:c>
      <x:c r="G1621" s="11" t="n">
        <x:f>IF($A1621="","",MAX(INDEX(Assumptions!$H$5:$H$12,MATCH($B1621,Assumptions!$D$5:$D$12,0)),MIN(INDEX(Assumptions!$I$5:$I$12,MATCH($B1621,Assumptions!$D$5:$D$12,0)),($C1621+$D1621*SQRT(-2*LN(RAND()))*COS(2*PI()*RAND()))*$E1621*$J1621*$K1621)))</x:f>
        <x:v>1232.5361874710516</x:v>
      </x:c>
      <x:c r="H1621" s="11" t="n">
        <x:f>IF($A1621="","",$G1621*$F1621+$C1621*(1-$F1621))</x:f>
        <x:v>1113.887665614868</x:v>
      </x:c>
      <x:c r="I1621" s="11" t="n">
        <x:f>IF($A1621="","",AVERAGE($H1621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1057.8086820861251</x:v>
      </x:c>
      <x:c r="J1621" s="12" t="n">
        <x:f>IF($A1621="","",1+SUMIFS(Assumptions!$S$5:$S$10,Assumptions!$P$5:$P$10,$B1621,Assumptions!$Q$5:$Q$10,"&lt;="&amp;$A1621,Assumptions!$R$5:$R$10,"&gt;="&amp;$A1621))</x:f>
        <x:v>1</x:v>
      </x:c>
      <x:c r="K1621" s="12" t="n">
        <x:f>IF($A1621="","",1+((($A1621-Assumptions!$B$5)/30)*INDEX(Assumptions!$J$5:$J$12,MATCH($B1621,Assumptions!$D$5:$D$12,0))))</x:f>
        <x:v>1.0269166666666667</x:v>
      </x:c>
      <x:c r="L1621" t="str">
        <x:f>IF($A1621="","",IFERROR(INDEX(Assumptions!$O$5:$O$10,MATCH(1,(Assumptions!$P$5:$P$10=$B1621)*(Assumptions!$Q$5:$Q$10&lt;=$A1621)*(Assumptions!$R$5:$R$10&gt;=$A1621),0)),""))</x:f>
      </x:c>
      <x:c r="M1621" t="n">
        <x:f>--($A1621&lt;&gt;"")</x:f>
        <x:v>1</x:v>
      </x:c>
    </x:row>
    <x:row r="1622">
      <x:c r="A1622" s="10" t="n">
        <x:f>IF(Assumptions!$B$5+INT((ROW()-2)/Assumptions!$B$7)&gt;Assumptions!$B$6,"",Assumptions!$B$5+INT((ROW()-2)/Assumptions!$B$7))</x:f>
        <x:v>46347</x:v>
      </x:c>
      <x:c r="B1622" t="str">
        <x:f>IF($A1622="","",INDEX(Assumptions!$D$5:$D$12,MOD(ROW()-2,Assumptions!$B$7)+1))</x:f>
        <x:v>Acheron Prime</x:v>
      </x:c>
      <x:c r="C1622" s="11" t="n">
        <x:f>IF($A1622="","",INDEX(Assumptions!$F$5:$F$12,MATCH($B1622,Assumptions!$D$5:$D$12,0)))</x:f>
        <x:v>1120</x:v>
      </x:c>
      <x:c r="D1622" s="11" t="n">
        <x:f>IF($A1622="","",INDEX(Assumptions!$G$5:$G$12,MATCH($B1622,Assumptions!$D$5:$D$12,0)))</x:f>
        <x:v>115</x:v>
      </x:c>
      <x:c r="E1622" s="11" t="n">
        <x:f>IF($A1622="","",INDEX(Assumptions!$M$5:$M$11,WEEKDAY($A1622,2)))</x:f>
        <x:v>0.91</x:v>
      </x:c>
      <x:c r="F1622" s="11" t="n">
        <x:f>IF($A1622="","",Assumptions!$B$15)</x:f>
        <x:v>0.35</x:v>
      </x:c>
      <x:c r="G1622" s="11" t="n">
        <x:f>IF($A1622="","",MAX(INDEX(Assumptions!$H$5:$H$12,MATCH($B1622,Assumptions!$D$5:$D$12,0)),MIN(INDEX(Assumptions!$I$5:$I$12,MATCH($B1622,Assumptions!$D$5:$D$12,0)),($C1622+$D1622*SQRT(-2*LN(RAND()))*COS(2*PI()*RAND()))*$E1622*$J1622*$K1622)))</x:f>
        <x:v>760</x:v>
      </x:c>
      <x:c r="H1622" s="11" t="n">
        <x:f>IF($A1622="","",$G1622*$F1622+$C1622*(1-$F1622))</x:f>
        <x:v>994</x:v>
      </x:c>
      <x:c r="I1622" s="11" t="n">
        <x:f>IF($A1622="","",AVERAGE($H1622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1101.1867415109984</x:v>
      </x:c>
      <x:c r="J1622" s="12" t="n">
        <x:f>IF($A1622="","",1+SUMIFS(Assumptions!$S$5:$S$10,Assumptions!$P$5:$P$10,$B1622,Assumptions!$Q$5:$Q$10,"&lt;="&amp;$A1622,Assumptions!$R$5:$R$10,"&gt;="&amp;$A1622))</x:f>
        <x:v>0.19999999999999996</x:v>
      </x:c>
      <x:c r="K1622" s="12" t="n">
        <x:f>IF($A1622="","",1+((($A1622-Assumptions!$B$5)/30)*INDEX(Assumptions!$J$5:$J$12,MATCH($B1622,Assumptions!$D$5:$D$12,0))))</x:f>
        <x:v>1.0216</x:v>
      </x:c>
      <x:c r="L1622" t="str">
        <x:f>IF($A1622="","",IFERROR(INDEX(Assumptions!$O$5:$O$10,MATCH(1,(Assumptions!$P$5:$P$10=$B1622)*(Assumptions!$Q$5:$Q$10&lt;=$A1622)*(Assumptions!$R$5:$R$10&gt;=$A1622),0)),""))</x:f>
        <x:v>Storm shutdown</x:v>
      </x:c>
      <x:c r="M1622" t="n">
        <x:f>--($A1622&lt;&gt;"")</x:f>
        <x:v>1</x:v>
      </x:c>
    </x:row>
    <x:row r="1623">
      <x:c r="A1623" s="10" t="n">
        <x:f>IF(Assumptions!$B$5+INT((ROW()-2)/Assumptions!$B$7)&gt;Assumptions!$B$6,"",Assumptions!$B$5+INT((ROW()-2)/Assumptions!$B$7))</x:f>
        <x:v>46347</x:v>
      </x:c>
      <x:c r="B1623" t="str">
        <x:f>IF($A1623="","",INDEX(Assumptions!$D$5:$D$12,MOD(ROW()-2,Assumptions!$B$7)+1))</x:f>
        <x:v>LV-426 North</x:v>
      </x:c>
      <x:c r="C1623" s="11" t="n">
        <x:f>IF($A1623="","",INDEX(Assumptions!$F$5:$F$12,MATCH($B1623,Assumptions!$D$5:$D$12,0)))</x:f>
        <x:v>930</x:v>
      </x:c>
      <x:c r="D1623" s="11" t="n">
        <x:f>IF($A1623="","",INDEX(Assumptions!$G$5:$G$12,MATCH($B1623,Assumptions!$D$5:$D$12,0)))</x:f>
        <x:v>95</x:v>
      </x:c>
      <x:c r="E1623" s="11" t="n">
        <x:f>IF($A1623="","",INDEX(Assumptions!$M$5:$M$11,WEEKDAY($A1623,2)))</x:f>
        <x:v>0.91</x:v>
      </x:c>
      <x:c r="F1623" s="11" t="n">
        <x:f>IF($A1623="","",Assumptions!$B$15)</x:f>
        <x:v>0.35</x:v>
      </x:c>
      <x:c r="G1623" s="11" t="n">
        <x:f>IF($A1623="","",MAX(INDEX(Assumptions!$H$5:$H$12,MATCH($B1623,Assumptions!$D$5:$D$12,0)),MIN(INDEX(Assumptions!$I$5:$I$12,MATCH($B1623,Assumptions!$D$5:$D$12,0)),($C1623+$D1623*SQRT(-2*LN(RAND()))*COS(2*PI()*RAND()))*$E1623*$J1623*$K1623)))</x:f>
        <x:v>844.0844857704619</x:v>
      </x:c>
      <x:c r="H1623" s="11" t="n">
        <x:f>IF($A1623="","",$G1623*$F1623+$C1623*(1-$F1623))</x:f>
        <x:v>899.9295700196617</x:v>
      </x:c>
      <x:c r="I1623" s="11" t="n">
        <x:f>IF($A1623="","",AVERAGE($H1623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927.2546166887433</x:v>
      </x:c>
      <x:c r="J1623" s="12" t="n">
        <x:f>IF($A1623="","",1+SUMIFS(Assumptions!$S$5:$S$10,Assumptions!$P$5:$P$10,$B1623,Assumptions!$Q$5:$Q$10,"&lt;="&amp;$A1623,Assumptions!$R$5:$R$10,"&gt;="&amp;$A1623))</x:f>
        <x:v>1</x:v>
      </x:c>
      <x:c r="K1623" s="12" t="n">
        <x:f>IF($A1623="","",1+((($A1623-Assumptions!$B$5)/30)*INDEX(Assumptions!$J$5:$J$12,MATCH($B1623,Assumptions!$D$5:$D$12,0))))</x:f>
        <x:v>0.9892</x:v>
      </x:c>
      <x:c r="L1623" t="str">
        <x:f>IF($A1623="","",IFERROR(INDEX(Assumptions!$O$5:$O$10,MATCH(1,(Assumptions!$P$5:$P$10=$B1623)*(Assumptions!$Q$5:$Q$10&lt;=$A1623)*(Assumptions!$R$5:$R$10&gt;=$A1623),0)),""))</x:f>
      </x:c>
      <x:c r="M1623" t="n">
        <x:f>--($A1623&lt;&gt;"")</x:f>
        <x:v>1</x:v>
      </x:c>
    </x:row>
    <x:row r="1624">
      <x:c r="A1624" s="10" t="n">
        <x:f>IF(Assumptions!$B$5+INT((ROW()-2)/Assumptions!$B$7)&gt;Assumptions!$B$6,"",Assumptions!$B$5+INT((ROW()-2)/Assumptions!$B$7))</x:f>
        <x:v>46347</x:v>
      </x:c>
      <x:c r="B1624" t="str">
        <x:f>IF($A1624="","",INDEX(Assumptions!$D$5:$D$12,MOD(ROW()-2,Assumptions!$B$7)+1))</x:f>
        <x:v>Nostromo Deep</x:v>
      </x:c>
      <x:c r="C1624" s="11" t="n">
        <x:f>IF($A1624="","",INDEX(Assumptions!$F$5:$F$12,MATCH($B1624,Assumptions!$D$5:$D$12,0)))</x:f>
        <x:v>1260</x:v>
      </x:c>
      <x:c r="D1624" s="11" t="n">
        <x:f>IF($A1624="","",INDEX(Assumptions!$G$5:$G$12,MATCH($B1624,Assumptions!$D$5:$D$12,0)))</x:f>
        <x:v>145</x:v>
      </x:c>
      <x:c r="E1624" s="11" t="n">
        <x:f>IF($A1624="","",INDEX(Assumptions!$M$5:$M$11,WEEKDAY($A1624,2)))</x:f>
        <x:v>0.91</x:v>
      </x:c>
      <x:c r="F1624" s="11" t="n">
        <x:f>IF($A1624="","",Assumptions!$B$15)</x:f>
        <x:v>0.35</x:v>
      </x:c>
      <x:c r="G1624" s="11" t="n">
        <x:f>IF($A1624="","",MAX(INDEX(Assumptions!$H$5:$H$12,MATCH($B1624,Assumptions!$D$5:$D$12,0)),MIN(INDEX(Assumptions!$I$5:$I$12,MATCH($B1624,Assumptions!$D$5:$D$12,0)),($C1624+$D1624*SQRT(-2*LN(RAND()))*COS(2*PI()*RAND()))*$E1624*$J1624*$K1624)))</x:f>
        <x:v>1121.2886896052437</x:v>
      </x:c>
      <x:c r="H1624" s="11" t="n">
        <x:f>IF($A1624="","",$G1624*$F1624+$C1624*(1-$F1624))</x:f>
        <x:v>1211.4510413618352</x:v>
      </x:c>
      <x:c r="I1624" s="11" t="n">
        <x:f>IF($A1624="","",AVERAGE($H1624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1254.3404841427407</x:v>
      </x:c>
      <x:c r="J1624" s="12" t="n">
        <x:f>IF($A1624="","",1+SUMIFS(Assumptions!$S$5:$S$10,Assumptions!$P$5:$P$10,$B1624,Assumptions!$Q$5:$Q$10,"&lt;="&amp;$A1624,Assumptions!$R$5:$R$10,"&gt;="&amp;$A1624))</x:f>
        <x:v>1</x:v>
      </x:c>
      <x:c r="K1624" s="12" t="n">
        <x:f>IF($A1624="","",1+((($A1624-Assumptions!$B$5)/30)*INDEX(Assumptions!$J$5:$J$12,MATCH($B1624,Assumptions!$D$5:$D$12,0))))</x:f>
        <x:v>1.0324</x:v>
      </x:c>
      <x:c r="L1624" t="str">
        <x:f>IF($A1624="","",IFERROR(INDEX(Assumptions!$O$5:$O$10,MATCH(1,(Assumptions!$P$5:$P$10=$B1624)*(Assumptions!$Q$5:$Q$10&lt;=$A1624)*(Assumptions!$R$5:$R$10&gt;=$A1624),0)),""))</x:f>
      </x:c>
      <x:c r="M1624" t="n">
        <x:f>--($A1624&lt;&gt;"")</x:f>
        <x:v>1</x:v>
      </x:c>
    </x:row>
    <x:row r="1625">
      <x:c r="A1625" s="10" t="n">
        <x:f>IF(Assumptions!$B$5+INT((ROW()-2)/Assumptions!$B$7)&gt;Assumptions!$B$6,"",Assumptions!$B$5+INT((ROW()-2)/Assumptions!$B$7))</x:f>
        <x:v>46347</x:v>
      </x:c>
      <x:c r="B1625" t="str">
        <x:f>IF($A1625="","",INDEX(Assumptions!$D$5:$D$12,MOD(ROW()-2,Assumptions!$B$7)+1))</x:f>
        <x:v>Hadley's Hope</x:v>
      </x:c>
      <x:c r="C1625" s="11" t="n">
        <x:f>IF($A1625="","",INDEX(Assumptions!$F$5:$F$12,MATCH($B1625,Assumptions!$D$5:$D$12,0)))</x:f>
        <x:v>845</x:v>
      </x:c>
      <x:c r="D1625" s="11" t="n">
        <x:f>IF($A1625="","",INDEX(Assumptions!$G$5:$G$12,MATCH($B1625,Assumptions!$D$5:$D$12,0)))</x:f>
        <x:v>80</x:v>
      </x:c>
      <x:c r="E1625" s="11" t="n">
        <x:f>IF($A1625="","",INDEX(Assumptions!$M$5:$M$11,WEEKDAY($A1625,2)))</x:f>
        <x:v>0.91</x:v>
      </x:c>
      <x:c r="F1625" s="11" t="n">
        <x:f>IF($A1625="","",Assumptions!$B$15)</x:f>
        <x:v>0.35</x:v>
      </x:c>
      <x:c r="G1625" s="11" t="n">
        <x:f>IF($A1625="","",MAX(INDEX(Assumptions!$H$5:$H$12,MATCH($B1625,Assumptions!$D$5:$D$12,0)),MIN(INDEX(Assumptions!$I$5:$I$12,MATCH($B1625,Assumptions!$D$5:$D$12,0)),($C1625+$D1625*SQRT(-2*LN(RAND()))*COS(2*PI()*RAND()))*$E1625*$J1625*$K1625)))</x:f>
        <x:v>851.3168249460992</x:v>
      </x:c>
      <x:c r="H1625" s="11" t="n">
        <x:f>IF($A1625="","",$G1625*$F1625+$C1625*(1-$F1625))</x:f>
        <x:v>847.2108887311347</x:v>
      </x:c>
      <x:c r="I1625" s="11" t="n">
        <x:f>IF($A1625="","",AVERAGE($H1625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837.4828397571291</x:v>
      </x:c>
      <x:c r="J1625" s="12" t="n">
        <x:f>IF($A1625="","",1+SUMIFS(Assumptions!$S$5:$S$10,Assumptions!$P$5:$P$10,$B1625,Assumptions!$Q$5:$Q$10,"&lt;="&amp;$A1625,Assumptions!$R$5:$R$10,"&gt;="&amp;$A1625))</x:f>
        <x:v>1</x:v>
      </x:c>
      <x:c r="K1625" s="12" t="n">
        <x:f>IF($A1625="","",1+((($A1625-Assumptions!$B$5)/30)*INDEX(Assumptions!$J$5:$J$12,MATCH($B1625,Assumptions!$D$5:$D$12,0))))</x:f>
        <x:v>1.0108</x:v>
      </x:c>
      <x:c r="L1625" t="str">
        <x:f>IF($A1625="","",IFERROR(INDEX(Assumptions!$O$5:$O$10,MATCH(1,(Assumptions!$P$5:$P$10=$B1625)*(Assumptions!$Q$5:$Q$10&lt;=$A1625)*(Assumptions!$R$5:$R$10&gt;=$A1625),0)),""))</x:f>
      </x:c>
      <x:c r="M1625" t="n">
        <x:f>--($A1625&lt;&gt;"")</x:f>
        <x:v>1</x:v>
      </x:c>
    </x:row>
    <x:row r="1626">
      <x:c r="A1626" s="10" t="n">
        <x:f>IF(Assumptions!$B$5+INT((ROW()-2)/Assumptions!$B$7)&gt;Assumptions!$B$6,"",Assumptions!$B$5+INT((ROW()-2)/Assumptions!$B$7))</x:f>
        <x:v>46347</x:v>
      </x:c>
      <x:c r="B1626" t="str">
        <x:f>IF($A1626="","",INDEX(Assumptions!$D$5:$D$12,MOD(ROW()-2,Assumptions!$B$7)+1))</x:f>
        <x:v>Yutani Ridge</x:v>
      </x:c>
      <x:c r="C1626" s="11" t="n">
        <x:f>IF($A1626="","",INDEX(Assumptions!$F$5:$F$12,MATCH($B1626,Assumptions!$D$5:$D$12,0)))</x:f>
        <x:v>1050</x:v>
      </x:c>
      <x:c r="D1626" s="11" t="n">
        <x:f>IF($A1626="","",INDEX(Assumptions!$G$5:$G$12,MATCH($B1626,Assumptions!$D$5:$D$12,0)))</x:f>
        <x:v>125</x:v>
      </x:c>
      <x:c r="E1626" s="11" t="n">
        <x:f>IF($A1626="","",INDEX(Assumptions!$M$5:$M$11,WEEKDAY($A1626,2)))</x:f>
        <x:v>0.91</x:v>
      </x:c>
      <x:c r="F1626" s="11" t="n">
        <x:f>IF($A1626="","",Assumptions!$B$15)</x:f>
        <x:v>0.35</x:v>
      </x:c>
      <x:c r="G1626" s="11" t="n">
        <x:f>IF($A1626="","",MAX(INDEX(Assumptions!$H$5:$H$12,MATCH($B1626,Assumptions!$D$5:$D$12,0)),MIN(INDEX(Assumptions!$I$5:$I$12,MATCH($B1626,Assumptions!$D$5:$D$12,0)),($C1626+$D1626*SQRT(-2*LN(RAND()))*COS(2*PI()*RAND()))*$E1626*$J1626*$K1626)))</x:f>
        <x:v>1067.0503347749354</x:v>
      </x:c>
      <x:c r="H1626" s="11" t="n">
        <x:f>IF($A1626="","",$G1626*$F1626+$C1626*(1-$F1626))</x:f>
        <x:v>1055.9676171712274</x:v>
      </x:c>
      <x:c r="I1626" s="11" t="n">
        <x:f>IF($A1626="","",AVERAGE($H1626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1066.1285763556202</x:v>
      </x:c>
      <x:c r="J1626" s="12" t="n">
        <x:f>IF($A1626="","",1+SUMIFS(Assumptions!$S$5:$S$10,Assumptions!$P$5:$P$10,$B1626,Assumptions!$Q$5:$Q$10,"&lt;="&amp;$A1626,Assumptions!$R$5:$R$10,"&gt;="&amp;$A1626))</x:f>
        <x:v>1</x:v>
      </x:c>
      <x:c r="K1626" s="12" t="n">
        <x:f>IF($A1626="","",1+((($A1626-Assumptions!$B$5)/30)*INDEX(Assumptions!$J$5:$J$12,MATCH($B1626,Assumptions!$D$5:$D$12,0))))</x:f>
        <x:v>1.027</x:v>
      </x:c>
      <x:c r="L1626" t="str">
        <x:f>IF($A1626="","",IFERROR(INDEX(Assumptions!$O$5:$O$10,MATCH(1,(Assumptions!$P$5:$P$10=$B1626)*(Assumptions!$Q$5:$Q$10&lt;=$A1626)*(Assumptions!$R$5:$R$10&gt;=$A1626),0)),""))</x:f>
      </x:c>
      <x:c r="M1626" t="n">
        <x:f>--($A1626&lt;&gt;"")</x:f>
        <x:v>1</x:v>
      </x:c>
    </x:row>
    <x:row r="1627">
      <x:c r="A1627" s="10" t="n">
        <x:f>IF(Assumptions!$B$5+INT((ROW()-2)/Assumptions!$B$7)&gt;Assumptions!$B$6,"",Assumptions!$B$5+INT((ROW()-2)/Assumptions!$B$7))</x:f>
        <x:v>46348</x:v>
      </x:c>
      <x:c r="B1627" t="str">
        <x:f>IF($A1627="","",INDEX(Assumptions!$D$5:$D$12,MOD(ROW()-2,Assumptions!$B$7)+1))</x:f>
        <x:v>Acheron Prime</x:v>
      </x:c>
      <x:c r="C1627" s="11" t="n">
        <x:f>IF($A1627="","",INDEX(Assumptions!$F$5:$F$12,MATCH($B1627,Assumptions!$D$5:$D$12,0)))</x:f>
        <x:v>1120</x:v>
      </x:c>
      <x:c r="D1627" s="11" t="n">
        <x:f>IF($A1627="","",INDEX(Assumptions!$G$5:$G$12,MATCH($B1627,Assumptions!$D$5:$D$12,0)))</x:f>
        <x:v>115</x:v>
      </x:c>
      <x:c r="E1627" s="11" t="n">
        <x:f>IF($A1627="","",INDEX(Assumptions!$M$5:$M$11,WEEKDAY($A1627,2)))</x:f>
        <x:v>0.87</x:v>
      </x:c>
      <x:c r="F1627" s="11" t="n">
        <x:f>IF($A1627="","",Assumptions!$B$15)</x:f>
        <x:v>0.35</x:v>
      </x:c>
      <x:c r="G1627" s="11" t="n">
        <x:f>IF($A1627="","",MAX(INDEX(Assumptions!$H$5:$H$12,MATCH($B1627,Assumptions!$D$5:$D$12,0)),MIN(INDEX(Assumptions!$I$5:$I$12,MATCH($B1627,Assumptions!$D$5:$D$12,0)),($C1627+$D1627*SQRT(-2*LN(RAND()))*COS(2*PI()*RAND()))*$E1627*$J1627*$K1627)))</x:f>
        <x:v>760</x:v>
      </x:c>
      <x:c r="H1627" s="11" t="n">
        <x:f>IF($A1627="","",$G1627*$F1627+$C1627*(1-$F1627))</x:f>
        <x:v>994</x:v>
      </x:c>
      <x:c r="I1627" s="11" t="n">
        <x:f>IF($A1627="","",AVERAGE($H1627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1089.0628408650005</x:v>
      </x:c>
      <x:c r="J1627" s="12" t="n">
        <x:f>IF($A1627="","",1+SUMIFS(Assumptions!$S$5:$S$10,Assumptions!$P$5:$P$10,$B1627,Assumptions!$Q$5:$Q$10,"&lt;="&amp;$A1627,Assumptions!$R$5:$R$10,"&gt;="&amp;$A1627))</x:f>
        <x:v>0.19999999999999996</x:v>
      </x:c>
      <x:c r="K1627" s="12" t="n">
        <x:f>IF($A1627="","",1+((($A1627-Assumptions!$B$5)/30)*INDEX(Assumptions!$J$5:$J$12,MATCH($B1627,Assumptions!$D$5:$D$12,0))))</x:f>
        <x:v>1.0216666666666667</x:v>
      </x:c>
      <x:c r="L1627" t="str">
        <x:f>IF($A1627="","",IFERROR(INDEX(Assumptions!$O$5:$O$10,MATCH(1,(Assumptions!$P$5:$P$10=$B1627)*(Assumptions!$Q$5:$Q$10&lt;=$A1627)*(Assumptions!$R$5:$R$10&gt;=$A1627),0)),""))</x:f>
        <x:v>Storm shutdown</x:v>
      </x:c>
      <x:c r="M1627" t="n">
        <x:f>--($A1627&lt;&gt;"")</x:f>
        <x:v>1</x:v>
      </x:c>
    </x:row>
    <x:row r="1628">
      <x:c r="A1628" s="10" t="n">
        <x:f>IF(Assumptions!$B$5+INT((ROW()-2)/Assumptions!$B$7)&gt;Assumptions!$B$6,"",Assumptions!$B$5+INT((ROW()-2)/Assumptions!$B$7))</x:f>
        <x:v>46348</x:v>
      </x:c>
      <x:c r="B1628" t="str">
        <x:f>IF($A1628="","",INDEX(Assumptions!$D$5:$D$12,MOD(ROW()-2,Assumptions!$B$7)+1))</x:f>
        <x:v>LV-426 North</x:v>
      </x:c>
      <x:c r="C1628" s="11" t="n">
        <x:f>IF($A1628="","",INDEX(Assumptions!$F$5:$F$12,MATCH($B1628,Assumptions!$D$5:$D$12,0)))</x:f>
        <x:v>930</x:v>
      </x:c>
      <x:c r="D1628" s="11" t="n">
        <x:f>IF($A1628="","",INDEX(Assumptions!$G$5:$G$12,MATCH($B1628,Assumptions!$D$5:$D$12,0)))</x:f>
        <x:v>95</x:v>
      </x:c>
      <x:c r="E1628" s="11" t="n">
        <x:f>IF($A1628="","",INDEX(Assumptions!$M$5:$M$11,WEEKDAY($A1628,2)))</x:f>
        <x:v>0.87</x:v>
      </x:c>
      <x:c r="F1628" s="11" t="n">
        <x:f>IF($A1628="","",Assumptions!$B$15)</x:f>
        <x:v>0.35</x:v>
      </x:c>
      <x:c r="G1628" s="11" t="n">
        <x:f>IF($A1628="","",MAX(INDEX(Assumptions!$H$5:$H$12,MATCH($B1628,Assumptions!$D$5:$D$12,0)),MIN(INDEX(Assumptions!$I$5:$I$12,MATCH($B1628,Assumptions!$D$5:$D$12,0)),($C1628+$D1628*SQRT(-2*LN(RAND()))*COS(2*PI()*RAND()))*$E1628*$J1628*$K1628)))</x:f>
        <x:v>750.7635460995135</x:v>
      </x:c>
      <x:c r="H1628" s="11" t="n">
        <x:f>IF($A1628="","",$G1628*$F1628+$C1628*(1-$F1628))</x:f>
        <x:v>867.2672411348296</x:v>
      </x:c>
      <x:c r="I1628" s="11" t="n">
        <x:f>IF($A1628="","",AVERAGE($H1628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915.723386528157</x:v>
      </x:c>
      <x:c r="J1628" s="12" t="n">
        <x:f>IF($A1628="","",1+SUMIFS(Assumptions!$S$5:$S$10,Assumptions!$P$5:$P$10,$B1628,Assumptions!$Q$5:$Q$10,"&lt;="&amp;$A1628,Assumptions!$R$5:$R$10,"&gt;="&amp;$A1628))</x:f>
        <x:v>1</x:v>
      </x:c>
      <x:c r="K1628" s="12" t="n">
        <x:f>IF($A1628="","",1+((($A1628-Assumptions!$B$5)/30)*INDEX(Assumptions!$J$5:$J$12,MATCH($B1628,Assumptions!$D$5:$D$12,0))))</x:f>
        <x:v>0.9891666666666666</x:v>
      </x:c>
      <x:c r="L1628" t="str">
        <x:f>IF($A1628="","",IFERROR(INDEX(Assumptions!$O$5:$O$10,MATCH(1,(Assumptions!$P$5:$P$10=$B1628)*(Assumptions!$Q$5:$Q$10&lt;=$A1628)*(Assumptions!$R$5:$R$10&gt;=$A1628),0)),""))</x:f>
      </x:c>
      <x:c r="M1628" t="n">
        <x:f>--($A1628&lt;&gt;"")</x:f>
        <x:v>1</x:v>
      </x:c>
    </x:row>
    <x:row r="1629">
      <x:c r="A1629" s="10" t="n">
        <x:f>IF(Assumptions!$B$5+INT((ROW()-2)/Assumptions!$B$7)&gt;Assumptions!$B$6,"",Assumptions!$B$5+INT((ROW()-2)/Assumptions!$B$7))</x:f>
        <x:v>46348</x:v>
      </x:c>
      <x:c r="B1629" t="str">
        <x:f>IF($A1629="","",INDEX(Assumptions!$D$5:$D$12,MOD(ROW()-2,Assumptions!$B$7)+1))</x:f>
        <x:v>Nostromo Deep</x:v>
      </x:c>
      <x:c r="C1629" s="11" t="n">
        <x:f>IF($A1629="","",INDEX(Assumptions!$F$5:$F$12,MATCH($B1629,Assumptions!$D$5:$D$12,0)))</x:f>
        <x:v>1260</x:v>
      </x:c>
      <x:c r="D1629" s="11" t="n">
        <x:f>IF($A1629="","",INDEX(Assumptions!$G$5:$G$12,MATCH($B1629,Assumptions!$D$5:$D$12,0)))</x:f>
        <x:v>145</x:v>
      </x:c>
      <x:c r="E1629" s="11" t="n">
        <x:f>IF($A1629="","",INDEX(Assumptions!$M$5:$M$11,WEEKDAY($A1629,2)))</x:f>
        <x:v>0.87</x:v>
      </x:c>
      <x:c r="F1629" s="11" t="n">
        <x:f>IF($A1629="","",Assumptions!$B$15)</x:f>
        <x:v>0.35</x:v>
      </x:c>
      <x:c r="G1629" s="11" t="n">
        <x:f>IF($A1629="","",MAX(INDEX(Assumptions!$H$5:$H$12,MATCH($B1629,Assumptions!$D$5:$D$12,0)),MIN(INDEX(Assumptions!$I$5:$I$12,MATCH($B1629,Assumptions!$D$5:$D$12,0)),($C1629+$D1629*SQRT(-2*LN(RAND()))*COS(2*PI()*RAND()))*$E1629*$J1629*$K1629)))</x:f>
        <x:v>1042.4086413588418</x:v>
      </x:c>
      <x:c r="H1629" s="11" t="n">
        <x:f>IF($A1629="","",$G1629*$F1629+$C1629*(1-$F1629))</x:f>
        <x:v>1183.8430244755946</x:v>
      </x:c>
      <x:c r="I1629" s="11" t="n">
        <x:f>IF($A1629="","",AVERAGE($H1629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1256.5897002788104</x:v>
      </x:c>
      <x:c r="J1629" s="12" t="n">
        <x:f>IF($A1629="","",1+SUMIFS(Assumptions!$S$5:$S$10,Assumptions!$P$5:$P$10,$B1629,Assumptions!$Q$5:$Q$10,"&lt;="&amp;$A1629,Assumptions!$R$5:$R$10,"&gt;="&amp;$A1629))</x:f>
        <x:v>1</x:v>
      </x:c>
      <x:c r="K1629" s="12" t="n">
        <x:f>IF($A1629="","",1+((($A1629-Assumptions!$B$5)/30)*INDEX(Assumptions!$J$5:$J$12,MATCH($B1629,Assumptions!$D$5:$D$12,0))))</x:f>
        <x:v>1.0325</x:v>
      </x:c>
      <x:c r="L1629" t="str">
        <x:f>IF($A1629="","",IFERROR(INDEX(Assumptions!$O$5:$O$10,MATCH(1,(Assumptions!$P$5:$P$10=$B1629)*(Assumptions!$Q$5:$Q$10&lt;=$A1629)*(Assumptions!$R$5:$R$10&gt;=$A1629),0)),""))</x:f>
      </x:c>
      <x:c r="M1629" t="n">
        <x:f>--($A1629&lt;&gt;"")</x:f>
        <x:v>1</x:v>
      </x:c>
    </x:row>
    <x:row r="1630">
      <x:c r="A1630" s="10" t="n">
        <x:f>IF(Assumptions!$B$5+INT((ROW()-2)/Assumptions!$B$7)&gt;Assumptions!$B$6,"",Assumptions!$B$5+INT((ROW()-2)/Assumptions!$B$7))</x:f>
        <x:v>46348</x:v>
      </x:c>
      <x:c r="B1630" t="str">
        <x:f>IF($A1630="","",INDEX(Assumptions!$D$5:$D$12,MOD(ROW()-2,Assumptions!$B$7)+1))</x:f>
        <x:v>Hadley's Hope</x:v>
      </x:c>
      <x:c r="C1630" s="11" t="n">
        <x:f>IF($A1630="","",INDEX(Assumptions!$F$5:$F$12,MATCH($B1630,Assumptions!$D$5:$D$12,0)))</x:f>
        <x:v>845</x:v>
      </x:c>
      <x:c r="D1630" s="11" t="n">
        <x:f>IF($A1630="","",INDEX(Assumptions!$G$5:$G$12,MATCH($B1630,Assumptions!$D$5:$D$12,0)))</x:f>
        <x:v>80</x:v>
      </x:c>
      <x:c r="E1630" s="11" t="n">
        <x:f>IF($A1630="","",INDEX(Assumptions!$M$5:$M$11,WEEKDAY($A1630,2)))</x:f>
        <x:v>0.87</x:v>
      </x:c>
      <x:c r="F1630" s="11" t="n">
        <x:f>IF($A1630="","",Assumptions!$B$15)</x:f>
        <x:v>0.35</x:v>
      </x:c>
      <x:c r="G1630" s="11" t="n">
        <x:f>IF($A1630="","",MAX(INDEX(Assumptions!$H$5:$H$12,MATCH($B1630,Assumptions!$D$5:$D$12,0)),MIN(INDEX(Assumptions!$I$5:$I$12,MATCH($B1630,Assumptions!$D$5:$D$12,0)),($C1630+$D1630*SQRT(-2*LN(RAND()))*COS(2*PI()*RAND()))*$E1630*$J1630*$K1630)))</x:f>
        <x:v>696.9805269774166</x:v>
      </x:c>
      <x:c r="H1630" s="11" t="n">
        <x:f>IF($A1630="","",$G1630*$F1630+$C1630*(1-$F1630))</x:f>
        <x:v>793.1931844420958</x:v>
      </x:c>
      <x:c r="I1630" s="11" t="n">
        <x:f>IF($A1630="","",AVERAGE($H1630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834.745185597669</x:v>
      </x:c>
      <x:c r="J1630" s="12" t="n">
        <x:f>IF($A1630="","",1+SUMIFS(Assumptions!$S$5:$S$10,Assumptions!$P$5:$P$10,$B1630,Assumptions!$Q$5:$Q$10,"&lt;="&amp;$A1630,Assumptions!$R$5:$R$10,"&gt;="&amp;$A1630))</x:f>
        <x:v>1</x:v>
      </x:c>
      <x:c r="K1630" s="12" t="n">
        <x:f>IF($A1630="","",1+((($A1630-Assumptions!$B$5)/30)*INDEX(Assumptions!$J$5:$J$12,MATCH($B1630,Assumptions!$D$5:$D$12,0))))</x:f>
        <x:v>1.0108333333333333</x:v>
      </x:c>
      <x:c r="L1630" t="str">
        <x:f>IF($A1630="","",IFERROR(INDEX(Assumptions!$O$5:$O$10,MATCH(1,(Assumptions!$P$5:$P$10=$B1630)*(Assumptions!$Q$5:$Q$10&lt;=$A1630)*(Assumptions!$R$5:$R$10&gt;=$A1630),0)),""))</x:f>
      </x:c>
      <x:c r="M1630" t="n">
        <x:f>--($A1630&lt;&gt;"")</x:f>
        <x:v>1</x:v>
      </x:c>
    </x:row>
    <x:row r="1631">
      <x:c r="A1631" s="10" t="n">
        <x:f>IF(Assumptions!$B$5+INT((ROW()-2)/Assumptions!$B$7)&gt;Assumptions!$B$6,"",Assumptions!$B$5+INT((ROW()-2)/Assumptions!$B$7))</x:f>
        <x:v>46348</x:v>
      </x:c>
      <x:c r="B1631" t="str">
        <x:f>IF($A1631="","",INDEX(Assumptions!$D$5:$D$12,MOD(ROW()-2,Assumptions!$B$7)+1))</x:f>
        <x:v>Yutani Ridge</x:v>
      </x:c>
      <x:c r="C1631" s="11" t="n">
        <x:f>IF($A1631="","",INDEX(Assumptions!$F$5:$F$12,MATCH($B1631,Assumptions!$D$5:$D$12,0)))</x:f>
        <x:v>1050</x:v>
      </x:c>
      <x:c r="D1631" s="11" t="n">
        <x:f>IF($A1631="","",INDEX(Assumptions!$G$5:$G$12,MATCH($B1631,Assumptions!$D$5:$D$12,0)))</x:f>
        <x:v>125</x:v>
      </x:c>
      <x:c r="E1631" s="11" t="n">
        <x:f>IF($A1631="","",INDEX(Assumptions!$M$5:$M$11,WEEKDAY($A1631,2)))</x:f>
        <x:v>0.87</x:v>
      </x:c>
      <x:c r="F1631" s="11" t="n">
        <x:f>IF($A1631="","",Assumptions!$B$15)</x:f>
        <x:v>0.35</x:v>
      </x:c>
      <x:c r="G1631" s="11" t="n">
        <x:f>IF($A1631="","",MAX(INDEX(Assumptions!$H$5:$H$12,MATCH($B1631,Assumptions!$D$5:$D$12,0)),MIN(INDEX(Assumptions!$I$5:$I$12,MATCH($B1631,Assumptions!$D$5:$D$12,0)),($C1631+$D1631*SQRT(-2*LN(RAND()))*COS(2*PI()*RAND()))*$E1631*$J1631*$K1631)))</x:f>
        <x:v>1092.339615880189</x:v>
      </x:c>
      <x:c r="H1631" s="11" t="n">
        <x:f>IF($A1631="","",$G1631*$F1631+$C1631*(1-$F1631))</x:f>
        <x:v>1064.8188655580661</x:v>
      </x:c>
      <x:c r="I1631" s="11" t="n">
        <x:f>IF($A1631="","",AVERAGE($H1631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1075.3489095784264</x:v>
      </x:c>
      <x:c r="J1631" s="12" t="n">
        <x:f>IF($A1631="","",1+SUMIFS(Assumptions!$S$5:$S$10,Assumptions!$P$5:$P$10,$B1631,Assumptions!$Q$5:$Q$10,"&lt;="&amp;$A1631,Assumptions!$R$5:$R$10,"&gt;="&amp;$A1631))</x:f>
        <x:v>1</x:v>
      </x:c>
      <x:c r="K1631" s="12" t="n">
        <x:f>IF($A1631="","",1+((($A1631-Assumptions!$B$5)/30)*INDEX(Assumptions!$J$5:$J$12,MATCH($B1631,Assumptions!$D$5:$D$12,0))))</x:f>
        <x:v>1.0270833333333333</x:v>
      </x:c>
      <x:c r="L1631" t="str">
        <x:f>IF($A1631="","",IFERROR(INDEX(Assumptions!$O$5:$O$10,MATCH(1,(Assumptions!$P$5:$P$10=$B1631)*(Assumptions!$Q$5:$Q$10&lt;=$A1631)*(Assumptions!$R$5:$R$10&gt;=$A1631),0)),""))</x:f>
      </x:c>
      <x:c r="M1631" t="n">
        <x:f>--($A1631&lt;&gt;"")</x:f>
        <x:v>1</x:v>
      </x:c>
    </x:row>
    <x:row r="1632">
      <x:c r="A1632" s="10" t="n">
        <x:f>IF(Assumptions!$B$5+INT((ROW()-2)/Assumptions!$B$7)&gt;Assumptions!$B$6,"",Assumptions!$B$5+INT((ROW()-2)/Assumptions!$B$7))</x:f>
        <x:v>46349</x:v>
      </x:c>
      <x:c r="B1632" t="str">
        <x:f>IF($A1632="","",INDEX(Assumptions!$D$5:$D$12,MOD(ROW()-2,Assumptions!$B$7)+1))</x:f>
        <x:v>Acheron Prime</x:v>
      </x:c>
      <x:c r="C1632" s="11" t="n">
        <x:f>IF($A1632="","",INDEX(Assumptions!$F$5:$F$12,MATCH($B1632,Assumptions!$D$5:$D$12,0)))</x:f>
        <x:v>1120</x:v>
      </x:c>
      <x:c r="D1632" s="11" t="n">
        <x:f>IF($A1632="","",INDEX(Assumptions!$G$5:$G$12,MATCH($B1632,Assumptions!$D$5:$D$12,0)))</x:f>
        <x:v>115</x:v>
      </x:c>
      <x:c r="E1632" s="11" t="n">
        <x:f>IF($A1632="","",INDEX(Assumptions!$M$5:$M$11,WEEKDAY($A1632,2)))</x:f>
        <x:v>1.03</x:v>
      </x:c>
      <x:c r="F1632" s="11" t="n">
        <x:f>IF($A1632="","",Assumptions!$B$15)</x:f>
        <x:v>0.35</x:v>
      </x:c>
      <x:c r="G1632" s="11" t="n">
        <x:f>IF($A1632="","",MAX(INDEX(Assumptions!$H$5:$H$12,MATCH($B1632,Assumptions!$D$5:$D$12,0)),MIN(INDEX(Assumptions!$I$5:$I$12,MATCH($B1632,Assumptions!$D$5:$D$12,0)),($C1632+$D1632*SQRT(-2*LN(RAND()))*COS(2*PI()*RAND()))*$E1632*$J1632*$K1632)))</x:f>
        <x:v>760</x:v>
      </x:c>
      <x:c r="H1632" s="11" t="n">
        <x:f>IF($A1632="","",$G1632*$F1632+$C1632*(1-$F1632))</x:f>
        <x:v>994</x:v>
      </x:c>
      <x:c r="I1632" s="11" t="n">
        <x:f>IF($A1632="","",AVERAGE($H1632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1072.7393687634333</x:v>
      </x:c>
      <x:c r="J1632" s="12" t="n">
        <x:f>IF($A1632="","",1+SUMIFS(Assumptions!$S$5:$S$10,Assumptions!$P$5:$P$10,$B1632,Assumptions!$Q$5:$Q$10,"&lt;="&amp;$A1632,Assumptions!$R$5:$R$10,"&gt;="&amp;$A1632))</x:f>
        <x:v>0.19999999999999996</x:v>
      </x:c>
      <x:c r="K1632" s="12" t="n">
        <x:f>IF($A1632="","",1+((($A1632-Assumptions!$B$5)/30)*INDEX(Assumptions!$J$5:$J$12,MATCH($B1632,Assumptions!$D$5:$D$12,0))))</x:f>
        <x:v>1.0217333333333334</x:v>
      </x:c>
      <x:c r="L1632" t="str">
        <x:f>IF($A1632="","",IFERROR(INDEX(Assumptions!$O$5:$O$10,MATCH(1,(Assumptions!$P$5:$P$10=$B1632)*(Assumptions!$Q$5:$Q$10&lt;=$A1632)*(Assumptions!$R$5:$R$10&gt;=$A1632),0)),""))</x:f>
        <x:v>Storm shutdown</x:v>
      </x:c>
      <x:c r="M1632" t="n">
        <x:f>--($A1632&lt;&gt;"")</x:f>
        <x:v>1</x:v>
      </x:c>
    </x:row>
    <x:row r="1633">
      <x:c r="A1633" s="10" t="n">
        <x:f>IF(Assumptions!$B$5+INT((ROW()-2)/Assumptions!$B$7)&gt;Assumptions!$B$6,"",Assumptions!$B$5+INT((ROW()-2)/Assumptions!$B$7))</x:f>
        <x:v>46349</x:v>
      </x:c>
      <x:c r="B1633" t="str">
        <x:f>IF($A1633="","",INDEX(Assumptions!$D$5:$D$12,MOD(ROW()-2,Assumptions!$B$7)+1))</x:f>
        <x:v>LV-426 North</x:v>
      </x:c>
      <x:c r="C1633" s="11" t="n">
        <x:f>IF($A1633="","",INDEX(Assumptions!$F$5:$F$12,MATCH($B1633,Assumptions!$D$5:$D$12,0)))</x:f>
        <x:v>930</x:v>
      </x:c>
      <x:c r="D1633" s="11" t="n">
        <x:f>IF($A1633="","",INDEX(Assumptions!$G$5:$G$12,MATCH($B1633,Assumptions!$D$5:$D$12,0)))</x:f>
        <x:v>95</x:v>
      </x:c>
      <x:c r="E1633" s="11" t="n">
        <x:f>IF($A1633="","",INDEX(Assumptions!$M$5:$M$11,WEEKDAY($A1633,2)))</x:f>
        <x:v>1.03</x:v>
      </x:c>
      <x:c r="F1633" s="11" t="n">
        <x:f>IF($A1633="","",Assumptions!$B$15)</x:f>
        <x:v>0.35</x:v>
      </x:c>
      <x:c r="G1633" s="11" t="n">
        <x:f>IF($A1633="","",MAX(INDEX(Assumptions!$H$5:$H$12,MATCH($B1633,Assumptions!$D$5:$D$12,0)),MIN(INDEX(Assumptions!$I$5:$I$12,MATCH($B1633,Assumptions!$D$5:$D$12,0)),($C1633+$D1633*SQRT(-2*LN(RAND()))*COS(2*PI()*RAND()))*$E1633*$J1633*$K1633)))</x:f>
        <x:v>812.2580268554137</x:v>
      </x:c>
      <x:c r="H1633" s="11" t="n">
        <x:f>IF($A1633="","",$G1633*$F1633+$C1633*(1-$F1633))</x:f>
        <x:v>888.7903093993948</x:v>
      </x:c>
      <x:c r="I1633" s="11" t="n">
        <x:f>IF($A1633="","",AVERAGE($H1633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910.9430711316696</x:v>
      </x:c>
      <x:c r="J1633" s="12" t="n">
        <x:f>IF($A1633="","",1+SUMIFS(Assumptions!$S$5:$S$10,Assumptions!$P$5:$P$10,$B1633,Assumptions!$Q$5:$Q$10,"&lt;="&amp;$A1633,Assumptions!$R$5:$R$10,"&gt;="&amp;$A1633))</x:f>
        <x:v>1</x:v>
      </x:c>
      <x:c r="K1633" s="12" t="n">
        <x:f>IF($A1633="","",1+((($A1633-Assumptions!$B$5)/30)*INDEX(Assumptions!$J$5:$J$12,MATCH($B1633,Assumptions!$D$5:$D$12,0))))</x:f>
        <x:v>0.9891333333333333</x:v>
      </x:c>
      <x:c r="L1633" t="str">
        <x:f>IF($A1633="","",IFERROR(INDEX(Assumptions!$O$5:$O$10,MATCH(1,(Assumptions!$P$5:$P$10=$B1633)*(Assumptions!$Q$5:$Q$10&lt;=$A1633)*(Assumptions!$R$5:$R$10&gt;=$A1633),0)),""))</x:f>
      </x:c>
      <x:c r="M1633" t="n">
        <x:f>--($A1633&lt;&gt;"")</x:f>
        <x:v>1</x:v>
      </x:c>
    </x:row>
    <x:row r="1634">
      <x:c r="A1634" s="10" t="n">
        <x:f>IF(Assumptions!$B$5+INT((ROW()-2)/Assumptions!$B$7)&gt;Assumptions!$B$6,"",Assumptions!$B$5+INT((ROW()-2)/Assumptions!$B$7))</x:f>
        <x:v>46349</x:v>
      </x:c>
      <x:c r="B1634" t="str">
        <x:f>IF($A1634="","",INDEX(Assumptions!$D$5:$D$12,MOD(ROW()-2,Assumptions!$B$7)+1))</x:f>
        <x:v>Nostromo Deep</x:v>
      </x:c>
      <x:c r="C1634" s="11" t="n">
        <x:f>IF($A1634="","",INDEX(Assumptions!$F$5:$F$12,MATCH($B1634,Assumptions!$D$5:$D$12,0)))</x:f>
        <x:v>1260</x:v>
      </x:c>
      <x:c r="D1634" s="11" t="n">
        <x:f>IF($A1634="","",INDEX(Assumptions!$G$5:$G$12,MATCH($B1634,Assumptions!$D$5:$D$12,0)))</x:f>
        <x:v>145</x:v>
      </x:c>
      <x:c r="E1634" s="11" t="n">
        <x:f>IF($A1634="","",INDEX(Assumptions!$M$5:$M$11,WEEKDAY($A1634,2)))</x:f>
        <x:v>1.03</x:v>
      </x:c>
      <x:c r="F1634" s="11" t="n">
        <x:f>IF($A1634="","",Assumptions!$B$15)</x:f>
        <x:v>0.35</x:v>
      </x:c>
      <x:c r="G1634" s="11" t="n">
        <x:f>IF($A1634="","",MAX(INDEX(Assumptions!$H$5:$H$12,MATCH($B1634,Assumptions!$D$5:$D$12,0)),MIN(INDEX(Assumptions!$I$5:$I$12,MATCH($B1634,Assumptions!$D$5:$D$12,0)),($C1634+$D1634*SQRT(-2*LN(RAND()))*COS(2*PI()*RAND()))*$E1634*$J1634*$K1634)))</x:f>
        <x:v>1158.5630086199744</x:v>
      </x:c>
      <x:c r="H1634" s="11" t="n">
        <x:f>IF($A1634="","",$G1634*$F1634+$C1634*(1-$F1634))</x:f>
        <x:v>1224.497053016991</x:v>
      </x:c>
      <x:c r="I1634" s="11" t="n">
        <x:f>IF($A1634="","",AVERAGE($H1634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1242.8149723124</x:v>
      </x:c>
      <x:c r="J1634" s="12" t="n">
        <x:f>IF($A1634="","",1+SUMIFS(Assumptions!$S$5:$S$10,Assumptions!$P$5:$P$10,$B1634,Assumptions!$Q$5:$Q$10,"&lt;="&amp;$A1634,Assumptions!$R$5:$R$10,"&gt;="&amp;$A1634))</x:f>
        <x:v>1</x:v>
      </x:c>
      <x:c r="K1634" s="12" t="n">
        <x:f>IF($A1634="","",1+((($A1634-Assumptions!$B$5)/30)*INDEX(Assumptions!$J$5:$J$12,MATCH($B1634,Assumptions!$D$5:$D$12,0))))</x:f>
        <x:v>1.0326</x:v>
      </x:c>
      <x:c r="L1634" t="str">
        <x:f>IF($A1634="","",IFERROR(INDEX(Assumptions!$O$5:$O$10,MATCH(1,(Assumptions!$P$5:$P$10=$B1634)*(Assumptions!$Q$5:$Q$10&lt;=$A1634)*(Assumptions!$R$5:$R$10&gt;=$A1634),0)),""))</x:f>
      </x:c>
      <x:c r="M1634" t="n">
        <x:f>--($A1634&lt;&gt;"")</x:f>
        <x:v>1</x:v>
      </x:c>
    </x:row>
    <x:row r="1635">
      <x:c r="A1635" s="10" t="n">
        <x:f>IF(Assumptions!$B$5+INT((ROW()-2)/Assumptions!$B$7)&gt;Assumptions!$B$6,"",Assumptions!$B$5+INT((ROW()-2)/Assumptions!$B$7))</x:f>
        <x:v>46349</x:v>
      </x:c>
      <x:c r="B1635" t="str">
        <x:f>IF($A1635="","",INDEX(Assumptions!$D$5:$D$12,MOD(ROW()-2,Assumptions!$B$7)+1))</x:f>
        <x:v>Hadley's Hope</x:v>
      </x:c>
      <x:c r="C1635" s="11" t="n">
        <x:f>IF($A1635="","",INDEX(Assumptions!$F$5:$F$12,MATCH($B1635,Assumptions!$D$5:$D$12,0)))</x:f>
        <x:v>845</x:v>
      </x:c>
      <x:c r="D1635" s="11" t="n">
        <x:f>IF($A1635="","",INDEX(Assumptions!$G$5:$G$12,MATCH($B1635,Assumptions!$D$5:$D$12,0)))</x:f>
        <x:v>80</x:v>
      </x:c>
      <x:c r="E1635" s="11" t="n">
        <x:f>IF($A1635="","",INDEX(Assumptions!$M$5:$M$11,WEEKDAY($A1635,2)))</x:f>
        <x:v>1.03</x:v>
      </x:c>
      <x:c r="F1635" s="11" t="n">
        <x:f>IF($A1635="","",Assumptions!$B$15)</x:f>
        <x:v>0.35</x:v>
      </x:c>
      <x:c r="G1635" s="11" t="n">
        <x:f>IF($A1635="","",MAX(INDEX(Assumptions!$H$5:$H$12,MATCH($B1635,Assumptions!$D$5:$D$12,0)),MIN(INDEX(Assumptions!$I$5:$I$12,MATCH($B1635,Assumptions!$D$5:$D$12,0)),($C1635+$D1635*SQRT(-2*LN(RAND()))*COS(2*PI()*RAND()))*$E1635*$J1635*$K1635)))</x:f>
        <x:v>877.8685418063118</x:v>
      </x:c>
      <x:c r="H1635" s="11" t="n">
        <x:f>IF($A1635="","",$G1635*$F1635+$C1635*(1-$F1635))</x:f>
        <x:v>856.5039896322091</x:v>
      </x:c>
      <x:c r="I1635" s="11" t="n">
        <x:f>IF($A1635="","",AVERAGE($H1635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840.8418109091584</x:v>
      </x:c>
      <x:c r="J1635" s="12" t="n">
        <x:f>IF($A1635="","",1+SUMIFS(Assumptions!$S$5:$S$10,Assumptions!$P$5:$P$10,$B1635,Assumptions!$Q$5:$Q$10,"&lt;="&amp;$A1635,Assumptions!$R$5:$R$10,"&gt;="&amp;$A1635))</x:f>
        <x:v>1</x:v>
      </x:c>
      <x:c r="K1635" s="12" t="n">
        <x:f>IF($A1635="","",1+((($A1635-Assumptions!$B$5)/30)*INDEX(Assumptions!$J$5:$J$12,MATCH($B1635,Assumptions!$D$5:$D$12,0))))</x:f>
        <x:v>1.0108666666666666</x:v>
      </x:c>
      <x:c r="L1635" t="str">
        <x:f>IF($A1635="","",IFERROR(INDEX(Assumptions!$O$5:$O$10,MATCH(1,(Assumptions!$P$5:$P$10=$B1635)*(Assumptions!$Q$5:$Q$10&lt;=$A1635)*(Assumptions!$R$5:$R$10&gt;=$A1635),0)),""))</x:f>
      </x:c>
      <x:c r="M1635" t="n">
        <x:f>--($A1635&lt;&gt;"")</x:f>
        <x:v>1</x:v>
      </x:c>
    </x:row>
    <x:row r="1636">
      <x:c r="A1636" s="10" t="n">
        <x:f>IF(Assumptions!$B$5+INT((ROW()-2)/Assumptions!$B$7)&gt;Assumptions!$B$6,"",Assumptions!$B$5+INT((ROW()-2)/Assumptions!$B$7))</x:f>
        <x:v>46349</x:v>
      </x:c>
      <x:c r="B1636" t="str">
        <x:f>IF($A1636="","",INDEX(Assumptions!$D$5:$D$12,MOD(ROW()-2,Assumptions!$B$7)+1))</x:f>
        <x:v>Yutani Ridge</x:v>
      </x:c>
      <x:c r="C1636" s="11" t="n">
        <x:f>IF($A1636="","",INDEX(Assumptions!$F$5:$F$12,MATCH($B1636,Assumptions!$D$5:$D$12,0)))</x:f>
        <x:v>1050</x:v>
      </x:c>
      <x:c r="D1636" s="11" t="n">
        <x:f>IF($A1636="","",INDEX(Assumptions!$G$5:$G$12,MATCH($B1636,Assumptions!$D$5:$D$12,0)))</x:f>
        <x:v>125</x:v>
      </x:c>
      <x:c r="E1636" s="11" t="n">
        <x:f>IF($A1636="","",INDEX(Assumptions!$M$5:$M$11,WEEKDAY($A1636,2)))</x:f>
        <x:v>1.03</x:v>
      </x:c>
      <x:c r="F1636" s="11" t="n">
        <x:f>IF($A1636="","",Assumptions!$B$15)</x:f>
        <x:v>0.35</x:v>
      </x:c>
      <x:c r="G1636" s="11" t="n">
        <x:f>IF($A1636="","",MAX(INDEX(Assumptions!$H$5:$H$12,MATCH($B1636,Assumptions!$D$5:$D$12,0)),MIN(INDEX(Assumptions!$I$5:$I$12,MATCH($B1636,Assumptions!$D$5:$D$12,0)),($C1636+$D1636*SQRT(-2*LN(RAND()))*COS(2*PI()*RAND()))*$E1636*$J1636*$K1636)))</x:f>
        <x:v>964.5560173063476</x:v>
      </x:c>
      <x:c r="H1636" s="11" t="n">
        <x:f>IF($A1636="","",$G1636*$F1636+$C1636*(1-$F1636))</x:f>
        <x:v>1020.0946060572217</x:v>
      </x:c>
      <x:c r="I1636" s="11" t="n">
        <x:f>IF($A1636="","",AVERAGE($H1636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1068.7542455963771</x:v>
      </x:c>
      <x:c r="J1636" s="12" t="n">
        <x:f>IF($A1636="","",1+SUMIFS(Assumptions!$S$5:$S$10,Assumptions!$P$5:$P$10,$B1636,Assumptions!$Q$5:$Q$10,"&lt;="&amp;$A1636,Assumptions!$R$5:$R$10,"&gt;="&amp;$A1636))</x:f>
        <x:v>1</x:v>
      </x:c>
      <x:c r="K1636" s="12" t="n">
        <x:f>IF($A1636="","",1+((($A1636-Assumptions!$B$5)/30)*INDEX(Assumptions!$J$5:$J$12,MATCH($B1636,Assumptions!$D$5:$D$12,0))))</x:f>
        <x:v>1.0271666666666666</x:v>
      </x:c>
      <x:c r="L1636" t="str">
        <x:f>IF($A1636="","",IFERROR(INDEX(Assumptions!$O$5:$O$10,MATCH(1,(Assumptions!$P$5:$P$10=$B1636)*(Assumptions!$Q$5:$Q$10&lt;=$A1636)*(Assumptions!$R$5:$R$10&gt;=$A1636),0)),""))</x:f>
      </x:c>
      <x:c r="M1636" t="n">
        <x:f>--($A1636&lt;&gt;"")</x:f>
        <x:v>1</x:v>
      </x:c>
    </x:row>
    <x:row r="1637">
      <x:c r="A1637" s="10" t="n">
        <x:f>IF(Assumptions!$B$5+INT((ROW()-2)/Assumptions!$B$7)&gt;Assumptions!$B$6,"",Assumptions!$B$5+INT((ROW()-2)/Assumptions!$B$7))</x:f>
        <x:v>46350</x:v>
      </x:c>
      <x:c r="B1637" t="str">
        <x:f>IF($A1637="","",INDEX(Assumptions!$D$5:$D$12,MOD(ROW()-2,Assumptions!$B$7)+1))</x:f>
        <x:v>Acheron Prime</x:v>
      </x:c>
      <x:c r="C1637" s="11" t="n">
        <x:f>IF($A1637="","",INDEX(Assumptions!$F$5:$F$12,MATCH($B1637,Assumptions!$D$5:$D$12,0)))</x:f>
        <x:v>1120</x:v>
      </x:c>
      <x:c r="D1637" s="11" t="n">
        <x:f>IF($A1637="","",INDEX(Assumptions!$G$5:$G$12,MATCH($B1637,Assumptions!$D$5:$D$12,0)))</x:f>
        <x:v>115</x:v>
      </x:c>
      <x:c r="E1637" s="11" t="n">
        <x:f>IF($A1637="","",INDEX(Assumptions!$M$5:$M$11,WEEKDAY($A1637,2)))</x:f>
        <x:v>1.02</x:v>
      </x:c>
      <x:c r="F1637" s="11" t="n">
        <x:f>IF($A1637="","",Assumptions!$B$15)</x:f>
        <x:v>0.35</x:v>
      </x:c>
      <x:c r="G1637" s="11" t="n">
        <x:f>IF($A1637="","",MAX(INDEX(Assumptions!$H$5:$H$12,MATCH($B1637,Assumptions!$D$5:$D$12,0)),MIN(INDEX(Assumptions!$I$5:$I$12,MATCH($B1637,Assumptions!$D$5:$D$12,0)),($C1637+$D1637*SQRT(-2*LN(RAND()))*COS(2*PI()*RAND()))*$E1637*$J1637*$K1637)))</x:f>
        <x:v>1185.8754581083265</x:v>
      </x:c>
      <x:c r="H1637" s="11" t="n">
        <x:f>IF($A1637="","",$G1637*$F1637+$C1637*(1-$F1637))</x:f>
        <x:v>1143.0564103379143</x:v>
      </x:c>
      <x:c r="I1637" s="11" t="n">
        <x:f>IF($A1637="","",AVERAGE($H1637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1069.4478101680913</x:v>
      </x:c>
      <x:c r="J1637" s="12" t="n">
        <x:f>IF($A1637="","",1+SUMIFS(Assumptions!$S$5:$S$10,Assumptions!$P$5:$P$10,$B1637,Assumptions!$Q$5:$Q$10,"&lt;="&amp;$A1637,Assumptions!$R$5:$R$10,"&gt;="&amp;$A1637))</x:f>
        <x:v>1</x:v>
      </x:c>
      <x:c r="K1637" s="12" t="n">
        <x:f>IF($A1637="","",1+((($A1637-Assumptions!$B$5)/30)*INDEX(Assumptions!$J$5:$J$12,MATCH($B1637,Assumptions!$D$5:$D$12,0))))</x:f>
        <x:v>1.0218</x:v>
      </x:c>
      <x:c r="L1637" t="str">
        <x:f>IF($A1637="","",IFERROR(INDEX(Assumptions!$O$5:$O$10,MATCH(1,(Assumptions!$P$5:$P$10=$B1637)*(Assumptions!$Q$5:$Q$10&lt;=$A1637)*(Assumptions!$R$5:$R$10&gt;=$A1637),0)),""))</x:f>
      </x:c>
      <x:c r="M1637" t="n">
        <x:f>--($A1637&lt;&gt;"")</x:f>
        <x:v>1</x:v>
      </x:c>
    </x:row>
    <x:row r="1638">
      <x:c r="A1638" s="10" t="n">
        <x:f>IF(Assumptions!$B$5+INT((ROW()-2)/Assumptions!$B$7)&gt;Assumptions!$B$6,"",Assumptions!$B$5+INT((ROW()-2)/Assumptions!$B$7))</x:f>
        <x:v>46350</x:v>
      </x:c>
      <x:c r="B1638" t="str">
        <x:f>IF($A1638="","",INDEX(Assumptions!$D$5:$D$12,MOD(ROW()-2,Assumptions!$B$7)+1))</x:f>
        <x:v>LV-426 North</x:v>
      </x:c>
      <x:c r="C1638" s="11" t="n">
        <x:f>IF($A1638="","",INDEX(Assumptions!$F$5:$F$12,MATCH($B1638,Assumptions!$D$5:$D$12,0)))</x:f>
        <x:v>930</x:v>
      </x:c>
      <x:c r="D1638" s="11" t="n">
        <x:f>IF($A1638="","",INDEX(Assumptions!$G$5:$G$12,MATCH($B1638,Assumptions!$D$5:$D$12,0)))</x:f>
        <x:v>95</x:v>
      </x:c>
      <x:c r="E1638" s="11" t="n">
        <x:f>IF($A1638="","",INDEX(Assumptions!$M$5:$M$11,WEEKDAY($A1638,2)))</x:f>
        <x:v>1.02</x:v>
      </x:c>
      <x:c r="F1638" s="11" t="n">
        <x:f>IF($A1638="","",Assumptions!$B$15)</x:f>
        <x:v>0.35</x:v>
      </x:c>
      <x:c r="G1638" s="11" t="n">
        <x:f>IF($A1638="","",MAX(INDEX(Assumptions!$H$5:$H$12,MATCH($B1638,Assumptions!$D$5:$D$12,0)),MIN(INDEX(Assumptions!$I$5:$I$12,MATCH($B1638,Assumptions!$D$5:$D$12,0)),($C1638+$D1638*SQRT(-2*LN(RAND()))*COS(2*PI()*RAND()))*$E1638*$J1638*$K1638)))</x:f>
        <x:v>959.8785348353001</x:v>
      </x:c>
      <x:c r="H1638" s="11" t="n">
        <x:f>IF($A1638="","",$G1638*$F1638+$C1638*(1-$F1638))</x:f>
        <x:v>940.4574871923551</x:v>
      </x:c>
      <x:c r="I1638" s="11" t="n">
        <x:f>IF($A1638="","",AVERAGE($H1638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917.6009090694087</x:v>
      </x:c>
      <x:c r="J1638" s="12" t="n">
        <x:f>IF($A1638="","",1+SUMIFS(Assumptions!$S$5:$S$10,Assumptions!$P$5:$P$10,$B1638,Assumptions!$Q$5:$Q$10,"&lt;="&amp;$A1638,Assumptions!$R$5:$R$10,"&gt;="&amp;$A1638))</x:f>
        <x:v>1</x:v>
      </x:c>
      <x:c r="K1638" s="12" t="n">
        <x:f>IF($A1638="","",1+((($A1638-Assumptions!$B$5)/30)*INDEX(Assumptions!$J$5:$J$12,MATCH($B1638,Assumptions!$D$5:$D$12,0))))</x:f>
        <x:v>0.9891</x:v>
      </x:c>
      <x:c r="L1638" t="str">
        <x:f>IF($A1638="","",IFERROR(INDEX(Assumptions!$O$5:$O$10,MATCH(1,(Assumptions!$P$5:$P$10=$B1638)*(Assumptions!$Q$5:$Q$10&lt;=$A1638)*(Assumptions!$R$5:$R$10&gt;=$A1638),0)),""))</x:f>
      </x:c>
      <x:c r="M1638" t="n">
        <x:f>--($A1638&lt;&gt;"")</x:f>
        <x:v>1</x:v>
      </x:c>
    </x:row>
    <x:row r="1639">
      <x:c r="A1639" s="10" t="n">
        <x:f>IF(Assumptions!$B$5+INT((ROW()-2)/Assumptions!$B$7)&gt;Assumptions!$B$6,"",Assumptions!$B$5+INT((ROW()-2)/Assumptions!$B$7))</x:f>
        <x:v>46350</x:v>
      </x:c>
      <x:c r="B1639" t="str">
        <x:f>IF($A1639="","",INDEX(Assumptions!$D$5:$D$12,MOD(ROW()-2,Assumptions!$B$7)+1))</x:f>
        <x:v>Nostromo Deep</x:v>
      </x:c>
      <x:c r="C1639" s="11" t="n">
        <x:f>IF($A1639="","",INDEX(Assumptions!$F$5:$F$12,MATCH($B1639,Assumptions!$D$5:$D$12,0)))</x:f>
        <x:v>1260</x:v>
      </x:c>
      <x:c r="D1639" s="11" t="n">
        <x:f>IF($A1639="","",INDEX(Assumptions!$G$5:$G$12,MATCH($B1639,Assumptions!$D$5:$D$12,0)))</x:f>
        <x:v>145</x:v>
      </x:c>
      <x:c r="E1639" s="11" t="n">
        <x:f>IF($A1639="","",INDEX(Assumptions!$M$5:$M$11,WEEKDAY($A1639,2)))</x:f>
        <x:v>1.02</x:v>
      </x:c>
      <x:c r="F1639" s="11" t="n">
        <x:f>IF($A1639="","",Assumptions!$B$15)</x:f>
        <x:v>0.35</x:v>
      </x:c>
      <x:c r="G1639" s="11" t="n">
        <x:f>IF($A1639="","",MAX(INDEX(Assumptions!$H$5:$H$12,MATCH($B1639,Assumptions!$D$5:$D$12,0)),MIN(INDEX(Assumptions!$I$5:$I$12,MATCH($B1639,Assumptions!$D$5:$D$12,0)),($C1639+$D1639*SQRT(-2*LN(RAND()))*COS(2*PI()*RAND()))*$E1639*$J1639*$K1639)))</x:f>
        <x:v>1639.989579258798</x:v>
      </x:c>
      <x:c r="H1639" s="11" t="n">
        <x:f>IF($A1639="","",$G1639*$F1639+$C1639*(1-$F1639))</x:f>
        <x:v>1392.9963527405794</x:v>
      </x:c>
      <x:c r="I1639" s="11" t="n">
        <x:f>IF($A1639="","",AVERAGE($H1639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1257.7049489602239</x:v>
      </x:c>
      <x:c r="J1639" s="12" t="n">
        <x:f>IF($A1639="","",1+SUMIFS(Assumptions!$S$5:$S$10,Assumptions!$P$5:$P$10,$B1639,Assumptions!$Q$5:$Q$10,"&lt;="&amp;$A1639,Assumptions!$R$5:$R$10,"&gt;="&amp;$A1639))</x:f>
        <x:v>1</x:v>
      </x:c>
      <x:c r="K1639" s="12" t="n">
        <x:f>IF($A1639="","",1+((($A1639-Assumptions!$B$5)/30)*INDEX(Assumptions!$J$5:$J$12,MATCH($B1639,Assumptions!$D$5:$D$12,0))))</x:f>
        <x:v>1.0327</x:v>
      </x:c>
      <x:c r="L1639" t="str">
        <x:f>IF($A1639="","",IFERROR(INDEX(Assumptions!$O$5:$O$10,MATCH(1,(Assumptions!$P$5:$P$10=$B1639)*(Assumptions!$Q$5:$Q$10&lt;=$A1639)*(Assumptions!$R$5:$R$10&gt;=$A1639),0)),""))</x:f>
      </x:c>
      <x:c r="M1639" t="n">
        <x:f>--($A1639&lt;&gt;"")</x:f>
        <x:v>1</x:v>
      </x:c>
    </x:row>
    <x:row r="1640">
      <x:c r="A1640" s="10" t="n">
        <x:f>IF(Assumptions!$B$5+INT((ROW()-2)/Assumptions!$B$7)&gt;Assumptions!$B$6,"",Assumptions!$B$5+INT((ROW()-2)/Assumptions!$B$7))</x:f>
        <x:v>46350</x:v>
      </x:c>
      <x:c r="B1640" t="str">
        <x:f>IF($A1640="","",INDEX(Assumptions!$D$5:$D$12,MOD(ROW()-2,Assumptions!$B$7)+1))</x:f>
        <x:v>Hadley's Hope</x:v>
      </x:c>
      <x:c r="C1640" s="11" t="n">
        <x:f>IF($A1640="","",INDEX(Assumptions!$F$5:$F$12,MATCH($B1640,Assumptions!$D$5:$D$12,0)))</x:f>
        <x:v>845</x:v>
      </x:c>
      <x:c r="D1640" s="11" t="n">
        <x:f>IF($A1640="","",INDEX(Assumptions!$G$5:$G$12,MATCH($B1640,Assumptions!$D$5:$D$12,0)))</x:f>
        <x:v>80</x:v>
      </x:c>
      <x:c r="E1640" s="11" t="n">
        <x:f>IF($A1640="","",INDEX(Assumptions!$M$5:$M$11,WEEKDAY($A1640,2)))</x:f>
        <x:v>1.02</x:v>
      </x:c>
      <x:c r="F1640" s="11" t="n">
        <x:f>IF($A1640="","",Assumptions!$B$15)</x:f>
        <x:v>0.35</x:v>
      </x:c>
      <x:c r="G1640" s="11" t="n">
        <x:f>IF($A1640="","",MAX(INDEX(Assumptions!$H$5:$H$12,MATCH($B1640,Assumptions!$D$5:$D$12,0)),MIN(INDEX(Assumptions!$I$5:$I$12,MATCH($B1640,Assumptions!$D$5:$D$12,0)),($C1640+$D1640*SQRT(-2*LN(RAND()))*COS(2*PI()*RAND()))*$E1640*$J1640*$K1640)))</x:f>
        <x:v>809.702213832356</x:v>
      </x:c>
      <x:c r="H1640" s="11" t="n">
        <x:f>IF($A1640="","",$G1640*$F1640+$C1640*(1-$F1640))</x:f>
        <x:v>832.6457748413246</x:v>
      </x:c>
      <x:c r="I1640" s="11" t="n">
        <x:f>IF($A1640="","",AVERAGE($H1640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837.0485402363182</x:v>
      </x:c>
      <x:c r="J1640" s="12" t="n">
        <x:f>IF($A1640="","",1+SUMIFS(Assumptions!$S$5:$S$10,Assumptions!$P$5:$P$10,$B1640,Assumptions!$Q$5:$Q$10,"&lt;="&amp;$A1640,Assumptions!$R$5:$R$10,"&gt;="&amp;$A1640))</x:f>
        <x:v>1</x:v>
      </x:c>
      <x:c r="K1640" s="12" t="n">
        <x:f>IF($A1640="","",1+((($A1640-Assumptions!$B$5)/30)*INDEX(Assumptions!$J$5:$J$12,MATCH($B1640,Assumptions!$D$5:$D$12,0))))</x:f>
        <x:v>1.0109</x:v>
      </x:c>
      <x:c r="L1640" t="str">
        <x:f>IF($A1640="","",IFERROR(INDEX(Assumptions!$O$5:$O$10,MATCH(1,(Assumptions!$P$5:$P$10=$B1640)*(Assumptions!$Q$5:$Q$10&lt;=$A1640)*(Assumptions!$R$5:$R$10&gt;=$A1640),0)),""))</x:f>
      </x:c>
      <x:c r="M1640" t="n">
        <x:f>--($A1640&lt;&gt;"")</x:f>
        <x:v>1</x:v>
      </x:c>
    </x:row>
    <x:row r="1641">
      <x:c r="A1641" s="10" t="n">
        <x:f>IF(Assumptions!$B$5+INT((ROW()-2)/Assumptions!$B$7)&gt;Assumptions!$B$6,"",Assumptions!$B$5+INT((ROW()-2)/Assumptions!$B$7))</x:f>
        <x:v>46350</x:v>
      </x:c>
      <x:c r="B1641" t="str">
        <x:f>IF($A1641="","",INDEX(Assumptions!$D$5:$D$12,MOD(ROW()-2,Assumptions!$B$7)+1))</x:f>
        <x:v>Yutani Ridge</x:v>
      </x:c>
      <x:c r="C1641" s="11" t="n">
        <x:f>IF($A1641="","",INDEX(Assumptions!$F$5:$F$12,MATCH($B1641,Assumptions!$D$5:$D$12,0)))</x:f>
        <x:v>1050</x:v>
      </x:c>
      <x:c r="D1641" s="11" t="n">
        <x:f>IF($A1641="","",INDEX(Assumptions!$G$5:$G$12,MATCH($B1641,Assumptions!$D$5:$D$12,0)))</x:f>
        <x:v>125</x:v>
      </x:c>
      <x:c r="E1641" s="11" t="n">
        <x:f>IF($A1641="","",INDEX(Assumptions!$M$5:$M$11,WEEKDAY($A1641,2)))</x:f>
        <x:v>1.02</x:v>
      </x:c>
      <x:c r="F1641" s="11" t="n">
        <x:f>IF($A1641="","",Assumptions!$B$15)</x:f>
        <x:v>0.35</x:v>
      </x:c>
      <x:c r="G1641" s="11" t="n">
        <x:f>IF($A1641="","",MAX(INDEX(Assumptions!$H$5:$H$12,MATCH($B1641,Assumptions!$D$5:$D$12,0)),MIN(INDEX(Assumptions!$I$5:$I$12,MATCH($B1641,Assumptions!$D$5:$D$12,0)),($C1641+$D1641*SQRT(-2*LN(RAND()))*COS(2*PI()*RAND()))*$E1641*$J1641*$K1641)))</x:f>
        <x:v>1136.2865513545096</x:v>
      </x:c>
      <x:c r="H1641" s="11" t="n">
        <x:f>IF($A1641="","",$G1641*$F1641+$C1641*(1-$F1641))</x:f>
        <x:v>1080.2002929740784</x:v>
      </x:c>
      <x:c r="I1641" s="11" t="n">
        <x:f>IF($A1641="","",AVERAGE($H1641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1073.5827959937183</x:v>
      </x:c>
      <x:c r="J1641" s="12" t="n">
        <x:f>IF($A1641="","",1+SUMIFS(Assumptions!$S$5:$S$10,Assumptions!$P$5:$P$10,$B1641,Assumptions!$Q$5:$Q$10,"&lt;="&amp;$A1641,Assumptions!$R$5:$R$10,"&gt;="&amp;$A1641))</x:f>
        <x:v>1</x:v>
      </x:c>
      <x:c r="K1641" s="12" t="n">
        <x:f>IF($A1641="","",1+((($A1641-Assumptions!$B$5)/30)*INDEX(Assumptions!$J$5:$J$12,MATCH($B1641,Assumptions!$D$5:$D$12,0))))</x:f>
        <x:v>1.02725</x:v>
      </x:c>
      <x:c r="L1641" t="str">
        <x:f>IF($A1641="","",IFERROR(INDEX(Assumptions!$O$5:$O$10,MATCH(1,(Assumptions!$P$5:$P$10=$B1641)*(Assumptions!$Q$5:$Q$10&lt;=$A1641)*(Assumptions!$R$5:$R$10&gt;=$A1641),0)),""))</x:f>
      </x:c>
      <x:c r="M1641" t="n">
        <x:f>--($A1641&lt;&gt;"")</x:f>
        <x:v>1</x:v>
      </x:c>
    </x:row>
    <x:row r="1642">
      <x:c r="A1642" s="10" t="n">
        <x:f>IF(Assumptions!$B$5+INT((ROW()-2)/Assumptions!$B$7)&gt;Assumptions!$B$6,"",Assumptions!$B$5+INT((ROW()-2)/Assumptions!$B$7))</x:f>
        <x:v>46351</x:v>
      </x:c>
      <x:c r="B1642" t="str">
        <x:f>IF($A1642="","",INDEX(Assumptions!$D$5:$D$12,MOD(ROW()-2,Assumptions!$B$7)+1))</x:f>
        <x:v>Acheron Prime</x:v>
      </x:c>
      <x:c r="C1642" s="11" t="n">
        <x:f>IF($A1642="","",INDEX(Assumptions!$F$5:$F$12,MATCH($B1642,Assumptions!$D$5:$D$12,0)))</x:f>
        <x:v>1120</x:v>
      </x:c>
      <x:c r="D1642" s="11" t="n">
        <x:f>IF($A1642="","",INDEX(Assumptions!$G$5:$G$12,MATCH($B1642,Assumptions!$D$5:$D$12,0)))</x:f>
        <x:v>115</x:v>
      </x:c>
      <x:c r="E1642" s="11" t="n">
        <x:f>IF($A1642="","",INDEX(Assumptions!$M$5:$M$11,WEEKDAY($A1642,2)))</x:f>
        <x:v>1.01</x:v>
      </x:c>
      <x:c r="F1642" s="11" t="n">
        <x:f>IF($A1642="","",Assumptions!$B$15)</x:f>
        <x:v>0.35</x:v>
      </x:c>
      <x:c r="G1642" s="11" t="n">
        <x:f>IF($A1642="","",MAX(INDEX(Assumptions!$H$5:$H$12,MATCH($B1642,Assumptions!$D$5:$D$12,0)),MIN(INDEX(Assumptions!$I$5:$I$12,MATCH($B1642,Assumptions!$D$5:$D$12,0)),($C1642+$D1642*SQRT(-2*LN(RAND()))*COS(2*PI()*RAND()))*$E1642*$J1642*$K1642)))</x:f>
        <x:v>1074.2777277012192</x:v>
      </x:c>
      <x:c r="H1642" s="11" t="n">
        <x:f>IF($A1642="","",$G1642*$F1642+$C1642*(1-$F1642))</x:f>
        <x:v>1103.9972046954267</x:v>
      </x:c>
      <x:c r="I1642" s="11" t="n">
        <x:f>IF($A1642="","",AVERAGE($H1642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1067.522550147489</x:v>
      </x:c>
      <x:c r="J1642" s="12" t="n">
        <x:f>IF($A1642="","",1+SUMIFS(Assumptions!$S$5:$S$10,Assumptions!$P$5:$P$10,$B1642,Assumptions!$Q$5:$Q$10,"&lt;="&amp;$A1642,Assumptions!$R$5:$R$10,"&gt;="&amp;$A1642))</x:f>
        <x:v>1</x:v>
      </x:c>
      <x:c r="K1642" s="12" t="n">
        <x:f>IF($A1642="","",1+((($A1642-Assumptions!$B$5)/30)*INDEX(Assumptions!$J$5:$J$12,MATCH($B1642,Assumptions!$D$5:$D$12,0))))</x:f>
        <x:v>1.0218666666666667</x:v>
      </x:c>
      <x:c r="L1642" t="str">
        <x:f>IF($A1642="","",IFERROR(INDEX(Assumptions!$O$5:$O$10,MATCH(1,(Assumptions!$P$5:$P$10=$B1642)*(Assumptions!$Q$5:$Q$10&lt;=$A1642)*(Assumptions!$R$5:$R$10&gt;=$A1642),0)),""))</x:f>
      </x:c>
      <x:c r="M1642" t="n">
        <x:f>--($A1642&lt;&gt;"")</x:f>
        <x:v>1</x:v>
      </x:c>
    </x:row>
    <x:row r="1643">
      <x:c r="A1643" s="10" t="n">
        <x:f>IF(Assumptions!$B$5+INT((ROW()-2)/Assumptions!$B$7)&gt;Assumptions!$B$6,"",Assumptions!$B$5+INT((ROW()-2)/Assumptions!$B$7))</x:f>
        <x:v>46351</x:v>
      </x:c>
      <x:c r="B1643" t="str">
        <x:f>IF($A1643="","",INDEX(Assumptions!$D$5:$D$12,MOD(ROW()-2,Assumptions!$B$7)+1))</x:f>
        <x:v>LV-426 North</x:v>
      </x:c>
      <x:c r="C1643" s="11" t="n">
        <x:f>IF($A1643="","",INDEX(Assumptions!$F$5:$F$12,MATCH($B1643,Assumptions!$D$5:$D$12,0)))</x:f>
        <x:v>930</x:v>
      </x:c>
      <x:c r="D1643" s="11" t="n">
        <x:f>IF($A1643="","",INDEX(Assumptions!$G$5:$G$12,MATCH($B1643,Assumptions!$D$5:$D$12,0)))</x:f>
        <x:v>95</x:v>
      </x:c>
      <x:c r="E1643" s="11" t="n">
        <x:f>IF($A1643="","",INDEX(Assumptions!$M$5:$M$11,WEEKDAY($A1643,2)))</x:f>
        <x:v>1.01</x:v>
      </x:c>
      <x:c r="F1643" s="11" t="n">
        <x:f>IF($A1643="","",Assumptions!$B$15)</x:f>
        <x:v>0.35</x:v>
      </x:c>
      <x:c r="G1643" s="11" t="n">
        <x:f>IF($A1643="","",MAX(INDEX(Assumptions!$H$5:$H$12,MATCH($B1643,Assumptions!$D$5:$D$12,0)),MIN(INDEX(Assumptions!$I$5:$I$12,MATCH($B1643,Assumptions!$D$5:$D$12,0)),($C1643+$D1643*SQRT(-2*LN(RAND()))*COS(2*PI()*RAND()))*$E1643*$J1643*$K1643)))</x:f>
        <x:v>851.9370098533509</x:v>
      </x:c>
      <x:c r="H1643" s="11" t="n">
        <x:f>IF($A1643="","",$G1643*$F1643+$C1643*(1-$F1643))</x:f>
        <x:v>902.6779534486727</x:v>
      </x:c>
      <x:c r="I1643" s="11" t="n">
        <x:f>IF($A1643="","",AVERAGE($H1643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913.0498961514264</x:v>
      </x:c>
      <x:c r="J1643" s="12" t="n">
        <x:f>IF($A1643="","",1+SUMIFS(Assumptions!$S$5:$S$10,Assumptions!$P$5:$P$10,$B1643,Assumptions!$Q$5:$Q$10,"&lt;="&amp;$A1643,Assumptions!$R$5:$R$10,"&gt;="&amp;$A1643))</x:f>
        <x:v>1</x:v>
      </x:c>
      <x:c r="K1643" s="12" t="n">
        <x:f>IF($A1643="","",1+((($A1643-Assumptions!$B$5)/30)*INDEX(Assumptions!$J$5:$J$12,MATCH($B1643,Assumptions!$D$5:$D$12,0))))</x:f>
        <x:v>0.9890666666666666</x:v>
      </x:c>
      <x:c r="L1643" t="str">
        <x:f>IF($A1643="","",IFERROR(INDEX(Assumptions!$O$5:$O$10,MATCH(1,(Assumptions!$P$5:$P$10=$B1643)*(Assumptions!$Q$5:$Q$10&lt;=$A1643)*(Assumptions!$R$5:$R$10&gt;=$A1643),0)),""))</x:f>
      </x:c>
      <x:c r="M1643" t="n">
        <x:f>--($A1643&lt;&gt;"")</x:f>
        <x:v>1</x:v>
      </x:c>
    </x:row>
    <x:row r="1644">
      <x:c r="A1644" s="10" t="n">
        <x:f>IF(Assumptions!$B$5+INT((ROW()-2)/Assumptions!$B$7)&gt;Assumptions!$B$6,"",Assumptions!$B$5+INT((ROW()-2)/Assumptions!$B$7))</x:f>
        <x:v>46351</x:v>
      </x:c>
      <x:c r="B1644" t="str">
        <x:f>IF($A1644="","",INDEX(Assumptions!$D$5:$D$12,MOD(ROW()-2,Assumptions!$B$7)+1))</x:f>
        <x:v>Nostromo Deep</x:v>
      </x:c>
      <x:c r="C1644" s="11" t="n">
        <x:f>IF($A1644="","",INDEX(Assumptions!$F$5:$F$12,MATCH($B1644,Assumptions!$D$5:$D$12,0)))</x:f>
        <x:v>1260</x:v>
      </x:c>
      <x:c r="D1644" s="11" t="n">
        <x:f>IF($A1644="","",INDEX(Assumptions!$G$5:$G$12,MATCH($B1644,Assumptions!$D$5:$D$12,0)))</x:f>
        <x:v>145</x:v>
      </x:c>
      <x:c r="E1644" s="11" t="n">
        <x:f>IF($A1644="","",INDEX(Assumptions!$M$5:$M$11,WEEKDAY($A1644,2)))</x:f>
        <x:v>1.01</x:v>
      </x:c>
      <x:c r="F1644" s="11" t="n">
        <x:f>IF($A1644="","",Assumptions!$B$15)</x:f>
        <x:v>0.35</x:v>
      </x:c>
      <x:c r="G1644" s="11" t="n">
        <x:f>IF($A1644="","",MAX(INDEX(Assumptions!$H$5:$H$12,MATCH($B1644,Assumptions!$D$5:$D$12,0)),MIN(INDEX(Assumptions!$I$5:$I$12,MATCH($B1644,Assumptions!$D$5:$D$12,0)),($C1644+$D1644*SQRT(-2*LN(RAND()))*COS(2*PI()*RAND()))*$E1644*$J1644*$K1644)))</x:f>
        <x:v>1324.3644093569296</x:v>
      </x:c>
      <x:c r="H1644" s="11" t="n">
        <x:f>IF($A1644="","",$G1644*$F1644+$C1644*(1-$F1644))</x:f>
        <x:v>1282.5275432749254</x:v>
      </x:c>
      <x:c r="I1644" s="11" t="n">
        <x:f>IF($A1644="","",AVERAGE($H1644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1266.4855579748053</x:v>
      </x:c>
      <x:c r="J1644" s="12" t="n">
        <x:f>IF($A1644="","",1+SUMIFS(Assumptions!$S$5:$S$10,Assumptions!$P$5:$P$10,$B1644,Assumptions!$Q$5:$Q$10,"&lt;="&amp;$A1644,Assumptions!$R$5:$R$10,"&gt;="&amp;$A1644))</x:f>
        <x:v>1</x:v>
      </x:c>
      <x:c r="K1644" s="12" t="n">
        <x:f>IF($A1644="","",1+((($A1644-Assumptions!$B$5)/30)*INDEX(Assumptions!$J$5:$J$12,MATCH($B1644,Assumptions!$D$5:$D$12,0))))</x:f>
        <x:v>1.0328</x:v>
      </x:c>
      <x:c r="L1644" t="str">
        <x:f>IF($A1644="","",IFERROR(INDEX(Assumptions!$O$5:$O$10,MATCH(1,(Assumptions!$P$5:$P$10=$B1644)*(Assumptions!$Q$5:$Q$10&lt;=$A1644)*(Assumptions!$R$5:$R$10&gt;=$A1644),0)),""))</x:f>
      </x:c>
      <x:c r="M1644" t="n">
        <x:f>--($A1644&lt;&gt;"")</x:f>
        <x:v>1</x:v>
      </x:c>
    </x:row>
    <x:row r="1645">
      <x:c r="A1645" s="10" t="n">
        <x:f>IF(Assumptions!$B$5+INT((ROW()-2)/Assumptions!$B$7)&gt;Assumptions!$B$6,"",Assumptions!$B$5+INT((ROW()-2)/Assumptions!$B$7))</x:f>
        <x:v>46351</x:v>
      </x:c>
      <x:c r="B1645" t="str">
        <x:f>IF($A1645="","",INDEX(Assumptions!$D$5:$D$12,MOD(ROW()-2,Assumptions!$B$7)+1))</x:f>
        <x:v>Hadley's Hope</x:v>
      </x:c>
      <x:c r="C1645" s="11" t="n">
        <x:f>IF($A1645="","",INDEX(Assumptions!$F$5:$F$12,MATCH($B1645,Assumptions!$D$5:$D$12,0)))</x:f>
        <x:v>845</x:v>
      </x:c>
      <x:c r="D1645" s="11" t="n">
        <x:f>IF($A1645="","",INDEX(Assumptions!$G$5:$G$12,MATCH($B1645,Assumptions!$D$5:$D$12,0)))</x:f>
        <x:v>80</x:v>
      </x:c>
      <x:c r="E1645" s="11" t="n">
        <x:f>IF($A1645="","",INDEX(Assumptions!$M$5:$M$11,WEEKDAY($A1645,2)))</x:f>
        <x:v>1.01</x:v>
      </x:c>
      <x:c r="F1645" s="11" t="n">
        <x:f>IF($A1645="","",Assumptions!$B$15)</x:f>
        <x:v>0.35</x:v>
      </x:c>
      <x:c r="G1645" s="11" t="n">
        <x:f>IF($A1645="","",MAX(INDEX(Assumptions!$H$5:$H$12,MATCH($B1645,Assumptions!$D$5:$D$12,0)),MIN(INDEX(Assumptions!$I$5:$I$12,MATCH($B1645,Assumptions!$D$5:$D$12,0)),($C1645+$D1645*SQRT(-2*LN(RAND()))*COS(2*PI()*RAND()))*$E1645*$J1645*$K1645)))</x:f>
        <x:v>931.4652905932481</x:v>
      </x:c>
      <x:c r="H1645" s="11" t="n">
        <x:f>IF($A1645="","",$G1645*$F1645+$C1645*(1-$F1645))</x:f>
        <x:v>875.2628517076369</x:v>
      </x:c>
      <x:c r="I1645" s="11" t="n">
        <x:f>IF($A1645="","",AVERAGE($H1645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842.4627661167649</x:v>
      </x:c>
      <x:c r="J1645" s="12" t="n">
        <x:f>IF($A1645="","",1+SUMIFS(Assumptions!$S$5:$S$10,Assumptions!$P$5:$P$10,$B1645,Assumptions!$Q$5:$Q$10,"&lt;="&amp;$A1645,Assumptions!$R$5:$R$10,"&gt;="&amp;$A1645))</x:f>
        <x:v>1</x:v>
      </x:c>
      <x:c r="K1645" s="12" t="n">
        <x:f>IF($A1645="","",1+((($A1645-Assumptions!$B$5)/30)*INDEX(Assumptions!$J$5:$J$12,MATCH($B1645,Assumptions!$D$5:$D$12,0))))</x:f>
        <x:v>1.0109333333333332</x:v>
      </x:c>
      <x:c r="L1645" t="str">
        <x:f>IF($A1645="","",IFERROR(INDEX(Assumptions!$O$5:$O$10,MATCH(1,(Assumptions!$P$5:$P$10=$B1645)*(Assumptions!$Q$5:$Q$10&lt;=$A1645)*(Assumptions!$R$5:$R$10&gt;=$A1645),0)),""))</x:f>
      </x:c>
      <x:c r="M1645" t="n">
        <x:f>--($A1645&lt;&gt;"")</x:f>
        <x:v>1</x:v>
      </x:c>
    </x:row>
    <x:row r="1646">
      <x:c r="A1646" s="10" t="n">
        <x:f>IF(Assumptions!$B$5+INT((ROW()-2)/Assumptions!$B$7)&gt;Assumptions!$B$6,"",Assumptions!$B$5+INT((ROW()-2)/Assumptions!$B$7))</x:f>
        <x:v>46351</x:v>
      </x:c>
      <x:c r="B1646" t="str">
        <x:f>IF($A1646="","",INDEX(Assumptions!$D$5:$D$12,MOD(ROW()-2,Assumptions!$B$7)+1))</x:f>
        <x:v>Yutani Ridge</x:v>
      </x:c>
      <x:c r="C1646" s="11" t="n">
        <x:f>IF($A1646="","",INDEX(Assumptions!$F$5:$F$12,MATCH($B1646,Assumptions!$D$5:$D$12,0)))</x:f>
        <x:v>1050</x:v>
      </x:c>
      <x:c r="D1646" s="11" t="n">
        <x:f>IF($A1646="","",INDEX(Assumptions!$G$5:$G$12,MATCH($B1646,Assumptions!$D$5:$D$12,0)))</x:f>
        <x:v>125</x:v>
      </x:c>
      <x:c r="E1646" s="11" t="n">
        <x:f>IF($A1646="","",INDEX(Assumptions!$M$5:$M$11,WEEKDAY($A1646,2)))</x:f>
        <x:v>1.01</x:v>
      </x:c>
      <x:c r="F1646" s="11" t="n">
        <x:f>IF($A1646="","",Assumptions!$B$15)</x:f>
        <x:v>0.35</x:v>
      </x:c>
      <x:c r="G1646" s="11" t="n">
        <x:f>IF($A1646="","",MAX(INDEX(Assumptions!$H$5:$H$12,MATCH($B1646,Assumptions!$D$5:$D$12,0)),MIN(INDEX(Assumptions!$I$5:$I$12,MATCH($B1646,Assumptions!$D$5:$D$12,0)),($C1646+$D1646*SQRT(-2*LN(RAND()))*COS(2*PI()*RAND()))*$E1646*$J1646*$K1646)))</x:f>
        <x:v>1026.2121835660223</x:v>
      </x:c>
      <x:c r="H1646" s="11" t="n">
        <x:f>IF($A1646="","",$G1646*$F1646+$C1646*(1-$F1646))</x:f>
        <x:v>1041.6742642481076</x:v>
      </x:c>
      <x:c r="I1646" s="11" t="n">
        <x:f>IF($A1646="","",AVERAGE($H1646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1065.0603674003432</x:v>
      </x:c>
      <x:c r="J1646" s="12" t="n">
        <x:f>IF($A1646="","",1+SUMIFS(Assumptions!$S$5:$S$10,Assumptions!$P$5:$P$10,$B1646,Assumptions!$Q$5:$Q$10,"&lt;="&amp;$A1646,Assumptions!$R$5:$R$10,"&gt;="&amp;$A1646))</x:f>
        <x:v>1</x:v>
      </x:c>
      <x:c r="K1646" s="12" t="n">
        <x:f>IF($A1646="","",1+((($A1646-Assumptions!$B$5)/30)*INDEX(Assumptions!$J$5:$J$12,MATCH($B1646,Assumptions!$D$5:$D$12,0))))</x:f>
        <x:v>1.0273333333333334</x:v>
      </x:c>
      <x:c r="L1646" t="str">
        <x:f>IF($A1646="","",IFERROR(INDEX(Assumptions!$O$5:$O$10,MATCH(1,(Assumptions!$P$5:$P$10=$B1646)*(Assumptions!$Q$5:$Q$10&lt;=$A1646)*(Assumptions!$R$5:$R$10&gt;=$A1646),0)),""))</x:f>
      </x:c>
      <x:c r="M1646" t="n">
        <x:f>--($A1646&lt;&gt;"")</x:f>
        <x:v>1</x:v>
      </x:c>
    </x:row>
    <x:row r="1647">
      <x:c r="A1647" s="10" t="n">
        <x:f>IF(Assumptions!$B$5+INT((ROW()-2)/Assumptions!$B$7)&gt;Assumptions!$B$6,"",Assumptions!$B$5+INT((ROW()-2)/Assumptions!$B$7))</x:f>
        <x:v>46352</x:v>
      </x:c>
      <x:c r="B1647" t="str">
        <x:f>IF($A1647="","",INDEX(Assumptions!$D$5:$D$12,MOD(ROW()-2,Assumptions!$B$7)+1))</x:f>
        <x:v>Acheron Prime</x:v>
      </x:c>
      <x:c r="C1647" s="11" t="n">
        <x:f>IF($A1647="","",INDEX(Assumptions!$F$5:$F$12,MATCH($B1647,Assumptions!$D$5:$D$12,0)))</x:f>
        <x:v>1120</x:v>
      </x:c>
      <x:c r="D1647" s="11" t="n">
        <x:f>IF($A1647="","",INDEX(Assumptions!$G$5:$G$12,MATCH($B1647,Assumptions!$D$5:$D$12,0)))</x:f>
        <x:v>115</x:v>
      </x:c>
      <x:c r="E1647" s="11" t="n">
        <x:f>IF($A1647="","",INDEX(Assumptions!$M$5:$M$11,WEEKDAY($A1647,2)))</x:f>
        <x:v>1</x:v>
      </x:c>
      <x:c r="F1647" s="11" t="n">
        <x:f>IF($A1647="","",Assumptions!$B$15)</x:f>
        <x:v>0.35</x:v>
      </x:c>
      <x:c r="G1647" s="11" t="n">
        <x:f>IF($A1647="","",MAX(INDEX(Assumptions!$H$5:$H$12,MATCH($B1647,Assumptions!$D$5:$D$12,0)),MIN(INDEX(Assumptions!$I$5:$I$12,MATCH($B1647,Assumptions!$D$5:$D$12,0)),($C1647+$D1647*SQRT(-2*LN(RAND()))*COS(2*PI()*RAND()))*$E1647*$J1647*$K1647)))</x:f>
        <x:v>1077.123868535483</x:v>
      </x:c>
      <x:c r="H1647" s="11" t="n">
        <x:f>IF($A1647="","",$G1647*$F1647+$C1647*(1-$F1647))</x:f>
        <x:v>1104.9933539874191</x:v>
      </x:c>
      <x:c r="I1647" s="11" t="n">
        <x:f>IF($A1647="","",AVERAGE($H1647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1063.7690631915682</x:v>
      </x:c>
      <x:c r="J1647" s="12" t="n">
        <x:f>IF($A1647="","",1+SUMIFS(Assumptions!$S$5:$S$10,Assumptions!$P$5:$P$10,$B1647,Assumptions!$Q$5:$Q$10,"&lt;="&amp;$A1647,Assumptions!$R$5:$R$10,"&gt;="&amp;$A1647))</x:f>
        <x:v>1</x:v>
      </x:c>
      <x:c r="K1647" s="12" t="n">
        <x:f>IF($A1647="","",1+((($A1647-Assumptions!$B$5)/30)*INDEX(Assumptions!$J$5:$J$12,MATCH($B1647,Assumptions!$D$5:$D$12,0))))</x:f>
        <x:v>1.0219333333333334</x:v>
      </x:c>
      <x:c r="L1647" t="str">
        <x:f>IF($A1647="","",IFERROR(INDEX(Assumptions!$O$5:$O$10,MATCH(1,(Assumptions!$P$5:$P$10=$B1647)*(Assumptions!$Q$5:$Q$10&lt;=$A1647)*(Assumptions!$R$5:$R$10&gt;=$A1647),0)),""))</x:f>
      </x:c>
      <x:c r="M1647" t="n">
        <x:f>--($A1647&lt;&gt;"")</x:f>
        <x:v>1</x:v>
      </x:c>
    </x:row>
    <x:row r="1648">
      <x:c r="A1648" s="10" t="n">
        <x:f>IF(Assumptions!$B$5+INT((ROW()-2)/Assumptions!$B$7)&gt;Assumptions!$B$6,"",Assumptions!$B$5+INT((ROW()-2)/Assumptions!$B$7))</x:f>
        <x:v>46352</x:v>
      </x:c>
      <x:c r="B1648" t="str">
        <x:f>IF($A1648="","",INDEX(Assumptions!$D$5:$D$12,MOD(ROW()-2,Assumptions!$B$7)+1))</x:f>
        <x:v>LV-426 North</x:v>
      </x:c>
      <x:c r="C1648" s="11" t="n">
        <x:f>IF($A1648="","",INDEX(Assumptions!$F$5:$F$12,MATCH($B1648,Assumptions!$D$5:$D$12,0)))</x:f>
        <x:v>930</x:v>
      </x:c>
      <x:c r="D1648" s="11" t="n">
        <x:f>IF($A1648="","",INDEX(Assumptions!$G$5:$G$12,MATCH($B1648,Assumptions!$D$5:$D$12,0)))</x:f>
        <x:v>95</x:v>
      </x:c>
      <x:c r="E1648" s="11" t="n">
        <x:f>IF($A1648="","",INDEX(Assumptions!$M$5:$M$11,WEEKDAY($A1648,2)))</x:f>
        <x:v>1</x:v>
      </x:c>
      <x:c r="F1648" s="11" t="n">
        <x:f>IF($A1648="","",Assumptions!$B$15)</x:f>
        <x:v>0.35</x:v>
      </x:c>
      <x:c r="G1648" s="11" t="n">
        <x:f>IF($A1648="","",MAX(INDEX(Assumptions!$H$5:$H$12,MATCH($B1648,Assumptions!$D$5:$D$12,0)),MIN(INDEX(Assumptions!$I$5:$I$12,MATCH($B1648,Assumptions!$D$5:$D$12,0)),($C1648+$D1648*SQRT(-2*LN(RAND()))*COS(2*PI()*RAND()))*$E1648*$J1648*$K1648)))</x:f>
        <x:v>861.6926769131055</x:v>
      </x:c>
      <x:c r="H1648" s="11" t="n">
        <x:f>IF($A1648="","",$G1648*$F1648+$C1648*(1-$F1648))</x:f>
        <x:v>906.0924369195869</x:v>
      </x:c>
      <x:c r="I1648" s="11" t="n">
        <x:f>IF($A1648="","",AVERAGE($H1648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903.9384653669495</x:v>
      </x:c>
      <x:c r="J1648" s="12" t="n">
        <x:f>IF($A1648="","",1+SUMIFS(Assumptions!$S$5:$S$10,Assumptions!$P$5:$P$10,$B1648,Assumptions!$Q$5:$Q$10,"&lt;="&amp;$A1648,Assumptions!$R$5:$R$10,"&gt;="&amp;$A1648))</x:f>
        <x:v>1</x:v>
      </x:c>
      <x:c r="K1648" s="12" t="n">
        <x:f>IF($A1648="","",1+((($A1648-Assumptions!$B$5)/30)*INDEX(Assumptions!$J$5:$J$12,MATCH($B1648,Assumptions!$D$5:$D$12,0))))</x:f>
        <x:v>0.9890333333333333</x:v>
      </x:c>
      <x:c r="L1648" t="str">
        <x:f>IF($A1648="","",IFERROR(INDEX(Assumptions!$O$5:$O$10,MATCH(1,(Assumptions!$P$5:$P$10=$B1648)*(Assumptions!$Q$5:$Q$10&lt;=$A1648)*(Assumptions!$R$5:$R$10&gt;=$A1648),0)),""))</x:f>
      </x:c>
      <x:c r="M1648" t="n">
        <x:f>--($A1648&lt;&gt;"")</x:f>
        <x:v>1</x:v>
      </x:c>
    </x:row>
    <x:row r="1649">
      <x:c r="A1649" s="10" t="n">
        <x:f>IF(Assumptions!$B$5+INT((ROW()-2)/Assumptions!$B$7)&gt;Assumptions!$B$6,"",Assumptions!$B$5+INT((ROW()-2)/Assumptions!$B$7))</x:f>
        <x:v>46352</x:v>
      </x:c>
      <x:c r="B1649" t="str">
        <x:f>IF($A1649="","",INDEX(Assumptions!$D$5:$D$12,MOD(ROW()-2,Assumptions!$B$7)+1))</x:f>
        <x:v>Nostromo Deep</x:v>
      </x:c>
      <x:c r="C1649" s="11" t="n">
        <x:f>IF($A1649="","",INDEX(Assumptions!$F$5:$F$12,MATCH($B1649,Assumptions!$D$5:$D$12,0)))</x:f>
        <x:v>1260</x:v>
      </x:c>
      <x:c r="D1649" s="11" t="n">
        <x:f>IF($A1649="","",INDEX(Assumptions!$G$5:$G$12,MATCH($B1649,Assumptions!$D$5:$D$12,0)))</x:f>
        <x:v>145</x:v>
      </x:c>
      <x:c r="E1649" s="11" t="n">
        <x:f>IF($A1649="","",INDEX(Assumptions!$M$5:$M$11,WEEKDAY($A1649,2)))</x:f>
        <x:v>1</x:v>
      </x:c>
      <x:c r="F1649" s="11" t="n">
        <x:f>IF($A1649="","",Assumptions!$B$15)</x:f>
        <x:v>0.35</x:v>
      </x:c>
      <x:c r="G1649" s="11" t="n">
        <x:f>IF($A1649="","",MAX(INDEX(Assumptions!$H$5:$H$12,MATCH($B1649,Assumptions!$D$5:$D$12,0)),MIN(INDEX(Assumptions!$I$5:$I$12,MATCH($B1649,Assumptions!$D$5:$D$12,0)),($C1649+$D1649*SQRT(-2*LN(RAND()))*COS(2*PI()*RAND()))*$E1649*$J1649*$K1649)))</x:f>
        <x:v>823.1031324484766</x:v>
      </x:c>
      <x:c r="H1649" s="11" t="n">
        <x:f>IF($A1649="","",$G1649*$F1649+$C1649*(1-$F1649))</x:f>
        <x:v>1107.0860963569667</x:v>
      </x:c>
      <x:c r="I1649" s="11" t="n">
        <x:f>IF($A1649="","",AVERAGE($H1649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1248.5539299024526</x:v>
      </x:c>
      <x:c r="J1649" s="12" t="n">
        <x:f>IF($A1649="","",1+SUMIFS(Assumptions!$S$5:$S$10,Assumptions!$P$5:$P$10,$B1649,Assumptions!$Q$5:$Q$10,"&lt;="&amp;$A1649,Assumptions!$R$5:$R$10,"&gt;="&amp;$A1649))</x:f>
        <x:v>1</x:v>
      </x:c>
      <x:c r="K1649" s="12" t="n">
        <x:f>IF($A1649="","",1+((($A1649-Assumptions!$B$5)/30)*INDEX(Assumptions!$J$5:$J$12,MATCH($B1649,Assumptions!$D$5:$D$12,0))))</x:f>
        <x:v>1.0329</x:v>
      </x:c>
      <x:c r="L1649" t="str">
        <x:f>IF($A1649="","",IFERROR(INDEX(Assumptions!$O$5:$O$10,MATCH(1,(Assumptions!$P$5:$P$10=$B1649)*(Assumptions!$Q$5:$Q$10&lt;=$A1649)*(Assumptions!$R$5:$R$10&gt;=$A1649),0)),""))</x:f>
      </x:c>
      <x:c r="M1649" t="n">
        <x:f>--($A1649&lt;&gt;"")</x:f>
        <x:v>1</x:v>
      </x:c>
    </x:row>
    <x:row r="1650">
      <x:c r="A1650" s="10" t="n">
        <x:f>IF(Assumptions!$B$5+INT((ROW()-2)/Assumptions!$B$7)&gt;Assumptions!$B$6,"",Assumptions!$B$5+INT((ROW()-2)/Assumptions!$B$7))</x:f>
        <x:v>46352</x:v>
      </x:c>
      <x:c r="B1650" t="str">
        <x:f>IF($A1650="","",INDEX(Assumptions!$D$5:$D$12,MOD(ROW()-2,Assumptions!$B$7)+1))</x:f>
        <x:v>Hadley's Hope</x:v>
      </x:c>
      <x:c r="C1650" s="11" t="n">
        <x:f>IF($A1650="","",INDEX(Assumptions!$F$5:$F$12,MATCH($B1650,Assumptions!$D$5:$D$12,0)))</x:f>
        <x:v>845</x:v>
      </x:c>
      <x:c r="D1650" s="11" t="n">
        <x:f>IF($A1650="","",INDEX(Assumptions!$G$5:$G$12,MATCH($B1650,Assumptions!$D$5:$D$12,0)))</x:f>
        <x:v>80</x:v>
      </x:c>
      <x:c r="E1650" s="11" t="n">
        <x:f>IF($A1650="","",INDEX(Assumptions!$M$5:$M$11,WEEKDAY($A1650,2)))</x:f>
        <x:v>1</x:v>
      </x:c>
      <x:c r="F1650" s="11" t="n">
        <x:f>IF($A1650="","",Assumptions!$B$15)</x:f>
        <x:v>0.35</x:v>
      </x:c>
      <x:c r="G1650" s="11" t="n">
        <x:f>IF($A1650="","",MAX(INDEX(Assumptions!$H$5:$H$12,MATCH($B1650,Assumptions!$D$5:$D$12,0)),MIN(INDEX(Assumptions!$I$5:$I$12,MATCH($B1650,Assumptions!$D$5:$D$12,0)),($C1650+$D1650*SQRT(-2*LN(RAND()))*COS(2*PI()*RAND()))*$E1650*$J1650*$K1650)))</x:f>
        <x:v>967.7286539797836</x:v>
      </x:c>
      <x:c r="H1650" s="11" t="n">
        <x:f>IF($A1650="","",$G1650*$F1650+$C1650*(1-$F1650))</x:f>
        <x:v>887.9550288929242</x:v>
      </x:c>
      <x:c r="I1650" s="11" t="n">
        <x:f>IF($A1650="","",AVERAGE($H1650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849.112030332513</x:v>
      </x:c>
      <x:c r="J1650" s="12" t="n">
        <x:f>IF($A1650="","",1+SUMIFS(Assumptions!$S$5:$S$10,Assumptions!$P$5:$P$10,$B1650,Assumptions!$Q$5:$Q$10,"&lt;="&amp;$A1650,Assumptions!$R$5:$R$10,"&gt;="&amp;$A1650))</x:f>
        <x:v>1</x:v>
      </x:c>
      <x:c r="K1650" s="12" t="n">
        <x:f>IF($A1650="","",1+((($A1650-Assumptions!$B$5)/30)*INDEX(Assumptions!$J$5:$J$12,MATCH($B1650,Assumptions!$D$5:$D$12,0))))</x:f>
        <x:v>1.0109666666666666</x:v>
      </x:c>
      <x:c r="L1650" t="str">
        <x:f>IF($A1650="","",IFERROR(INDEX(Assumptions!$O$5:$O$10,MATCH(1,(Assumptions!$P$5:$P$10=$B1650)*(Assumptions!$Q$5:$Q$10&lt;=$A1650)*(Assumptions!$R$5:$R$10&gt;=$A1650),0)),""))</x:f>
      </x:c>
      <x:c r="M1650" t="n">
        <x:f>--($A1650&lt;&gt;"")</x:f>
        <x:v>1</x:v>
      </x:c>
    </x:row>
    <x:row r="1651">
      <x:c r="A1651" s="10" t="n">
        <x:f>IF(Assumptions!$B$5+INT((ROW()-2)/Assumptions!$B$7)&gt;Assumptions!$B$6,"",Assumptions!$B$5+INT((ROW()-2)/Assumptions!$B$7))</x:f>
        <x:v>46352</x:v>
      </x:c>
      <x:c r="B1651" t="str">
        <x:f>IF($A1651="","",INDEX(Assumptions!$D$5:$D$12,MOD(ROW()-2,Assumptions!$B$7)+1))</x:f>
        <x:v>Yutani Ridge</x:v>
      </x:c>
      <x:c r="C1651" s="11" t="n">
        <x:f>IF($A1651="","",INDEX(Assumptions!$F$5:$F$12,MATCH($B1651,Assumptions!$D$5:$D$12,0)))</x:f>
        <x:v>1050</x:v>
      </x:c>
      <x:c r="D1651" s="11" t="n">
        <x:f>IF($A1651="","",INDEX(Assumptions!$G$5:$G$12,MATCH($B1651,Assumptions!$D$5:$D$12,0)))</x:f>
        <x:v>125</x:v>
      </x:c>
      <x:c r="E1651" s="11" t="n">
        <x:f>IF($A1651="","",INDEX(Assumptions!$M$5:$M$11,WEEKDAY($A1651,2)))</x:f>
        <x:v>1</x:v>
      </x:c>
      <x:c r="F1651" s="11" t="n">
        <x:f>IF($A1651="","",Assumptions!$B$15)</x:f>
        <x:v>0.35</x:v>
      </x:c>
      <x:c r="G1651" s="11" t="n">
        <x:f>IF($A1651="","",MAX(INDEX(Assumptions!$H$5:$H$12,MATCH($B1651,Assumptions!$D$5:$D$12,0)),MIN(INDEX(Assumptions!$I$5:$I$12,MATCH($B1651,Assumptions!$D$5:$D$12,0)),($C1651+$D1651*SQRT(-2*LN(RAND()))*COS(2*PI()*RAND()))*$E1651*$J1651*$K1651)))</x:f>
        <x:v>945.9441032891185</x:v>
      </x:c>
      <x:c r="H1651" s="11" t="n">
        <x:f>IF($A1651="","",$G1651*$F1651+$C1651*(1-$F1651))</x:f>
        <x:v>1013.5804361511914</x:v>
      </x:c>
      <x:c r="I1651" s="11" t="n">
        <x:f>IF($A1651="","",AVERAGE($H1651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1055.7462496821086</x:v>
      </x:c>
      <x:c r="J1651" s="12" t="n">
        <x:f>IF($A1651="","",1+SUMIFS(Assumptions!$S$5:$S$10,Assumptions!$P$5:$P$10,$B1651,Assumptions!$Q$5:$Q$10,"&lt;="&amp;$A1651,Assumptions!$R$5:$R$10,"&gt;="&amp;$A1651))</x:f>
        <x:v>1</x:v>
      </x:c>
      <x:c r="K1651" s="12" t="n">
        <x:f>IF($A1651="","",1+((($A1651-Assumptions!$B$5)/30)*INDEX(Assumptions!$J$5:$J$12,MATCH($B1651,Assumptions!$D$5:$D$12,0))))</x:f>
        <x:v>1.0274166666666666</x:v>
      </x:c>
      <x:c r="L1651" t="str">
        <x:f>IF($A1651="","",IFERROR(INDEX(Assumptions!$O$5:$O$10,MATCH(1,(Assumptions!$P$5:$P$10=$B1651)*(Assumptions!$Q$5:$Q$10&lt;=$A1651)*(Assumptions!$R$5:$R$10&gt;=$A1651),0)),""))</x:f>
      </x:c>
      <x:c r="M1651" t="n">
        <x:f>--($A1651&lt;&gt;"")</x:f>
        <x:v>1</x:v>
      </x:c>
    </x:row>
    <x:row r="1652">
      <x:c r="A1652" s="10" t="n">
        <x:f>IF(Assumptions!$B$5+INT((ROW()-2)/Assumptions!$B$7)&gt;Assumptions!$B$6,"",Assumptions!$B$5+INT((ROW()-2)/Assumptions!$B$7))</x:f>
        <x:v>46353</x:v>
      </x:c>
      <x:c r="B1652" t="str">
        <x:f>IF($A1652="","",INDEX(Assumptions!$D$5:$D$12,MOD(ROW()-2,Assumptions!$B$7)+1))</x:f>
        <x:v>Acheron Prime</x:v>
      </x:c>
      <x:c r="C1652" s="11" t="n">
        <x:f>IF($A1652="","",INDEX(Assumptions!$F$5:$F$12,MATCH($B1652,Assumptions!$D$5:$D$12,0)))</x:f>
        <x:v>1120</x:v>
      </x:c>
      <x:c r="D1652" s="11" t="n">
        <x:f>IF($A1652="","",INDEX(Assumptions!$G$5:$G$12,MATCH($B1652,Assumptions!$D$5:$D$12,0)))</x:f>
        <x:v>115</x:v>
      </x:c>
      <x:c r="E1652" s="11" t="n">
        <x:f>IF($A1652="","",INDEX(Assumptions!$M$5:$M$11,WEEKDAY($A1652,2)))</x:f>
        <x:v>0.98</x:v>
      </x:c>
      <x:c r="F1652" s="11" t="n">
        <x:f>IF($A1652="","",Assumptions!$B$15)</x:f>
        <x:v>0.35</x:v>
      </x:c>
      <x:c r="G1652" s="11" t="n">
        <x:f>IF($A1652="","",MAX(INDEX(Assumptions!$H$5:$H$12,MATCH($B1652,Assumptions!$D$5:$D$12,0)),MIN(INDEX(Assumptions!$I$5:$I$12,MATCH($B1652,Assumptions!$D$5:$D$12,0)),($C1652+$D1652*SQRT(-2*LN(RAND()))*COS(2*PI()*RAND()))*$E1652*$J1652*$K1652)))</x:f>
        <x:v>986.0816158183313</x:v>
      </x:c>
      <x:c r="H1652" s="11" t="n">
        <x:f>IF($A1652="","",$G1652*$F1652+$C1652*(1-$F1652))</x:f>
        <x:v>1073.1285655364159</x:v>
      </x:c>
      <x:c r="I1652" s="11" t="n">
        <x:f>IF($A1652="","",AVERAGE($H1652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1058.167933508168</x:v>
      </x:c>
      <x:c r="J1652" s="12" t="n">
        <x:f>IF($A1652="","",1+SUMIFS(Assumptions!$S$5:$S$10,Assumptions!$P$5:$P$10,$B1652,Assumptions!$Q$5:$Q$10,"&lt;="&amp;$A1652,Assumptions!$R$5:$R$10,"&gt;="&amp;$A1652))</x:f>
        <x:v>1</x:v>
      </x:c>
      <x:c r="K1652" s="12" t="n">
        <x:f>IF($A1652="","",1+((($A1652-Assumptions!$B$5)/30)*INDEX(Assumptions!$J$5:$J$12,MATCH($B1652,Assumptions!$D$5:$D$12,0))))</x:f>
        <x:v>1.022</x:v>
      </x:c>
      <x:c r="L1652" t="str">
        <x:f>IF($A1652="","",IFERROR(INDEX(Assumptions!$O$5:$O$10,MATCH(1,(Assumptions!$P$5:$P$10=$B1652)*(Assumptions!$Q$5:$Q$10&lt;=$A1652)*(Assumptions!$R$5:$R$10&gt;=$A1652),0)),""))</x:f>
      </x:c>
      <x:c r="M1652" t="n">
        <x:f>--($A1652&lt;&gt;"")</x:f>
        <x:v>1</x:v>
      </x:c>
    </x:row>
    <x:row r="1653">
      <x:c r="A1653" s="10" t="n">
        <x:f>IF(Assumptions!$B$5+INT((ROW()-2)/Assumptions!$B$7)&gt;Assumptions!$B$6,"",Assumptions!$B$5+INT((ROW()-2)/Assumptions!$B$7))</x:f>
        <x:v>46353</x:v>
      </x:c>
      <x:c r="B1653" t="str">
        <x:f>IF($A1653="","",INDEX(Assumptions!$D$5:$D$12,MOD(ROW()-2,Assumptions!$B$7)+1))</x:f>
        <x:v>LV-426 North</x:v>
      </x:c>
      <x:c r="C1653" s="11" t="n">
        <x:f>IF($A1653="","",INDEX(Assumptions!$F$5:$F$12,MATCH($B1653,Assumptions!$D$5:$D$12,0)))</x:f>
        <x:v>930</x:v>
      </x:c>
      <x:c r="D1653" s="11" t="n">
        <x:f>IF($A1653="","",INDEX(Assumptions!$G$5:$G$12,MATCH($B1653,Assumptions!$D$5:$D$12,0)))</x:f>
        <x:v>95</x:v>
      </x:c>
      <x:c r="E1653" s="11" t="n">
        <x:f>IF($A1653="","",INDEX(Assumptions!$M$5:$M$11,WEEKDAY($A1653,2)))</x:f>
        <x:v>0.98</x:v>
      </x:c>
      <x:c r="F1653" s="11" t="n">
        <x:f>IF($A1653="","",Assumptions!$B$15)</x:f>
        <x:v>0.35</x:v>
      </x:c>
      <x:c r="G1653" s="11" t="n">
        <x:f>IF($A1653="","",MAX(INDEX(Assumptions!$H$5:$H$12,MATCH($B1653,Assumptions!$D$5:$D$12,0)),MIN(INDEX(Assumptions!$I$5:$I$12,MATCH($B1653,Assumptions!$D$5:$D$12,0)),($C1653+$D1653*SQRT(-2*LN(RAND()))*COS(2*PI()*RAND()))*$E1653*$J1653*$K1653)))</x:f>
        <x:v>959.9056914424958</x:v>
      </x:c>
      <x:c r="H1653" s="11" t="n">
        <x:f>IF($A1653="","",$G1653*$F1653+$C1653*(1-$F1653))</x:f>
        <x:v>940.4669920048735</x:v>
      </x:c>
      <x:c r="I1653" s="11" t="n">
        <x:f>IF($A1653="","",AVERAGE($H1653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906.525998588482</x:v>
      </x:c>
      <x:c r="J1653" s="12" t="n">
        <x:f>IF($A1653="","",1+SUMIFS(Assumptions!$S$5:$S$10,Assumptions!$P$5:$P$10,$B1653,Assumptions!$Q$5:$Q$10,"&lt;="&amp;$A1653,Assumptions!$R$5:$R$10,"&gt;="&amp;$A1653))</x:f>
        <x:v>1</x:v>
      </x:c>
      <x:c r="K1653" s="12" t="n">
        <x:f>IF($A1653="","",1+((($A1653-Assumptions!$B$5)/30)*INDEX(Assumptions!$J$5:$J$12,MATCH($B1653,Assumptions!$D$5:$D$12,0))))</x:f>
        <x:v>0.989</x:v>
      </x:c>
      <x:c r="L1653" t="str">
        <x:f>IF($A1653="","",IFERROR(INDEX(Assumptions!$O$5:$O$10,MATCH(1,(Assumptions!$P$5:$P$10=$B1653)*(Assumptions!$Q$5:$Q$10&lt;=$A1653)*(Assumptions!$R$5:$R$10&gt;=$A1653),0)),""))</x:f>
      </x:c>
      <x:c r="M1653" t="n">
        <x:f>--($A1653&lt;&gt;"")</x:f>
        <x:v>1</x:v>
      </x:c>
    </x:row>
    <x:row r="1654">
      <x:c r="A1654" s="10" t="n">
        <x:f>IF(Assumptions!$B$5+INT((ROW()-2)/Assumptions!$B$7)&gt;Assumptions!$B$6,"",Assumptions!$B$5+INT((ROW()-2)/Assumptions!$B$7))</x:f>
        <x:v>46353</x:v>
      </x:c>
      <x:c r="B1654" t="str">
        <x:f>IF($A1654="","",INDEX(Assumptions!$D$5:$D$12,MOD(ROW()-2,Assumptions!$B$7)+1))</x:f>
        <x:v>Nostromo Deep</x:v>
      </x:c>
      <x:c r="C1654" s="11" t="n">
        <x:f>IF($A1654="","",INDEX(Assumptions!$F$5:$F$12,MATCH($B1654,Assumptions!$D$5:$D$12,0)))</x:f>
        <x:v>1260</x:v>
      </x:c>
      <x:c r="D1654" s="11" t="n">
        <x:f>IF($A1654="","",INDEX(Assumptions!$G$5:$G$12,MATCH($B1654,Assumptions!$D$5:$D$12,0)))</x:f>
        <x:v>145</x:v>
      </x:c>
      <x:c r="E1654" s="11" t="n">
        <x:f>IF($A1654="","",INDEX(Assumptions!$M$5:$M$11,WEEKDAY($A1654,2)))</x:f>
        <x:v>0.98</x:v>
      </x:c>
      <x:c r="F1654" s="11" t="n">
        <x:f>IF($A1654="","",Assumptions!$B$15)</x:f>
        <x:v>0.35</x:v>
      </x:c>
      <x:c r="G1654" s="11" t="n">
        <x:f>IF($A1654="","",MAX(INDEX(Assumptions!$H$5:$H$12,MATCH($B1654,Assumptions!$D$5:$D$12,0)),MIN(INDEX(Assumptions!$I$5:$I$12,MATCH($B1654,Assumptions!$D$5:$D$12,0)),($C1654+$D1654*SQRT(-2*LN(RAND()))*COS(2*PI()*RAND()))*$E1654*$J1654*$K1654)))</x:f>
        <x:v>1344.539957375244</x:v>
      </x:c>
      <x:c r="H1654" s="11" t="n">
        <x:f>IF($A1654="","",$G1654*$F1654+$C1654*(1-$F1654))</x:f>
        <x:v>1289.5889850813355</x:v>
      </x:c>
      <x:c r="I1654" s="11" t="n">
        <x:f>IF($A1654="","",AVERAGE($H1654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1241.7128709011754</x:v>
      </x:c>
      <x:c r="J1654" s="12" t="n">
        <x:f>IF($A1654="","",1+SUMIFS(Assumptions!$S$5:$S$10,Assumptions!$P$5:$P$10,$B1654,Assumptions!$Q$5:$Q$10,"&lt;="&amp;$A1654,Assumptions!$R$5:$R$10,"&gt;="&amp;$A1654))</x:f>
        <x:v>1</x:v>
      </x:c>
      <x:c r="K1654" s="12" t="n">
        <x:f>IF($A1654="","",1+((($A1654-Assumptions!$B$5)/30)*INDEX(Assumptions!$J$5:$J$12,MATCH($B1654,Assumptions!$D$5:$D$12,0))))</x:f>
        <x:v>1.033</x:v>
      </x:c>
      <x:c r="L1654" t="str">
        <x:f>IF($A1654="","",IFERROR(INDEX(Assumptions!$O$5:$O$10,MATCH(1,(Assumptions!$P$5:$P$10=$B1654)*(Assumptions!$Q$5:$Q$10&lt;=$A1654)*(Assumptions!$R$5:$R$10&gt;=$A1654),0)),""))</x:f>
      </x:c>
      <x:c r="M1654" t="n">
        <x:f>--($A1654&lt;&gt;"")</x:f>
        <x:v>1</x:v>
      </x:c>
    </x:row>
    <x:row r="1655">
      <x:c r="A1655" s="10" t="n">
        <x:f>IF(Assumptions!$B$5+INT((ROW()-2)/Assumptions!$B$7)&gt;Assumptions!$B$6,"",Assumptions!$B$5+INT((ROW()-2)/Assumptions!$B$7))</x:f>
        <x:v>46353</x:v>
      </x:c>
      <x:c r="B1655" t="str">
        <x:f>IF($A1655="","",INDEX(Assumptions!$D$5:$D$12,MOD(ROW()-2,Assumptions!$B$7)+1))</x:f>
        <x:v>Hadley's Hope</x:v>
      </x:c>
      <x:c r="C1655" s="11" t="n">
        <x:f>IF($A1655="","",INDEX(Assumptions!$F$5:$F$12,MATCH($B1655,Assumptions!$D$5:$D$12,0)))</x:f>
        <x:v>845</x:v>
      </x:c>
      <x:c r="D1655" s="11" t="n">
        <x:f>IF($A1655="","",INDEX(Assumptions!$G$5:$G$12,MATCH($B1655,Assumptions!$D$5:$D$12,0)))</x:f>
        <x:v>80</x:v>
      </x:c>
      <x:c r="E1655" s="11" t="n">
        <x:f>IF($A1655="","",INDEX(Assumptions!$M$5:$M$11,WEEKDAY($A1655,2)))</x:f>
        <x:v>0.98</x:v>
      </x:c>
      <x:c r="F1655" s="11" t="n">
        <x:f>IF($A1655="","",Assumptions!$B$15)</x:f>
        <x:v>0.35</x:v>
      </x:c>
      <x:c r="G1655" s="11" t="n">
        <x:f>IF($A1655="","",MAX(INDEX(Assumptions!$H$5:$H$12,MATCH($B1655,Assumptions!$D$5:$D$12,0)),MIN(INDEX(Assumptions!$I$5:$I$12,MATCH($B1655,Assumptions!$D$5:$D$12,0)),($C1655+$D1655*SQRT(-2*LN(RAND()))*COS(2*PI()*RAND()))*$E1655*$J1655*$K1655)))</x:f>
        <x:v>883.913872870288</x:v>
      </x:c>
      <x:c r="H1655" s="11" t="n">
        <x:f>IF($A1655="","",$G1655*$F1655+$C1655*(1-$F1655))</x:f>
        <x:v>858.6198555046008</x:v>
      </x:c>
      <x:c r="I1655" s="11" t="n">
        <x:f>IF($A1655="","",AVERAGE($H1655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850.1987962502751</x:v>
      </x:c>
      <x:c r="J1655" s="12" t="n">
        <x:f>IF($A1655="","",1+SUMIFS(Assumptions!$S$5:$S$10,Assumptions!$P$5:$P$10,$B1655,Assumptions!$Q$5:$Q$10,"&lt;="&amp;$A1655,Assumptions!$R$5:$R$10,"&gt;="&amp;$A1655))</x:f>
        <x:v>1</x:v>
      </x:c>
      <x:c r="K1655" s="12" t="n">
        <x:f>IF($A1655="","",1+((($A1655-Assumptions!$B$5)/30)*INDEX(Assumptions!$J$5:$J$12,MATCH($B1655,Assumptions!$D$5:$D$12,0))))</x:f>
        <x:v>1.011</x:v>
      </x:c>
      <x:c r="L1655" t="str">
        <x:f>IF($A1655="","",IFERROR(INDEX(Assumptions!$O$5:$O$10,MATCH(1,(Assumptions!$P$5:$P$10=$B1655)*(Assumptions!$Q$5:$Q$10&lt;=$A1655)*(Assumptions!$R$5:$R$10&gt;=$A1655),0)),""))</x:f>
      </x:c>
      <x:c r="M1655" t="n">
        <x:f>--($A1655&lt;&gt;"")</x:f>
        <x:v>1</x:v>
      </x:c>
    </x:row>
    <x:row r="1656">
      <x:c r="A1656" s="10" t="n">
        <x:f>IF(Assumptions!$B$5+INT((ROW()-2)/Assumptions!$B$7)&gt;Assumptions!$B$6,"",Assumptions!$B$5+INT((ROW()-2)/Assumptions!$B$7))</x:f>
        <x:v>46353</x:v>
      </x:c>
      <x:c r="B1656" t="str">
        <x:f>IF($A1656="","",INDEX(Assumptions!$D$5:$D$12,MOD(ROW()-2,Assumptions!$B$7)+1))</x:f>
        <x:v>Yutani Ridge</x:v>
      </x:c>
      <x:c r="C1656" s="11" t="n">
        <x:f>IF($A1656="","",INDEX(Assumptions!$F$5:$F$12,MATCH($B1656,Assumptions!$D$5:$D$12,0)))</x:f>
        <x:v>1050</x:v>
      </x:c>
      <x:c r="D1656" s="11" t="n">
        <x:f>IF($A1656="","",INDEX(Assumptions!$G$5:$G$12,MATCH($B1656,Assumptions!$D$5:$D$12,0)))</x:f>
        <x:v>125</x:v>
      </x:c>
      <x:c r="E1656" s="11" t="n">
        <x:f>IF($A1656="","",INDEX(Assumptions!$M$5:$M$11,WEEKDAY($A1656,2)))</x:f>
        <x:v>0.98</x:v>
      </x:c>
      <x:c r="F1656" s="11" t="n">
        <x:f>IF($A1656="","",Assumptions!$B$15)</x:f>
        <x:v>0.35</x:v>
      </x:c>
      <x:c r="G1656" s="11" t="n">
        <x:f>IF($A1656="","",MAX(INDEX(Assumptions!$H$5:$H$12,MATCH($B1656,Assumptions!$D$5:$D$12,0)),MIN(INDEX(Assumptions!$I$5:$I$12,MATCH($B1656,Assumptions!$D$5:$D$12,0)),($C1656+$D1656*SQRT(-2*LN(RAND()))*COS(2*PI()*RAND()))*$E1656*$J1656*$K1656)))</x:f>
        <x:v>1094.1782741562074</x:v>
      </x:c>
      <x:c r="H1656" s="11" t="n">
        <x:f>IF($A1656="","",$G1656*$F1656+$C1656*(1-$F1656))</x:f>
        <x:v>1065.4623959546725</x:v>
      </x:c>
      <x:c r="I1656" s="11" t="n">
        <x:f>IF($A1656="","",AVERAGE($H1656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1048.8283540163663</x:v>
      </x:c>
      <x:c r="J1656" s="12" t="n">
        <x:f>IF($A1656="","",1+SUMIFS(Assumptions!$S$5:$S$10,Assumptions!$P$5:$P$10,$B1656,Assumptions!$Q$5:$Q$10,"&lt;="&amp;$A1656,Assumptions!$R$5:$R$10,"&gt;="&amp;$A1656))</x:f>
        <x:v>1</x:v>
      </x:c>
      <x:c r="K1656" s="12" t="n">
        <x:f>IF($A1656="","",1+((($A1656-Assumptions!$B$5)/30)*INDEX(Assumptions!$J$5:$J$12,MATCH($B1656,Assumptions!$D$5:$D$12,0))))</x:f>
        <x:v>1.0275</x:v>
      </x:c>
      <x:c r="L1656" t="str">
        <x:f>IF($A1656="","",IFERROR(INDEX(Assumptions!$O$5:$O$10,MATCH(1,(Assumptions!$P$5:$P$10=$B1656)*(Assumptions!$Q$5:$Q$10&lt;=$A1656)*(Assumptions!$R$5:$R$10&gt;=$A1656),0)),""))</x:f>
      </x:c>
      <x:c r="M1656" t="n">
        <x:f>--($A1656&lt;&gt;"")</x:f>
        <x:v>1</x:v>
      </x:c>
    </x:row>
    <x:row r="1657">
      <x:c r="A1657" s="10" t="n">
        <x:f>IF(Assumptions!$B$5+INT((ROW()-2)/Assumptions!$B$7)&gt;Assumptions!$B$6,"",Assumptions!$B$5+INT((ROW()-2)/Assumptions!$B$7))</x:f>
        <x:v>46354</x:v>
      </x:c>
      <x:c r="B1657" t="str">
        <x:f>IF($A1657="","",INDEX(Assumptions!$D$5:$D$12,MOD(ROW()-2,Assumptions!$B$7)+1))</x:f>
        <x:v>Acheron Prime</x:v>
      </x:c>
      <x:c r="C1657" s="11" t="n">
        <x:f>IF($A1657="","",INDEX(Assumptions!$F$5:$F$12,MATCH($B1657,Assumptions!$D$5:$D$12,0)))</x:f>
        <x:v>1120</x:v>
      </x:c>
      <x:c r="D1657" s="11" t="n">
        <x:f>IF($A1657="","",INDEX(Assumptions!$G$5:$G$12,MATCH($B1657,Assumptions!$D$5:$D$12,0)))</x:f>
        <x:v>115</x:v>
      </x:c>
      <x:c r="E1657" s="11" t="n">
        <x:f>IF($A1657="","",INDEX(Assumptions!$M$5:$M$11,WEEKDAY($A1657,2)))</x:f>
        <x:v>0.91</x:v>
      </x:c>
      <x:c r="F1657" s="11" t="n">
        <x:f>IF($A1657="","",Assumptions!$B$15)</x:f>
        <x:v>0.35</x:v>
      </x:c>
      <x:c r="G1657" s="11" t="n">
        <x:f>IF($A1657="","",MAX(INDEX(Assumptions!$H$5:$H$12,MATCH($B1657,Assumptions!$D$5:$D$12,0)),MIN(INDEX(Assumptions!$I$5:$I$12,MATCH($B1657,Assumptions!$D$5:$D$12,0)),($C1657+$D1657*SQRT(-2*LN(RAND()))*COS(2*PI()*RAND()))*$E1657*$J1657*$K1657)))</x:f>
        <x:v>1033.0219068769668</x:v>
      </x:c>
      <x:c r="H1657" s="11" t="n">
        <x:f>IF($A1657="","",$G1657*$F1657+$C1657*(1-$F1657))</x:f>
        <x:v>1089.5576674069384</x:v>
      </x:c>
      <x:c r="I1657" s="11" t="n">
        <x:f>IF($A1657="","",AVERAGE($H1657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1071.8190288520163</x:v>
      </x:c>
      <x:c r="J1657" s="12" t="n">
        <x:f>IF($A1657="","",1+SUMIFS(Assumptions!$S$5:$S$10,Assumptions!$P$5:$P$10,$B1657,Assumptions!$Q$5:$Q$10,"&lt;="&amp;$A1657,Assumptions!$R$5:$R$10,"&gt;="&amp;$A1657))</x:f>
        <x:v>1</x:v>
      </x:c>
      <x:c r="K1657" s="12" t="n">
        <x:f>IF($A1657="","",1+((($A1657-Assumptions!$B$5)/30)*INDEX(Assumptions!$J$5:$J$12,MATCH($B1657,Assumptions!$D$5:$D$12,0))))</x:f>
        <x:v>1.0220666666666667</x:v>
      </x:c>
      <x:c r="L1657" t="str">
        <x:f>IF($A1657="","",IFERROR(INDEX(Assumptions!$O$5:$O$10,MATCH(1,(Assumptions!$P$5:$P$10=$B1657)*(Assumptions!$Q$5:$Q$10&lt;=$A1657)*(Assumptions!$R$5:$R$10&gt;=$A1657),0)),""))</x:f>
      </x:c>
      <x:c r="M1657" t="n">
        <x:f>--($A1657&lt;&gt;"")</x:f>
        <x:v>1</x:v>
      </x:c>
    </x:row>
    <x:row r="1658">
      <x:c r="A1658" s="10" t="n">
        <x:f>IF(Assumptions!$B$5+INT((ROW()-2)/Assumptions!$B$7)&gt;Assumptions!$B$6,"",Assumptions!$B$5+INT((ROW()-2)/Assumptions!$B$7))</x:f>
        <x:v>46354</x:v>
      </x:c>
      <x:c r="B1658" t="str">
        <x:f>IF($A1658="","",INDEX(Assumptions!$D$5:$D$12,MOD(ROW()-2,Assumptions!$B$7)+1))</x:f>
        <x:v>LV-426 North</x:v>
      </x:c>
      <x:c r="C1658" s="11" t="n">
        <x:f>IF($A1658="","",INDEX(Assumptions!$F$5:$F$12,MATCH($B1658,Assumptions!$D$5:$D$12,0)))</x:f>
        <x:v>930</x:v>
      </x:c>
      <x:c r="D1658" s="11" t="n">
        <x:f>IF($A1658="","",INDEX(Assumptions!$G$5:$G$12,MATCH($B1658,Assumptions!$D$5:$D$12,0)))</x:f>
        <x:v>95</x:v>
      </x:c>
      <x:c r="E1658" s="11" t="n">
        <x:f>IF($A1658="","",INDEX(Assumptions!$M$5:$M$11,WEEKDAY($A1658,2)))</x:f>
        <x:v>0.91</x:v>
      </x:c>
      <x:c r="F1658" s="11" t="n">
        <x:f>IF($A1658="","",Assumptions!$B$15)</x:f>
        <x:v>0.35</x:v>
      </x:c>
      <x:c r="G1658" s="11" t="n">
        <x:f>IF($A1658="","",MAX(INDEX(Assumptions!$H$5:$H$12,MATCH($B1658,Assumptions!$D$5:$D$12,0)),MIN(INDEX(Assumptions!$I$5:$I$12,MATCH($B1658,Assumptions!$D$5:$D$12,0)),($C1658+$D1658*SQRT(-2*LN(RAND()))*COS(2*PI()*RAND()))*$E1658*$J1658*$K1658)))</x:f>
        <x:v>943.8349134211546</x:v>
      </x:c>
      <x:c r="H1658" s="11" t="n">
        <x:f>IF($A1658="","",$G1658*$F1658+$C1658*(1-$F1658))</x:f>
        <x:v>934.8422196974041</x:v>
      </x:c>
      <x:c r="I1658" s="11" t="n">
        <x:f>IF($A1658="","",AVERAGE($H1658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911.5135199710166</x:v>
      </x:c>
      <x:c r="J1658" s="12" t="n">
        <x:f>IF($A1658="","",1+SUMIFS(Assumptions!$S$5:$S$10,Assumptions!$P$5:$P$10,$B1658,Assumptions!$Q$5:$Q$10,"&lt;="&amp;$A1658,Assumptions!$R$5:$R$10,"&gt;="&amp;$A1658))</x:f>
        <x:v>1</x:v>
      </x:c>
      <x:c r="K1658" s="12" t="n">
        <x:f>IF($A1658="","",1+((($A1658-Assumptions!$B$5)/30)*INDEX(Assumptions!$J$5:$J$12,MATCH($B1658,Assumptions!$D$5:$D$12,0))))</x:f>
        <x:v>0.9889666666666667</x:v>
      </x:c>
      <x:c r="L1658" t="str">
        <x:f>IF($A1658="","",IFERROR(INDEX(Assumptions!$O$5:$O$10,MATCH(1,(Assumptions!$P$5:$P$10=$B1658)*(Assumptions!$Q$5:$Q$10&lt;=$A1658)*(Assumptions!$R$5:$R$10&gt;=$A1658),0)),""))</x:f>
      </x:c>
      <x:c r="M1658" t="n">
        <x:f>--($A1658&lt;&gt;"")</x:f>
        <x:v>1</x:v>
      </x:c>
    </x:row>
    <x:row r="1659">
      <x:c r="A1659" s="10" t="n">
        <x:f>IF(Assumptions!$B$5+INT((ROW()-2)/Assumptions!$B$7)&gt;Assumptions!$B$6,"",Assumptions!$B$5+INT((ROW()-2)/Assumptions!$B$7))</x:f>
        <x:v>46354</x:v>
      </x:c>
      <x:c r="B1659" t="str">
        <x:f>IF($A1659="","",INDEX(Assumptions!$D$5:$D$12,MOD(ROW()-2,Assumptions!$B$7)+1))</x:f>
        <x:v>Nostromo Deep</x:v>
      </x:c>
      <x:c r="C1659" s="11" t="n">
        <x:f>IF($A1659="","",INDEX(Assumptions!$F$5:$F$12,MATCH($B1659,Assumptions!$D$5:$D$12,0)))</x:f>
        <x:v>1260</x:v>
      </x:c>
      <x:c r="D1659" s="11" t="n">
        <x:f>IF($A1659="","",INDEX(Assumptions!$G$5:$G$12,MATCH($B1659,Assumptions!$D$5:$D$12,0)))</x:f>
        <x:v>145</x:v>
      </x:c>
      <x:c r="E1659" s="11" t="n">
        <x:f>IF($A1659="","",INDEX(Assumptions!$M$5:$M$11,WEEKDAY($A1659,2)))</x:f>
        <x:v>0.91</x:v>
      </x:c>
      <x:c r="F1659" s="11" t="n">
        <x:f>IF($A1659="","",Assumptions!$B$15)</x:f>
        <x:v>0.35</x:v>
      </x:c>
      <x:c r="G1659" s="11" t="n">
        <x:f>IF($A1659="","",MAX(INDEX(Assumptions!$H$5:$H$12,MATCH($B1659,Assumptions!$D$5:$D$12,0)),MIN(INDEX(Assumptions!$I$5:$I$12,MATCH($B1659,Assumptions!$D$5:$D$12,0)),($C1659+$D1659*SQRT(-2*LN(RAND()))*COS(2*PI()*RAND()))*$E1659*$J1659*$K1659)))</x:f>
        <x:v>1122.136924978354</x:v>
      </x:c>
      <x:c r="H1659" s="11" t="n">
        <x:f>IF($A1659="","",$G1659*$F1659+$C1659*(1-$F1659))</x:f>
        <x:v>1211.7479237424238</x:v>
      </x:c>
      <x:c r="I1659" s="11" t="n">
        <x:f>IF($A1659="","",AVERAGE($H1659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1241.7552826698313</x:v>
      </x:c>
      <x:c r="J1659" s="12" t="n">
        <x:f>IF($A1659="","",1+SUMIFS(Assumptions!$S$5:$S$10,Assumptions!$P$5:$P$10,$B1659,Assumptions!$Q$5:$Q$10,"&lt;="&amp;$A1659,Assumptions!$R$5:$R$10,"&gt;="&amp;$A1659))</x:f>
        <x:v>1</x:v>
      </x:c>
      <x:c r="K1659" s="12" t="n">
        <x:f>IF($A1659="","",1+((($A1659-Assumptions!$B$5)/30)*INDEX(Assumptions!$J$5:$J$12,MATCH($B1659,Assumptions!$D$5:$D$12,0))))</x:f>
        <x:v>1.0331</x:v>
      </x:c>
      <x:c r="L1659" t="str">
        <x:f>IF($A1659="","",IFERROR(INDEX(Assumptions!$O$5:$O$10,MATCH(1,(Assumptions!$P$5:$P$10=$B1659)*(Assumptions!$Q$5:$Q$10&lt;=$A1659)*(Assumptions!$R$5:$R$10&gt;=$A1659),0)),""))</x:f>
      </x:c>
      <x:c r="M1659" t="n">
        <x:f>--($A1659&lt;&gt;"")</x:f>
        <x:v>1</x:v>
      </x:c>
    </x:row>
    <x:row r="1660">
      <x:c r="A1660" s="10" t="n">
        <x:f>IF(Assumptions!$B$5+INT((ROW()-2)/Assumptions!$B$7)&gt;Assumptions!$B$6,"",Assumptions!$B$5+INT((ROW()-2)/Assumptions!$B$7))</x:f>
        <x:v>46354</x:v>
      </x:c>
      <x:c r="B1660" t="str">
        <x:f>IF($A1660="","",INDEX(Assumptions!$D$5:$D$12,MOD(ROW()-2,Assumptions!$B$7)+1))</x:f>
        <x:v>Hadley's Hope</x:v>
      </x:c>
      <x:c r="C1660" s="11" t="n">
        <x:f>IF($A1660="","",INDEX(Assumptions!$F$5:$F$12,MATCH($B1660,Assumptions!$D$5:$D$12,0)))</x:f>
        <x:v>845</x:v>
      </x:c>
      <x:c r="D1660" s="11" t="n">
        <x:f>IF($A1660="","",INDEX(Assumptions!$G$5:$G$12,MATCH($B1660,Assumptions!$D$5:$D$12,0)))</x:f>
        <x:v>80</x:v>
      </x:c>
      <x:c r="E1660" s="11" t="n">
        <x:f>IF($A1660="","",INDEX(Assumptions!$M$5:$M$11,WEEKDAY($A1660,2)))</x:f>
        <x:v>0.91</x:v>
      </x:c>
      <x:c r="F1660" s="11" t="n">
        <x:f>IF($A1660="","",Assumptions!$B$15)</x:f>
        <x:v>0.35</x:v>
      </x:c>
      <x:c r="G1660" s="11" t="n">
        <x:f>IF($A1660="","",MAX(INDEX(Assumptions!$H$5:$H$12,MATCH($B1660,Assumptions!$D$5:$D$12,0)),MIN(INDEX(Assumptions!$I$5:$I$12,MATCH($B1660,Assumptions!$D$5:$D$12,0)),($C1660+$D1660*SQRT(-2*LN(RAND()))*COS(2*PI()*RAND()))*$E1660*$J1660*$K1660)))</x:f>
        <x:v>811.8166874622934</x:v>
      </x:c>
      <x:c r="H1660" s="11" t="n">
        <x:f>IF($A1660="","",$G1660*$F1660+$C1660*(1-$F1660))</x:f>
        <x:v>833.3858406118027</x:v>
      </x:c>
      <x:c r="I1660" s="11" t="n">
        <x:f>IF($A1660="","",AVERAGE($H1660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848.2237893760848</x:v>
      </x:c>
      <x:c r="J1660" s="12" t="n">
        <x:f>IF($A1660="","",1+SUMIFS(Assumptions!$S$5:$S$10,Assumptions!$P$5:$P$10,$B1660,Assumptions!$Q$5:$Q$10,"&lt;="&amp;$A1660,Assumptions!$R$5:$R$10,"&gt;="&amp;$A1660))</x:f>
        <x:v>1</x:v>
      </x:c>
      <x:c r="K1660" s="12" t="n">
        <x:f>IF($A1660="","",1+((($A1660-Assumptions!$B$5)/30)*INDEX(Assumptions!$J$5:$J$12,MATCH($B1660,Assumptions!$D$5:$D$12,0))))</x:f>
        <x:v>1.0110333333333332</x:v>
      </x:c>
      <x:c r="L1660" t="str">
        <x:f>IF($A1660="","",IFERROR(INDEX(Assumptions!$O$5:$O$10,MATCH(1,(Assumptions!$P$5:$P$10=$B1660)*(Assumptions!$Q$5:$Q$10&lt;=$A1660)*(Assumptions!$R$5:$R$10&gt;=$A1660),0)),""))</x:f>
      </x:c>
      <x:c r="M1660" t="n">
        <x:f>--($A1660&lt;&gt;"")</x:f>
        <x:v>1</x:v>
      </x:c>
    </x:row>
    <x:row r="1661">
      <x:c r="A1661" s="10" t="n">
        <x:f>IF(Assumptions!$B$5+INT((ROW()-2)/Assumptions!$B$7)&gt;Assumptions!$B$6,"",Assumptions!$B$5+INT((ROW()-2)/Assumptions!$B$7))</x:f>
        <x:v>46354</x:v>
      </x:c>
      <x:c r="B1661" t="str">
        <x:f>IF($A1661="","",INDEX(Assumptions!$D$5:$D$12,MOD(ROW()-2,Assumptions!$B$7)+1))</x:f>
        <x:v>Yutani Ridge</x:v>
      </x:c>
      <x:c r="C1661" s="11" t="n">
        <x:f>IF($A1661="","",INDEX(Assumptions!$F$5:$F$12,MATCH($B1661,Assumptions!$D$5:$D$12,0)))</x:f>
        <x:v>1050</x:v>
      </x:c>
      <x:c r="D1661" s="11" t="n">
        <x:f>IF($A1661="","",INDEX(Assumptions!$G$5:$G$12,MATCH($B1661,Assumptions!$D$5:$D$12,0)))</x:f>
        <x:v>125</x:v>
      </x:c>
      <x:c r="E1661" s="11" t="n">
        <x:f>IF($A1661="","",INDEX(Assumptions!$M$5:$M$11,WEEKDAY($A1661,2)))</x:f>
        <x:v>0.91</x:v>
      </x:c>
      <x:c r="F1661" s="11" t="n">
        <x:f>IF($A1661="","",Assumptions!$B$15)</x:f>
        <x:v>0.35</x:v>
      </x:c>
      <x:c r="G1661" s="11" t="n">
        <x:f>IF($A1661="","",MAX(INDEX(Assumptions!$H$5:$H$12,MATCH($B1661,Assumptions!$D$5:$D$12,0)),MIN(INDEX(Assumptions!$I$5:$I$12,MATCH($B1661,Assumptions!$D$5:$D$12,0)),($C1661+$D1661*SQRT(-2*LN(RAND()))*COS(2*PI()*RAND()))*$E1661*$J1661*$K1661)))</x:f>
        <x:v>920.4717676041237</x:v>
      </x:c>
      <x:c r="H1661" s="11" t="n">
        <x:f>IF($A1661="","",$G1661*$F1661+$C1661*(1-$F1661))</x:f>
        <x:v>1004.6651186614433</x:v>
      </x:c>
      <x:c r="I1661" s="11" t="n">
        <x:f>IF($A1661="","",AVERAGE($H1661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1041.499425657826</x:v>
      </x:c>
      <x:c r="J1661" s="12" t="n">
        <x:f>IF($A1661="","",1+SUMIFS(Assumptions!$S$5:$S$10,Assumptions!$P$5:$P$10,$B1661,Assumptions!$Q$5:$Q$10,"&lt;="&amp;$A1661,Assumptions!$R$5:$R$10,"&gt;="&amp;$A1661))</x:f>
        <x:v>1</x:v>
      </x:c>
      <x:c r="K1661" s="12" t="n">
        <x:f>IF($A1661="","",1+((($A1661-Assumptions!$B$5)/30)*INDEX(Assumptions!$J$5:$J$12,MATCH($B1661,Assumptions!$D$5:$D$12,0))))</x:f>
        <x:v>1.0275833333333333</x:v>
      </x:c>
      <x:c r="L1661" t="str">
        <x:f>IF($A1661="","",IFERROR(INDEX(Assumptions!$O$5:$O$10,MATCH(1,(Assumptions!$P$5:$P$10=$B1661)*(Assumptions!$Q$5:$Q$10&lt;=$A1661)*(Assumptions!$R$5:$R$10&gt;=$A1661),0)),""))</x:f>
      </x:c>
      <x:c r="M1661" t="n">
        <x:f>--($A1661&lt;&gt;"")</x:f>
        <x:v>1</x:v>
      </x:c>
    </x:row>
    <x:row r="1662">
      <x:c r="A1662" s="10" t="n">
        <x:f>IF(Assumptions!$B$5+INT((ROW()-2)/Assumptions!$B$7)&gt;Assumptions!$B$6,"",Assumptions!$B$5+INT((ROW()-2)/Assumptions!$B$7))</x:f>
        <x:v>46355</x:v>
      </x:c>
      <x:c r="B1662" t="str">
        <x:f>IF($A1662="","",INDEX(Assumptions!$D$5:$D$12,MOD(ROW()-2,Assumptions!$B$7)+1))</x:f>
        <x:v>Acheron Prime</x:v>
      </x:c>
      <x:c r="C1662" s="11" t="n">
        <x:f>IF($A1662="","",INDEX(Assumptions!$F$5:$F$12,MATCH($B1662,Assumptions!$D$5:$D$12,0)))</x:f>
        <x:v>1120</x:v>
      </x:c>
      <x:c r="D1662" s="11" t="n">
        <x:f>IF($A1662="","",INDEX(Assumptions!$G$5:$G$12,MATCH($B1662,Assumptions!$D$5:$D$12,0)))</x:f>
        <x:v>115</x:v>
      </x:c>
      <x:c r="E1662" s="11" t="n">
        <x:f>IF($A1662="","",INDEX(Assumptions!$M$5:$M$11,WEEKDAY($A1662,2)))</x:f>
        <x:v>0.87</x:v>
      </x:c>
      <x:c r="F1662" s="11" t="n">
        <x:f>IF($A1662="","",Assumptions!$B$15)</x:f>
        <x:v>0.35</x:v>
      </x:c>
      <x:c r="G1662" s="11" t="n">
        <x:f>IF($A1662="","",MAX(INDEX(Assumptions!$H$5:$H$12,MATCH($B1662,Assumptions!$D$5:$D$12,0)),MIN(INDEX(Assumptions!$I$5:$I$12,MATCH($B1662,Assumptions!$D$5:$D$12,0)),($C1662+$D1662*SQRT(-2*LN(RAND()))*COS(2*PI()*RAND()))*$E1662*$J1662*$K1662)))</x:f>
        <x:v>905.1615972467606</x:v>
      </x:c>
      <x:c r="H1662" s="11" t="n">
        <x:f>IF($A1662="","",$G1662*$F1662+$C1662*(1-$F1662))</x:f>
        <x:v>1044.8065590363663</x:v>
      </x:c>
      <x:c r="I1662" s="11" t="n">
        <x:f>IF($A1662="","",AVERAGE($H1662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1079.0771087143544</x:v>
      </x:c>
      <x:c r="J1662" s="12" t="n">
        <x:f>IF($A1662="","",1+SUMIFS(Assumptions!$S$5:$S$10,Assumptions!$P$5:$P$10,$B1662,Assumptions!$Q$5:$Q$10,"&lt;="&amp;$A1662,Assumptions!$R$5:$R$10,"&gt;="&amp;$A1662))</x:f>
        <x:v>1</x:v>
      </x:c>
      <x:c r="K1662" s="12" t="n">
        <x:f>IF($A1662="","",1+((($A1662-Assumptions!$B$5)/30)*INDEX(Assumptions!$J$5:$J$12,MATCH($B1662,Assumptions!$D$5:$D$12,0))))</x:f>
        <x:v>1.0221333333333333</x:v>
      </x:c>
      <x:c r="L1662" t="str">
        <x:f>IF($A1662="","",IFERROR(INDEX(Assumptions!$O$5:$O$10,MATCH(1,(Assumptions!$P$5:$P$10=$B1662)*(Assumptions!$Q$5:$Q$10&lt;=$A1662)*(Assumptions!$R$5:$R$10&gt;=$A1662),0)),""))</x:f>
      </x:c>
      <x:c r="M1662" t="n">
        <x:f>--($A1662&lt;&gt;"")</x:f>
        <x:v>1</x:v>
      </x:c>
    </x:row>
    <x:row r="1663">
      <x:c r="A1663" s="10" t="n">
        <x:f>IF(Assumptions!$B$5+INT((ROW()-2)/Assumptions!$B$7)&gt;Assumptions!$B$6,"",Assumptions!$B$5+INT((ROW()-2)/Assumptions!$B$7))</x:f>
        <x:v>46355</x:v>
      </x:c>
      <x:c r="B1663" t="str">
        <x:f>IF($A1663="","",INDEX(Assumptions!$D$5:$D$12,MOD(ROW()-2,Assumptions!$B$7)+1))</x:f>
        <x:v>LV-426 North</x:v>
      </x:c>
      <x:c r="C1663" s="11" t="n">
        <x:f>IF($A1663="","",INDEX(Assumptions!$F$5:$F$12,MATCH($B1663,Assumptions!$D$5:$D$12,0)))</x:f>
        <x:v>930</x:v>
      </x:c>
      <x:c r="D1663" s="11" t="n">
        <x:f>IF($A1663="","",INDEX(Assumptions!$G$5:$G$12,MATCH($B1663,Assumptions!$D$5:$D$12,0)))</x:f>
        <x:v>95</x:v>
      </x:c>
      <x:c r="E1663" s="11" t="n">
        <x:f>IF($A1663="","",INDEX(Assumptions!$M$5:$M$11,WEEKDAY($A1663,2)))</x:f>
        <x:v>0.87</x:v>
      </x:c>
      <x:c r="F1663" s="11" t="n">
        <x:f>IF($A1663="","",Assumptions!$B$15)</x:f>
        <x:v>0.35</x:v>
      </x:c>
      <x:c r="G1663" s="11" t="n">
        <x:f>IF($A1663="","",MAX(INDEX(Assumptions!$H$5:$H$12,MATCH($B1663,Assumptions!$D$5:$D$12,0)),MIN(INDEX(Assumptions!$I$5:$I$12,MATCH($B1663,Assumptions!$D$5:$D$12,0)),($C1663+$D1663*SQRT(-2*LN(RAND()))*COS(2*PI()*RAND()))*$E1663*$J1663*$K1663)))</x:f>
        <x:v>1011.264355901813</x:v>
      </x:c>
      <x:c r="H1663" s="11" t="n">
        <x:f>IF($A1663="","",$G1663*$F1663+$C1663*(1-$F1663))</x:f>
        <x:v>958.4425245656346</x:v>
      </x:c>
      <x:c r="I1663" s="11" t="n">
        <x:f>IF($A1663="","",AVERAGE($H1663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924.5385604611316</x:v>
      </x:c>
      <x:c r="J1663" s="12" t="n">
        <x:f>IF($A1663="","",1+SUMIFS(Assumptions!$S$5:$S$10,Assumptions!$P$5:$P$10,$B1663,Assumptions!$Q$5:$Q$10,"&lt;="&amp;$A1663,Assumptions!$R$5:$R$10,"&gt;="&amp;$A1663))</x:f>
        <x:v>1</x:v>
      </x:c>
      <x:c r="K1663" s="12" t="n">
        <x:f>IF($A1663="","",1+((($A1663-Assumptions!$B$5)/30)*INDEX(Assumptions!$J$5:$J$12,MATCH($B1663,Assumptions!$D$5:$D$12,0))))</x:f>
        <x:v>0.9889333333333333</x:v>
      </x:c>
      <x:c r="L1663" t="str">
        <x:f>IF($A1663="","",IFERROR(INDEX(Assumptions!$O$5:$O$10,MATCH(1,(Assumptions!$P$5:$P$10=$B1663)*(Assumptions!$Q$5:$Q$10&lt;=$A1663)*(Assumptions!$R$5:$R$10&gt;=$A1663),0)),""))</x:f>
      </x:c>
      <x:c r="M1663" t="n">
        <x:f>--($A1663&lt;&gt;"")</x:f>
        <x:v>1</x:v>
      </x:c>
    </x:row>
    <x:row r="1664">
      <x:c r="A1664" s="10" t="n">
        <x:f>IF(Assumptions!$B$5+INT((ROW()-2)/Assumptions!$B$7)&gt;Assumptions!$B$6,"",Assumptions!$B$5+INT((ROW()-2)/Assumptions!$B$7))</x:f>
        <x:v>46355</x:v>
      </x:c>
      <x:c r="B1664" t="str">
        <x:f>IF($A1664="","",INDEX(Assumptions!$D$5:$D$12,MOD(ROW()-2,Assumptions!$B$7)+1))</x:f>
        <x:v>Nostromo Deep</x:v>
      </x:c>
      <x:c r="C1664" s="11" t="n">
        <x:f>IF($A1664="","",INDEX(Assumptions!$F$5:$F$12,MATCH($B1664,Assumptions!$D$5:$D$12,0)))</x:f>
        <x:v>1260</x:v>
      </x:c>
      <x:c r="D1664" s="11" t="n">
        <x:f>IF($A1664="","",INDEX(Assumptions!$G$5:$G$12,MATCH($B1664,Assumptions!$D$5:$D$12,0)))</x:f>
        <x:v>145</x:v>
      </x:c>
      <x:c r="E1664" s="11" t="n">
        <x:f>IF($A1664="","",INDEX(Assumptions!$M$5:$M$11,WEEKDAY($A1664,2)))</x:f>
        <x:v>0.87</x:v>
      </x:c>
      <x:c r="F1664" s="11" t="n">
        <x:f>IF($A1664="","",Assumptions!$B$15)</x:f>
        <x:v>0.35</x:v>
      </x:c>
      <x:c r="G1664" s="11" t="n">
        <x:f>IF($A1664="","",MAX(INDEX(Assumptions!$H$5:$H$12,MATCH($B1664,Assumptions!$D$5:$D$12,0)),MIN(INDEX(Assumptions!$I$5:$I$12,MATCH($B1664,Assumptions!$D$5:$D$12,0)),($C1664+$D1664*SQRT(-2*LN(RAND()))*COS(2*PI()*RAND()))*$E1664*$J1664*$K1664)))</x:f>
        <x:v>1541.4957083478048</x:v>
      </x:c>
      <x:c r="H1664" s="11" t="n">
        <x:f>IF($A1664="","",$G1664*$F1664+$C1664*(1-$F1664))</x:f>
        <x:v>1358.5234979217316</x:v>
      </x:c>
      <x:c r="I1664" s="11" t="n">
        <x:f>IF($A1664="","",AVERAGE($H1664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1266.709636019279</x:v>
      </x:c>
      <x:c r="J1664" s="12" t="n">
        <x:f>IF($A1664="","",1+SUMIFS(Assumptions!$S$5:$S$10,Assumptions!$P$5:$P$10,$B1664,Assumptions!$Q$5:$Q$10,"&lt;="&amp;$A1664,Assumptions!$R$5:$R$10,"&gt;="&amp;$A1664))</x:f>
        <x:v>1</x:v>
      </x:c>
      <x:c r="K1664" s="12" t="n">
        <x:f>IF($A1664="","",1+((($A1664-Assumptions!$B$5)/30)*INDEX(Assumptions!$J$5:$J$12,MATCH($B1664,Assumptions!$D$5:$D$12,0))))</x:f>
        <x:v>1.0332</x:v>
      </x:c>
      <x:c r="L1664" t="str">
        <x:f>IF($A1664="","",IFERROR(INDEX(Assumptions!$O$5:$O$10,MATCH(1,(Assumptions!$P$5:$P$10=$B1664)*(Assumptions!$Q$5:$Q$10&lt;=$A1664)*(Assumptions!$R$5:$R$10&gt;=$A1664),0)),""))</x:f>
      </x:c>
      <x:c r="M1664" t="n">
        <x:f>--($A1664&lt;&gt;"")</x:f>
        <x:v>1</x:v>
      </x:c>
    </x:row>
    <x:row r="1665">
      <x:c r="A1665" s="10" t="n">
        <x:f>IF(Assumptions!$B$5+INT((ROW()-2)/Assumptions!$B$7)&gt;Assumptions!$B$6,"",Assumptions!$B$5+INT((ROW()-2)/Assumptions!$B$7))</x:f>
        <x:v>46355</x:v>
      </x:c>
      <x:c r="B1665" t="str">
        <x:f>IF($A1665="","",INDEX(Assumptions!$D$5:$D$12,MOD(ROW()-2,Assumptions!$B$7)+1))</x:f>
        <x:v>Hadley's Hope</x:v>
      </x:c>
      <x:c r="C1665" s="11" t="n">
        <x:f>IF($A1665="","",INDEX(Assumptions!$F$5:$F$12,MATCH($B1665,Assumptions!$D$5:$D$12,0)))</x:f>
        <x:v>845</x:v>
      </x:c>
      <x:c r="D1665" s="11" t="n">
        <x:f>IF($A1665="","",INDEX(Assumptions!$G$5:$G$12,MATCH($B1665,Assumptions!$D$5:$D$12,0)))</x:f>
        <x:v>80</x:v>
      </x:c>
      <x:c r="E1665" s="11" t="n">
        <x:f>IF($A1665="","",INDEX(Assumptions!$M$5:$M$11,WEEKDAY($A1665,2)))</x:f>
        <x:v>0.87</x:v>
      </x:c>
      <x:c r="F1665" s="11" t="n">
        <x:f>IF($A1665="","",Assumptions!$B$15)</x:f>
        <x:v>0.35</x:v>
      </x:c>
      <x:c r="G1665" s="11" t="n">
        <x:f>IF($A1665="","",MAX(INDEX(Assumptions!$H$5:$H$12,MATCH($B1665,Assumptions!$D$5:$D$12,0)),MIN(INDEX(Assumptions!$I$5:$I$12,MATCH($B1665,Assumptions!$D$5:$D$12,0)),($C1665+$D1665*SQRT(-2*LN(RAND()))*COS(2*PI()*RAND()))*$E1665*$J1665*$K1665)))</x:f>
        <x:v>735.7733937659498</x:v>
      </x:c>
      <x:c r="H1665" s="11" t="n">
        <x:f>IF($A1665="","",$G1665*$F1665+$C1665*(1-$F1665))</x:f>
        <x:v>806.7706878180825</x:v>
      </x:c>
      <x:c r="I1665" s="11" t="n">
        <x:f>IF($A1665="","",AVERAGE($H1665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850.1634327155116</x:v>
      </x:c>
      <x:c r="J1665" s="12" t="n">
        <x:f>IF($A1665="","",1+SUMIFS(Assumptions!$S$5:$S$10,Assumptions!$P$5:$P$10,$B1665,Assumptions!$Q$5:$Q$10,"&lt;="&amp;$A1665,Assumptions!$R$5:$R$10,"&gt;="&amp;$A1665))</x:f>
        <x:v>1</x:v>
      </x:c>
      <x:c r="K1665" s="12" t="n">
        <x:f>IF($A1665="","",1+((($A1665-Assumptions!$B$5)/30)*INDEX(Assumptions!$J$5:$J$12,MATCH($B1665,Assumptions!$D$5:$D$12,0))))</x:f>
        <x:v>1.0110666666666666</x:v>
      </x:c>
      <x:c r="L1665" t="str">
        <x:f>IF($A1665="","",IFERROR(INDEX(Assumptions!$O$5:$O$10,MATCH(1,(Assumptions!$P$5:$P$10=$B1665)*(Assumptions!$Q$5:$Q$10&lt;=$A1665)*(Assumptions!$R$5:$R$10&gt;=$A1665),0)),""))</x:f>
      </x:c>
      <x:c r="M1665" t="n">
        <x:f>--($A1665&lt;&gt;"")</x:f>
        <x:v>1</x:v>
      </x:c>
    </x:row>
    <x:row r="1666">
      <x:c r="A1666" s="10" t="n">
        <x:f>IF(Assumptions!$B$5+INT((ROW()-2)/Assumptions!$B$7)&gt;Assumptions!$B$6,"",Assumptions!$B$5+INT((ROW()-2)/Assumptions!$B$7))</x:f>
        <x:v>46355</x:v>
      </x:c>
      <x:c r="B1666" t="str">
        <x:f>IF($A1666="","",INDEX(Assumptions!$D$5:$D$12,MOD(ROW()-2,Assumptions!$B$7)+1))</x:f>
        <x:v>Yutani Ridge</x:v>
      </x:c>
      <x:c r="C1666" s="11" t="n">
        <x:f>IF($A1666="","",INDEX(Assumptions!$F$5:$F$12,MATCH($B1666,Assumptions!$D$5:$D$12,0)))</x:f>
        <x:v>1050</x:v>
      </x:c>
      <x:c r="D1666" s="11" t="n">
        <x:f>IF($A1666="","",INDEX(Assumptions!$G$5:$G$12,MATCH($B1666,Assumptions!$D$5:$D$12,0)))</x:f>
        <x:v>125</x:v>
      </x:c>
      <x:c r="E1666" s="11" t="n">
        <x:f>IF($A1666="","",INDEX(Assumptions!$M$5:$M$11,WEEKDAY($A1666,2)))</x:f>
        <x:v>0.87</x:v>
      </x:c>
      <x:c r="F1666" s="11" t="n">
        <x:f>IF($A1666="","",Assumptions!$B$15)</x:f>
        <x:v>0.35</x:v>
      </x:c>
      <x:c r="G1666" s="11" t="n">
        <x:f>IF($A1666="","",MAX(INDEX(Assumptions!$H$5:$H$12,MATCH($B1666,Assumptions!$D$5:$D$12,0)),MIN(INDEX(Assumptions!$I$5:$I$12,MATCH($B1666,Assumptions!$D$5:$D$12,0)),($C1666+$D1666*SQRT(-2*LN(RAND()))*COS(2*PI()*RAND()))*$E1666*$J1666*$K1666)))</x:f>
        <x:v>880.4516467839748</x:v>
      </x:c>
      <x:c r="H1666" s="11" t="n">
        <x:f>IF($A1666="","",$G1666*$F1666+$C1666*(1-$F1666))</x:f>
        <x:v>990.6580763743912</x:v>
      </x:c>
      <x:c r="I1666" s="11" t="n">
        <x:f>IF($A1666="","",AVERAGE($H1666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1030.9050272030152</x:v>
      </x:c>
      <x:c r="J1666" s="12" t="n">
        <x:f>IF($A1666="","",1+SUMIFS(Assumptions!$S$5:$S$10,Assumptions!$P$5:$P$10,$B1666,Assumptions!$Q$5:$Q$10,"&lt;="&amp;$A1666,Assumptions!$R$5:$R$10,"&gt;="&amp;$A1666))</x:f>
        <x:v>1</x:v>
      </x:c>
      <x:c r="K1666" s="12" t="n">
        <x:f>IF($A1666="","",1+((($A1666-Assumptions!$B$5)/30)*INDEX(Assumptions!$J$5:$J$12,MATCH($B1666,Assumptions!$D$5:$D$12,0))))</x:f>
        <x:v>1.0276666666666667</x:v>
      </x:c>
      <x:c r="L1666" t="str">
        <x:f>IF($A1666="","",IFERROR(INDEX(Assumptions!$O$5:$O$10,MATCH(1,(Assumptions!$P$5:$P$10=$B1666)*(Assumptions!$Q$5:$Q$10&lt;=$A1666)*(Assumptions!$R$5:$R$10&gt;=$A1666),0)),""))</x:f>
      </x:c>
      <x:c r="M1666" t="n">
        <x:f>--($A1666&lt;&gt;"")</x:f>
        <x:v>1</x:v>
      </x:c>
    </x:row>
    <x:row r="1667">
      <x:c r="A1667" s="10" t="n">
        <x:f>IF(Assumptions!$B$5+INT((ROW()-2)/Assumptions!$B$7)&gt;Assumptions!$B$6,"",Assumptions!$B$5+INT((ROW()-2)/Assumptions!$B$7))</x:f>
        <x:v>46356</x:v>
      </x:c>
      <x:c r="B1667" t="str">
        <x:f>IF($A1667="","",INDEX(Assumptions!$D$5:$D$12,MOD(ROW()-2,Assumptions!$B$7)+1))</x:f>
        <x:v>Acheron Prime</x:v>
      </x:c>
      <x:c r="C1667" s="11" t="n">
        <x:f>IF($A1667="","",INDEX(Assumptions!$F$5:$F$12,MATCH($B1667,Assumptions!$D$5:$D$12,0)))</x:f>
        <x:v>1120</x:v>
      </x:c>
      <x:c r="D1667" s="11" t="n">
        <x:f>IF($A1667="","",INDEX(Assumptions!$G$5:$G$12,MATCH($B1667,Assumptions!$D$5:$D$12,0)))</x:f>
        <x:v>115</x:v>
      </x:c>
      <x:c r="E1667" s="11" t="n">
        <x:f>IF($A1667="","",INDEX(Assumptions!$M$5:$M$11,WEEKDAY($A1667,2)))</x:f>
        <x:v>1.03</x:v>
      </x:c>
      <x:c r="F1667" s="11" t="n">
        <x:f>IF($A1667="","",Assumptions!$B$15)</x:f>
        <x:v>0.35</x:v>
      </x:c>
      <x:c r="G1667" s="11" t="n">
        <x:f>IF($A1667="","",MAX(INDEX(Assumptions!$H$5:$H$12,MATCH($B1667,Assumptions!$D$5:$D$12,0)),MIN(INDEX(Assumptions!$I$5:$I$12,MATCH($B1667,Assumptions!$D$5:$D$12,0)),($C1667+$D1667*SQRT(-2*LN(RAND()))*COS(2*PI()*RAND()))*$E1667*$J1667*$K1667)))</x:f>
        <x:v>1202.9403683964686</x:v>
      </x:c>
      <x:c r="H1667" s="11" t="n">
        <x:f>IF($A1667="","",$G1667*$F1667+$C1667*(1-$F1667))</x:f>
        <x:v>1149.029128938764</x:v>
      </x:c>
      <x:c r="I1667" s="11" t="n">
        <x:f>IF($A1667="","",AVERAGE($H1667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1101.2241271341777</x:v>
      </x:c>
      <x:c r="J1667" s="12" t="n">
        <x:f>IF($A1667="","",1+SUMIFS(Assumptions!$S$5:$S$10,Assumptions!$P$5:$P$10,$B1667,Assumptions!$Q$5:$Q$10,"&lt;="&amp;$A1667,Assumptions!$R$5:$R$10,"&gt;="&amp;$A1667))</x:f>
        <x:v>1</x:v>
      </x:c>
      <x:c r="K1667" s="12" t="n">
        <x:f>IF($A1667="","",1+((($A1667-Assumptions!$B$5)/30)*INDEX(Assumptions!$J$5:$J$12,MATCH($B1667,Assumptions!$D$5:$D$12,0))))</x:f>
        <x:v>1.0222</x:v>
      </x:c>
      <x:c r="L1667" t="str">
        <x:f>IF($A1667="","",IFERROR(INDEX(Assumptions!$O$5:$O$10,MATCH(1,(Assumptions!$P$5:$P$10=$B1667)*(Assumptions!$Q$5:$Q$10&lt;=$A1667)*(Assumptions!$R$5:$R$10&gt;=$A1667),0)),""))</x:f>
      </x:c>
      <x:c r="M1667" t="n">
        <x:f>--($A1667&lt;&gt;"")</x:f>
        <x:v>1</x:v>
      </x:c>
    </x:row>
    <x:row r="1668">
      <x:c r="A1668" s="10" t="n">
        <x:f>IF(Assumptions!$B$5+INT((ROW()-2)/Assumptions!$B$7)&gt;Assumptions!$B$6,"",Assumptions!$B$5+INT((ROW()-2)/Assumptions!$B$7))</x:f>
        <x:v>46356</x:v>
      </x:c>
      <x:c r="B1668" t="str">
        <x:f>IF($A1668="","",INDEX(Assumptions!$D$5:$D$12,MOD(ROW()-2,Assumptions!$B$7)+1))</x:f>
        <x:v>LV-426 North</x:v>
      </x:c>
      <x:c r="C1668" s="11" t="n">
        <x:f>IF($A1668="","",INDEX(Assumptions!$F$5:$F$12,MATCH($B1668,Assumptions!$D$5:$D$12,0)))</x:f>
        <x:v>930</x:v>
      </x:c>
      <x:c r="D1668" s="11" t="n">
        <x:f>IF($A1668="","",INDEX(Assumptions!$G$5:$G$12,MATCH($B1668,Assumptions!$D$5:$D$12,0)))</x:f>
        <x:v>95</x:v>
      </x:c>
      <x:c r="E1668" s="11" t="n">
        <x:f>IF($A1668="","",INDEX(Assumptions!$M$5:$M$11,WEEKDAY($A1668,2)))</x:f>
        <x:v>1.03</x:v>
      </x:c>
      <x:c r="F1668" s="11" t="n">
        <x:f>IF($A1668="","",Assumptions!$B$15)</x:f>
        <x:v>0.35</x:v>
      </x:c>
      <x:c r="G1668" s="11" t="n">
        <x:f>IF($A1668="","",MAX(INDEX(Assumptions!$H$5:$H$12,MATCH($B1668,Assumptions!$D$5:$D$12,0)),MIN(INDEX(Assumptions!$I$5:$I$12,MATCH($B1668,Assumptions!$D$5:$D$12,0)),($C1668+$D1668*SQRT(-2*LN(RAND()))*COS(2*PI()*RAND()))*$E1668*$J1668*$K1668)))</x:f>
        <x:v>1007.8039196814672</x:v>
      </x:c>
      <x:c r="H1668" s="11" t="n">
        <x:f>IF($A1668="","",$G1668*$F1668+$C1668*(1-$F1668))</x:f>
        <x:v>957.2313718885134</x:v>
      </x:c>
      <x:c r="I1668" s="11" t="n">
        <x:f>IF($A1668="","",AVERAGE($H1668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934.3158551024344</x:v>
      </x:c>
      <x:c r="J1668" s="12" t="n">
        <x:f>IF($A1668="","",1+SUMIFS(Assumptions!$S$5:$S$10,Assumptions!$P$5:$P$10,$B1668,Assumptions!$Q$5:$Q$10,"&lt;="&amp;$A1668,Assumptions!$R$5:$R$10,"&gt;="&amp;$A1668))</x:f>
        <x:v>1</x:v>
      </x:c>
      <x:c r="K1668" s="12" t="n">
        <x:f>IF($A1668="","",1+((($A1668-Assumptions!$B$5)/30)*INDEX(Assumptions!$J$5:$J$12,MATCH($B1668,Assumptions!$D$5:$D$12,0))))</x:f>
        <x:v>0.9889</x:v>
      </x:c>
      <x:c r="L1668" t="str">
        <x:f>IF($A1668="","",IFERROR(INDEX(Assumptions!$O$5:$O$10,MATCH(1,(Assumptions!$P$5:$P$10=$B1668)*(Assumptions!$Q$5:$Q$10&lt;=$A1668)*(Assumptions!$R$5:$R$10&gt;=$A1668),0)),""))</x:f>
      </x:c>
      <x:c r="M1668" t="n">
        <x:f>--($A1668&lt;&gt;"")</x:f>
        <x:v>1</x:v>
      </x:c>
    </x:row>
    <x:row r="1669">
      <x:c r="A1669" s="10" t="n">
        <x:f>IF(Assumptions!$B$5+INT((ROW()-2)/Assumptions!$B$7)&gt;Assumptions!$B$6,"",Assumptions!$B$5+INT((ROW()-2)/Assumptions!$B$7))</x:f>
        <x:v>46356</x:v>
      </x:c>
      <x:c r="B1669" t="str">
        <x:f>IF($A1669="","",INDEX(Assumptions!$D$5:$D$12,MOD(ROW()-2,Assumptions!$B$7)+1))</x:f>
        <x:v>Nostromo Deep</x:v>
      </x:c>
      <x:c r="C1669" s="11" t="n">
        <x:f>IF($A1669="","",INDEX(Assumptions!$F$5:$F$12,MATCH($B1669,Assumptions!$D$5:$D$12,0)))</x:f>
        <x:v>1260</x:v>
      </x:c>
      <x:c r="D1669" s="11" t="n">
        <x:f>IF($A1669="","",INDEX(Assumptions!$G$5:$G$12,MATCH($B1669,Assumptions!$D$5:$D$12,0)))</x:f>
        <x:v>145</x:v>
      </x:c>
      <x:c r="E1669" s="11" t="n">
        <x:f>IF($A1669="","",INDEX(Assumptions!$M$5:$M$11,WEEKDAY($A1669,2)))</x:f>
        <x:v>1.03</x:v>
      </x:c>
      <x:c r="F1669" s="11" t="n">
        <x:f>IF($A1669="","",Assumptions!$B$15)</x:f>
        <x:v>0.35</x:v>
      </x:c>
      <x:c r="G1669" s="11" t="n">
        <x:f>IF($A1669="","",MAX(INDEX(Assumptions!$H$5:$H$12,MATCH($B1669,Assumptions!$D$5:$D$12,0)),MIN(INDEX(Assumptions!$I$5:$I$12,MATCH($B1669,Assumptions!$D$5:$D$12,0)),($C1669+$D1669*SQRT(-2*LN(RAND()))*COS(2*PI()*RAND()))*$E1669*$J1669*$K1669)))</x:f>
        <x:v>1586.9426437431378</x:v>
      </x:c>
      <x:c r="H1669" s="11" t="n">
        <x:f>IF($A1669="","",$G1669*$F1669+$C1669*(1-$F1669))</x:f>
        <x:v>1374.429925310098</x:v>
      </x:c>
      <x:c r="I1669" s="11" t="n">
        <x:f>IF($A1669="","",AVERAGE($H1669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1288.1286177754373</x:v>
      </x:c>
      <x:c r="J1669" s="12" t="n">
        <x:f>IF($A1669="","",1+SUMIFS(Assumptions!$S$5:$S$10,Assumptions!$P$5:$P$10,$B1669,Assumptions!$Q$5:$Q$10,"&lt;="&amp;$A1669,Assumptions!$R$5:$R$10,"&gt;="&amp;$A1669))</x:f>
        <x:v>1</x:v>
      </x:c>
      <x:c r="K1669" s="12" t="n">
        <x:f>IF($A1669="","",1+((($A1669-Assumptions!$B$5)/30)*INDEX(Assumptions!$J$5:$J$12,MATCH($B1669,Assumptions!$D$5:$D$12,0))))</x:f>
        <x:v>1.0333</x:v>
      </x:c>
      <x:c r="L1669" t="str">
        <x:f>IF($A1669="","",IFERROR(INDEX(Assumptions!$O$5:$O$10,MATCH(1,(Assumptions!$P$5:$P$10=$B1669)*(Assumptions!$Q$5:$Q$10&lt;=$A1669)*(Assumptions!$R$5:$R$10&gt;=$A1669),0)),""))</x:f>
      </x:c>
      <x:c r="M1669" t="n">
        <x:f>--($A1669&lt;&gt;"")</x:f>
        <x:v>1</x:v>
      </x:c>
    </x:row>
    <x:row r="1670">
      <x:c r="A1670" s="10" t="n">
        <x:f>IF(Assumptions!$B$5+INT((ROW()-2)/Assumptions!$B$7)&gt;Assumptions!$B$6,"",Assumptions!$B$5+INT((ROW()-2)/Assumptions!$B$7))</x:f>
        <x:v>46356</x:v>
      </x:c>
      <x:c r="B1670" t="str">
        <x:f>IF($A1670="","",INDEX(Assumptions!$D$5:$D$12,MOD(ROW()-2,Assumptions!$B$7)+1))</x:f>
        <x:v>Hadley's Hope</x:v>
      </x:c>
      <x:c r="C1670" s="11" t="n">
        <x:f>IF($A1670="","",INDEX(Assumptions!$F$5:$F$12,MATCH($B1670,Assumptions!$D$5:$D$12,0)))</x:f>
        <x:v>845</x:v>
      </x:c>
      <x:c r="D1670" s="11" t="n">
        <x:f>IF($A1670="","",INDEX(Assumptions!$G$5:$G$12,MATCH($B1670,Assumptions!$D$5:$D$12,0)))</x:f>
        <x:v>80</x:v>
      </x:c>
      <x:c r="E1670" s="11" t="n">
        <x:f>IF($A1670="","",INDEX(Assumptions!$M$5:$M$11,WEEKDAY($A1670,2)))</x:f>
        <x:v>1.03</x:v>
      </x:c>
      <x:c r="F1670" s="11" t="n">
        <x:f>IF($A1670="","",Assumptions!$B$15)</x:f>
        <x:v>0.35</x:v>
      </x:c>
      <x:c r="G1670" s="11" t="n">
        <x:f>IF($A1670="","",MAX(INDEX(Assumptions!$H$5:$H$12,MATCH($B1670,Assumptions!$D$5:$D$12,0)),MIN(INDEX(Assumptions!$I$5:$I$12,MATCH($B1670,Assumptions!$D$5:$D$12,0)),($C1670+$D1670*SQRT(-2*LN(RAND()))*COS(2*PI()*RAND()))*$E1670*$J1670*$K1670)))</x:f>
        <x:v>988.025506260561</x:v>
      </x:c>
      <x:c r="H1670" s="11" t="n">
        <x:f>IF($A1670="","",$G1670*$F1670+$C1670*(1-$F1670))</x:f>
        <x:v>895.0589271911963</x:v>
      </x:c>
      <x:c r="I1670" s="11" t="n">
        <x:f>IF($A1670="","",AVERAGE($H1670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855.6712809382241</x:v>
      </x:c>
      <x:c r="J1670" s="12" t="n">
        <x:f>IF($A1670="","",1+SUMIFS(Assumptions!$S$5:$S$10,Assumptions!$P$5:$P$10,$B1670,Assumptions!$Q$5:$Q$10,"&lt;="&amp;$A1670,Assumptions!$R$5:$R$10,"&gt;="&amp;$A1670))</x:f>
        <x:v>1</x:v>
      </x:c>
      <x:c r="K1670" s="12" t="n">
        <x:f>IF($A1670="","",1+((($A1670-Assumptions!$B$5)/30)*INDEX(Assumptions!$J$5:$J$12,MATCH($B1670,Assumptions!$D$5:$D$12,0))))</x:f>
        <x:v>1.0111</x:v>
      </x:c>
      <x:c r="L1670" t="str">
        <x:f>IF($A1670="","",IFERROR(INDEX(Assumptions!$O$5:$O$10,MATCH(1,(Assumptions!$P$5:$P$10=$B1670)*(Assumptions!$Q$5:$Q$10&lt;=$A1670)*(Assumptions!$R$5:$R$10&gt;=$A1670),0)),""))</x:f>
      </x:c>
      <x:c r="M1670" t="n">
        <x:f>--($A1670&lt;&gt;"")</x:f>
        <x:v>1</x:v>
      </x:c>
    </x:row>
    <x:row r="1671">
      <x:c r="A1671" s="10" t="n">
        <x:f>IF(Assumptions!$B$5+INT((ROW()-2)/Assumptions!$B$7)&gt;Assumptions!$B$6,"",Assumptions!$B$5+INT((ROW()-2)/Assumptions!$B$7))</x:f>
        <x:v>46356</x:v>
      </x:c>
      <x:c r="B1671" t="str">
        <x:f>IF($A1671="","",INDEX(Assumptions!$D$5:$D$12,MOD(ROW()-2,Assumptions!$B$7)+1))</x:f>
        <x:v>Yutani Ridge</x:v>
      </x:c>
      <x:c r="C1671" s="11" t="n">
        <x:f>IF($A1671="","",INDEX(Assumptions!$F$5:$F$12,MATCH($B1671,Assumptions!$D$5:$D$12,0)))</x:f>
        <x:v>1050</x:v>
      </x:c>
      <x:c r="D1671" s="11" t="n">
        <x:f>IF($A1671="","",INDEX(Assumptions!$G$5:$G$12,MATCH($B1671,Assumptions!$D$5:$D$12,0)))</x:f>
        <x:v>125</x:v>
      </x:c>
      <x:c r="E1671" s="11" t="n">
        <x:f>IF($A1671="","",INDEX(Assumptions!$M$5:$M$11,WEEKDAY($A1671,2)))</x:f>
        <x:v>1.03</x:v>
      </x:c>
      <x:c r="F1671" s="11" t="n">
        <x:f>IF($A1671="","",Assumptions!$B$15)</x:f>
        <x:v>0.35</x:v>
      </x:c>
      <x:c r="G1671" s="11" t="n">
        <x:f>IF($A1671="","",MAX(INDEX(Assumptions!$H$5:$H$12,MATCH($B1671,Assumptions!$D$5:$D$12,0)),MIN(INDEX(Assumptions!$I$5:$I$12,MATCH($B1671,Assumptions!$D$5:$D$12,0)),($C1671+$D1671*SQRT(-2*LN(RAND()))*COS(2*PI()*RAND()))*$E1671*$J1671*$K1671)))</x:f>
        <x:v>1130.2248950284654</x:v>
      </x:c>
      <x:c r="H1671" s="11" t="n">
        <x:f>IF($A1671="","",$G1671*$F1671+$C1671*(1-$F1671))</x:f>
        <x:v>1078.0787132599628</x:v>
      </x:c>
      <x:c r="I1671" s="11" t="n">
        <x:f>IF($A1671="","",AVERAGE($H1671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1039.188471089121</x:v>
      </x:c>
      <x:c r="J1671" s="12" t="n">
        <x:f>IF($A1671="","",1+SUMIFS(Assumptions!$S$5:$S$10,Assumptions!$P$5:$P$10,$B1671,Assumptions!$Q$5:$Q$10,"&lt;="&amp;$A1671,Assumptions!$R$5:$R$10,"&gt;="&amp;$A1671))</x:f>
        <x:v>1</x:v>
      </x:c>
      <x:c r="K1671" s="12" t="n">
        <x:f>IF($A1671="","",1+((($A1671-Assumptions!$B$5)/30)*INDEX(Assumptions!$J$5:$J$12,MATCH($B1671,Assumptions!$D$5:$D$12,0))))</x:f>
        <x:v>1.02775</x:v>
      </x:c>
      <x:c r="L1671" t="str">
        <x:f>IF($A1671="","",IFERROR(INDEX(Assumptions!$O$5:$O$10,MATCH(1,(Assumptions!$P$5:$P$10=$B1671)*(Assumptions!$Q$5:$Q$10&lt;=$A1671)*(Assumptions!$R$5:$R$10&gt;=$A1671),0)),""))</x:f>
      </x:c>
      <x:c r="M1671" t="n">
        <x:f>--($A1671&lt;&gt;"")</x:f>
        <x:v>1</x:v>
      </x:c>
    </x:row>
    <x:row r="1672">
      <x:c r="A1672" s="10" t="n">
        <x:f>IF(Assumptions!$B$5+INT((ROW()-2)/Assumptions!$B$7)&gt;Assumptions!$B$6,"",Assumptions!$B$5+INT((ROW()-2)/Assumptions!$B$7))</x:f>
        <x:v>46357</x:v>
      </x:c>
      <x:c r="B1672" t="str">
        <x:f>IF($A1672="","",INDEX(Assumptions!$D$5:$D$12,MOD(ROW()-2,Assumptions!$B$7)+1))</x:f>
        <x:v>Acheron Prime</x:v>
      </x:c>
      <x:c r="C1672" s="11" t="n">
        <x:f>IF($A1672="","",INDEX(Assumptions!$F$5:$F$12,MATCH($B1672,Assumptions!$D$5:$D$12,0)))</x:f>
        <x:v>1120</x:v>
      </x:c>
      <x:c r="D1672" s="11" t="n">
        <x:f>IF($A1672="","",INDEX(Assumptions!$G$5:$G$12,MATCH($B1672,Assumptions!$D$5:$D$12,0)))</x:f>
        <x:v>115</x:v>
      </x:c>
      <x:c r="E1672" s="11" t="n">
        <x:f>IF($A1672="","",INDEX(Assumptions!$M$5:$M$11,WEEKDAY($A1672,2)))</x:f>
        <x:v>1.02</x:v>
      </x:c>
      <x:c r="F1672" s="11" t="n">
        <x:f>IF($A1672="","",Assumptions!$B$15)</x:f>
        <x:v>0.35</x:v>
      </x:c>
      <x:c r="G1672" s="11" t="n">
        <x:f>IF($A1672="","",MAX(INDEX(Assumptions!$H$5:$H$12,MATCH($B1672,Assumptions!$D$5:$D$12,0)),MIN(INDEX(Assumptions!$I$5:$I$12,MATCH($B1672,Assumptions!$D$5:$D$12,0)),($C1672+$D1672*SQRT(-2*LN(RAND()))*COS(2*PI()*RAND()))*$E1672*$J1672*$K1672)))</x:f>
        <x:v>1305.2978323751483</x:v>
      </x:c>
      <x:c r="H1672" s="11" t="n">
        <x:f>IF($A1672="","",$G1672*$F1672+$C1672*(1-$F1672))</x:f>
        <x:v>1184.8542413313019</x:v>
      </x:c>
      <x:c r="I1672" s="11" t="n">
        <x:f>IF($A1672="","",AVERAGE($H1672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1107.195245847519</x:v>
      </x:c>
      <x:c r="J1672" s="12" t="n">
        <x:f>IF($A1672="","",1+SUMIFS(Assumptions!$S$5:$S$10,Assumptions!$P$5:$P$10,$B1672,Assumptions!$Q$5:$Q$10,"&lt;="&amp;$A1672,Assumptions!$R$5:$R$10,"&gt;="&amp;$A1672))</x:f>
        <x:v>1</x:v>
      </x:c>
      <x:c r="K1672" s="12" t="n">
        <x:f>IF($A1672="","",1+((($A1672-Assumptions!$B$5)/30)*INDEX(Assumptions!$J$5:$J$12,MATCH($B1672,Assumptions!$D$5:$D$12,0))))</x:f>
        <x:v>1.0222666666666667</x:v>
      </x:c>
      <x:c r="L1672" t="str">
        <x:f>IF($A1672="","",IFERROR(INDEX(Assumptions!$O$5:$O$10,MATCH(1,(Assumptions!$P$5:$P$10=$B1672)*(Assumptions!$Q$5:$Q$10&lt;=$A1672)*(Assumptions!$R$5:$R$10&gt;=$A1672),0)),""))</x:f>
      </x:c>
      <x:c r="M1672" t="n">
        <x:f>--($A1672&lt;&gt;"")</x:f>
        <x:v>1</x:v>
      </x:c>
    </x:row>
    <x:row r="1673">
      <x:c r="A1673" s="10" t="n">
        <x:f>IF(Assumptions!$B$5+INT((ROW()-2)/Assumptions!$B$7)&gt;Assumptions!$B$6,"",Assumptions!$B$5+INT((ROW()-2)/Assumptions!$B$7))</x:f>
        <x:v>46357</x:v>
      </x:c>
      <x:c r="B1673" t="str">
        <x:f>IF($A1673="","",INDEX(Assumptions!$D$5:$D$12,MOD(ROW()-2,Assumptions!$B$7)+1))</x:f>
        <x:v>LV-426 North</x:v>
      </x:c>
      <x:c r="C1673" s="11" t="n">
        <x:f>IF($A1673="","",INDEX(Assumptions!$F$5:$F$12,MATCH($B1673,Assumptions!$D$5:$D$12,0)))</x:f>
        <x:v>930</x:v>
      </x:c>
      <x:c r="D1673" s="11" t="n">
        <x:f>IF($A1673="","",INDEX(Assumptions!$G$5:$G$12,MATCH($B1673,Assumptions!$D$5:$D$12,0)))</x:f>
        <x:v>95</x:v>
      </x:c>
      <x:c r="E1673" s="11" t="n">
        <x:f>IF($A1673="","",INDEX(Assumptions!$M$5:$M$11,WEEKDAY($A1673,2)))</x:f>
        <x:v>1.02</x:v>
      </x:c>
      <x:c r="F1673" s="11" t="n">
        <x:f>IF($A1673="","",Assumptions!$B$15)</x:f>
        <x:v>0.35</x:v>
      </x:c>
      <x:c r="G1673" s="11" t="n">
        <x:f>IF($A1673="","",MAX(INDEX(Assumptions!$H$5:$H$12,MATCH($B1673,Assumptions!$D$5:$D$12,0)),MIN(INDEX(Assumptions!$I$5:$I$12,MATCH($B1673,Assumptions!$D$5:$D$12,0)),($C1673+$D1673*SQRT(-2*LN(RAND()))*COS(2*PI()*RAND()))*$E1673*$J1673*$K1673)))</x:f>
        <x:v>725.854161975357</x:v>
      </x:c>
      <x:c r="H1673" s="11" t="n">
        <x:f>IF($A1673="","",$G1673*$F1673+$C1673*(1-$F1673))</x:f>
        <x:v>858.548956691375</x:v>
      </x:c>
      <x:c r="I1673" s="11" t="n">
        <x:f>IF($A1673="","",AVERAGE($H1673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922.6146364594372</x:v>
      </x:c>
      <x:c r="J1673" s="12" t="n">
        <x:f>IF($A1673="","",1+SUMIFS(Assumptions!$S$5:$S$10,Assumptions!$P$5:$P$10,$B1673,Assumptions!$Q$5:$Q$10,"&lt;="&amp;$A1673,Assumptions!$R$5:$R$10,"&gt;="&amp;$A1673))</x:f>
        <x:v>1</x:v>
      </x:c>
      <x:c r="K1673" s="12" t="n">
        <x:f>IF($A1673="","",1+((($A1673-Assumptions!$B$5)/30)*INDEX(Assumptions!$J$5:$J$12,MATCH($B1673,Assumptions!$D$5:$D$12,0))))</x:f>
        <x:v>0.9888666666666667</x:v>
      </x:c>
      <x:c r="L1673" t="str">
        <x:f>IF($A1673="","",IFERROR(INDEX(Assumptions!$O$5:$O$10,MATCH(1,(Assumptions!$P$5:$P$10=$B1673)*(Assumptions!$Q$5:$Q$10&lt;=$A1673)*(Assumptions!$R$5:$R$10&gt;=$A1673),0)),""))</x:f>
      </x:c>
      <x:c r="M1673" t="n">
        <x:f>--($A1673&lt;&gt;"")</x:f>
        <x:v>1</x:v>
      </x:c>
    </x:row>
    <x:row r="1674">
      <x:c r="A1674" s="10" t="n">
        <x:f>IF(Assumptions!$B$5+INT((ROW()-2)/Assumptions!$B$7)&gt;Assumptions!$B$6,"",Assumptions!$B$5+INT((ROW()-2)/Assumptions!$B$7))</x:f>
        <x:v>46357</x:v>
      </x:c>
      <x:c r="B1674" t="str">
        <x:f>IF($A1674="","",INDEX(Assumptions!$D$5:$D$12,MOD(ROW()-2,Assumptions!$B$7)+1))</x:f>
        <x:v>Nostromo Deep</x:v>
      </x:c>
      <x:c r="C1674" s="11" t="n">
        <x:f>IF($A1674="","",INDEX(Assumptions!$F$5:$F$12,MATCH($B1674,Assumptions!$D$5:$D$12,0)))</x:f>
        <x:v>1260</x:v>
      </x:c>
      <x:c r="D1674" s="11" t="n">
        <x:f>IF($A1674="","",INDEX(Assumptions!$G$5:$G$12,MATCH($B1674,Assumptions!$D$5:$D$12,0)))</x:f>
        <x:v>145</x:v>
      </x:c>
      <x:c r="E1674" s="11" t="n">
        <x:f>IF($A1674="","",INDEX(Assumptions!$M$5:$M$11,WEEKDAY($A1674,2)))</x:f>
        <x:v>1.02</x:v>
      </x:c>
      <x:c r="F1674" s="11" t="n">
        <x:f>IF($A1674="","",Assumptions!$B$15)</x:f>
        <x:v>0.35</x:v>
      </x:c>
      <x:c r="G1674" s="11" t="n">
        <x:f>IF($A1674="","",MAX(INDEX(Assumptions!$H$5:$H$12,MATCH($B1674,Assumptions!$D$5:$D$12,0)),MIN(INDEX(Assumptions!$I$5:$I$12,MATCH($B1674,Assumptions!$D$5:$D$12,0)),($C1674+$D1674*SQRT(-2*LN(RAND()))*COS(2*PI()*RAND()))*$E1674*$J1674*$K1674)))</x:f>
        <x:v>1183.1271456946915</x:v>
      </x:c>
      <x:c r="H1674" s="11" t="n">
        <x:f>IF($A1674="","",$G1674*$F1674+$C1674*(1-$F1674))</x:f>
        <x:v>1233.094500993142</x:v>
      </x:c>
      <x:c r="I1674" s="11" t="n">
        <x:f>IF($A1674="","",AVERAGE($H1674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1265.285496097232</x:v>
      </x:c>
      <x:c r="J1674" s="12" t="n">
        <x:f>IF($A1674="","",1+SUMIFS(Assumptions!$S$5:$S$10,Assumptions!$P$5:$P$10,$B1674,Assumptions!$Q$5:$Q$10,"&lt;="&amp;$A1674,Assumptions!$R$5:$R$10,"&gt;="&amp;$A1674))</x:f>
        <x:v>1</x:v>
      </x:c>
      <x:c r="K1674" s="12" t="n">
        <x:f>IF($A1674="","",1+((($A1674-Assumptions!$B$5)/30)*INDEX(Assumptions!$J$5:$J$12,MATCH($B1674,Assumptions!$D$5:$D$12,0))))</x:f>
        <x:v>1.0334</x:v>
      </x:c>
      <x:c r="L1674" t="str">
        <x:f>IF($A1674="","",IFERROR(INDEX(Assumptions!$O$5:$O$10,MATCH(1,(Assumptions!$P$5:$P$10=$B1674)*(Assumptions!$Q$5:$Q$10&lt;=$A1674)*(Assumptions!$R$5:$R$10&gt;=$A1674),0)),""))</x:f>
      </x:c>
      <x:c r="M1674" t="n">
        <x:f>--($A1674&lt;&gt;"")</x:f>
        <x:v>1</x:v>
      </x:c>
    </x:row>
    <x:row r="1675">
      <x:c r="A1675" s="10" t="n">
        <x:f>IF(Assumptions!$B$5+INT((ROW()-2)/Assumptions!$B$7)&gt;Assumptions!$B$6,"",Assumptions!$B$5+INT((ROW()-2)/Assumptions!$B$7))</x:f>
        <x:v>46357</x:v>
      </x:c>
      <x:c r="B1675" t="str">
        <x:f>IF($A1675="","",INDEX(Assumptions!$D$5:$D$12,MOD(ROW()-2,Assumptions!$B$7)+1))</x:f>
        <x:v>Hadley's Hope</x:v>
      </x:c>
      <x:c r="C1675" s="11" t="n">
        <x:f>IF($A1675="","",INDEX(Assumptions!$F$5:$F$12,MATCH($B1675,Assumptions!$D$5:$D$12,0)))</x:f>
        <x:v>845</x:v>
      </x:c>
      <x:c r="D1675" s="11" t="n">
        <x:f>IF($A1675="","",INDEX(Assumptions!$G$5:$G$12,MATCH($B1675,Assumptions!$D$5:$D$12,0)))</x:f>
        <x:v>80</x:v>
      </x:c>
      <x:c r="E1675" s="11" t="n">
        <x:f>IF($A1675="","",INDEX(Assumptions!$M$5:$M$11,WEEKDAY($A1675,2)))</x:f>
        <x:v>1.02</x:v>
      </x:c>
      <x:c r="F1675" s="11" t="n">
        <x:f>IF($A1675="","",Assumptions!$B$15)</x:f>
        <x:v>0.35</x:v>
      </x:c>
      <x:c r="G1675" s="11" t="n">
        <x:f>IF($A1675="","",MAX(INDEX(Assumptions!$H$5:$H$12,MATCH($B1675,Assumptions!$D$5:$D$12,0)),MIN(INDEX(Assumptions!$I$5:$I$12,MATCH($B1675,Assumptions!$D$5:$D$12,0)),($C1675+$D1675*SQRT(-2*LN(RAND()))*COS(2*PI()*RAND()))*$E1675*$J1675*$K1675)))</x:f>
        <x:v>785.0396902591324</x:v>
      </x:c>
      <x:c r="H1675" s="11" t="n">
        <x:f>IF($A1675="","",$G1675*$F1675+$C1675*(1-$F1675))</x:f>
        <x:v>824.0138915906963</x:v>
      </x:c>
      <x:c r="I1675" s="11" t="n">
        <x:f>IF($A1675="","",AVERAGE($H1675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854.438154759563</x:v>
      </x:c>
      <x:c r="J1675" s="12" t="n">
        <x:f>IF($A1675="","",1+SUMIFS(Assumptions!$S$5:$S$10,Assumptions!$P$5:$P$10,$B1675,Assumptions!$Q$5:$Q$10,"&lt;="&amp;$A1675,Assumptions!$R$5:$R$10,"&gt;="&amp;$A1675))</x:f>
        <x:v>1</x:v>
      </x:c>
      <x:c r="K1675" s="12" t="n">
        <x:f>IF($A1675="","",1+((($A1675-Assumptions!$B$5)/30)*INDEX(Assumptions!$J$5:$J$12,MATCH($B1675,Assumptions!$D$5:$D$12,0))))</x:f>
        <x:v>1.0111333333333334</x:v>
      </x:c>
      <x:c r="L1675" t="str">
        <x:f>IF($A1675="","",IFERROR(INDEX(Assumptions!$O$5:$O$10,MATCH(1,(Assumptions!$P$5:$P$10=$B1675)*(Assumptions!$Q$5:$Q$10&lt;=$A1675)*(Assumptions!$R$5:$R$10&gt;=$A1675),0)),""))</x:f>
      </x:c>
      <x:c r="M1675" t="n">
        <x:f>--($A1675&lt;&gt;"")</x:f>
        <x:v>1</x:v>
      </x:c>
    </x:row>
    <x:row r="1676">
      <x:c r="A1676" s="10" t="n">
        <x:f>IF(Assumptions!$B$5+INT((ROW()-2)/Assumptions!$B$7)&gt;Assumptions!$B$6,"",Assumptions!$B$5+INT((ROW()-2)/Assumptions!$B$7))</x:f>
        <x:v>46357</x:v>
      </x:c>
      <x:c r="B1676" t="str">
        <x:f>IF($A1676="","",INDEX(Assumptions!$D$5:$D$12,MOD(ROW()-2,Assumptions!$B$7)+1))</x:f>
        <x:v>Yutani Ridge</x:v>
      </x:c>
      <x:c r="C1676" s="11" t="n">
        <x:f>IF($A1676="","",INDEX(Assumptions!$F$5:$F$12,MATCH($B1676,Assumptions!$D$5:$D$12,0)))</x:f>
        <x:v>1050</x:v>
      </x:c>
      <x:c r="D1676" s="11" t="n">
        <x:f>IF($A1676="","",INDEX(Assumptions!$G$5:$G$12,MATCH($B1676,Assumptions!$D$5:$D$12,0)))</x:f>
        <x:v>125</x:v>
      </x:c>
      <x:c r="E1676" s="11" t="n">
        <x:f>IF($A1676="","",INDEX(Assumptions!$M$5:$M$11,WEEKDAY($A1676,2)))</x:f>
        <x:v>1.02</x:v>
      </x:c>
      <x:c r="F1676" s="11" t="n">
        <x:f>IF($A1676="","",Assumptions!$B$15)</x:f>
        <x:v>0.35</x:v>
      </x:c>
      <x:c r="G1676" s="11" t="n">
        <x:f>IF($A1676="","",MAX(INDEX(Assumptions!$H$5:$H$12,MATCH($B1676,Assumptions!$D$5:$D$12,0)),MIN(INDEX(Assumptions!$I$5:$I$12,MATCH($B1676,Assumptions!$D$5:$D$12,0)),($C1676+$D1676*SQRT(-2*LN(RAND()))*COS(2*PI()*RAND()))*$E1676*$J1676*$K1676)))</x:f>
        <x:v>1134.848580529059</x:v>
      </x:c>
      <x:c r="H1676" s="11" t="n">
        <x:f>IF($A1676="","",$G1676*$F1676+$C1676*(1-$F1676))</x:f>
        <x:v>1079.6970031851706</x:v>
      </x:c>
      <x:c r="I1676" s="11" t="n">
        <x:f>IF($A1676="","",AVERAGE($H1676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1039.1165725478484</x:v>
      </x:c>
      <x:c r="J1676" s="12" t="n">
        <x:f>IF($A1676="","",1+SUMIFS(Assumptions!$S$5:$S$10,Assumptions!$P$5:$P$10,$B1676,Assumptions!$Q$5:$Q$10,"&lt;="&amp;$A1676,Assumptions!$R$5:$R$10,"&gt;="&amp;$A1676))</x:f>
        <x:v>1</x:v>
      </x:c>
      <x:c r="K1676" s="12" t="n">
        <x:f>IF($A1676="","",1+((($A1676-Assumptions!$B$5)/30)*INDEX(Assumptions!$J$5:$J$12,MATCH($B1676,Assumptions!$D$5:$D$12,0))))</x:f>
        <x:v>1.0278333333333334</x:v>
      </x:c>
      <x:c r="L1676" t="str">
        <x:f>IF($A1676="","",IFERROR(INDEX(Assumptions!$O$5:$O$10,MATCH(1,(Assumptions!$P$5:$P$10=$B1676)*(Assumptions!$Q$5:$Q$10&lt;=$A1676)*(Assumptions!$R$5:$R$10&gt;=$A1676),0)),""))</x:f>
      </x:c>
      <x:c r="M1676" t="n">
        <x:f>--($A1676&lt;&gt;"")</x:f>
        <x:v>1</x:v>
      </x:c>
    </x:row>
    <x:row r="1677">
      <x:c r="A1677" s="10" t="n">
        <x:f>IF(Assumptions!$B$5+INT((ROW()-2)/Assumptions!$B$7)&gt;Assumptions!$B$6,"",Assumptions!$B$5+INT((ROW()-2)/Assumptions!$B$7))</x:f>
        <x:v>46358</x:v>
      </x:c>
      <x:c r="B1677" t="str">
        <x:f>IF($A1677="","",INDEX(Assumptions!$D$5:$D$12,MOD(ROW()-2,Assumptions!$B$7)+1))</x:f>
        <x:v>Acheron Prime</x:v>
      </x:c>
      <x:c r="C1677" s="11" t="n">
        <x:f>IF($A1677="","",INDEX(Assumptions!$F$5:$F$12,MATCH($B1677,Assumptions!$D$5:$D$12,0)))</x:f>
        <x:v>1120</x:v>
      </x:c>
      <x:c r="D1677" s="11" t="n">
        <x:f>IF($A1677="","",INDEX(Assumptions!$G$5:$G$12,MATCH($B1677,Assumptions!$D$5:$D$12,0)))</x:f>
        <x:v>115</x:v>
      </x:c>
      <x:c r="E1677" s="11" t="n">
        <x:f>IF($A1677="","",INDEX(Assumptions!$M$5:$M$11,WEEKDAY($A1677,2)))</x:f>
        <x:v>1.01</x:v>
      </x:c>
      <x:c r="F1677" s="11" t="n">
        <x:f>IF($A1677="","",Assumptions!$B$15)</x:f>
        <x:v>0.35</x:v>
      </x:c>
      <x:c r="G1677" s="11" t="n">
        <x:f>IF($A1677="","",MAX(INDEX(Assumptions!$H$5:$H$12,MATCH($B1677,Assumptions!$D$5:$D$12,0)),MIN(INDEX(Assumptions!$I$5:$I$12,MATCH($B1677,Assumptions!$D$5:$D$12,0)),($C1677+$D1677*SQRT(-2*LN(RAND()))*COS(2*PI()*RAND()))*$E1677*$J1677*$K1677)))</x:f>
        <x:v>1176.2370561347207</x:v>
      </x:c>
      <x:c r="H1677" s="11" t="n">
        <x:f>IF($A1677="","",$G1677*$F1677+$C1677*(1-$F1677))</x:f>
        <x:v>1139.6829696471523</x:v>
      </x:c>
      <x:c r="I1677" s="11" t="n">
        <x:f>IF($A1677="","",AVERAGE($H1677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1112.2932122691939</x:v>
      </x:c>
      <x:c r="J1677" s="12" t="n">
        <x:f>IF($A1677="","",1+SUMIFS(Assumptions!$S$5:$S$10,Assumptions!$P$5:$P$10,$B1677,Assumptions!$Q$5:$Q$10,"&lt;="&amp;$A1677,Assumptions!$R$5:$R$10,"&gt;="&amp;$A1677))</x:f>
        <x:v>1</x:v>
      </x:c>
      <x:c r="K1677" s="12" t="n">
        <x:f>IF($A1677="","",1+((($A1677-Assumptions!$B$5)/30)*INDEX(Assumptions!$J$5:$J$12,MATCH($B1677,Assumptions!$D$5:$D$12,0))))</x:f>
        <x:v>1.0223333333333333</x:v>
      </x:c>
      <x:c r="L1677" t="str">
        <x:f>IF($A1677="","",IFERROR(INDEX(Assumptions!$O$5:$O$10,MATCH(1,(Assumptions!$P$5:$P$10=$B1677)*(Assumptions!$Q$5:$Q$10&lt;=$A1677)*(Assumptions!$R$5:$R$10&gt;=$A1677),0)),""))</x:f>
      </x:c>
      <x:c r="M1677" t="n">
        <x:f>--($A1677&lt;&gt;"")</x:f>
        <x:v>1</x:v>
      </x:c>
    </x:row>
    <x:row r="1678">
      <x:c r="A1678" s="10" t="n">
        <x:f>IF(Assumptions!$B$5+INT((ROW()-2)/Assumptions!$B$7)&gt;Assumptions!$B$6,"",Assumptions!$B$5+INT((ROW()-2)/Assumptions!$B$7))</x:f>
        <x:v>46358</x:v>
      </x:c>
      <x:c r="B1678" t="str">
        <x:f>IF($A1678="","",INDEX(Assumptions!$D$5:$D$12,MOD(ROW()-2,Assumptions!$B$7)+1))</x:f>
        <x:v>LV-426 North</x:v>
      </x:c>
      <x:c r="C1678" s="11" t="n">
        <x:f>IF($A1678="","",INDEX(Assumptions!$F$5:$F$12,MATCH($B1678,Assumptions!$D$5:$D$12,0)))</x:f>
        <x:v>930</x:v>
      </x:c>
      <x:c r="D1678" s="11" t="n">
        <x:f>IF($A1678="","",INDEX(Assumptions!$G$5:$G$12,MATCH($B1678,Assumptions!$D$5:$D$12,0)))</x:f>
        <x:v>95</x:v>
      </x:c>
      <x:c r="E1678" s="11" t="n">
        <x:f>IF($A1678="","",INDEX(Assumptions!$M$5:$M$11,WEEKDAY($A1678,2)))</x:f>
        <x:v>1.01</x:v>
      </x:c>
      <x:c r="F1678" s="11" t="n">
        <x:f>IF($A1678="","",Assumptions!$B$15)</x:f>
        <x:v>0.35</x:v>
      </x:c>
      <x:c r="G1678" s="11" t="n">
        <x:f>IF($A1678="","",MAX(INDEX(Assumptions!$H$5:$H$12,MATCH($B1678,Assumptions!$D$5:$D$12,0)),MIN(INDEX(Assumptions!$I$5:$I$12,MATCH($B1678,Assumptions!$D$5:$D$12,0)),($C1678+$D1678*SQRT(-2*LN(RAND()))*COS(2*PI()*RAND()))*$E1678*$J1678*$K1678)))</x:f>
        <x:v>966.7802352341565</x:v>
      </x:c>
      <x:c r="H1678" s="11" t="n">
        <x:f>IF($A1678="","",$G1678*$F1678+$C1678*(1-$F1678))</x:f>
        <x:v>942.8730823319547</x:v>
      </x:c>
      <x:c r="I1678" s="11" t="n">
        <x:f>IF($A1678="","",AVERAGE($H1678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928.3567977284775</x:v>
      </x:c>
      <x:c r="J1678" s="12" t="n">
        <x:f>IF($A1678="","",1+SUMIFS(Assumptions!$S$5:$S$10,Assumptions!$P$5:$P$10,$B1678,Assumptions!$Q$5:$Q$10,"&lt;="&amp;$A1678,Assumptions!$R$5:$R$10,"&gt;="&amp;$A1678))</x:f>
        <x:v>1</x:v>
      </x:c>
      <x:c r="K1678" s="12" t="n">
        <x:f>IF($A1678="","",1+((($A1678-Assumptions!$B$5)/30)*INDEX(Assumptions!$J$5:$J$12,MATCH($B1678,Assumptions!$D$5:$D$12,0))))</x:f>
        <x:v>0.9888333333333333</x:v>
      </x:c>
      <x:c r="L1678" t="str">
        <x:f>IF($A1678="","",IFERROR(INDEX(Assumptions!$O$5:$O$10,MATCH(1,(Assumptions!$P$5:$P$10=$B1678)*(Assumptions!$Q$5:$Q$10&lt;=$A1678)*(Assumptions!$R$5:$R$10&gt;=$A1678),0)),""))</x:f>
      </x:c>
      <x:c r="M1678" t="n">
        <x:f>--($A1678&lt;&gt;"")</x:f>
        <x:v>1</x:v>
      </x:c>
    </x:row>
    <x:row r="1679">
      <x:c r="A1679" s="10" t="n">
        <x:f>IF(Assumptions!$B$5+INT((ROW()-2)/Assumptions!$B$7)&gt;Assumptions!$B$6,"",Assumptions!$B$5+INT((ROW()-2)/Assumptions!$B$7))</x:f>
        <x:v>46358</x:v>
      </x:c>
      <x:c r="B1679" t="str">
        <x:f>IF($A1679="","",INDEX(Assumptions!$D$5:$D$12,MOD(ROW()-2,Assumptions!$B$7)+1))</x:f>
        <x:v>Nostromo Deep</x:v>
      </x:c>
      <x:c r="C1679" s="11" t="n">
        <x:f>IF($A1679="","",INDEX(Assumptions!$F$5:$F$12,MATCH($B1679,Assumptions!$D$5:$D$12,0)))</x:f>
        <x:v>1260</x:v>
      </x:c>
      <x:c r="D1679" s="11" t="n">
        <x:f>IF($A1679="","",INDEX(Assumptions!$G$5:$G$12,MATCH($B1679,Assumptions!$D$5:$D$12,0)))</x:f>
        <x:v>145</x:v>
      </x:c>
      <x:c r="E1679" s="11" t="n">
        <x:f>IF($A1679="","",INDEX(Assumptions!$M$5:$M$11,WEEKDAY($A1679,2)))</x:f>
        <x:v>1.01</x:v>
      </x:c>
      <x:c r="F1679" s="11" t="n">
        <x:f>IF($A1679="","",Assumptions!$B$15)</x:f>
        <x:v>0.35</x:v>
      </x:c>
      <x:c r="G1679" s="11" t="n">
        <x:f>IF($A1679="","",MAX(INDEX(Assumptions!$H$5:$H$12,MATCH($B1679,Assumptions!$D$5:$D$12,0)),MIN(INDEX(Assumptions!$I$5:$I$12,MATCH($B1679,Assumptions!$D$5:$D$12,0)),($C1679+$D1679*SQRT(-2*LN(RAND()))*COS(2*PI()*RAND()))*$E1679*$J1679*$K1679)))</x:f>
        <x:v>1440.4725583315778</x:v>
      </x:c>
      <x:c r="H1679" s="11" t="n">
        <x:f>IF($A1679="","",$G1679*$F1679+$C1679*(1-$F1679))</x:f>
        <x:v>1323.1653954160522</x:v>
      </x:c>
      <x:c r="I1679" s="11" t="n">
        <x:f>IF($A1679="","",AVERAGE($H1679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1271.0909035459642</x:v>
      </x:c>
      <x:c r="J1679" s="12" t="n">
        <x:f>IF($A1679="","",1+SUMIFS(Assumptions!$S$5:$S$10,Assumptions!$P$5:$P$10,$B1679,Assumptions!$Q$5:$Q$10,"&lt;="&amp;$A1679,Assumptions!$R$5:$R$10,"&gt;="&amp;$A1679))</x:f>
        <x:v>1</x:v>
      </x:c>
      <x:c r="K1679" s="12" t="n">
        <x:f>IF($A1679="","",1+((($A1679-Assumptions!$B$5)/30)*INDEX(Assumptions!$J$5:$J$12,MATCH($B1679,Assumptions!$D$5:$D$12,0))))</x:f>
        <x:v>1.0335</x:v>
      </x:c>
      <x:c r="L1679" t="str">
        <x:f>IF($A1679="","",IFERROR(INDEX(Assumptions!$O$5:$O$10,MATCH(1,(Assumptions!$P$5:$P$10=$B1679)*(Assumptions!$Q$5:$Q$10&lt;=$A1679)*(Assumptions!$R$5:$R$10&gt;=$A1679),0)),""))</x:f>
      </x:c>
      <x:c r="M1679" t="n">
        <x:f>--($A1679&lt;&gt;"")</x:f>
        <x:v>1</x:v>
      </x:c>
    </x:row>
    <x:row r="1680">
      <x:c r="A1680" s="10" t="n">
        <x:f>IF(Assumptions!$B$5+INT((ROW()-2)/Assumptions!$B$7)&gt;Assumptions!$B$6,"",Assumptions!$B$5+INT((ROW()-2)/Assumptions!$B$7))</x:f>
        <x:v>46358</x:v>
      </x:c>
      <x:c r="B1680" t="str">
        <x:f>IF($A1680="","",INDEX(Assumptions!$D$5:$D$12,MOD(ROW()-2,Assumptions!$B$7)+1))</x:f>
        <x:v>Hadley's Hope</x:v>
      </x:c>
      <x:c r="C1680" s="11" t="n">
        <x:f>IF($A1680="","",INDEX(Assumptions!$F$5:$F$12,MATCH($B1680,Assumptions!$D$5:$D$12,0)))</x:f>
        <x:v>845</x:v>
      </x:c>
      <x:c r="D1680" s="11" t="n">
        <x:f>IF($A1680="","",INDEX(Assumptions!$G$5:$G$12,MATCH($B1680,Assumptions!$D$5:$D$12,0)))</x:f>
        <x:v>80</x:v>
      </x:c>
      <x:c r="E1680" s="11" t="n">
        <x:f>IF($A1680="","",INDEX(Assumptions!$M$5:$M$11,WEEKDAY($A1680,2)))</x:f>
        <x:v>1.01</x:v>
      </x:c>
      <x:c r="F1680" s="11" t="n">
        <x:f>IF($A1680="","",Assumptions!$B$15)</x:f>
        <x:v>0.35</x:v>
      </x:c>
      <x:c r="G1680" s="11" t="n">
        <x:f>IF($A1680="","",MAX(INDEX(Assumptions!$H$5:$H$12,MATCH($B1680,Assumptions!$D$5:$D$12,0)),MIN(INDEX(Assumptions!$I$5:$I$12,MATCH($B1680,Assumptions!$D$5:$D$12,0)),($C1680+$D1680*SQRT(-2*LN(RAND()))*COS(2*PI()*RAND()))*$E1680*$J1680*$K1680)))</x:f>
        <x:v>837.663115690895</x:v>
      </x:c>
      <x:c r="H1680" s="11" t="n">
        <x:f>IF($A1680="","",$G1680*$F1680+$C1680*(1-$F1680))</x:f>
        <x:v>842.4320904918131</x:v>
      </x:c>
      <x:c r="I1680" s="11" t="n">
        <x:f>IF($A1680="","",AVERAGE($H1680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849.7480460144452</x:v>
      </x:c>
      <x:c r="J1680" s="12" t="n">
        <x:f>IF($A1680="","",1+SUMIFS(Assumptions!$S$5:$S$10,Assumptions!$P$5:$P$10,$B1680,Assumptions!$Q$5:$Q$10,"&lt;="&amp;$A1680,Assumptions!$R$5:$R$10,"&gt;="&amp;$A1680))</x:f>
        <x:v>1</x:v>
      </x:c>
      <x:c r="K1680" s="12" t="n">
        <x:f>IF($A1680="","",1+((($A1680-Assumptions!$B$5)/30)*INDEX(Assumptions!$J$5:$J$12,MATCH($B1680,Assumptions!$D$5:$D$12,0))))</x:f>
        <x:v>1.0111666666666668</x:v>
      </x:c>
      <x:c r="L1680" t="str">
        <x:f>IF($A1680="","",IFERROR(INDEX(Assumptions!$O$5:$O$10,MATCH(1,(Assumptions!$P$5:$P$10=$B1680)*(Assumptions!$Q$5:$Q$10&lt;=$A1680)*(Assumptions!$R$5:$R$10&gt;=$A1680),0)),""))</x:f>
      </x:c>
      <x:c r="M1680" t="n">
        <x:f>--($A1680&lt;&gt;"")</x:f>
        <x:v>1</x:v>
      </x:c>
    </x:row>
    <x:row r="1681">
      <x:c r="A1681" s="10" t="n">
        <x:f>IF(Assumptions!$B$5+INT((ROW()-2)/Assumptions!$B$7)&gt;Assumptions!$B$6,"",Assumptions!$B$5+INT((ROW()-2)/Assumptions!$B$7))</x:f>
        <x:v>46358</x:v>
      </x:c>
      <x:c r="B1681" t="str">
        <x:f>IF($A1681="","",INDEX(Assumptions!$D$5:$D$12,MOD(ROW()-2,Assumptions!$B$7)+1))</x:f>
        <x:v>Yutani Ridge</x:v>
      </x:c>
      <x:c r="C1681" s="11" t="n">
        <x:f>IF($A1681="","",INDEX(Assumptions!$F$5:$F$12,MATCH($B1681,Assumptions!$D$5:$D$12,0)))</x:f>
        <x:v>1050</x:v>
      </x:c>
      <x:c r="D1681" s="11" t="n">
        <x:f>IF($A1681="","",INDEX(Assumptions!$G$5:$G$12,MATCH($B1681,Assumptions!$D$5:$D$12,0)))</x:f>
        <x:v>125</x:v>
      </x:c>
      <x:c r="E1681" s="11" t="n">
        <x:f>IF($A1681="","",INDEX(Assumptions!$M$5:$M$11,WEEKDAY($A1681,2)))</x:f>
        <x:v>1.01</x:v>
      </x:c>
      <x:c r="F1681" s="11" t="n">
        <x:f>IF($A1681="","",Assumptions!$B$15)</x:f>
        <x:v>0.35</x:v>
      </x:c>
      <x:c r="G1681" s="11" t="n">
        <x:f>IF($A1681="","",MAX(INDEX(Assumptions!$H$5:$H$12,MATCH($B1681,Assumptions!$D$5:$D$12,0)),MIN(INDEX(Assumptions!$I$5:$I$12,MATCH($B1681,Assumptions!$D$5:$D$12,0)),($C1681+$D1681*SQRT(-2*LN(RAND()))*COS(2*PI()*RAND()))*$E1681*$J1681*$K1681)))</x:f>
        <x:v>1267.549805930313</x:v>
      </x:c>
      <x:c r="H1681" s="11" t="n">
        <x:f>IF($A1681="","",$G1681*$F1681+$C1681*(1-$F1681))</x:f>
        <x:v>1126.1424320756096</x:v>
      </x:c>
      <x:c r="I1681" s="11" t="n">
        <x:f>IF($A1681="","",AVERAGE($H1681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1051.183453666063</x:v>
      </x:c>
      <x:c r="J1681" s="12" t="n">
        <x:f>IF($A1681="","",1+SUMIFS(Assumptions!$S$5:$S$10,Assumptions!$P$5:$P$10,$B1681,Assumptions!$Q$5:$Q$10,"&lt;="&amp;$A1681,Assumptions!$R$5:$R$10,"&gt;="&amp;$A1681))</x:f>
        <x:v>1</x:v>
      </x:c>
      <x:c r="K1681" s="12" t="n">
        <x:f>IF($A1681="","",1+((($A1681-Assumptions!$B$5)/30)*INDEX(Assumptions!$J$5:$J$12,MATCH($B1681,Assumptions!$D$5:$D$12,0))))</x:f>
        <x:v>1.0279166666666666</x:v>
      </x:c>
      <x:c r="L1681" t="str">
        <x:f>IF($A1681="","",IFERROR(INDEX(Assumptions!$O$5:$O$10,MATCH(1,(Assumptions!$P$5:$P$10=$B1681)*(Assumptions!$Q$5:$Q$10&lt;=$A1681)*(Assumptions!$R$5:$R$10&gt;=$A1681),0)),""))</x:f>
      </x:c>
      <x:c r="M1681" t="n">
        <x:f>--($A1681&lt;&gt;"")</x:f>
        <x:v>1</x:v>
      </x:c>
    </x:row>
    <x:row r="1682">
      <x:c r="A1682" s="10" t="n">
        <x:f>IF(Assumptions!$B$5+INT((ROW()-2)/Assumptions!$B$7)&gt;Assumptions!$B$6,"",Assumptions!$B$5+INT((ROW()-2)/Assumptions!$B$7))</x:f>
        <x:v>46359</x:v>
      </x:c>
      <x:c r="B1682" t="str">
        <x:f>IF($A1682="","",INDEX(Assumptions!$D$5:$D$12,MOD(ROW()-2,Assumptions!$B$7)+1))</x:f>
        <x:v>Acheron Prime</x:v>
      </x:c>
      <x:c r="C1682" s="11" t="n">
        <x:f>IF($A1682="","",INDEX(Assumptions!$F$5:$F$12,MATCH($B1682,Assumptions!$D$5:$D$12,0)))</x:f>
        <x:v>1120</x:v>
      </x:c>
      <x:c r="D1682" s="11" t="n">
        <x:f>IF($A1682="","",INDEX(Assumptions!$G$5:$G$12,MATCH($B1682,Assumptions!$D$5:$D$12,0)))</x:f>
        <x:v>115</x:v>
      </x:c>
      <x:c r="E1682" s="11" t="n">
        <x:f>IF($A1682="","",INDEX(Assumptions!$M$5:$M$11,WEEKDAY($A1682,2)))</x:f>
        <x:v>1</x:v>
      </x:c>
      <x:c r="F1682" s="11" t="n">
        <x:f>IF($A1682="","",Assumptions!$B$15)</x:f>
        <x:v>0.35</x:v>
      </x:c>
      <x:c r="G1682" s="11" t="n">
        <x:f>IF($A1682="","",MAX(INDEX(Assumptions!$H$5:$H$12,MATCH($B1682,Assumptions!$D$5:$D$12,0)),MIN(INDEX(Assumptions!$I$5:$I$12,MATCH($B1682,Assumptions!$D$5:$D$12,0)),($C1682+$D1682*SQRT(-2*LN(RAND()))*COS(2*PI()*RAND()))*$E1682*$J1682*$K1682)))</x:f>
        <x:v>1324.0891907181947</x:v>
      </x:c>
      <x:c r="H1682" s="11" t="n">
        <x:f>IF($A1682="","",$G1682*$F1682+$C1682*(1-$F1682))</x:f>
        <x:v>1191.431216751368</x:v>
      </x:c>
      <x:c r="I1682" s="11" t="n">
        <x:f>IF($A1682="","",AVERAGE($H1682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1124.6414783783293</x:v>
      </x:c>
      <x:c r="J1682" s="12" t="n">
        <x:f>IF($A1682="","",1+SUMIFS(Assumptions!$S$5:$S$10,Assumptions!$P$5:$P$10,$B1682,Assumptions!$Q$5:$Q$10,"&lt;="&amp;$A1682,Assumptions!$R$5:$R$10,"&gt;="&amp;$A1682))</x:f>
        <x:v>1</x:v>
      </x:c>
      <x:c r="K1682" s="12" t="n">
        <x:f>IF($A1682="","",1+((($A1682-Assumptions!$B$5)/30)*INDEX(Assumptions!$J$5:$J$12,MATCH($B1682,Assumptions!$D$5:$D$12,0))))</x:f>
        <x:v>1.0224</x:v>
      </x:c>
      <x:c r="L1682" t="str">
        <x:f>IF($A1682="","",IFERROR(INDEX(Assumptions!$O$5:$O$10,MATCH(1,(Assumptions!$P$5:$P$10=$B1682)*(Assumptions!$Q$5:$Q$10&lt;=$A1682)*(Assumptions!$R$5:$R$10&gt;=$A1682),0)),""))</x:f>
      </x:c>
      <x:c r="M1682" t="n">
        <x:f>--($A1682&lt;&gt;"")</x:f>
        <x:v>1</x:v>
      </x:c>
    </x:row>
    <x:row r="1683">
      <x:c r="A1683" s="10" t="n">
        <x:f>IF(Assumptions!$B$5+INT((ROW()-2)/Assumptions!$B$7)&gt;Assumptions!$B$6,"",Assumptions!$B$5+INT((ROW()-2)/Assumptions!$B$7))</x:f>
        <x:v>46359</x:v>
      </x:c>
      <x:c r="B1683" t="str">
        <x:f>IF($A1683="","",INDEX(Assumptions!$D$5:$D$12,MOD(ROW()-2,Assumptions!$B$7)+1))</x:f>
        <x:v>LV-426 North</x:v>
      </x:c>
      <x:c r="C1683" s="11" t="n">
        <x:f>IF($A1683="","",INDEX(Assumptions!$F$5:$F$12,MATCH($B1683,Assumptions!$D$5:$D$12,0)))</x:f>
        <x:v>930</x:v>
      </x:c>
      <x:c r="D1683" s="11" t="n">
        <x:f>IF($A1683="","",INDEX(Assumptions!$G$5:$G$12,MATCH($B1683,Assumptions!$D$5:$D$12,0)))</x:f>
        <x:v>95</x:v>
      </x:c>
      <x:c r="E1683" s="11" t="n">
        <x:f>IF($A1683="","",INDEX(Assumptions!$M$5:$M$11,WEEKDAY($A1683,2)))</x:f>
        <x:v>1</x:v>
      </x:c>
      <x:c r="F1683" s="11" t="n">
        <x:f>IF($A1683="","",Assumptions!$B$15)</x:f>
        <x:v>0.35</x:v>
      </x:c>
      <x:c r="G1683" s="11" t="n">
        <x:f>IF($A1683="","",MAX(INDEX(Assumptions!$H$5:$H$12,MATCH($B1683,Assumptions!$D$5:$D$12,0)),MIN(INDEX(Assumptions!$I$5:$I$12,MATCH($B1683,Assumptions!$D$5:$D$12,0)),($C1683+$D1683*SQRT(-2*LN(RAND()))*COS(2*PI()*RAND()))*$E1683*$J1683*$K1683)))</x:f>
        <x:v>736.4550584114143</x:v>
      </x:c>
      <x:c r="H1683" s="11" t="n">
        <x:f>IF($A1683="","",$G1683*$F1683+$C1683*(1-$F1683))</x:f>
        <x:v>862.259270443995</x:v>
      </x:c>
      <x:c r="I1683" s="11" t="n">
        <x:f>IF($A1683="","",AVERAGE($H1683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922.094916803393</x:v>
      </x:c>
      <x:c r="J1683" s="12" t="n">
        <x:f>IF($A1683="","",1+SUMIFS(Assumptions!$S$5:$S$10,Assumptions!$P$5:$P$10,$B1683,Assumptions!$Q$5:$Q$10,"&lt;="&amp;$A1683,Assumptions!$R$5:$R$10,"&gt;="&amp;$A1683))</x:f>
        <x:v>1</x:v>
      </x:c>
      <x:c r="K1683" s="12" t="n">
        <x:f>IF($A1683="","",1+((($A1683-Assumptions!$B$5)/30)*INDEX(Assumptions!$J$5:$J$12,MATCH($B1683,Assumptions!$D$5:$D$12,0))))</x:f>
        <x:v>0.9888</x:v>
      </x:c>
      <x:c r="L1683" t="str">
        <x:f>IF($A1683="","",IFERROR(INDEX(Assumptions!$O$5:$O$10,MATCH(1,(Assumptions!$P$5:$P$10=$B1683)*(Assumptions!$Q$5:$Q$10&lt;=$A1683)*(Assumptions!$R$5:$R$10&gt;=$A1683),0)),""))</x:f>
      </x:c>
      <x:c r="M1683" t="n">
        <x:f>--($A1683&lt;&gt;"")</x:f>
        <x:v>1</x:v>
      </x:c>
    </x:row>
    <x:row r="1684">
      <x:c r="A1684" s="10" t="n">
        <x:f>IF(Assumptions!$B$5+INT((ROW()-2)/Assumptions!$B$7)&gt;Assumptions!$B$6,"",Assumptions!$B$5+INT((ROW()-2)/Assumptions!$B$7))</x:f>
        <x:v>46359</x:v>
      </x:c>
      <x:c r="B1684" t="str">
        <x:f>IF($A1684="","",INDEX(Assumptions!$D$5:$D$12,MOD(ROW()-2,Assumptions!$B$7)+1))</x:f>
        <x:v>Nostromo Deep</x:v>
      </x:c>
      <x:c r="C1684" s="11" t="n">
        <x:f>IF($A1684="","",INDEX(Assumptions!$F$5:$F$12,MATCH($B1684,Assumptions!$D$5:$D$12,0)))</x:f>
        <x:v>1260</x:v>
      </x:c>
      <x:c r="D1684" s="11" t="n">
        <x:f>IF($A1684="","",INDEX(Assumptions!$G$5:$G$12,MATCH($B1684,Assumptions!$D$5:$D$12,0)))</x:f>
        <x:v>145</x:v>
      </x:c>
      <x:c r="E1684" s="11" t="n">
        <x:f>IF($A1684="","",INDEX(Assumptions!$M$5:$M$11,WEEKDAY($A1684,2)))</x:f>
        <x:v>1</x:v>
      </x:c>
      <x:c r="F1684" s="11" t="n">
        <x:f>IF($A1684="","",Assumptions!$B$15)</x:f>
        <x:v>0.35</x:v>
      </x:c>
      <x:c r="G1684" s="11" t="n">
        <x:f>IF($A1684="","",MAX(INDEX(Assumptions!$H$5:$H$12,MATCH($B1684,Assumptions!$D$5:$D$12,0)),MIN(INDEX(Assumptions!$I$5:$I$12,MATCH($B1684,Assumptions!$D$5:$D$12,0)),($C1684+$D1684*SQRT(-2*LN(RAND()))*COS(2*PI()*RAND()))*$E1684*$J1684*$K1684)))</x:f>
        <x:v>1323.1851901242906</x:v>
      </x:c>
      <x:c r="H1684" s="11" t="n">
        <x:f>IF($A1684="","",$G1684*$F1684+$C1684*(1-$F1684))</x:f>
        <x:v>1282.1148165435015</x:v>
      </x:c>
      <x:c r="I1684" s="11" t="n">
        <x:f>IF($A1684="","",AVERAGE($H1684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1296.0950064297551</x:v>
      </x:c>
      <x:c r="J1684" s="12" t="n">
        <x:f>IF($A1684="","",1+SUMIFS(Assumptions!$S$5:$S$10,Assumptions!$P$5:$P$10,$B1684,Assumptions!$Q$5:$Q$10,"&lt;="&amp;$A1684,Assumptions!$R$5:$R$10,"&gt;="&amp;$A1684))</x:f>
        <x:v>1</x:v>
      </x:c>
      <x:c r="K1684" s="12" t="n">
        <x:f>IF($A1684="","",1+((($A1684-Assumptions!$B$5)/30)*INDEX(Assumptions!$J$5:$J$12,MATCH($B1684,Assumptions!$D$5:$D$12,0))))</x:f>
        <x:v>1.0336</x:v>
      </x:c>
      <x:c r="L1684" t="str">
        <x:f>IF($A1684="","",IFERROR(INDEX(Assumptions!$O$5:$O$10,MATCH(1,(Assumptions!$P$5:$P$10=$B1684)*(Assumptions!$Q$5:$Q$10&lt;=$A1684)*(Assumptions!$R$5:$R$10&gt;=$A1684),0)),""))</x:f>
      </x:c>
      <x:c r="M1684" t="n">
        <x:f>--($A1684&lt;&gt;"")</x:f>
        <x:v>1</x:v>
      </x:c>
    </x:row>
    <x:row r="1685">
      <x:c r="A1685" s="10" t="n">
        <x:f>IF(Assumptions!$B$5+INT((ROW()-2)/Assumptions!$B$7)&gt;Assumptions!$B$6,"",Assumptions!$B$5+INT((ROW()-2)/Assumptions!$B$7))</x:f>
        <x:v>46359</x:v>
      </x:c>
      <x:c r="B1685" t="str">
        <x:f>IF($A1685="","",INDEX(Assumptions!$D$5:$D$12,MOD(ROW()-2,Assumptions!$B$7)+1))</x:f>
        <x:v>Hadley's Hope</x:v>
      </x:c>
      <x:c r="C1685" s="11" t="n">
        <x:f>IF($A1685="","",INDEX(Assumptions!$F$5:$F$12,MATCH($B1685,Assumptions!$D$5:$D$12,0)))</x:f>
        <x:v>845</x:v>
      </x:c>
      <x:c r="D1685" s="11" t="n">
        <x:f>IF($A1685="","",INDEX(Assumptions!$G$5:$G$12,MATCH($B1685,Assumptions!$D$5:$D$12,0)))</x:f>
        <x:v>80</x:v>
      </x:c>
      <x:c r="E1685" s="11" t="n">
        <x:f>IF($A1685="","",INDEX(Assumptions!$M$5:$M$11,WEEKDAY($A1685,2)))</x:f>
        <x:v>1</x:v>
      </x:c>
      <x:c r="F1685" s="11" t="n">
        <x:f>IF($A1685="","",Assumptions!$B$15)</x:f>
        <x:v>0.35</x:v>
      </x:c>
      <x:c r="G1685" s="11" t="n">
        <x:f>IF($A1685="","",MAX(INDEX(Assumptions!$H$5:$H$12,MATCH($B1685,Assumptions!$D$5:$D$12,0)),MIN(INDEX(Assumptions!$I$5:$I$12,MATCH($B1685,Assumptions!$D$5:$D$12,0)),($C1685+$D1685*SQRT(-2*LN(RAND()))*COS(2*PI()*RAND()))*$E1685*$J1685*$K1685)))</x:f>
        <x:v>874.8084149146551</x:v>
      </x:c>
      <x:c r="H1685" s="11" t="n">
        <x:f>IF($A1685="","",$G1685*$F1685+$C1685*(1-$F1685))</x:f>
        <x:v>855.4329452201293</x:v>
      </x:c>
      <x:c r="I1685" s="11" t="n">
        <x:f>IF($A1685="","",AVERAGE($H1685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845.1020340611885</x:v>
      </x:c>
      <x:c r="J1685" s="12" t="n">
        <x:f>IF($A1685="","",1+SUMIFS(Assumptions!$S$5:$S$10,Assumptions!$P$5:$P$10,$B1685,Assumptions!$Q$5:$Q$10,"&lt;="&amp;$A1685,Assumptions!$R$5:$R$10,"&gt;="&amp;$A1685))</x:f>
        <x:v>1</x:v>
      </x:c>
      <x:c r="K1685" s="12" t="n">
        <x:f>IF($A1685="","",1+((($A1685-Assumptions!$B$5)/30)*INDEX(Assumptions!$J$5:$J$12,MATCH($B1685,Assumptions!$D$5:$D$12,0))))</x:f>
        <x:v>1.0112</x:v>
      </x:c>
      <x:c r="L1685" t="str">
        <x:f>IF($A1685="","",IFERROR(INDEX(Assumptions!$O$5:$O$10,MATCH(1,(Assumptions!$P$5:$P$10=$B1685)*(Assumptions!$Q$5:$Q$10&lt;=$A1685)*(Assumptions!$R$5:$R$10&gt;=$A1685),0)),""))</x:f>
      </x:c>
      <x:c r="M1685" t="n">
        <x:f>--($A1685&lt;&gt;"")</x:f>
        <x:v>1</x:v>
      </x:c>
    </x:row>
    <x:row r="1686">
      <x:c r="A1686" s="10" t="n">
        <x:f>IF(Assumptions!$B$5+INT((ROW()-2)/Assumptions!$B$7)&gt;Assumptions!$B$6,"",Assumptions!$B$5+INT((ROW()-2)/Assumptions!$B$7))</x:f>
        <x:v>46359</x:v>
      </x:c>
      <x:c r="B1686" t="str">
        <x:f>IF($A1686="","",INDEX(Assumptions!$D$5:$D$12,MOD(ROW()-2,Assumptions!$B$7)+1))</x:f>
        <x:v>Yutani Ridge</x:v>
      </x:c>
      <x:c r="C1686" s="11" t="n">
        <x:f>IF($A1686="","",INDEX(Assumptions!$F$5:$F$12,MATCH($B1686,Assumptions!$D$5:$D$12,0)))</x:f>
        <x:v>1050</x:v>
      </x:c>
      <x:c r="D1686" s="11" t="n">
        <x:f>IF($A1686="","",INDEX(Assumptions!$G$5:$G$12,MATCH($B1686,Assumptions!$D$5:$D$12,0)))</x:f>
        <x:v>125</x:v>
      </x:c>
      <x:c r="E1686" s="11" t="n">
        <x:f>IF($A1686="","",INDEX(Assumptions!$M$5:$M$11,WEEKDAY($A1686,2)))</x:f>
        <x:v>1</x:v>
      </x:c>
      <x:c r="F1686" s="11" t="n">
        <x:f>IF($A1686="","",Assumptions!$B$15)</x:f>
        <x:v>0.35</x:v>
      </x:c>
      <x:c r="G1686" s="11" t="n">
        <x:f>IF($A1686="","",MAX(INDEX(Assumptions!$H$5:$H$12,MATCH($B1686,Assumptions!$D$5:$D$12,0)),MIN(INDEX(Assumptions!$I$5:$I$12,MATCH($B1686,Assumptions!$D$5:$D$12,0)),($C1686+$D1686*SQRT(-2*LN(RAND()))*COS(2*PI()*RAND()))*$E1686*$J1686*$K1686)))</x:f>
        <x:v>1225.5253651362218</x:v>
      </x:c>
      <x:c r="H1686" s="11" t="n">
        <x:f>IF($A1686="","",$G1686*$F1686+$C1686*(1-$F1686))</x:f>
        <x:v>1111.4338777976777</x:v>
      </x:c>
      <x:c r="I1686" s="11" t="n">
        <x:f>IF($A1686="","",AVERAGE($H1686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1065.1625167584184</x:v>
      </x:c>
      <x:c r="J1686" s="12" t="n">
        <x:f>IF($A1686="","",1+SUMIFS(Assumptions!$S$5:$S$10,Assumptions!$P$5:$P$10,$B1686,Assumptions!$Q$5:$Q$10,"&lt;="&amp;$A1686,Assumptions!$R$5:$R$10,"&gt;="&amp;$A1686))</x:f>
        <x:v>1</x:v>
      </x:c>
      <x:c r="K1686" s="12" t="n">
        <x:f>IF($A1686="","",1+((($A1686-Assumptions!$B$5)/30)*INDEX(Assumptions!$J$5:$J$12,MATCH($B1686,Assumptions!$D$5:$D$12,0))))</x:f>
        <x:v>1.028</x:v>
      </x:c>
      <x:c r="L1686" t="str">
        <x:f>IF($A1686="","",IFERROR(INDEX(Assumptions!$O$5:$O$10,MATCH(1,(Assumptions!$P$5:$P$10=$B1686)*(Assumptions!$Q$5:$Q$10&lt;=$A1686)*(Assumptions!$R$5:$R$10&gt;=$A1686),0)),""))</x:f>
      </x:c>
      <x:c r="M1686" t="n">
        <x:f>--($A1686&lt;&gt;"")</x:f>
        <x:v>1</x:v>
      </x:c>
    </x:row>
    <x:row r="1687">
      <x:c r="A1687" s="10" t="n">
        <x:f>IF(Assumptions!$B$5+INT((ROW()-2)/Assumptions!$B$7)&gt;Assumptions!$B$6,"",Assumptions!$B$5+INT((ROW()-2)/Assumptions!$B$7))</x:f>
        <x:v>46360</x:v>
      </x:c>
      <x:c r="B1687" t="str">
        <x:f>IF($A1687="","",INDEX(Assumptions!$D$5:$D$12,MOD(ROW()-2,Assumptions!$B$7)+1))</x:f>
        <x:v>Acheron Prime</x:v>
      </x:c>
      <x:c r="C1687" s="11" t="n">
        <x:f>IF($A1687="","",INDEX(Assumptions!$F$5:$F$12,MATCH($B1687,Assumptions!$D$5:$D$12,0)))</x:f>
        <x:v>1120</x:v>
      </x:c>
      <x:c r="D1687" s="11" t="n">
        <x:f>IF($A1687="","",INDEX(Assumptions!$G$5:$G$12,MATCH($B1687,Assumptions!$D$5:$D$12,0)))</x:f>
        <x:v>115</x:v>
      </x:c>
      <x:c r="E1687" s="11" t="n">
        <x:f>IF($A1687="","",INDEX(Assumptions!$M$5:$M$11,WEEKDAY($A1687,2)))</x:f>
        <x:v>0.98</x:v>
      </x:c>
      <x:c r="F1687" s="11" t="n">
        <x:f>IF($A1687="","",Assumptions!$B$15)</x:f>
        <x:v>0.35</x:v>
      </x:c>
      <x:c r="G1687" s="11" t="n">
        <x:f>IF($A1687="","",MAX(INDEX(Assumptions!$H$5:$H$12,MATCH($B1687,Assumptions!$D$5:$D$12,0)),MIN(INDEX(Assumptions!$I$5:$I$12,MATCH($B1687,Assumptions!$D$5:$D$12,0)),($C1687+$D1687*SQRT(-2*LN(RAND()))*COS(2*PI()*RAND()))*$E1687*$J1687*$K1687)))</x:f>
        <x:v>1331.927033774212</x:v>
      </x:c>
      <x:c r="H1687" s="11" t="n">
        <x:f>IF($A1687="","",$G1687*$F1687+$C1687*(1-$F1687))</x:f>
        <x:v>1194.174461820974</x:v>
      </x:c>
      <x:c r="I1687" s="11" t="n">
        <x:f>IF($A1687="","",AVERAGE($H1687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1141.9337492761235</x:v>
      </x:c>
      <x:c r="J1687" s="12" t="n">
        <x:f>IF($A1687="","",1+SUMIFS(Assumptions!$S$5:$S$10,Assumptions!$P$5:$P$10,$B1687,Assumptions!$Q$5:$Q$10,"&lt;="&amp;$A1687,Assumptions!$R$5:$R$10,"&gt;="&amp;$A1687))</x:f>
        <x:v>1</x:v>
      </x:c>
      <x:c r="K1687" s="12" t="n">
        <x:f>IF($A1687="","",1+((($A1687-Assumptions!$B$5)/30)*INDEX(Assumptions!$J$5:$J$12,MATCH($B1687,Assumptions!$D$5:$D$12,0))))</x:f>
        <x:v>1.0224666666666666</x:v>
      </x:c>
      <x:c r="L1687" t="str">
        <x:f>IF($A1687="","",IFERROR(INDEX(Assumptions!$O$5:$O$10,MATCH(1,(Assumptions!$P$5:$P$10=$B1687)*(Assumptions!$Q$5:$Q$10&lt;=$A1687)*(Assumptions!$R$5:$R$10&gt;=$A1687),0)),""))</x:f>
      </x:c>
      <x:c r="M1687" t="n">
        <x:f>--($A1687&lt;&gt;"")</x:f>
        <x:v>1</x:v>
      </x:c>
    </x:row>
    <x:row r="1688">
      <x:c r="A1688" s="10" t="n">
        <x:f>IF(Assumptions!$B$5+INT((ROW()-2)/Assumptions!$B$7)&gt;Assumptions!$B$6,"",Assumptions!$B$5+INT((ROW()-2)/Assumptions!$B$7))</x:f>
        <x:v>46360</x:v>
      </x:c>
      <x:c r="B1688" t="str">
        <x:f>IF($A1688="","",INDEX(Assumptions!$D$5:$D$12,MOD(ROW()-2,Assumptions!$B$7)+1))</x:f>
        <x:v>LV-426 North</x:v>
      </x:c>
      <x:c r="C1688" s="11" t="n">
        <x:f>IF($A1688="","",INDEX(Assumptions!$F$5:$F$12,MATCH($B1688,Assumptions!$D$5:$D$12,0)))</x:f>
        <x:v>930</x:v>
      </x:c>
      <x:c r="D1688" s="11" t="n">
        <x:f>IF($A1688="","",INDEX(Assumptions!$G$5:$G$12,MATCH($B1688,Assumptions!$D$5:$D$12,0)))</x:f>
        <x:v>95</x:v>
      </x:c>
      <x:c r="E1688" s="11" t="n">
        <x:f>IF($A1688="","",INDEX(Assumptions!$M$5:$M$11,WEEKDAY($A1688,2)))</x:f>
        <x:v>0.98</x:v>
      </x:c>
      <x:c r="F1688" s="11" t="n">
        <x:f>IF($A1688="","",Assumptions!$B$15)</x:f>
        <x:v>0.35</x:v>
      </x:c>
      <x:c r="G1688" s="11" t="n">
        <x:f>IF($A1688="","",MAX(INDEX(Assumptions!$H$5:$H$12,MATCH($B1688,Assumptions!$D$5:$D$12,0)),MIN(INDEX(Assumptions!$I$5:$I$12,MATCH($B1688,Assumptions!$D$5:$D$12,0)),($C1688+$D1688*SQRT(-2*LN(RAND()))*COS(2*PI()*RAND()))*$E1688*$J1688*$K1688)))</x:f>
        <x:v>891.8501416276473</x:v>
      </x:c>
      <x:c r="H1688" s="11" t="n">
        <x:f>IF($A1688="","",$G1688*$F1688+$C1688*(1-$F1688))</x:f>
        <x:v>916.6475495696766</x:v>
      </x:c>
      <x:c r="I1688" s="11" t="n">
        <x:f>IF($A1688="","",AVERAGE($H1688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918.6921393126505</x:v>
      </x:c>
      <x:c r="J1688" s="12" t="n">
        <x:f>IF($A1688="","",1+SUMIFS(Assumptions!$S$5:$S$10,Assumptions!$P$5:$P$10,$B1688,Assumptions!$Q$5:$Q$10,"&lt;="&amp;$A1688,Assumptions!$R$5:$R$10,"&gt;="&amp;$A1688))</x:f>
        <x:v>1</x:v>
      </x:c>
      <x:c r="K1688" s="12" t="n">
        <x:f>IF($A1688="","",1+((($A1688-Assumptions!$B$5)/30)*INDEX(Assumptions!$J$5:$J$12,MATCH($B1688,Assumptions!$D$5:$D$12,0))))</x:f>
        <x:v>0.9887666666666667</x:v>
      </x:c>
      <x:c r="L1688" t="str">
        <x:f>IF($A1688="","",IFERROR(INDEX(Assumptions!$O$5:$O$10,MATCH(1,(Assumptions!$P$5:$P$10=$B1688)*(Assumptions!$Q$5:$Q$10&lt;=$A1688)*(Assumptions!$R$5:$R$10&gt;=$A1688),0)),""))</x:f>
      </x:c>
      <x:c r="M1688" t="n">
        <x:f>--($A1688&lt;&gt;"")</x:f>
        <x:v>1</x:v>
      </x:c>
    </x:row>
    <x:row r="1689">
      <x:c r="A1689" s="10" t="n">
        <x:f>IF(Assumptions!$B$5+INT((ROW()-2)/Assumptions!$B$7)&gt;Assumptions!$B$6,"",Assumptions!$B$5+INT((ROW()-2)/Assumptions!$B$7))</x:f>
        <x:v>46360</x:v>
      </x:c>
      <x:c r="B1689" t="str">
        <x:f>IF($A1689="","",INDEX(Assumptions!$D$5:$D$12,MOD(ROW()-2,Assumptions!$B$7)+1))</x:f>
        <x:v>Nostromo Deep</x:v>
      </x:c>
      <x:c r="C1689" s="11" t="n">
        <x:f>IF($A1689="","",INDEX(Assumptions!$F$5:$F$12,MATCH($B1689,Assumptions!$D$5:$D$12,0)))</x:f>
        <x:v>1260</x:v>
      </x:c>
      <x:c r="D1689" s="11" t="n">
        <x:f>IF($A1689="","",INDEX(Assumptions!$G$5:$G$12,MATCH($B1689,Assumptions!$D$5:$D$12,0)))</x:f>
        <x:v>145</x:v>
      </x:c>
      <x:c r="E1689" s="11" t="n">
        <x:f>IF($A1689="","",INDEX(Assumptions!$M$5:$M$11,WEEKDAY($A1689,2)))</x:f>
        <x:v>0.98</x:v>
      </x:c>
      <x:c r="F1689" s="11" t="n">
        <x:f>IF($A1689="","",Assumptions!$B$15)</x:f>
        <x:v>0.35</x:v>
      </x:c>
      <x:c r="G1689" s="11" t="n">
        <x:f>IF($A1689="","",MAX(INDEX(Assumptions!$H$5:$H$12,MATCH($B1689,Assumptions!$D$5:$D$12,0)),MIN(INDEX(Assumptions!$I$5:$I$12,MATCH($B1689,Assumptions!$D$5:$D$12,0)),($C1689+$D1689*SQRT(-2*LN(RAND()))*COS(2*PI()*RAND()))*$E1689*$J1689*$K1689)))</x:f>
        <x:v>1216.950103832055</x:v>
      </x:c>
      <x:c r="H1689" s="11" t="n">
        <x:f>IF($A1689="","",$G1689*$F1689+$C1689*(1-$F1689))</x:f>
        <x:v>1244.9325363412192</x:v>
      </x:c>
      <x:c r="I1689" s="11" t="n">
        <x:f>IF($A1689="","",AVERAGE($H1689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1289.7155137525954</x:v>
      </x:c>
      <x:c r="J1689" s="12" t="n">
        <x:f>IF($A1689="","",1+SUMIFS(Assumptions!$S$5:$S$10,Assumptions!$P$5:$P$10,$B1689,Assumptions!$Q$5:$Q$10,"&lt;="&amp;$A1689,Assumptions!$R$5:$R$10,"&gt;="&amp;$A1689))</x:f>
        <x:v>1</x:v>
      </x:c>
      <x:c r="K1689" s="12" t="n">
        <x:f>IF($A1689="","",1+((($A1689-Assumptions!$B$5)/30)*INDEX(Assumptions!$J$5:$J$12,MATCH($B1689,Assumptions!$D$5:$D$12,0))))</x:f>
        <x:v>1.0337</x:v>
      </x:c>
      <x:c r="L1689" t="str">
        <x:f>IF($A1689="","",IFERROR(INDEX(Assumptions!$O$5:$O$10,MATCH(1,(Assumptions!$P$5:$P$10=$B1689)*(Assumptions!$Q$5:$Q$10&lt;=$A1689)*(Assumptions!$R$5:$R$10&gt;=$A1689),0)),""))</x:f>
      </x:c>
      <x:c r="M1689" t="n">
        <x:f>--($A1689&lt;&gt;"")</x:f>
        <x:v>1</x:v>
      </x:c>
    </x:row>
    <x:row r="1690">
      <x:c r="A1690" s="10" t="n">
        <x:f>IF(Assumptions!$B$5+INT((ROW()-2)/Assumptions!$B$7)&gt;Assumptions!$B$6,"",Assumptions!$B$5+INT((ROW()-2)/Assumptions!$B$7))</x:f>
        <x:v>46360</x:v>
      </x:c>
      <x:c r="B1690" t="str">
        <x:f>IF($A1690="","",INDEX(Assumptions!$D$5:$D$12,MOD(ROW()-2,Assumptions!$B$7)+1))</x:f>
        <x:v>Hadley's Hope</x:v>
      </x:c>
      <x:c r="C1690" s="11" t="n">
        <x:f>IF($A1690="","",INDEX(Assumptions!$F$5:$F$12,MATCH($B1690,Assumptions!$D$5:$D$12,0)))</x:f>
        <x:v>845</x:v>
      </x:c>
      <x:c r="D1690" s="11" t="n">
        <x:f>IF($A1690="","",INDEX(Assumptions!$G$5:$G$12,MATCH($B1690,Assumptions!$D$5:$D$12,0)))</x:f>
        <x:v>80</x:v>
      </x:c>
      <x:c r="E1690" s="11" t="n">
        <x:f>IF($A1690="","",INDEX(Assumptions!$M$5:$M$11,WEEKDAY($A1690,2)))</x:f>
        <x:v>0.98</x:v>
      </x:c>
      <x:c r="F1690" s="11" t="n">
        <x:f>IF($A1690="","",Assumptions!$B$15)</x:f>
        <x:v>0.35</x:v>
      </x:c>
      <x:c r="G1690" s="11" t="n">
        <x:f>IF($A1690="","",MAX(INDEX(Assumptions!$H$5:$H$12,MATCH($B1690,Assumptions!$D$5:$D$12,0)),MIN(INDEX(Assumptions!$I$5:$I$12,MATCH($B1690,Assumptions!$D$5:$D$12,0)),($C1690+$D1690*SQRT(-2*LN(RAND()))*COS(2*PI()*RAND()))*$E1690*$J1690*$K1690)))</x:f>
        <x:v>926.4058734223659</x:v>
      </x:c>
      <x:c r="H1690" s="11" t="n">
        <x:f>IF($A1690="","",$G1690*$F1690+$C1690*(1-$F1690))</x:f>
        <x:v>873.492055697828</x:v>
      </x:c>
      <x:c r="I1690" s="11" t="n">
        <x:f>IF($A1690="","",AVERAGE($H1690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847.2266340887926</x:v>
      </x:c>
      <x:c r="J1690" s="12" t="n">
        <x:f>IF($A1690="","",1+SUMIFS(Assumptions!$S$5:$S$10,Assumptions!$P$5:$P$10,$B1690,Assumptions!$Q$5:$Q$10,"&lt;="&amp;$A1690,Assumptions!$R$5:$R$10,"&gt;="&amp;$A1690))</x:f>
        <x:v>1</x:v>
      </x:c>
      <x:c r="K1690" s="12" t="n">
        <x:f>IF($A1690="","",1+((($A1690-Assumptions!$B$5)/30)*INDEX(Assumptions!$J$5:$J$12,MATCH($B1690,Assumptions!$D$5:$D$12,0))))</x:f>
        <x:v>1.0112333333333334</x:v>
      </x:c>
      <x:c r="L1690" t="str">
        <x:f>IF($A1690="","",IFERROR(INDEX(Assumptions!$O$5:$O$10,MATCH(1,(Assumptions!$P$5:$P$10=$B1690)*(Assumptions!$Q$5:$Q$10&lt;=$A1690)*(Assumptions!$R$5:$R$10&gt;=$A1690),0)),""))</x:f>
      </x:c>
      <x:c r="M1690" t="n">
        <x:f>--($A1690&lt;&gt;"")</x:f>
        <x:v>1</x:v>
      </x:c>
    </x:row>
    <x:row r="1691">
      <x:c r="A1691" s="10" t="n">
        <x:f>IF(Assumptions!$B$5+INT((ROW()-2)/Assumptions!$B$7)&gt;Assumptions!$B$6,"",Assumptions!$B$5+INT((ROW()-2)/Assumptions!$B$7))</x:f>
        <x:v>46360</x:v>
      </x:c>
      <x:c r="B1691" t="str">
        <x:f>IF($A1691="","",INDEX(Assumptions!$D$5:$D$12,MOD(ROW()-2,Assumptions!$B$7)+1))</x:f>
        <x:v>Yutani Ridge</x:v>
      </x:c>
      <x:c r="C1691" s="11" t="n">
        <x:f>IF($A1691="","",INDEX(Assumptions!$F$5:$F$12,MATCH($B1691,Assumptions!$D$5:$D$12,0)))</x:f>
        <x:v>1050</x:v>
      </x:c>
      <x:c r="D1691" s="11" t="n">
        <x:f>IF($A1691="","",INDEX(Assumptions!$G$5:$G$12,MATCH($B1691,Assumptions!$D$5:$D$12,0)))</x:f>
        <x:v>125</x:v>
      </x:c>
      <x:c r="E1691" s="11" t="n">
        <x:f>IF($A1691="","",INDEX(Assumptions!$M$5:$M$11,WEEKDAY($A1691,2)))</x:f>
        <x:v>0.98</x:v>
      </x:c>
      <x:c r="F1691" s="11" t="n">
        <x:f>IF($A1691="","",Assumptions!$B$15)</x:f>
        <x:v>0.35</x:v>
      </x:c>
      <x:c r="G1691" s="11" t="n">
        <x:f>IF($A1691="","",MAX(INDEX(Assumptions!$H$5:$H$12,MATCH($B1691,Assumptions!$D$5:$D$12,0)),MIN(INDEX(Assumptions!$I$5:$I$12,MATCH($B1691,Assumptions!$D$5:$D$12,0)),($C1691+$D1691*SQRT(-2*LN(RAND()))*COS(2*PI()*RAND()))*$E1691*$J1691*$K1691)))</x:f>
        <x:v>933.7116200644444</x:v>
      </x:c>
      <x:c r="H1691" s="11" t="n">
        <x:f>IF($A1691="","",$G1691*$F1691+$C1691*(1-$F1691))</x:f>
        <x:v>1009.2990670225556</x:v>
      </x:c>
      <x:c r="I1691" s="11" t="n">
        <x:f>IF($A1691="","",AVERAGE($H1691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1057.1391840538301</x:v>
      </x:c>
      <x:c r="J1691" s="12" t="n">
        <x:f>IF($A1691="","",1+SUMIFS(Assumptions!$S$5:$S$10,Assumptions!$P$5:$P$10,$B1691,Assumptions!$Q$5:$Q$10,"&lt;="&amp;$A1691,Assumptions!$R$5:$R$10,"&gt;="&amp;$A1691))</x:f>
        <x:v>1</x:v>
      </x:c>
      <x:c r="K1691" s="12" t="n">
        <x:f>IF($A1691="","",1+((($A1691-Assumptions!$B$5)/30)*INDEX(Assumptions!$J$5:$J$12,MATCH($B1691,Assumptions!$D$5:$D$12,0))))</x:f>
        <x:v>1.0280833333333332</x:v>
      </x:c>
      <x:c r="L1691" t="str">
        <x:f>IF($A1691="","",IFERROR(INDEX(Assumptions!$O$5:$O$10,MATCH(1,(Assumptions!$P$5:$P$10=$B1691)*(Assumptions!$Q$5:$Q$10&lt;=$A1691)*(Assumptions!$R$5:$R$10&gt;=$A1691),0)),""))</x:f>
      </x:c>
      <x:c r="M1691" t="n">
        <x:f>--($A1691&lt;&gt;"")</x:f>
        <x:v>1</x:v>
      </x:c>
    </x:row>
    <x:row r="1692">
      <x:c r="A1692" s="10" t="n">
        <x:f>IF(Assumptions!$B$5+INT((ROW()-2)/Assumptions!$B$7)&gt;Assumptions!$B$6,"",Assumptions!$B$5+INT((ROW()-2)/Assumptions!$B$7))</x:f>
        <x:v>46361</x:v>
      </x:c>
      <x:c r="B1692" t="str">
        <x:f>IF($A1692="","",INDEX(Assumptions!$D$5:$D$12,MOD(ROW()-2,Assumptions!$B$7)+1))</x:f>
        <x:v>Acheron Prime</x:v>
      </x:c>
      <x:c r="C1692" s="11" t="n">
        <x:f>IF($A1692="","",INDEX(Assumptions!$F$5:$F$12,MATCH($B1692,Assumptions!$D$5:$D$12,0)))</x:f>
        <x:v>1120</x:v>
      </x:c>
      <x:c r="D1692" s="11" t="n">
        <x:f>IF($A1692="","",INDEX(Assumptions!$G$5:$G$12,MATCH($B1692,Assumptions!$D$5:$D$12,0)))</x:f>
        <x:v>115</x:v>
      </x:c>
      <x:c r="E1692" s="11" t="n">
        <x:f>IF($A1692="","",INDEX(Assumptions!$M$5:$M$11,WEEKDAY($A1692,2)))</x:f>
        <x:v>0.91</x:v>
      </x:c>
      <x:c r="F1692" s="11" t="n">
        <x:f>IF($A1692="","",Assumptions!$B$15)</x:f>
        <x:v>0.35</x:v>
      </x:c>
      <x:c r="G1692" s="11" t="n">
        <x:f>IF($A1692="","",MAX(INDEX(Assumptions!$H$5:$H$12,MATCH($B1692,Assumptions!$D$5:$D$12,0)),MIN(INDEX(Assumptions!$I$5:$I$12,MATCH($B1692,Assumptions!$D$5:$D$12,0)),($C1692+$D1692*SQRT(-2*LN(RAND()))*COS(2*PI()*RAND()))*$E1692*$J1692*$K1692)))</x:f>
        <x:v>1091.310611918738</x:v>
      </x:c>
      <x:c r="H1692" s="11" t="n">
        <x:f>IF($A1692="","",$G1692*$F1692+$C1692*(1-$F1692))</x:f>
        <x:v>1109.9587141715583</x:v>
      </x:c>
      <x:c r="I1692" s="11" t="n">
        <x:f>IF($A1692="","",AVERAGE($H1692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1144.848184528212</x:v>
      </x:c>
      <x:c r="J1692" s="12" t="n">
        <x:f>IF($A1692="","",1+SUMIFS(Assumptions!$S$5:$S$10,Assumptions!$P$5:$P$10,$B1692,Assumptions!$Q$5:$Q$10,"&lt;="&amp;$A1692,Assumptions!$R$5:$R$10,"&gt;="&amp;$A1692))</x:f>
        <x:v>1</x:v>
      </x:c>
      <x:c r="K1692" s="12" t="n">
        <x:f>IF($A1692="","",1+((($A1692-Assumptions!$B$5)/30)*INDEX(Assumptions!$J$5:$J$12,MATCH($B1692,Assumptions!$D$5:$D$12,0))))</x:f>
        <x:v>1.0225333333333333</x:v>
      </x:c>
      <x:c r="L1692" t="str">
        <x:f>IF($A1692="","",IFERROR(INDEX(Assumptions!$O$5:$O$10,MATCH(1,(Assumptions!$P$5:$P$10=$B1692)*(Assumptions!$Q$5:$Q$10&lt;=$A1692)*(Assumptions!$R$5:$R$10&gt;=$A1692),0)),""))</x:f>
      </x:c>
      <x:c r="M1692" t="n">
        <x:f>--($A1692&lt;&gt;"")</x:f>
        <x:v>1</x:v>
      </x:c>
    </x:row>
    <x:row r="1693">
      <x:c r="A1693" s="10" t="n">
        <x:f>IF(Assumptions!$B$5+INT((ROW()-2)/Assumptions!$B$7)&gt;Assumptions!$B$6,"",Assumptions!$B$5+INT((ROW()-2)/Assumptions!$B$7))</x:f>
        <x:v>46361</x:v>
      </x:c>
      <x:c r="B1693" t="str">
        <x:f>IF($A1693="","",INDEX(Assumptions!$D$5:$D$12,MOD(ROW()-2,Assumptions!$B$7)+1))</x:f>
        <x:v>LV-426 North</x:v>
      </x:c>
      <x:c r="C1693" s="11" t="n">
        <x:f>IF($A1693="","",INDEX(Assumptions!$F$5:$F$12,MATCH($B1693,Assumptions!$D$5:$D$12,0)))</x:f>
        <x:v>930</x:v>
      </x:c>
      <x:c r="D1693" s="11" t="n">
        <x:f>IF($A1693="","",INDEX(Assumptions!$G$5:$G$12,MATCH($B1693,Assumptions!$D$5:$D$12,0)))</x:f>
        <x:v>95</x:v>
      </x:c>
      <x:c r="E1693" s="11" t="n">
        <x:f>IF($A1693="","",INDEX(Assumptions!$M$5:$M$11,WEEKDAY($A1693,2)))</x:f>
        <x:v>0.91</x:v>
      </x:c>
      <x:c r="F1693" s="11" t="n">
        <x:f>IF($A1693="","",Assumptions!$B$15)</x:f>
        <x:v>0.35</x:v>
      </x:c>
      <x:c r="G1693" s="11" t="n">
        <x:f>IF($A1693="","",MAX(INDEX(Assumptions!$H$5:$H$12,MATCH($B1693,Assumptions!$D$5:$D$12,0)),MIN(INDEX(Assumptions!$I$5:$I$12,MATCH($B1693,Assumptions!$D$5:$D$12,0)),($C1693+$D1693*SQRT(-2*LN(RAND()))*COS(2*PI()*RAND()))*$E1693*$J1693*$K1693)))</x:f>
        <x:v>824.9227987620536</x:v>
      </x:c>
      <x:c r="H1693" s="11" t="n">
        <x:f>IF($A1693="","",$G1693*$F1693+$C1693*(1-$F1693))</x:f>
        <x:v>893.2229795667188</x:v>
      </x:c>
      <x:c r="I1693" s="11" t="n">
        <x:f>IF($A1693="","",AVERAGE($H1693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912.7465335796954</x:v>
      </x:c>
      <x:c r="J1693" s="12" t="n">
        <x:f>IF($A1693="","",1+SUMIFS(Assumptions!$S$5:$S$10,Assumptions!$P$5:$P$10,$B1693,Assumptions!$Q$5:$Q$10,"&lt;="&amp;$A1693,Assumptions!$R$5:$R$10,"&gt;="&amp;$A1693))</x:f>
        <x:v>1</x:v>
      </x:c>
      <x:c r="K1693" s="12" t="n">
        <x:f>IF($A1693="","",1+((($A1693-Assumptions!$B$5)/30)*INDEX(Assumptions!$J$5:$J$12,MATCH($B1693,Assumptions!$D$5:$D$12,0))))</x:f>
        <x:v>0.9887333333333334</x:v>
      </x:c>
      <x:c r="L1693" t="str">
        <x:f>IF($A1693="","",IFERROR(INDEX(Assumptions!$O$5:$O$10,MATCH(1,(Assumptions!$P$5:$P$10=$B1693)*(Assumptions!$Q$5:$Q$10&lt;=$A1693)*(Assumptions!$R$5:$R$10&gt;=$A1693),0)),""))</x:f>
      </x:c>
      <x:c r="M1693" t="n">
        <x:f>--($A1693&lt;&gt;"")</x:f>
        <x:v>1</x:v>
      </x:c>
    </x:row>
    <x:row r="1694">
      <x:c r="A1694" s="10" t="n">
        <x:f>IF(Assumptions!$B$5+INT((ROW()-2)/Assumptions!$B$7)&gt;Assumptions!$B$6,"",Assumptions!$B$5+INT((ROW()-2)/Assumptions!$B$7))</x:f>
        <x:v>46361</x:v>
      </x:c>
      <x:c r="B1694" t="str">
        <x:f>IF($A1694="","",INDEX(Assumptions!$D$5:$D$12,MOD(ROW()-2,Assumptions!$B$7)+1))</x:f>
        <x:v>Nostromo Deep</x:v>
      </x:c>
      <x:c r="C1694" s="11" t="n">
        <x:f>IF($A1694="","",INDEX(Assumptions!$F$5:$F$12,MATCH($B1694,Assumptions!$D$5:$D$12,0)))</x:f>
        <x:v>1260</x:v>
      </x:c>
      <x:c r="D1694" s="11" t="n">
        <x:f>IF($A1694="","",INDEX(Assumptions!$G$5:$G$12,MATCH($B1694,Assumptions!$D$5:$D$12,0)))</x:f>
        <x:v>145</x:v>
      </x:c>
      <x:c r="E1694" s="11" t="n">
        <x:f>IF($A1694="","",INDEX(Assumptions!$M$5:$M$11,WEEKDAY($A1694,2)))</x:f>
        <x:v>0.91</x:v>
      </x:c>
      <x:c r="F1694" s="11" t="n">
        <x:f>IF($A1694="","",Assumptions!$B$15)</x:f>
        <x:v>0.35</x:v>
      </x:c>
      <x:c r="G1694" s="11" t="n">
        <x:f>IF($A1694="","",MAX(INDEX(Assumptions!$H$5:$H$12,MATCH($B1694,Assumptions!$D$5:$D$12,0)),MIN(INDEX(Assumptions!$I$5:$I$12,MATCH($B1694,Assumptions!$D$5:$D$12,0)),($C1694+$D1694*SQRT(-2*LN(RAND()))*COS(2*PI()*RAND()))*$E1694*$J1694*$K1694)))</x:f>
        <x:v>1154.2846942242504</x:v>
      </x:c>
      <x:c r="H1694" s="11" t="n">
        <x:f>IF($A1694="","",$G1694*$F1694+$C1694*(1-$F1694))</x:f>
        <x:v>1222.9996429784876</x:v>
      </x:c>
      <x:c r="I1694" s="11" t="n">
        <x:f>IF($A1694="","",AVERAGE($H1694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1291.3229022148903</x:v>
      </x:c>
      <x:c r="J1694" s="12" t="n">
        <x:f>IF($A1694="","",1+SUMIFS(Assumptions!$S$5:$S$10,Assumptions!$P$5:$P$10,$B1694,Assumptions!$Q$5:$Q$10,"&lt;="&amp;$A1694,Assumptions!$R$5:$R$10,"&gt;="&amp;$A1694))</x:f>
        <x:v>1</x:v>
      </x:c>
      <x:c r="K1694" s="12" t="n">
        <x:f>IF($A1694="","",1+((($A1694-Assumptions!$B$5)/30)*INDEX(Assumptions!$J$5:$J$12,MATCH($B1694,Assumptions!$D$5:$D$12,0))))</x:f>
        <x:v>1.0338</x:v>
      </x:c>
      <x:c r="L1694" t="str">
        <x:f>IF($A1694="","",IFERROR(INDEX(Assumptions!$O$5:$O$10,MATCH(1,(Assumptions!$P$5:$P$10=$B1694)*(Assumptions!$Q$5:$Q$10&lt;=$A1694)*(Assumptions!$R$5:$R$10&gt;=$A1694),0)),""))</x:f>
      </x:c>
      <x:c r="M1694" t="n">
        <x:f>--($A1694&lt;&gt;"")</x:f>
        <x:v>1</x:v>
      </x:c>
    </x:row>
    <x:row r="1695">
      <x:c r="A1695" s="10" t="n">
        <x:f>IF(Assumptions!$B$5+INT((ROW()-2)/Assumptions!$B$7)&gt;Assumptions!$B$6,"",Assumptions!$B$5+INT((ROW()-2)/Assumptions!$B$7))</x:f>
        <x:v>46361</x:v>
      </x:c>
      <x:c r="B1695" t="str">
        <x:f>IF($A1695="","",INDEX(Assumptions!$D$5:$D$12,MOD(ROW()-2,Assumptions!$B$7)+1))</x:f>
        <x:v>Hadley's Hope</x:v>
      </x:c>
      <x:c r="C1695" s="11" t="n">
        <x:f>IF($A1695="","",INDEX(Assumptions!$F$5:$F$12,MATCH($B1695,Assumptions!$D$5:$D$12,0)))</x:f>
        <x:v>845</x:v>
      </x:c>
      <x:c r="D1695" s="11" t="n">
        <x:f>IF($A1695="","",INDEX(Assumptions!$G$5:$G$12,MATCH($B1695,Assumptions!$D$5:$D$12,0)))</x:f>
        <x:v>80</x:v>
      </x:c>
      <x:c r="E1695" s="11" t="n">
        <x:f>IF($A1695="","",INDEX(Assumptions!$M$5:$M$11,WEEKDAY($A1695,2)))</x:f>
        <x:v>0.91</x:v>
      </x:c>
      <x:c r="F1695" s="11" t="n">
        <x:f>IF($A1695="","",Assumptions!$B$15)</x:f>
        <x:v>0.35</x:v>
      </x:c>
      <x:c r="G1695" s="11" t="n">
        <x:f>IF($A1695="","",MAX(INDEX(Assumptions!$H$5:$H$12,MATCH($B1695,Assumptions!$D$5:$D$12,0)),MIN(INDEX(Assumptions!$I$5:$I$12,MATCH($B1695,Assumptions!$D$5:$D$12,0)),($C1695+$D1695*SQRT(-2*LN(RAND()))*COS(2*PI()*RAND()))*$E1695*$J1695*$K1695)))</x:f>
        <x:v>789.591702597635</x:v>
      </x:c>
      <x:c r="H1695" s="11" t="n">
        <x:f>IF($A1695="","",$G1695*$F1695+$C1695*(1-$F1695))</x:f>
        <x:v>825.6070959091722</x:v>
      </x:c>
      <x:c r="I1695" s="11" t="n">
        <x:f>IF($A1695="","",AVERAGE($H1695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846.1153848455598</x:v>
      </x:c>
      <x:c r="J1695" s="12" t="n">
        <x:f>IF($A1695="","",1+SUMIFS(Assumptions!$S$5:$S$10,Assumptions!$P$5:$P$10,$B1695,Assumptions!$Q$5:$Q$10,"&lt;="&amp;$A1695,Assumptions!$R$5:$R$10,"&gt;="&amp;$A1695))</x:f>
        <x:v>1</x:v>
      </x:c>
      <x:c r="K1695" s="12" t="n">
        <x:f>IF($A1695="","",1+((($A1695-Assumptions!$B$5)/30)*INDEX(Assumptions!$J$5:$J$12,MATCH($B1695,Assumptions!$D$5:$D$12,0))))</x:f>
        <x:v>1.0112666666666668</x:v>
      </x:c>
      <x:c r="L1695" t="str">
        <x:f>IF($A1695="","",IFERROR(INDEX(Assumptions!$O$5:$O$10,MATCH(1,(Assumptions!$P$5:$P$10=$B1695)*(Assumptions!$Q$5:$Q$10&lt;=$A1695)*(Assumptions!$R$5:$R$10&gt;=$A1695),0)),""))</x:f>
      </x:c>
      <x:c r="M1695" t="n">
        <x:f>--($A1695&lt;&gt;"")</x:f>
        <x:v>1</x:v>
      </x:c>
    </x:row>
    <x:row r="1696">
      <x:c r="A1696" s="10" t="n">
        <x:f>IF(Assumptions!$B$5+INT((ROW()-2)/Assumptions!$B$7)&gt;Assumptions!$B$6,"",Assumptions!$B$5+INT((ROW()-2)/Assumptions!$B$7))</x:f>
        <x:v>46361</x:v>
      </x:c>
      <x:c r="B1696" t="str">
        <x:f>IF($A1696="","",INDEX(Assumptions!$D$5:$D$12,MOD(ROW()-2,Assumptions!$B$7)+1))</x:f>
        <x:v>Yutani Ridge</x:v>
      </x:c>
      <x:c r="C1696" s="11" t="n">
        <x:f>IF($A1696="","",INDEX(Assumptions!$F$5:$F$12,MATCH($B1696,Assumptions!$D$5:$D$12,0)))</x:f>
        <x:v>1050</x:v>
      </x:c>
      <x:c r="D1696" s="11" t="n">
        <x:f>IF($A1696="","",INDEX(Assumptions!$G$5:$G$12,MATCH($B1696,Assumptions!$D$5:$D$12,0)))</x:f>
        <x:v>125</x:v>
      </x:c>
      <x:c r="E1696" s="11" t="n">
        <x:f>IF($A1696="","",INDEX(Assumptions!$M$5:$M$11,WEEKDAY($A1696,2)))</x:f>
        <x:v>0.91</x:v>
      </x:c>
      <x:c r="F1696" s="11" t="n">
        <x:f>IF($A1696="","",Assumptions!$B$15)</x:f>
        <x:v>0.35</x:v>
      </x:c>
      <x:c r="G1696" s="11" t="n">
        <x:f>IF($A1696="","",MAX(INDEX(Assumptions!$H$5:$H$12,MATCH($B1696,Assumptions!$D$5:$D$12,0)),MIN(INDEX(Assumptions!$I$5:$I$12,MATCH($B1696,Assumptions!$D$5:$D$12,0)),($C1696+$D1696*SQRT(-2*LN(RAND()))*COS(2*PI()*RAND()))*$E1696*$J1696*$K1696)))</x:f>
        <x:v>1096.2865979140167</x:v>
      </x:c>
      <x:c r="H1696" s="11" t="n">
        <x:f>IF($A1696="","",$G1696*$F1696+$C1696*(1-$F1696))</x:f>
        <x:v>1066.2003092699058</x:v>
      </x:c>
      <x:c r="I1696" s="11" t="n">
        <x:f>IF($A1696="","",AVERAGE($H1696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1065.9299255693247</x:v>
      </x:c>
      <x:c r="J1696" s="12" t="n">
        <x:f>IF($A1696="","",1+SUMIFS(Assumptions!$S$5:$S$10,Assumptions!$P$5:$P$10,$B1696,Assumptions!$Q$5:$Q$10,"&lt;="&amp;$A1696,Assumptions!$R$5:$R$10,"&gt;="&amp;$A1696))</x:f>
        <x:v>1</x:v>
      </x:c>
      <x:c r="K1696" s="12" t="n">
        <x:f>IF($A1696="","",1+((($A1696-Assumptions!$B$5)/30)*INDEX(Assumptions!$J$5:$J$12,MATCH($B1696,Assumptions!$D$5:$D$12,0))))</x:f>
        <x:v>1.0281666666666667</x:v>
      </x:c>
      <x:c r="L1696" t="str">
        <x:f>IF($A1696="","",IFERROR(INDEX(Assumptions!$O$5:$O$10,MATCH(1,(Assumptions!$P$5:$P$10=$B1696)*(Assumptions!$Q$5:$Q$10&lt;=$A1696)*(Assumptions!$R$5:$R$10&gt;=$A1696),0)),""))</x:f>
      </x:c>
      <x:c r="M1696" t="n">
        <x:f>--($A1696&lt;&gt;"")</x:f>
        <x:v>1</x:v>
      </x:c>
    </x:row>
    <x:row r="1697">
      <x:c r="A1697" s="10" t="n">
        <x:f>IF(Assumptions!$B$5+INT((ROW()-2)/Assumptions!$B$7)&gt;Assumptions!$B$6,"",Assumptions!$B$5+INT((ROW()-2)/Assumptions!$B$7))</x:f>
        <x:v>46362</x:v>
      </x:c>
      <x:c r="B1697" t="str">
        <x:f>IF($A1697="","",INDEX(Assumptions!$D$5:$D$12,MOD(ROW()-2,Assumptions!$B$7)+1))</x:f>
        <x:v>Acheron Prime</x:v>
      </x:c>
      <x:c r="C1697" s="11" t="n">
        <x:f>IF($A1697="","",INDEX(Assumptions!$F$5:$F$12,MATCH($B1697,Assumptions!$D$5:$D$12,0)))</x:f>
        <x:v>1120</x:v>
      </x:c>
      <x:c r="D1697" s="11" t="n">
        <x:f>IF($A1697="","",INDEX(Assumptions!$G$5:$G$12,MATCH($B1697,Assumptions!$D$5:$D$12,0)))</x:f>
        <x:v>115</x:v>
      </x:c>
      <x:c r="E1697" s="11" t="n">
        <x:f>IF($A1697="","",INDEX(Assumptions!$M$5:$M$11,WEEKDAY($A1697,2)))</x:f>
        <x:v>0.87</x:v>
      </x:c>
      <x:c r="F1697" s="11" t="n">
        <x:f>IF($A1697="","",Assumptions!$B$15)</x:f>
        <x:v>0.35</x:v>
      </x:c>
      <x:c r="G1697" s="11" t="n">
        <x:f>IF($A1697="","",MAX(INDEX(Assumptions!$H$5:$H$12,MATCH($B1697,Assumptions!$D$5:$D$12,0)),MIN(INDEX(Assumptions!$I$5:$I$12,MATCH($B1697,Assumptions!$D$5:$D$12,0)),($C1697+$D1697*SQRT(-2*LN(RAND()))*COS(2*PI()*RAND()))*$E1697*$J1697*$K1697)))</x:f>
        <x:v>963.5414108709954</x:v>
      </x:c>
      <x:c r="H1697" s="11" t="n">
        <x:f>IF($A1697="","",$G1697*$F1697+$C1697*(1-$F1697))</x:f>
        <x:v>1065.2394938048483</x:v>
      </x:c>
      <x:c r="I1697" s="11" t="n">
        <x:f>IF($A1697="","",AVERAGE($H1697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1147.7671752094238</x:v>
      </x:c>
      <x:c r="J1697" s="12" t="n">
        <x:f>IF($A1697="","",1+SUMIFS(Assumptions!$S$5:$S$10,Assumptions!$P$5:$P$10,$B1697,Assumptions!$Q$5:$Q$10,"&lt;="&amp;$A1697,Assumptions!$R$5:$R$10,"&gt;="&amp;$A1697))</x:f>
        <x:v>1</x:v>
      </x:c>
      <x:c r="K1697" s="12" t="n">
        <x:f>IF($A1697="","",1+((($A1697-Assumptions!$B$5)/30)*INDEX(Assumptions!$J$5:$J$12,MATCH($B1697,Assumptions!$D$5:$D$12,0))))</x:f>
        <x:v>1.0226</x:v>
      </x:c>
      <x:c r="L1697" t="str">
        <x:f>IF($A1697="","",IFERROR(INDEX(Assumptions!$O$5:$O$10,MATCH(1,(Assumptions!$P$5:$P$10=$B1697)*(Assumptions!$Q$5:$Q$10&lt;=$A1697)*(Assumptions!$R$5:$R$10&gt;=$A1697),0)),""))</x:f>
      </x:c>
      <x:c r="M1697" t="n">
        <x:f>--($A1697&lt;&gt;"")</x:f>
        <x:v>1</x:v>
      </x:c>
    </x:row>
    <x:row r="1698">
      <x:c r="A1698" s="10" t="n">
        <x:f>IF(Assumptions!$B$5+INT((ROW()-2)/Assumptions!$B$7)&gt;Assumptions!$B$6,"",Assumptions!$B$5+INT((ROW()-2)/Assumptions!$B$7))</x:f>
        <x:v>46362</x:v>
      </x:c>
      <x:c r="B1698" t="str">
        <x:f>IF($A1698="","",INDEX(Assumptions!$D$5:$D$12,MOD(ROW()-2,Assumptions!$B$7)+1))</x:f>
        <x:v>LV-426 North</x:v>
      </x:c>
      <x:c r="C1698" s="11" t="n">
        <x:f>IF($A1698="","",INDEX(Assumptions!$F$5:$F$12,MATCH($B1698,Assumptions!$D$5:$D$12,0)))</x:f>
        <x:v>930</x:v>
      </x:c>
      <x:c r="D1698" s="11" t="n">
        <x:f>IF($A1698="","",INDEX(Assumptions!$G$5:$G$12,MATCH($B1698,Assumptions!$D$5:$D$12,0)))</x:f>
        <x:v>95</x:v>
      </x:c>
      <x:c r="E1698" s="11" t="n">
        <x:f>IF($A1698="","",INDEX(Assumptions!$M$5:$M$11,WEEKDAY($A1698,2)))</x:f>
        <x:v>0.87</x:v>
      </x:c>
      <x:c r="F1698" s="11" t="n">
        <x:f>IF($A1698="","",Assumptions!$B$15)</x:f>
        <x:v>0.35</x:v>
      </x:c>
      <x:c r="G1698" s="11" t="n">
        <x:f>IF($A1698="","",MAX(INDEX(Assumptions!$H$5:$H$12,MATCH($B1698,Assumptions!$D$5:$D$12,0)),MIN(INDEX(Assumptions!$I$5:$I$12,MATCH($B1698,Assumptions!$D$5:$D$12,0)),($C1698+$D1698*SQRT(-2*LN(RAND()))*COS(2*PI()*RAND()))*$E1698*$J1698*$K1698)))</x:f>
        <x:v>857.8738702481015</x:v>
      </x:c>
      <x:c r="H1698" s="11" t="n">
        <x:f>IF($A1698="","",$G1698*$F1698+$C1698*(1-$F1698))</x:f>
        <x:v>904.7558545868355</x:v>
      </x:c>
      <x:c r="I1698" s="11" t="n">
        <x:f>IF($A1698="","",AVERAGE($H1698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905.0770092970098</x:v>
      </x:c>
      <x:c r="J1698" s="12" t="n">
        <x:f>IF($A1698="","",1+SUMIFS(Assumptions!$S$5:$S$10,Assumptions!$P$5:$P$10,$B1698,Assumptions!$Q$5:$Q$10,"&lt;="&amp;$A1698,Assumptions!$R$5:$R$10,"&gt;="&amp;$A1698))</x:f>
        <x:v>1</x:v>
      </x:c>
      <x:c r="K1698" s="12" t="n">
        <x:f>IF($A1698="","",1+((($A1698-Assumptions!$B$5)/30)*INDEX(Assumptions!$J$5:$J$12,MATCH($B1698,Assumptions!$D$5:$D$12,0))))</x:f>
        <x:v>0.9887</x:v>
      </x:c>
      <x:c r="L1698" t="str">
        <x:f>IF($A1698="","",IFERROR(INDEX(Assumptions!$O$5:$O$10,MATCH(1,(Assumptions!$P$5:$P$10=$B1698)*(Assumptions!$Q$5:$Q$10&lt;=$A1698)*(Assumptions!$R$5:$R$10&gt;=$A1698),0)),""))</x:f>
      </x:c>
      <x:c r="M1698" t="n">
        <x:f>--($A1698&lt;&gt;"")</x:f>
        <x:v>1</x:v>
      </x:c>
    </x:row>
    <x:row r="1699">
      <x:c r="A1699" s="10" t="n">
        <x:f>IF(Assumptions!$B$5+INT((ROW()-2)/Assumptions!$B$7)&gt;Assumptions!$B$6,"",Assumptions!$B$5+INT((ROW()-2)/Assumptions!$B$7))</x:f>
        <x:v>46362</x:v>
      </x:c>
      <x:c r="B1699" t="str">
        <x:f>IF($A1699="","",INDEX(Assumptions!$D$5:$D$12,MOD(ROW()-2,Assumptions!$B$7)+1))</x:f>
        <x:v>Nostromo Deep</x:v>
      </x:c>
      <x:c r="C1699" s="11" t="n">
        <x:f>IF($A1699="","",INDEX(Assumptions!$F$5:$F$12,MATCH($B1699,Assumptions!$D$5:$D$12,0)))</x:f>
        <x:v>1260</x:v>
      </x:c>
      <x:c r="D1699" s="11" t="n">
        <x:f>IF($A1699="","",INDEX(Assumptions!$G$5:$G$12,MATCH($B1699,Assumptions!$D$5:$D$12,0)))</x:f>
        <x:v>145</x:v>
      </x:c>
      <x:c r="E1699" s="11" t="n">
        <x:f>IF($A1699="","",INDEX(Assumptions!$M$5:$M$11,WEEKDAY($A1699,2)))</x:f>
        <x:v>0.87</x:v>
      </x:c>
      <x:c r="F1699" s="11" t="n">
        <x:f>IF($A1699="","",Assumptions!$B$15)</x:f>
        <x:v>0.35</x:v>
      </x:c>
      <x:c r="G1699" s="11" t="n">
        <x:f>IF($A1699="","",MAX(INDEX(Assumptions!$H$5:$H$12,MATCH($B1699,Assumptions!$D$5:$D$12,0)),MIN(INDEX(Assumptions!$I$5:$I$12,MATCH($B1699,Assumptions!$D$5:$D$12,0)),($C1699+$D1699*SQRT(-2*LN(RAND()))*COS(2*PI()*RAND()))*$E1699*$J1699*$K1699)))</x:f>
        <x:v>1101.1350419696528</x:v>
      </x:c>
      <x:c r="H1699" s="11" t="n">
        <x:f>IF($A1699="","",$G1699*$F1699+$C1699*(1-$F1699))</x:f>
        <x:v>1204.3972646893785</x:v>
      </x:c>
      <x:c r="I1699" s="11" t="n">
        <x:f>IF($A1699="","",AVERAGE($H1699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1269.3048688959825</x:v>
      </x:c>
      <x:c r="J1699" s="12" t="n">
        <x:f>IF($A1699="","",1+SUMIFS(Assumptions!$S$5:$S$10,Assumptions!$P$5:$P$10,$B1699,Assumptions!$Q$5:$Q$10,"&lt;="&amp;$A1699,Assumptions!$R$5:$R$10,"&gt;="&amp;$A1699))</x:f>
        <x:v>1</x:v>
      </x:c>
      <x:c r="K1699" s="12" t="n">
        <x:f>IF($A1699="","",1+((($A1699-Assumptions!$B$5)/30)*INDEX(Assumptions!$J$5:$J$12,MATCH($B1699,Assumptions!$D$5:$D$12,0))))</x:f>
        <x:v>1.0339</x:v>
      </x:c>
      <x:c r="L1699" t="str">
        <x:f>IF($A1699="","",IFERROR(INDEX(Assumptions!$O$5:$O$10,MATCH(1,(Assumptions!$P$5:$P$10=$B1699)*(Assumptions!$Q$5:$Q$10&lt;=$A1699)*(Assumptions!$R$5:$R$10&gt;=$A1699),0)),""))</x:f>
      </x:c>
      <x:c r="M1699" t="n">
        <x:f>--($A1699&lt;&gt;"")</x:f>
        <x:v>1</x:v>
      </x:c>
    </x:row>
    <x:row r="1700">
      <x:c r="A1700" s="10" t="n">
        <x:f>IF(Assumptions!$B$5+INT((ROW()-2)/Assumptions!$B$7)&gt;Assumptions!$B$6,"",Assumptions!$B$5+INT((ROW()-2)/Assumptions!$B$7))</x:f>
        <x:v>46362</x:v>
      </x:c>
      <x:c r="B1700" t="str">
        <x:f>IF($A1700="","",INDEX(Assumptions!$D$5:$D$12,MOD(ROW()-2,Assumptions!$B$7)+1))</x:f>
        <x:v>Hadley's Hope</x:v>
      </x:c>
      <x:c r="C1700" s="11" t="n">
        <x:f>IF($A1700="","",INDEX(Assumptions!$F$5:$F$12,MATCH($B1700,Assumptions!$D$5:$D$12,0)))</x:f>
        <x:v>845</x:v>
      </x:c>
      <x:c r="D1700" s="11" t="n">
        <x:f>IF($A1700="","",INDEX(Assumptions!$G$5:$G$12,MATCH($B1700,Assumptions!$D$5:$D$12,0)))</x:f>
        <x:v>80</x:v>
      </x:c>
      <x:c r="E1700" s="11" t="n">
        <x:f>IF($A1700="","",INDEX(Assumptions!$M$5:$M$11,WEEKDAY($A1700,2)))</x:f>
        <x:v>0.87</x:v>
      </x:c>
      <x:c r="F1700" s="11" t="n">
        <x:f>IF($A1700="","",Assumptions!$B$15)</x:f>
        <x:v>0.35</x:v>
      </x:c>
      <x:c r="G1700" s="11" t="n">
        <x:f>IF($A1700="","",MAX(INDEX(Assumptions!$H$5:$H$12,MATCH($B1700,Assumptions!$D$5:$D$12,0)),MIN(INDEX(Assumptions!$I$5:$I$12,MATCH($B1700,Assumptions!$D$5:$D$12,0)),($C1700+$D1700*SQRT(-2*LN(RAND()))*COS(2*PI()*RAND()))*$E1700*$J1700*$K1700)))</x:f>
        <x:v>702.4329648614728</x:v>
      </x:c>
      <x:c r="H1700" s="11" t="n">
        <x:f>IF($A1700="","",$G1700*$F1700+$C1700*(1-$F1700))</x:f>
        <x:v>795.1015377015154</x:v>
      </x:c>
      <x:c r="I1700" s="11" t="n">
        <x:f>IF($A1700="","",AVERAGE($H1700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844.448363400336</x:v>
      </x:c>
      <x:c r="J1700" s="12" t="n">
        <x:f>IF($A1700="","",1+SUMIFS(Assumptions!$S$5:$S$10,Assumptions!$P$5:$P$10,$B1700,Assumptions!$Q$5:$Q$10,"&lt;="&amp;$A1700,Assumptions!$R$5:$R$10,"&gt;="&amp;$A1700))</x:f>
        <x:v>1</x:v>
      </x:c>
      <x:c r="K1700" s="12" t="n">
        <x:f>IF($A1700="","",1+((($A1700-Assumptions!$B$5)/30)*INDEX(Assumptions!$J$5:$J$12,MATCH($B1700,Assumptions!$D$5:$D$12,0))))</x:f>
        <x:v>1.0113</x:v>
      </x:c>
      <x:c r="L1700" t="str">
        <x:f>IF($A1700="","",IFERROR(INDEX(Assumptions!$O$5:$O$10,MATCH(1,(Assumptions!$P$5:$P$10=$B1700)*(Assumptions!$Q$5:$Q$10&lt;=$A1700)*(Assumptions!$R$5:$R$10&gt;=$A1700),0)),""))</x:f>
      </x:c>
      <x:c r="M1700" t="n">
        <x:f>--($A1700&lt;&gt;"")</x:f>
        <x:v>1</x:v>
      </x:c>
    </x:row>
    <x:row r="1701">
      <x:c r="A1701" s="10" t="n">
        <x:f>IF(Assumptions!$B$5+INT((ROW()-2)/Assumptions!$B$7)&gt;Assumptions!$B$6,"",Assumptions!$B$5+INT((ROW()-2)/Assumptions!$B$7))</x:f>
        <x:v>46362</x:v>
      </x:c>
      <x:c r="B1701" t="str">
        <x:f>IF($A1701="","",INDEX(Assumptions!$D$5:$D$12,MOD(ROW()-2,Assumptions!$B$7)+1))</x:f>
        <x:v>Yutani Ridge</x:v>
      </x:c>
      <x:c r="C1701" s="11" t="n">
        <x:f>IF($A1701="","",INDEX(Assumptions!$F$5:$F$12,MATCH($B1701,Assumptions!$D$5:$D$12,0)))</x:f>
        <x:v>1050</x:v>
      </x:c>
      <x:c r="D1701" s="11" t="n">
        <x:f>IF($A1701="","",INDEX(Assumptions!$G$5:$G$12,MATCH($B1701,Assumptions!$D$5:$D$12,0)))</x:f>
        <x:v>125</x:v>
      </x:c>
      <x:c r="E1701" s="11" t="n">
        <x:f>IF($A1701="","",INDEX(Assumptions!$M$5:$M$11,WEEKDAY($A1701,2)))</x:f>
        <x:v>0.87</x:v>
      </x:c>
      <x:c r="F1701" s="11" t="n">
        <x:f>IF($A1701="","",Assumptions!$B$15)</x:f>
        <x:v>0.35</x:v>
      </x:c>
      <x:c r="G1701" s="11" t="n">
        <x:f>IF($A1701="","",MAX(INDEX(Assumptions!$H$5:$H$12,MATCH($B1701,Assumptions!$D$5:$D$12,0)),MIN(INDEX(Assumptions!$I$5:$I$12,MATCH($B1701,Assumptions!$D$5:$D$12,0)),($C1701+$D1701*SQRT(-2*LN(RAND()))*COS(2*PI()*RAND()))*$E1701*$J1701*$K1701)))</x:f>
        <x:v>752.3117435519381</x:v>
      </x:c>
      <x:c r="H1701" s="11" t="n">
        <x:f>IF($A1701="","",$G1701*$F1701+$C1701*(1-$F1701))</x:f>
        <x:v>945.8091102431783</x:v>
      </x:c>
      <x:c r="I1701" s="11" t="n">
        <x:f>IF($A1701="","",AVERAGE($H1701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1059.5229304077227</x:v>
      </x:c>
      <x:c r="J1701" s="12" t="n">
        <x:f>IF($A1701="","",1+SUMIFS(Assumptions!$S$5:$S$10,Assumptions!$P$5:$P$10,$B1701,Assumptions!$Q$5:$Q$10,"&lt;="&amp;$A1701,Assumptions!$R$5:$R$10,"&gt;="&amp;$A1701))</x:f>
        <x:v>1</x:v>
      </x:c>
      <x:c r="K1701" s="12" t="n">
        <x:f>IF($A1701="","",1+((($A1701-Assumptions!$B$5)/30)*INDEX(Assumptions!$J$5:$J$12,MATCH($B1701,Assumptions!$D$5:$D$12,0))))</x:f>
        <x:v>1.02825</x:v>
      </x:c>
      <x:c r="L1701" t="str">
        <x:f>IF($A1701="","",IFERROR(INDEX(Assumptions!$O$5:$O$10,MATCH(1,(Assumptions!$P$5:$P$10=$B1701)*(Assumptions!$Q$5:$Q$10&lt;=$A1701)*(Assumptions!$R$5:$R$10&gt;=$A1701),0)),""))</x:f>
      </x:c>
      <x:c r="M1701" t="n">
        <x:f>--($A1701&lt;&gt;"")</x:f>
        <x:v>1</x:v>
      </x:c>
    </x:row>
    <x:row r="1702">
      <x:c r="A1702" s="10" t="n">
        <x:f>IF(Assumptions!$B$5+INT((ROW()-2)/Assumptions!$B$7)&gt;Assumptions!$B$6,"",Assumptions!$B$5+INT((ROW()-2)/Assumptions!$B$7))</x:f>
        <x:v>46363</x:v>
      </x:c>
      <x:c r="B1702" t="str">
        <x:f>IF($A1702="","",INDEX(Assumptions!$D$5:$D$12,MOD(ROW()-2,Assumptions!$B$7)+1))</x:f>
        <x:v>Acheron Prime</x:v>
      </x:c>
      <x:c r="C1702" s="11" t="n">
        <x:f>IF($A1702="","",INDEX(Assumptions!$F$5:$F$12,MATCH($B1702,Assumptions!$D$5:$D$12,0)))</x:f>
        <x:v>1120</x:v>
      </x:c>
      <x:c r="D1702" s="11" t="n">
        <x:f>IF($A1702="","",INDEX(Assumptions!$G$5:$G$12,MATCH($B1702,Assumptions!$D$5:$D$12,0)))</x:f>
        <x:v>115</x:v>
      </x:c>
      <x:c r="E1702" s="11" t="n">
        <x:f>IF($A1702="","",INDEX(Assumptions!$M$5:$M$11,WEEKDAY($A1702,2)))</x:f>
        <x:v>1.03</x:v>
      </x:c>
      <x:c r="F1702" s="11" t="n">
        <x:f>IF($A1702="","",Assumptions!$B$15)</x:f>
        <x:v>0.35</x:v>
      </x:c>
      <x:c r="G1702" s="11" t="n">
        <x:f>IF($A1702="","",MAX(INDEX(Assumptions!$H$5:$H$12,MATCH($B1702,Assumptions!$D$5:$D$12,0)),MIN(INDEX(Assumptions!$I$5:$I$12,MATCH($B1702,Assumptions!$D$5:$D$12,0)),($C1702+$D1702*SQRT(-2*LN(RAND()))*COS(2*PI()*RAND()))*$E1702*$J1702*$K1702)))</x:f>
        <x:v>1145.6456810738516</x:v>
      </x:c>
      <x:c r="H1702" s="11" t="n">
        <x:f>IF($A1702="","",$G1702*$F1702+$C1702*(1-$F1702))</x:f>
        <x:v>1128.975988375848</x:v>
      </x:c>
      <x:c r="I1702" s="11" t="n">
        <x:f>IF($A1702="","",AVERAGE($H1702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1144.9024408432929</x:v>
      </x:c>
      <x:c r="J1702" s="12" t="n">
        <x:f>IF($A1702="","",1+SUMIFS(Assumptions!$S$5:$S$10,Assumptions!$P$5:$P$10,$B1702,Assumptions!$Q$5:$Q$10,"&lt;="&amp;$A1702,Assumptions!$R$5:$R$10,"&gt;="&amp;$A1702))</x:f>
        <x:v>1</x:v>
      </x:c>
      <x:c r="K1702" s="12" t="n">
        <x:f>IF($A1702="","",1+((($A1702-Assumptions!$B$5)/30)*INDEX(Assumptions!$J$5:$J$12,MATCH($B1702,Assumptions!$D$5:$D$12,0))))</x:f>
        <x:v>1.0226666666666666</x:v>
      </x:c>
      <x:c r="L1702" t="str">
        <x:f>IF($A1702="","",IFERROR(INDEX(Assumptions!$O$5:$O$10,MATCH(1,(Assumptions!$P$5:$P$10=$B1702)*(Assumptions!$Q$5:$Q$10&lt;=$A1702)*(Assumptions!$R$5:$R$10&gt;=$A1702),0)),""))</x:f>
      </x:c>
      <x:c r="M1702" t="n">
        <x:f>--($A1702&lt;&gt;"")</x:f>
        <x:v>1</x:v>
      </x:c>
    </x:row>
    <x:row r="1703">
      <x:c r="A1703" s="10" t="n">
        <x:f>IF(Assumptions!$B$5+INT((ROW()-2)/Assumptions!$B$7)&gt;Assumptions!$B$6,"",Assumptions!$B$5+INT((ROW()-2)/Assumptions!$B$7))</x:f>
        <x:v>46363</x:v>
      </x:c>
      <x:c r="B1703" t="str">
        <x:f>IF($A1703="","",INDEX(Assumptions!$D$5:$D$12,MOD(ROW()-2,Assumptions!$B$7)+1))</x:f>
        <x:v>LV-426 North</x:v>
      </x:c>
      <x:c r="C1703" s="11" t="n">
        <x:f>IF($A1703="","",INDEX(Assumptions!$F$5:$F$12,MATCH($B1703,Assumptions!$D$5:$D$12,0)))</x:f>
        <x:v>930</x:v>
      </x:c>
      <x:c r="D1703" s="11" t="n">
        <x:f>IF($A1703="","",INDEX(Assumptions!$G$5:$G$12,MATCH($B1703,Assumptions!$D$5:$D$12,0)))</x:f>
        <x:v>95</x:v>
      </x:c>
      <x:c r="E1703" s="11" t="n">
        <x:f>IF($A1703="","",INDEX(Assumptions!$M$5:$M$11,WEEKDAY($A1703,2)))</x:f>
        <x:v>1.03</x:v>
      </x:c>
      <x:c r="F1703" s="11" t="n">
        <x:f>IF($A1703="","",Assumptions!$B$15)</x:f>
        <x:v>0.35</x:v>
      </x:c>
      <x:c r="G1703" s="11" t="n">
        <x:f>IF($A1703="","",MAX(INDEX(Assumptions!$H$5:$H$12,MATCH($B1703,Assumptions!$D$5:$D$12,0)),MIN(INDEX(Assumptions!$I$5:$I$12,MATCH($B1703,Assumptions!$D$5:$D$12,0)),($C1703+$D1703*SQRT(-2*LN(RAND()))*COS(2*PI()*RAND()))*$E1703*$J1703*$K1703)))</x:f>
        <x:v>787.4614662739183</x:v>
      </x:c>
      <x:c r="H1703" s="11" t="n">
        <x:f>IF($A1703="","",$G1703*$F1703+$C1703*(1-$F1703))</x:f>
        <x:v>880.1115131958713</x:v>
      </x:c>
      <x:c r="I1703" s="11" t="n">
        <x:f>IF($A1703="","",AVERAGE($H1703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894.0598866266324</x:v>
      </x:c>
      <x:c r="J1703" s="12" t="n">
        <x:f>IF($A1703="","",1+SUMIFS(Assumptions!$S$5:$S$10,Assumptions!$P$5:$P$10,$B1703,Assumptions!$Q$5:$Q$10,"&lt;="&amp;$A1703,Assumptions!$R$5:$R$10,"&gt;="&amp;$A1703))</x:f>
        <x:v>1</x:v>
      </x:c>
      <x:c r="K1703" s="12" t="n">
        <x:f>IF($A1703="","",1+((($A1703-Assumptions!$B$5)/30)*INDEX(Assumptions!$J$5:$J$12,MATCH($B1703,Assumptions!$D$5:$D$12,0))))</x:f>
        <x:v>0.9886666666666667</x:v>
      </x:c>
      <x:c r="L1703" t="str">
        <x:f>IF($A1703="","",IFERROR(INDEX(Assumptions!$O$5:$O$10,MATCH(1,(Assumptions!$P$5:$P$10=$B1703)*(Assumptions!$Q$5:$Q$10&lt;=$A1703)*(Assumptions!$R$5:$R$10&gt;=$A1703),0)),""))</x:f>
      </x:c>
      <x:c r="M1703" t="n">
        <x:f>--($A1703&lt;&gt;"")</x:f>
        <x:v>1</x:v>
      </x:c>
    </x:row>
    <x:row r="1704">
      <x:c r="A1704" s="10" t="n">
        <x:f>IF(Assumptions!$B$5+INT((ROW()-2)/Assumptions!$B$7)&gt;Assumptions!$B$6,"",Assumptions!$B$5+INT((ROW()-2)/Assumptions!$B$7))</x:f>
        <x:v>46363</x:v>
      </x:c>
      <x:c r="B1704" t="str">
        <x:f>IF($A1704="","",INDEX(Assumptions!$D$5:$D$12,MOD(ROW()-2,Assumptions!$B$7)+1))</x:f>
        <x:v>Nostromo Deep</x:v>
      </x:c>
      <x:c r="C1704" s="11" t="n">
        <x:f>IF($A1704="","",INDEX(Assumptions!$F$5:$F$12,MATCH($B1704,Assumptions!$D$5:$D$12,0)))</x:f>
        <x:v>1260</x:v>
      </x:c>
      <x:c r="D1704" s="11" t="n">
        <x:f>IF($A1704="","",INDEX(Assumptions!$G$5:$G$12,MATCH($B1704,Assumptions!$D$5:$D$12,0)))</x:f>
        <x:v>145</x:v>
      </x:c>
      <x:c r="E1704" s="11" t="n">
        <x:f>IF($A1704="","",INDEX(Assumptions!$M$5:$M$11,WEEKDAY($A1704,2)))</x:f>
        <x:v>1.03</x:v>
      </x:c>
      <x:c r="F1704" s="11" t="n">
        <x:f>IF($A1704="","",Assumptions!$B$15)</x:f>
        <x:v>0.35</x:v>
      </x:c>
      <x:c r="G1704" s="11" t="n">
        <x:f>IF($A1704="","",MAX(INDEX(Assumptions!$H$5:$H$12,MATCH($B1704,Assumptions!$D$5:$D$12,0)),MIN(INDEX(Assumptions!$I$5:$I$12,MATCH($B1704,Assumptions!$D$5:$D$12,0)),($C1704+$D1704*SQRT(-2*LN(RAND()))*COS(2*PI()*RAND()))*$E1704*$J1704*$K1704)))</x:f>
        <x:v>1498.4163586764219</x:v>
      </x:c>
      <x:c r="H1704" s="11" t="n">
        <x:f>IF($A1704="","",$G1704*$F1704+$C1704*(1-$F1704))</x:f>
        <x:v>1343.4457255367477</x:v>
      </x:c>
      <x:c r="I1704" s="11" t="n">
        <x:f>IF($A1704="","",AVERAGE($H1704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1264.8785546426468</x:v>
      </x:c>
      <x:c r="J1704" s="12" t="n">
        <x:f>IF($A1704="","",1+SUMIFS(Assumptions!$S$5:$S$10,Assumptions!$P$5:$P$10,$B1704,Assumptions!$Q$5:$Q$10,"&lt;="&amp;$A1704,Assumptions!$R$5:$R$10,"&gt;="&amp;$A1704))</x:f>
        <x:v>1</x:v>
      </x:c>
      <x:c r="K1704" s="12" t="n">
        <x:f>IF($A1704="","",1+((($A1704-Assumptions!$B$5)/30)*INDEX(Assumptions!$J$5:$J$12,MATCH($B1704,Assumptions!$D$5:$D$12,0))))</x:f>
        <x:v>1.034</x:v>
      </x:c>
      <x:c r="L1704" t="str">
        <x:f>IF($A1704="","",IFERROR(INDEX(Assumptions!$O$5:$O$10,MATCH(1,(Assumptions!$P$5:$P$10=$B1704)*(Assumptions!$Q$5:$Q$10&lt;=$A1704)*(Assumptions!$R$5:$R$10&gt;=$A1704),0)),""))</x:f>
      </x:c>
      <x:c r="M1704" t="n">
        <x:f>--($A1704&lt;&gt;"")</x:f>
        <x:v>1</x:v>
      </x:c>
    </x:row>
    <x:row r="1705">
      <x:c r="A1705" s="10" t="n">
        <x:f>IF(Assumptions!$B$5+INT((ROW()-2)/Assumptions!$B$7)&gt;Assumptions!$B$6,"",Assumptions!$B$5+INT((ROW()-2)/Assumptions!$B$7))</x:f>
        <x:v>46363</x:v>
      </x:c>
      <x:c r="B1705" t="str">
        <x:f>IF($A1705="","",INDEX(Assumptions!$D$5:$D$12,MOD(ROW()-2,Assumptions!$B$7)+1))</x:f>
        <x:v>Hadley's Hope</x:v>
      </x:c>
      <x:c r="C1705" s="11" t="n">
        <x:f>IF($A1705="","",INDEX(Assumptions!$F$5:$F$12,MATCH($B1705,Assumptions!$D$5:$D$12,0)))</x:f>
        <x:v>845</x:v>
      </x:c>
      <x:c r="D1705" s="11" t="n">
        <x:f>IF($A1705="","",INDEX(Assumptions!$G$5:$G$12,MATCH($B1705,Assumptions!$D$5:$D$12,0)))</x:f>
        <x:v>80</x:v>
      </x:c>
      <x:c r="E1705" s="11" t="n">
        <x:f>IF($A1705="","",INDEX(Assumptions!$M$5:$M$11,WEEKDAY($A1705,2)))</x:f>
        <x:v>1.03</x:v>
      </x:c>
      <x:c r="F1705" s="11" t="n">
        <x:f>IF($A1705="","",Assumptions!$B$15)</x:f>
        <x:v>0.35</x:v>
      </x:c>
      <x:c r="G1705" s="11" t="n">
        <x:f>IF($A1705="","",MAX(INDEX(Assumptions!$H$5:$H$12,MATCH($B1705,Assumptions!$D$5:$D$12,0)),MIN(INDEX(Assumptions!$I$5:$I$12,MATCH($B1705,Assumptions!$D$5:$D$12,0)),($C1705+$D1705*SQRT(-2*LN(RAND()))*COS(2*PI()*RAND()))*$E1705*$J1705*$K1705)))</x:f>
        <x:v>669.3199836609882</x:v>
      </x:c>
      <x:c r="H1705" s="11" t="n">
        <x:f>IF($A1705="","",$G1705*$F1705+$C1705*(1-$F1705))</x:f>
        <x:v>783.5119942813459</x:v>
      </x:c>
      <x:c r="I1705" s="11" t="n">
        <x:f>IF($A1705="","",AVERAGE($H1705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828.5130872703572</x:v>
      </x:c>
      <x:c r="J1705" s="12" t="n">
        <x:f>IF($A1705="","",1+SUMIFS(Assumptions!$S$5:$S$10,Assumptions!$P$5:$P$10,$B1705,Assumptions!$Q$5:$Q$10,"&lt;="&amp;$A1705,Assumptions!$R$5:$R$10,"&gt;="&amp;$A1705))</x:f>
        <x:v>1</x:v>
      </x:c>
      <x:c r="K1705" s="12" t="n">
        <x:f>IF($A1705="","",1+((($A1705-Assumptions!$B$5)/30)*INDEX(Assumptions!$J$5:$J$12,MATCH($B1705,Assumptions!$D$5:$D$12,0))))</x:f>
        <x:v>1.0113333333333334</x:v>
      </x:c>
      <x:c r="L1705" t="str">
        <x:f>IF($A1705="","",IFERROR(INDEX(Assumptions!$O$5:$O$10,MATCH(1,(Assumptions!$P$5:$P$10=$B1705)*(Assumptions!$Q$5:$Q$10&lt;=$A1705)*(Assumptions!$R$5:$R$10&gt;=$A1705),0)),""))</x:f>
      </x:c>
      <x:c r="M1705" t="n">
        <x:f>--($A1705&lt;&gt;"")</x:f>
        <x:v>1</x:v>
      </x:c>
    </x:row>
    <x:row r="1706">
      <x:c r="A1706" s="10" t="n">
        <x:f>IF(Assumptions!$B$5+INT((ROW()-2)/Assumptions!$B$7)&gt;Assumptions!$B$6,"",Assumptions!$B$5+INT((ROW()-2)/Assumptions!$B$7))</x:f>
        <x:v>46363</x:v>
      </x:c>
      <x:c r="B1706" t="str">
        <x:f>IF($A1706="","",INDEX(Assumptions!$D$5:$D$12,MOD(ROW()-2,Assumptions!$B$7)+1))</x:f>
        <x:v>Yutani Ridge</x:v>
      </x:c>
      <x:c r="C1706" s="11" t="n">
        <x:f>IF($A1706="","",INDEX(Assumptions!$F$5:$F$12,MATCH($B1706,Assumptions!$D$5:$D$12,0)))</x:f>
        <x:v>1050</x:v>
      </x:c>
      <x:c r="D1706" s="11" t="n">
        <x:f>IF($A1706="","",INDEX(Assumptions!$G$5:$G$12,MATCH($B1706,Assumptions!$D$5:$D$12,0)))</x:f>
        <x:v>125</x:v>
      </x:c>
      <x:c r="E1706" s="11" t="n">
        <x:f>IF($A1706="","",INDEX(Assumptions!$M$5:$M$11,WEEKDAY($A1706,2)))</x:f>
        <x:v>1.03</x:v>
      </x:c>
      <x:c r="F1706" s="11" t="n">
        <x:f>IF($A1706="","",Assumptions!$B$15)</x:f>
        <x:v>0.35</x:v>
      </x:c>
      <x:c r="G1706" s="11" t="n">
        <x:f>IF($A1706="","",MAX(INDEX(Assumptions!$H$5:$H$12,MATCH($B1706,Assumptions!$D$5:$D$12,0)),MIN(INDEX(Assumptions!$I$5:$I$12,MATCH($B1706,Assumptions!$D$5:$D$12,0)),($C1706+$D1706*SQRT(-2*LN(RAND()))*COS(2*PI()*RAND()))*$E1706*$J1706*$K1706)))</x:f>
        <x:v>968.1453459420076</x:v>
      </x:c>
      <x:c r="H1706" s="11" t="n">
        <x:f>IF($A1706="","",$G1706*$F1706+$C1706*(1-$F1706))</x:f>
        <x:v>1021.3508710797026</x:v>
      </x:c>
      <x:c r="I1706" s="11" t="n">
        <x:f>IF($A1706="","",AVERAGE($H1706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1051.4189529534</x:v>
      </x:c>
      <x:c r="J1706" s="12" t="n">
        <x:f>IF($A1706="","",1+SUMIFS(Assumptions!$S$5:$S$10,Assumptions!$P$5:$P$10,$B1706,Assumptions!$Q$5:$Q$10,"&lt;="&amp;$A1706,Assumptions!$R$5:$R$10,"&gt;="&amp;$A1706))</x:f>
        <x:v>1</x:v>
      </x:c>
      <x:c r="K1706" s="12" t="n">
        <x:f>IF($A1706="","",1+((($A1706-Assumptions!$B$5)/30)*INDEX(Assumptions!$J$5:$J$12,MATCH($B1706,Assumptions!$D$5:$D$12,0))))</x:f>
        <x:v>1.0283333333333333</x:v>
      </x:c>
      <x:c r="L1706" t="str">
        <x:f>IF($A1706="","",IFERROR(INDEX(Assumptions!$O$5:$O$10,MATCH(1,(Assumptions!$P$5:$P$10=$B1706)*(Assumptions!$Q$5:$Q$10&lt;=$A1706)*(Assumptions!$R$5:$R$10&gt;=$A1706),0)),""))</x:f>
      </x:c>
      <x:c r="M1706" t="n">
        <x:f>--($A1706&lt;&gt;"")</x:f>
        <x:v>1</x:v>
      </x:c>
    </x:row>
    <x:row r="1707">
      <x:c r="A1707" s="10" t="n">
        <x:f>IF(Assumptions!$B$5+INT((ROW()-2)/Assumptions!$B$7)&gt;Assumptions!$B$6,"",Assumptions!$B$5+INT((ROW()-2)/Assumptions!$B$7))</x:f>
        <x:v>46364</x:v>
      </x:c>
      <x:c r="B1707" t="str">
        <x:f>IF($A1707="","",INDEX(Assumptions!$D$5:$D$12,MOD(ROW()-2,Assumptions!$B$7)+1))</x:f>
        <x:v>Acheron Prime</x:v>
      </x:c>
      <x:c r="C1707" s="11" t="n">
        <x:f>IF($A1707="","",INDEX(Assumptions!$F$5:$F$12,MATCH($B1707,Assumptions!$D$5:$D$12,0)))</x:f>
        <x:v>1120</x:v>
      </x:c>
      <x:c r="D1707" s="11" t="n">
        <x:f>IF($A1707="","",INDEX(Assumptions!$G$5:$G$12,MATCH($B1707,Assumptions!$D$5:$D$12,0)))</x:f>
        <x:v>115</x:v>
      </x:c>
      <x:c r="E1707" s="11" t="n">
        <x:f>IF($A1707="","",INDEX(Assumptions!$M$5:$M$11,WEEKDAY($A1707,2)))</x:f>
        <x:v>1.02</x:v>
      </x:c>
      <x:c r="F1707" s="11" t="n">
        <x:f>IF($A1707="","",Assumptions!$B$15)</x:f>
        <x:v>0.35</x:v>
      </x:c>
      <x:c r="G1707" s="11" t="n">
        <x:f>IF($A1707="","",MAX(INDEX(Assumptions!$H$5:$H$12,MATCH($B1707,Assumptions!$D$5:$D$12,0)),MIN(INDEX(Assumptions!$I$5:$I$12,MATCH($B1707,Assumptions!$D$5:$D$12,0)),($C1707+$D1707*SQRT(-2*LN(RAND()))*COS(2*PI()*RAND()))*$E1707*$J1707*$K1707)))</x:f>
        <x:v>1219.6050282357785</x:v>
      </x:c>
      <x:c r="H1707" s="11" t="n">
        <x:f>IF($A1707="","",$G1707*$F1707+$C1707*(1-$F1707))</x:f>
        <x:v>1154.8617598825224</x:v>
      </x:c>
      <x:c r="I1707" s="11" t="n">
        <x:f>IF($A1707="","",AVERAGE($H1707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1140.6178006363245</x:v>
      </x:c>
      <x:c r="J1707" s="12" t="n">
        <x:f>IF($A1707="","",1+SUMIFS(Assumptions!$S$5:$S$10,Assumptions!$P$5:$P$10,$B1707,Assumptions!$Q$5:$Q$10,"&lt;="&amp;$A1707,Assumptions!$R$5:$R$10,"&gt;="&amp;$A1707))</x:f>
        <x:v>1</x:v>
      </x:c>
      <x:c r="K1707" s="12" t="n">
        <x:f>IF($A1707="","",1+((($A1707-Assumptions!$B$5)/30)*INDEX(Assumptions!$J$5:$J$12,MATCH($B1707,Assumptions!$D$5:$D$12,0))))</x:f>
        <x:v>1.0227333333333333</x:v>
      </x:c>
      <x:c r="L1707" t="str">
        <x:f>IF($A1707="","",IFERROR(INDEX(Assumptions!$O$5:$O$10,MATCH(1,(Assumptions!$P$5:$P$10=$B1707)*(Assumptions!$Q$5:$Q$10&lt;=$A1707)*(Assumptions!$R$5:$R$10&gt;=$A1707),0)),""))</x:f>
      </x:c>
      <x:c r="M1707" t="n">
        <x:f>--($A1707&lt;&gt;"")</x:f>
        <x:v>1</x:v>
      </x:c>
    </x:row>
    <x:row r="1708">
      <x:c r="A1708" s="10" t="n">
        <x:f>IF(Assumptions!$B$5+INT((ROW()-2)/Assumptions!$B$7)&gt;Assumptions!$B$6,"",Assumptions!$B$5+INT((ROW()-2)/Assumptions!$B$7))</x:f>
        <x:v>46364</x:v>
      </x:c>
      <x:c r="B1708" t="str">
        <x:f>IF($A1708="","",INDEX(Assumptions!$D$5:$D$12,MOD(ROW()-2,Assumptions!$B$7)+1))</x:f>
        <x:v>LV-426 North</x:v>
      </x:c>
      <x:c r="C1708" s="11" t="n">
        <x:f>IF($A1708="","",INDEX(Assumptions!$F$5:$F$12,MATCH($B1708,Assumptions!$D$5:$D$12,0)))</x:f>
        <x:v>930</x:v>
      </x:c>
      <x:c r="D1708" s="11" t="n">
        <x:f>IF($A1708="","",INDEX(Assumptions!$G$5:$G$12,MATCH($B1708,Assumptions!$D$5:$D$12,0)))</x:f>
        <x:v>95</x:v>
      </x:c>
      <x:c r="E1708" s="11" t="n">
        <x:f>IF($A1708="","",INDEX(Assumptions!$M$5:$M$11,WEEKDAY($A1708,2)))</x:f>
        <x:v>1.02</x:v>
      </x:c>
      <x:c r="F1708" s="11" t="n">
        <x:f>IF($A1708="","",Assumptions!$B$15)</x:f>
        <x:v>0.35</x:v>
      </x:c>
      <x:c r="G1708" s="11" t="n">
        <x:f>IF($A1708="","",MAX(INDEX(Assumptions!$H$5:$H$12,MATCH($B1708,Assumptions!$D$5:$D$12,0)),MIN(INDEX(Assumptions!$I$5:$I$12,MATCH($B1708,Assumptions!$D$5:$D$12,0)),($C1708+$D1708*SQRT(-2*LN(RAND()))*COS(2*PI()*RAND()))*$E1708*$J1708*$K1708)))</x:f>
        <x:v>752.7563545386155</x:v>
      </x:c>
      <x:c r="H1708" s="11" t="n">
        <x:f>IF($A1708="","",$G1708*$F1708+$C1708*(1-$F1708))</x:f>
        <x:v>867.9647240885154</x:v>
      </x:c>
      <x:c r="I1708" s="11" t="n">
        <x:f>IF($A1708="","",AVERAGE($H1708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895.4049962547954</x:v>
      </x:c>
      <x:c r="J1708" s="12" t="n">
        <x:f>IF($A1708="","",1+SUMIFS(Assumptions!$S$5:$S$10,Assumptions!$P$5:$P$10,$B1708,Assumptions!$Q$5:$Q$10,"&lt;="&amp;$A1708,Assumptions!$R$5:$R$10,"&gt;="&amp;$A1708))</x:f>
        <x:v>1</x:v>
      </x:c>
      <x:c r="K1708" s="12" t="n">
        <x:f>IF($A1708="","",1+((($A1708-Assumptions!$B$5)/30)*INDEX(Assumptions!$J$5:$J$12,MATCH($B1708,Assumptions!$D$5:$D$12,0))))</x:f>
        <x:v>0.9886333333333334</x:v>
      </x:c>
      <x:c r="L1708" t="str">
        <x:f>IF($A1708="","",IFERROR(INDEX(Assumptions!$O$5:$O$10,MATCH(1,(Assumptions!$P$5:$P$10=$B1708)*(Assumptions!$Q$5:$Q$10&lt;=$A1708)*(Assumptions!$R$5:$R$10&gt;=$A1708),0)),""))</x:f>
      </x:c>
      <x:c r="M1708" t="n">
        <x:f>--($A1708&lt;&gt;"")</x:f>
        <x:v>1</x:v>
      </x:c>
    </x:row>
    <x:row r="1709">
      <x:c r="A1709" s="10" t="n">
        <x:f>IF(Assumptions!$B$5+INT((ROW()-2)/Assumptions!$B$7)&gt;Assumptions!$B$6,"",Assumptions!$B$5+INT((ROW()-2)/Assumptions!$B$7))</x:f>
        <x:v>46364</x:v>
      </x:c>
      <x:c r="B1709" t="str">
        <x:f>IF($A1709="","",INDEX(Assumptions!$D$5:$D$12,MOD(ROW()-2,Assumptions!$B$7)+1))</x:f>
        <x:v>Nostromo Deep</x:v>
      </x:c>
      <x:c r="C1709" s="11" t="n">
        <x:f>IF($A1709="","",INDEX(Assumptions!$F$5:$F$12,MATCH($B1709,Assumptions!$D$5:$D$12,0)))</x:f>
        <x:v>1260</x:v>
      </x:c>
      <x:c r="D1709" s="11" t="n">
        <x:f>IF($A1709="","",INDEX(Assumptions!$G$5:$G$12,MATCH($B1709,Assumptions!$D$5:$D$12,0)))</x:f>
        <x:v>145</x:v>
      </x:c>
      <x:c r="E1709" s="11" t="n">
        <x:f>IF($A1709="","",INDEX(Assumptions!$M$5:$M$11,WEEKDAY($A1709,2)))</x:f>
        <x:v>1.02</x:v>
      </x:c>
      <x:c r="F1709" s="11" t="n">
        <x:f>IF($A1709="","",Assumptions!$B$15)</x:f>
        <x:v>0.35</x:v>
      </x:c>
      <x:c r="G1709" s="11" t="n">
        <x:f>IF($A1709="","",MAX(INDEX(Assumptions!$H$5:$H$12,MATCH($B1709,Assumptions!$D$5:$D$12,0)),MIN(INDEX(Assumptions!$I$5:$I$12,MATCH($B1709,Assumptions!$D$5:$D$12,0)),($C1709+$D1709*SQRT(-2*LN(RAND()))*COS(2*PI()*RAND()))*$E1709*$J1709*$K1709)))</x:f>
        <x:v>1335.5496715176062</x:v>
      </x:c>
      <x:c r="H1709" s="11" t="n">
        <x:f>IF($A1709="","",$G1709*$F1709+$C1709*(1-$F1709))</x:f>
        <x:v>1286.442385031162</x:v>
      </x:c>
      <x:c r="I1709" s="11" t="n">
        <x:f>IF($A1709="","",AVERAGE($H1709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1272.499680933793</x:v>
      </x:c>
      <x:c r="J1709" s="12" t="n">
        <x:f>IF($A1709="","",1+SUMIFS(Assumptions!$S$5:$S$10,Assumptions!$P$5:$P$10,$B1709,Assumptions!$Q$5:$Q$10,"&lt;="&amp;$A1709,Assumptions!$R$5:$R$10,"&gt;="&amp;$A1709))</x:f>
        <x:v>1</x:v>
      </x:c>
      <x:c r="K1709" s="12" t="n">
        <x:f>IF($A1709="","",1+((($A1709-Assumptions!$B$5)/30)*INDEX(Assumptions!$J$5:$J$12,MATCH($B1709,Assumptions!$D$5:$D$12,0))))</x:f>
        <x:v>1.0341</x:v>
      </x:c>
      <x:c r="L1709" t="str">
        <x:f>IF($A1709="","",IFERROR(INDEX(Assumptions!$O$5:$O$10,MATCH(1,(Assumptions!$P$5:$P$10=$B1709)*(Assumptions!$Q$5:$Q$10&lt;=$A1709)*(Assumptions!$R$5:$R$10&gt;=$A1709),0)),""))</x:f>
      </x:c>
      <x:c r="M1709" t="n">
        <x:f>--($A1709&lt;&gt;"")</x:f>
        <x:v>1</x:v>
      </x:c>
    </x:row>
    <x:row r="1710">
      <x:c r="A1710" s="10" t="n">
        <x:f>IF(Assumptions!$B$5+INT((ROW()-2)/Assumptions!$B$7)&gt;Assumptions!$B$6,"",Assumptions!$B$5+INT((ROW()-2)/Assumptions!$B$7))</x:f>
        <x:v>46364</x:v>
      </x:c>
      <x:c r="B1710" t="str">
        <x:f>IF($A1710="","",INDEX(Assumptions!$D$5:$D$12,MOD(ROW()-2,Assumptions!$B$7)+1))</x:f>
        <x:v>Hadley's Hope</x:v>
      </x:c>
      <x:c r="C1710" s="11" t="n">
        <x:f>IF($A1710="","",INDEX(Assumptions!$F$5:$F$12,MATCH($B1710,Assumptions!$D$5:$D$12,0)))</x:f>
        <x:v>845</x:v>
      </x:c>
      <x:c r="D1710" s="11" t="n">
        <x:f>IF($A1710="","",INDEX(Assumptions!$G$5:$G$12,MATCH($B1710,Assumptions!$D$5:$D$12,0)))</x:f>
        <x:v>80</x:v>
      </x:c>
      <x:c r="E1710" s="11" t="n">
        <x:f>IF($A1710="","",INDEX(Assumptions!$M$5:$M$11,WEEKDAY($A1710,2)))</x:f>
        <x:v>1.02</x:v>
      </x:c>
      <x:c r="F1710" s="11" t="n">
        <x:f>IF($A1710="","",Assumptions!$B$15)</x:f>
        <x:v>0.35</x:v>
      </x:c>
      <x:c r="G1710" s="11" t="n">
        <x:f>IF($A1710="","",MAX(INDEX(Assumptions!$H$5:$H$12,MATCH($B1710,Assumptions!$D$5:$D$12,0)),MIN(INDEX(Assumptions!$I$5:$I$12,MATCH($B1710,Assumptions!$D$5:$D$12,0)),($C1710+$D1710*SQRT(-2*LN(RAND()))*COS(2*PI()*RAND()))*$E1710*$J1710*$K1710)))</x:f>
        <x:v>825.357865849413</x:v>
      </x:c>
      <x:c r="H1710" s="11" t="n">
        <x:f>IF($A1710="","",$G1710*$F1710+$C1710*(1-$F1710))</x:f>
        <x:v>838.1252530472946</x:v>
      </x:c>
      <x:c r="I1710" s="11" t="n">
        <x:f>IF($A1710="","",AVERAGE($H1710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830.5289960498712</x:v>
      </x:c>
      <x:c r="J1710" s="12" t="n">
        <x:f>IF($A1710="","",1+SUMIFS(Assumptions!$S$5:$S$10,Assumptions!$P$5:$P$10,$B1710,Assumptions!$Q$5:$Q$10,"&lt;="&amp;$A1710,Assumptions!$R$5:$R$10,"&gt;="&amp;$A1710))</x:f>
        <x:v>1</x:v>
      </x:c>
      <x:c r="K1710" s="12" t="n">
        <x:f>IF($A1710="","",1+((($A1710-Assumptions!$B$5)/30)*INDEX(Assumptions!$J$5:$J$12,MATCH($B1710,Assumptions!$D$5:$D$12,0))))</x:f>
        <x:v>1.0113666666666667</x:v>
      </x:c>
      <x:c r="L1710" t="str">
        <x:f>IF($A1710="","",IFERROR(INDEX(Assumptions!$O$5:$O$10,MATCH(1,(Assumptions!$P$5:$P$10=$B1710)*(Assumptions!$Q$5:$Q$10&lt;=$A1710)*(Assumptions!$R$5:$R$10&gt;=$A1710),0)),""))</x:f>
      </x:c>
      <x:c r="M1710" t="n">
        <x:f>--($A1710&lt;&gt;"")</x:f>
        <x:v>1</x:v>
      </x:c>
    </x:row>
    <x:row r="1711">
      <x:c r="A1711" s="10" t="n">
        <x:f>IF(Assumptions!$B$5+INT((ROW()-2)/Assumptions!$B$7)&gt;Assumptions!$B$6,"",Assumptions!$B$5+INT((ROW()-2)/Assumptions!$B$7))</x:f>
        <x:v>46364</x:v>
      </x:c>
      <x:c r="B1711" t="str">
        <x:f>IF($A1711="","",INDEX(Assumptions!$D$5:$D$12,MOD(ROW()-2,Assumptions!$B$7)+1))</x:f>
        <x:v>Yutani Ridge</x:v>
      </x:c>
      <x:c r="C1711" s="11" t="n">
        <x:f>IF($A1711="","",INDEX(Assumptions!$F$5:$F$12,MATCH($B1711,Assumptions!$D$5:$D$12,0)))</x:f>
        <x:v>1050</x:v>
      </x:c>
      <x:c r="D1711" s="11" t="n">
        <x:f>IF($A1711="","",INDEX(Assumptions!$G$5:$G$12,MATCH($B1711,Assumptions!$D$5:$D$12,0)))</x:f>
        <x:v>125</x:v>
      </x:c>
      <x:c r="E1711" s="11" t="n">
        <x:f>IF($A1711="","",INDEX(Assumptions!$M$5:$M$11,WEEKDAY($A1711,2)))</x:f>
        <x:v>1.02</x:v>
      </x:c>
      <x:c r="F1711" s="11" t="n">
        <x:f>IF($A1711="","",Assumptions!$B$15)</x:f>
        <x:v>0.35</x:v>
      </x:c>
      <x:c r="G1711" s="11" t="n">
        <x:f>IF($A1711="","",MAX(INDEX(Assumptions!$H$5:$H$12,MATCH($B1711,Assumptions!$D$5:$D$12,0)),MIN(INDEX(Assumptions!$I$5:$I$12,MATCH($B1711,Assumptions!$D$5:$D$12,0)),($C1711+$D1711*SQRT(-2*LN(RAND()))*COS(2*PI()*RAND()))*$E1711*$J1711*$K1711)))</x:f>
        <x:v>1235.466186276988</x:v>
      </x:c>
      <x:c r="H1711" s="11" t="n">
        <x:f>IF($A1711="","",$G1711*$F1711+$C1711*(1-$F1711))</x:f>
        <x:v>1114.9131651969458</x:v>
      </x:c>
      <x:c r="I1711" s="11" t="n">
        <x:f>IF($A1711="","",AVERAGE($H1711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1056.4498332407964</x:v>
      </x:c>
      <x:c r="J1711" s="12" t="n">
        <x:f>IF($A1711="","",1+SUMIFS(Assumptions!$S$5:$S$10,Assumptions!$P$5:$P$10,$B1711,Assumptions!$Q$5:$Q$10,"&lt;="&amp;$A1711,Assumptions!$R$5:$R$10,"&gt;="&amp;$A1711))</x:f>
        <x:v>1</x:v>
      </x:c>
      <x:c r="K1711" s="12" t="n">
        <x:f>IF($A1711="","",1+((($A1711-Assumptions!$B$5)/30)*INDEX(Assumptions!$J$5:$J$12,MATCH($B1711,Assumptions!$D$5:$D$12,0))))</x:f>
        <x:v>1.0284166666666668</x:v>
      </x:c>
      <x:c r="L1711" t="str">
        <x:f>IF($A1711="","",IFERROR(INDEX(Assumptions!$O$5:$O$10,MATCH(1,(Assumptions!$P$5:$P$10=$B1711)*(Assumptions!$Q$5:$Q$10&lt;=$A1711)*(Assumptions!$R$5:$R$10&gt;=$A1711),0)),""))</x:f>
      </x:c>
      <x:c r="M1711" t="n">
        <x:f>--($A1711&lt;&gt;"")</x:f>
        <x:v>1</x:v>
      </x:c>
    </x:row>
    <x:row r="1712">
      <x:c r="A1712" s="10" t="n">
        <x:f>IF(Assumptions!$B$5+INT((ROW()-2)/Assumptions!$B$7)&gt;Assumptions!$B$6,"",Assumptions!$B$5+INT((ROW()-2)/Assumptions!$B$7))</x:f>
        <x:v>46365</x:v>
      </x:c>
      <x:c r="B1712" t="str">
        <x:f>IF($A1712="","",INDEX(Assumptions!$D$5:$D$12,MOD(ROW()-2,Assumptions!$B$7)+1))</x:f>
        <x:v>Acheron Prime</x:v>
      </x:c>
      <x:c r="C1712" s="11" t="n">
        <x:f>IF($A1712="","",INDEX(Assumptions!$F$5:$F$12,MATCH($B1712,Assumptions!$D$5:$D$12,0)))</x:f>
        <x:v>1120</x:v>
      </x:c>
      <x:c r="D1712" s="11" t="n">
        <x:f>IF($A1712="","",INDEX(Assumptions!$G$5:$G$12,MATCH($B1712,Assumptions!$D$5:$D$12,0)))</x:f>
        <x:v>115</x:v>
      </x:c>
      <x:c r="E1712" s="11" t="n">
        <x:f>IF($A1712="","",INDEX(Assumptions!$M$5:$M$11,WEEKDAY($A1712,2)))</x:f>
        <x:v>1.01</x:v>
      </x:c>
      <x:c r="F1712" s="11" t="n">
        <x:f>IF($A1712="","",Assumptions!$B$15)</x:f>
        <x:v>0.35</x:v>
      </x:c>
      <x:c r="G1712" s="11" t="n">
        <x:f>IF($A1712="","",MAX(INDEX(Assumptions!$H$5:$H$12,MATCH($B1712,Assumptions!$D$5:$D$12,0)),MIN(INDEX(Assumptions!$I$5:$I$12,MATCH($B1712,Assumptions!$D$5:$D$12,0)),($C1712+$D1712*SQRT(-2*LN(RAND()))*COS(2*PI()*RAND()))*$E1712*$J1712*$K1712)))</x:f>
        <x:v>1287.8618891538283</x:v>
      </x:c>
      <x:c r="H1712" s="11" t="n">
        <x:f>IF($A1712="","",$G1712*$F1712+$C1712*(1-$F1712))</x:f>
        <x:v>1178.7516612038398</x:v>
      </x:c>
      <x:c r="I1712" s="11" t="n">
        <x:f>IF($A1712="","",AVERAGE($H1712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1146.1990422872798</x:v>
      </x:c>
      <x:c r="J1712" s="12" t="n">
        <x:f>IF($A1712="","",1+SUMIFS(Assumptions!$S$5:$S$10,Assumptions!$P$5:$P$10,$B1712,Assumptions!$Q$5:$Q$10,"&lt;="&amp;$A1712,Assumptions!$R$5:$R$10,"&gt;="&amp;$A1712))</x:f>
        <x:v>1</x:v>
      </x:c>
      <x:c r="K1712" s="12" t="n">
        <x:f>IF($A1712="","",1+((($A1712-Assumptions!$B$5)/30)*INDEX(Assumptions!$J$5:$J$12,MATCH($B1712,Assumptions!$D$5:$D$12,0))))</x:f>
        <x:v>1.0228</x:v>
      </x:c>
      <x:c r="L1712" t="str">
        <x:f>IF($A1712="","",IFERROR(INDEX(Assumptions!$O$5:$O$10,MATCH(1,(Assumptions!$P$5:$P$10=$B1712)*(Assumptions!$Q$5:$Q$10&lt;=$A1712)*(Assumptions!$R$5:$R$10&gt;=$A1712),0)),""))</x:f>
      </x:c>
      <x:c r="M1712" t="n">
        <x:f>--($A1712&lt;&gt;"")</x:f>
        <x:v>1</x:v>
      </x:c>
    </x:row>
    <x:row r="1713">
      <x:c r="A1713" s="10" t="n">
        <x:f>IF(Assumptions!$B$5+INT((ROW()-2)/Assumptions!$B$7)&gt;Assumptions!$B$6,"",Assumptions!$B$5+INT((ROW()-2)/Assumptions!$B$7))</x:f>
        <x:v>46365</x:v>
      </x:c>
      <x:c r="B1713" t="str">
        <x:f>IF($A1713="","",INDEX(Assumptions!$D$5:$D$12,MOD(ROW()-2,Assumptions!$B$7)+1))</x:f>
        <x:v>LV-426 North</x:v>
      </x:c>
      <x:c r="C1713" s="11" t="n">
        <x:f>IF($A1713="","",INDEX(Assumptions!$F$5:$F$12,MATCH($B1713,Assumptions!$D$5:$D$12,0)))</x:f>
        <x:v>930</x:v>
      </x:c>
      <x:c r="D1713" s="11" t="n">
        <x:f>IF($A1713="","",INDEX(Assumptions!$G$5:$G$12,MATCH($B1713,Assumptions!$D$5:$D$12,0)))</x:f>
        <x:v>95</x:v>
      </x:c>
      <x:c r="E1713" s="11" t="n">
        <x:f>IF($A1713="","",INDEX(Assumptions!$M$5:$M$11,WEEKDAY($A1713,2)))</x:f>
        <x:v>1.01</x:v>
      </x:c>
      <x:c r="F1713" s="11" t="n">
        <x:f>IF($A1713="","",Assumptions!$B$15)</x:f>
        <x:v>0.35</x:v>
      </x:c>
      <x:c r="G1713" s="11" t="n">
        <x:f>IF($A1713="","",MAX(INDEX(Assumptions!$H$5:$H$12,MATCH($B1713,Assumptions!$D$5:$D$12,0)),MIN(INDEX(Assumptions!$I$5:$I$12,MATCH($B1713,Assumptions!$D$5:$D$12,0)),($C1713+$D1713*SQRT(-2*LN(RAND()))*COS(2*PI()*RAND()))*$E1713*$J1713*$K1713)))</x:f>
        <x:v>909.5426627995403</x:v>
      </x:c>
      <x:c r="H1713" s="11" t="n">
        <x:f>IF($A1713="","",$G1713*$F1713+$C1713*(1-$F1713))</x:f>
        <x:v>922.8399319798391</x:v>
      </x:c>
      <x:c r="I1713" s="11" t="n">
        <x:f>IF($A1713="","",AVERAGE($H1713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892.5431176330645</x:v>
      </x:c>
      <x:c r="J1713" s="12" t="n">
        <x:f>IF($A1713="","",1+SUMIFS(Assumptions!$S$5:$S$10,Assumptions!$P$5:$P$10,$B1713,Assumptions!$Q$5:$Q$10,"&lt;="&amp;$A1713,Assumptions!$R$5:$R$10,"&gt;="&amp;$A1713))</x:f>
        <x:v>1</x:v>
      </x:c>
      <x:c r="K1713" s="12" t="n">
        <x:f>IF($A1713="","",1+((($A1713-Assumptions!$B$5)/30)*INDEX(Assumptions!$J$5:$J$12,MATCH($B1713,Assumptions!$D$5:$D$12,0))))</x:f>
        <x:v>0.9886</x:v>
      </x:c>
      <x:c r="L1713" t="str">
        <x:f>IF($A1713="","",IFERROR(INDEX(Assumptions!$O$5:$O$10,MATCH(1,(Assumptions!$P$5:$P$10=$B1713)*(Assumptions!$Q$5:$Q$10&lt;=$A1713)*(Assumptions!$R$5:$R$10&gt;=$A1713),0)),""))</x:f>
      </x:c>
      <x:c r="M1713" t="n">
        <x:f>--($A1713&lt;&gt;"")</x:f>
        <x:v>1</x:v>
      </x:c>
    </x:row>
    <x:row r="1714">
      <x:c r="A1714" s="10" t="n">
        <x:f>IF(Assumptions!$B$5+INT((ROW()-2)/Assumptions!$B$7)&gt;Assumptions!$B$6,"",Assumptions!$B$5+INT((ROW()-2)/Assumptions!$B$7))</x:f>
        <x:v>46365</x:v>
      </x:c>
      <x:c r="B1714" t="str">
        <x:f>IF($A1714="","",INDEX(Assumptions!$D$5:$D$12,MOD(ROW()-2,Assumptions!$B$7)+1))</x:f>
        <x:v>Nostromo Deep</x:v>
      </x:c>
      <x:c r="C1714" s="11" t="n">
        <x:f>IF($A1714="","",INDEX(Assumptions!$F$5:$F$12,MATCH($B1714,Assumptions!$D$5:$D$12,0)))</x:f>
        <x:v>1260</x:v>
      </x:c>
      <x:c r="D1714" s="11" t="n">
        <x:f>IF($A1714="","",INDEX(Assumptions!$G$5:$G$12,MATCH($B1714,Assumptions!$D$5:$D$12,0)))</x:f>
        <x:v>145</x:v>
      </x:c>
      <x:c r="E1714" s="11" t="n">
        <x:f>IF($A1714="","",INDEX(Assumptions!$M$5:$M$11,WEEKDAY($A1714,2)))</x:f>
        <x:v>1.01</x:v>
      </x:c>
      <x:c r="F1714" s="11" t="n">
        <x:f>IF($A1714="","",Assumptions!$B$15)</x:f>
        <x:v>0.35</x:v>
      </x:c>
      <x:c r="G1714" s="11" t="n">
        <x:f>IF($A1714="","",MAX(INDEX(Assumptions!$H$5:$H$12,MATCH($B1714,Assumptions!$D$5:$D$12,0)),MIN(INDEX(Assumptions!$I$5:$I$12,MATCH($B1714,Assumptions!$D$5:$D$12,0)),($C1714+$D1714*SQRT(-2*LN(RAND()))*COS(2*PI()*RAND()))*$E1714*$J1714*$K1714)))</x:f>
        <x:v>1116.3495924586828</x:v>
      </x:c>
      <x:c r="H1714" s="11" t="n">
        <x:f>IF($A1714="","",$G1714*$F1714+$C1714*(1-$F1714))</x:f>
        <x:v>1209.7223573605388</x:v>
      </x:c>
      <x:c r="I1714" s="11" t="n">
        <x:f>IF($A1714="","",AVERAGE($H1714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1256.2935326401478</x:v>
      </x:c>
      <x:c r="J1714" s="12" t="n">
        <x:f>IF($A1714="","",1+SUMIFS(Assumptions!$S$5:$S$10,Assumptions!$P$5:$P$10,$B1714,Assumptions!$Q$5:$Q$10,"&lt;="&amp;$A1714,Assumptions!$R$5:$R$10,"&gt;="&amp;$A1714))</x:f>
        <x:v>1</x:v>
      </x:c>
      <x:c r="K1714" s="12" t="n">
        <x:f>IF($A1714="","",1+((($A1714-Assumptions!$B$5)/30)*INDEX(Assumptions!$J$5:$J$12,MATCH($B1714,Assumptions!$D$5:$D$12,0))))</x:f>
        <x:v>1.0342</x:v>
      </x:c>
      <x:c r="L1714" t="str">
        <x:f>IF($A1714="","",IFERROR(INDEX(Assumptions!$O$5:$O$10,MATCH(1,(Assumptions!$P$5:$P$10=$B1714)*(Assumptions!$Q$5:$Q$10&lt;=$A1714)*(Assumptions!$R$5:$R$10&gt;=$A1714),0)),""))</x:f>
      </x:c>
      <x:c r="M1714" t="n">
        <x:f>--($A1714&lt;&gt;"")</x:f>
        <x:v>1</x:v>
      </x:c>
    </x:row>
    <x:row r="1715">
      <x:c r="A1715" s="10" t="n">
        <x:f>IF(Assumptions!$B$5+INT((ROW()-2)/Assumptions!$B$7)&gt;Assumptions!$B$6,"",Assumptions!$B$5+INT((ROW()-2)/Assumptions!$B$7))</x:f>
        <x:v>46365</x:v>
      </x:c>
      <x:c r="B1715" t="str">
        <x:f>IF($A1715="","",INDEX(Assumptions!$D$5:$D$12,MOD(ROW()-2,Assumptions!$B$7)+1))</x:f>
        <x:v>Hadley's Hope</x:v>
      </x:c>
      <x:c r="C1715" s="11" t="n">
        <x:f>IF($A1715="","",INDEX(Assumptions!$F$5:$F$12,MATCH($B1715,Assumptions!$D$5:$D$12,0)))</x:f>
        <x:v>845</x:v>
      </x:c>
      <x:c r="D1715" s="11" t="n">
        <x:f>IF($A1715="","",INDEX(Assumptions!$G$5:$G$12,MATCH($B1715,Assumptions!$D$5:$D$12,0)))</x:f>
        <x:v>80</x:v>
      </x:c>
      <x:c r="E1715" s="11" t="n">
        <x:f>IF($A1715="","",INDEX(Assumptions!$M$5:$M$11,WEEKDAY($A1715,2)))</x:f>
        <x:v>1.01</x:v>
      </x:c>
      <x:c r="F1715" s="11" t="n">
        <x:f>IF($A1715="","",Assumptions!$B$15)</x:f>
        <x:v>0.35</x:v>
      </x:c>
      <x:c r="G1715" s="11" t="n">
        <x:f>IF($A1715="","",MAX(INDEX(Assumptions!$H$5:$H$12,MATCH($B1715,Assumptions!$D$5:$D$12,0)),MIN(INDEX(Assumptions!$I$5:$I$12,MATCH($B1715,Assumptions!$D$5:$D$12,0)),($C1715+$D1715*SQRT(-2*LN(RAND()))*COS(2*PI()*RAND()))*$E1715*$J1715*$K1715)))</x:f>
        <x:v>949.573135270546</x:v>
      </x:c>
      <x:c r="H1715" s="11" t="n">
        <x:f>IF($A1715="","",$G1715*$F1715+$C1715*(1-$F1715))</x:f>
        <x:v>881.6005973446911</x:v>
      </x:c>
      <x:c r="I1715" s="11" t="n">
        <x:f>IF($A1715="","",AVERAGE($H1715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836.1244970288537</x:v>
      </x:c>
      <x:c r="J1715" s="12" t="n">
        <x:f>IF($A1715="","",1+SUMIFS(Assumptions!$S$5:$S$10,Assumptions!$P$5:$P$10,$B1715,Assumptions!$Q$5:$Q$10,"&lt;="&amp;$A1715,Assumptions!$R$5:$R$10,"&gt;="&amp;$A1715))</x:f>
        <x:v>1</x:v>
      </x:c>
      <x:c r="K1715" s="12" t="n">
        <x:f>IF($A1715="","",1+((($A1715-Assumptions!$B$5)/30)*INDEX(Assumptions!$J$5:$J$12,MATCH($B1715,Assumptions!$D$5:$D$12,0))))</x:f>
        <x:v>1.0114</x:v>
      </x:c>
      <x:c r="L1715" t="str">
        <x:f>IF($A1715="","",IFERROR(INDEX(Assumptions!$O$5:$O$10,MATCH(1,(Assumptions!$P$5:$P$10=$B1715)*(Assumptions!$Q$5:$Q$10&lt;=$A1715)*(Assumptions!$R$5:$R$10&gt;=$A1715),0)),""))</x:f>
      </x:c>
      <x:c r="M1715" t="n">
        <x:f>--($A1715&lt;&gt;"")</x:f>
        <x:v>1</x:v>
      </x:c>
    </x:row>
    <x:row r="1716">
      <x:c r="A1716" s="10" t="n">
        <x:f>IF(Assumptions!$B$5+INT((ROW()-2)/Assumptions!$B$7)&gt;Assumptions!$B$6,"",Assumptions!$B$5+INT((ROW()-2)/Assumptions!$B$7))</x:f>
        <x:v>46365</x:v>
      </x:c>
      <x:c r="B1716" t="str">
        <x:f>IF($A1716="","",INDEX(Assumptions!$D$5:$D$12,MOD(ROW()-2,Assumptions!$B$7)+1))</x:f>
        <x:v>Yutani Ridge</x:v>
      </x:c>
      <x:c r="C1716" s="11" t="n">
        <x:f>IF($A1716="","",INDEX(Assumptions!$F$5:$F$12,MATCH($B1716,Assumptions!$D$5:$D$12,0)))</x:f>
        <x:v>1050</x:v>
      </x:c>
      <x:c r="D1716" s="11" t="n">
        <x:f>IF($A1716="","",INDEX(Assumptions!$G$5:$G$12,MATCH($B1716,Assumptions!$D$5:$D$12,0)))</x:f>
        <x:v>125</x:v>
      </x:c>
      <x:c r="E1716" s="11" t="n">
        <x:f>IF($A1716="","",INDEX(Assumptions!$M$5:$M$11,WEEKDAY($A1716,2)))</x:f>
        <x:v>1.01</x:v>
      </x:c>
      <x:c r="F1716" s="11" t="n">
        <x:f>IF($A1716="","",Assumptions!$B$15)</x:f>
        <x:v>0.35</x:v>
      </x:c>
      <x:c r="G1716" s="11" t="n">
        <x:f>IF($A1716="","",MAX(INDEX(Assumptions!$H$5:$H$12,MATCH($B1716,Assumptions!$D$5:$D$12,0)),MIN(INDEX(Assumptions!$I$5:$I$12,MATCH($B1716,Assumptions!$D$5:$D$12,0)),($C1716+$D1716*SQRT(-2*LN(RAND()))*COS(2*PI()*RAND()))*$E1716*$J1716*$K1716)))</x:f>
        <x:v>1088.0161082924628</x:v>
      </x:c>
      <x:c r="H1716" s="11" t="n">
        <x:f>IF($A1716="","",$G1716*$F1716+$C1716*(1-$F1716))</x:f>
        <x:v>1063.305637902362</x:v>
      </x:c>
      <x:c r="I1716" s="11" t="n">
        <x:f>IF($A1716="","",AVERAGE($H1716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1047.473148358904</x:v>
      </x:c>
      <x:c r="J1716" s="12" t="n">
        <x:f>IF($A1716="","",1+SUMIFS(Assumptions!$S$5:$S$10,Assumptions!$P$5:$P$10,$B1716,Assumptions!$Q$5:$Q$10,"&lt;="&amp;$A1716,Assumptions!$R$5:$R$10,"&gt;="&amp;$A1716))</x:f>
        <x:v>1</x:v>
      </x:c>
      <x:c r="K1716" s="12" t="n">
        <x:f>IF($A1716="","",1+((($A1716-Assumptions!$B$5)/30)*INDEX(Assumptions!$J$5:$J$12,MATCH($B1716,Assumptions!$D$5:$D$12,0))))</x:f>
        <x:v>1.0285</x:v>
      </x:c>
      <x:c r="L1716" t="str">
        <x:f>IF($A1716="","",IFERROR(INDEX(Assumptions!$O$5:$O$10,MATCH(1,(Assumptions!$P$5:$P$10=$B1716)*(Assumptions!$Q$5:$Q$10&lt;=$A1716)*(Assumptions!$R$5:$R$10&gt;=$A1716),0)),""))</x:f>
      </x:c>
      <x:c r="M1716" t="n">
        <x:f>--($A1716&lt;&gt;"")</x:f>
        <x:v>1</x:v>
      </x:c>
    </x:row>
    <x:row r="1717">
      <x:c r="A1717" s="10" t="n">
        <x:f>IF(Assumptions!$B$5+INT((ROW()-2)/Assumptions!$B$7)&gt;Assumptions!$B$6,"",Assumptions!$B$5+INT((ROW()-2)/Assumptions!$B$7))</x:f>
        <x:v>46366</x:v>
      </x:c>
      <x:c r="B1717" t="str">
        <x:f>IF($A1717="","",INDEX(Assumptions!$D$5:$D$12,MOD(ROW()-2,Assumptions!$B$7)+1))</x:f>
        <x:v>Acheron Prime</x:v>
      </x:c>
      <x:c r="C1717" s="11" t="n">
        <x:f>IF($A1717="","",INDEX(Assumptions!$F$5:$F$12,MATCH($B1717,Assumptions!$D$5:$D$12,0)))</x:f>
        <x:v>1120</x:v>
      </x:c>
      <x:c r="D1717" s="11" t="n">
        <x:f>IF($A1717="","",INDEX(Assumptions!$G$5:$G$12,MATCH($B1717,Assumptions!$D$5:$D$12,0)))</x:f>
        <x:v>115</x:v>
      </x:c>
      <x:c r="E1717" s="11" t="n">
        <x:f>IF($A1717="","",INDEX(Assumptions!$M$5:$M$11,WEEKDAY($A1717,2)))</x:f>
        <x:v>1</x:v>
      </x:c>
      <x:c r="F1717" s="11" t="n">
        <x:f>IF($A1717="","",Assumptions!$B$15)</x:f>
        <x:v>0.35</x:v>
      </x:c>
      <x:c r="G1717" s="11" t="n">
        <x:f>IF($A1717="","",MAX(INDEX(Assumptions!$H$5:$H$12,MATCH($B1717,Assumptions!$D$5:$D$12,0)),MIN(INDEX(Assumptions!$I$5:$I$12,MATCH($B1717,Assumptions!$D$5:$D$12,0)),($C1717+$D1717*SQRT(-2*LN(RAND()))*COS(2*PI()*RAND()))*$E1717*$J1717*$K1717)))</x:f>
        <x:v>1056.2693217580254</x:v>
      </x:c>
      <x:c r="H1717" s="11" t="n">
        <x:f>IF($A1717="","",$G1717*$F1717+$C1717*(1-$F1717))</x:f>
        <x:v>1097.6942626153088</x:v>
      </x:c>
      <x:c r="I1717" s="11" t="n">
        <x:f>IF($A1717="","",AVERAGE($H1717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1132.8080488392714</x:v>
      </x:c>
      <x:c r="J1717" s="12" t="n">
        <x:f>IF($A1717="","",1+SUMIFS(Assumptions!$S$5:$S$10,Assumptions!$P$5:$P$10,$B1717,Assumptions!$Q$5:$Q$10,"&lt;="&amp;$A1717,Assumptions!$R$5:$R$10,"&gt;="&amp;$A1717))</x:f>
        <x:v>1</x:v>
      </x:c>
      <x:c r="K1717" s="12" t="n">
        <x:f>IF($A1717="","",1+((($A1717-Assumptions!$B$5)/30)*INDEX(Assumptions!$J$5:$J$12,MATCH($B1717,Assumptions!$D$5:$D$12,0))))</x:f>
        <x:v>1.0228666666666666</x:v>
      </x:c>
      <x:c r="L1717" t="str">
        <x:f>IF($A1717="","",IFERROR(INDEX(Assumptions!$O$5:$O$10,MATCH(1,(Assumptions!$P$5:$P$10=$B1717)*(Assumptions!$Q$5:$Q$10&lt;=$A1717)*(Assumptions!$R$5:$R$10&gt;=$A1717),0)),""))</x:f>
      </x:c>
      <x:c r="M1717" t="n">
        <x:f>--($A1717&lt;&gt;"")</x:f>
        <x:v>1</x:v>
      </x:c>
    </x:row>
    <x:row r="1718">
      <x:c r="A1718" s="10" t="n">
        <x:f>IF(Assumptions!$B$5+INT((ROW()-2)/Assumptions!$B$7)&gt;Assumptions!$B$6,"",Assumptions!$B$5+INT((ROW()-2)/Assumptions!$B$7))</x:f>
        <x:v>46366</x:v>
      </x:c>
      <x:c r="B1718" t="str">
        <x:f>IF($A1718="","",INDEX(Assumptions!$D$5:$D$12,MOD(ROW()-2,Assumptions!$B$7)+1))</x:f>
        <x:v>LV-426 North</x:v>
      </x:c>
      <x:c r="C1718" s="11" t="n">
        <x:f>IF($A1718="","",INDEX(Assumptions!$F$5:$F$12,MATCH($B1718,Assumptions!$D$5:$D$12,0)))</x:f>
        <x:v>930</x:v>
      </x:c>
      <x:c r="D1718" s="11" t="n">
        <x:f>IF($A1718="","",INDEX(Assumptions!$G$5:$G$12,MATCH($B1718,Assumptions!$D$5:$D$12,0)))</x:f>
        <x:v>95</x:v>
      </x:c>
      <x:c r="E1718" s="11" t="n">
        <x:f>IF($A1718="","",INDEX(Assumptions!$M$5:$M$11,WEEKDAY($A1718,2)))</x:f>
        <x:v>1</x:v>
      </x:c>
      <x:c r="F1718" s="11" t="n">
        <x:f>IF($A1718="","",Assumptions!$B$15)</x:f>
        <x:v>0.35</x:v>
      </x:c>
      <x:c r="G1718" s="11" t="n">
        <x:f>IF($A1718="","",MAX(INDEX(Assumptions!$H$5:$H$12,MATCH($B1718,Assumptions!$D$5:$D$12,0)),MIN(INDEX(Assumptions!$I$5:$I$12,MATCH($B1718,Assumptions!$D$5:$D$12,0)),($C1718+$D1718*SQRT(-2*LN(RAND()))*COS(2*PI()*RAND()))*$E1718*$J1718*$K1718)))</x:f>
        <x:v>905.2345048752342</x:v>
      </x:c>
      <x:c r="H1718" s="11" t="n">
        <x:f>IF($A1718="","",$G1718*$F1718+$C1718*(1-$F1718))</x:f>
        <x:v>921.3320767063319</x:v>
      </x:c>
      <x:c r="I1718" s="11" t="n">
        <x:f>IF($A1718="","",AVERAGE($H1718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900.9820899562555</x:v>
      </x:c>
      <x:c r="J1718" s="12" t="n">
        <x:f>IF($A1718="","",1+SUMIFS(Assumptions!$S$5:$S$10,Assumptions!$P$5:$P$10,$B1718,Assumptions!$Q$5:$Q$10,"&lt;="&amp;$A1718,Assumptions!$R$5:$R$10,"&gt;="&amp;$A1718))</x:f>
        <x:v>1</x:v>
      </x:c>
      <x:c r="K1718" s="12" t="n">
        <x:f>IF($A1718="","",1+((($A1718-Assumptions!$B$5)/30)*INDEX(Assumptions!$J$5:$J$12,MATCH($B1718,Assumptions!$D$5:$D$12,0))))</x:f>
        <x:v>0.9885666666666667</x:v>
      </x:c>
      <x:c r="L1718" t="str">
        <x:f>IF($A1718="","",IFERROR(INDEX(Assumptions!$O$5:$O$10,MATCH(1,(Assumptions!$P$5:$P$10=$B1718)*(Assumptions!$Q$5:$Q$10&lt;=$A1718)*(Assumptions!$R$5:$R$10&gt;=$A1718),0)),""))</x:f>
      </x:c>
      <x:c r="M1718" t="n">
        <x:f>--($A1718&lt;&gt;"")</x:f>
        <x:v>1</x:v>
      </x:c>
    </x:row>
    <x:row r="1719">
      <x:c r="A1719" s="10" t="n">
        <x:f>IF(Assumptions!$B$5+INT((ROW()-2)/Assumptions!$B$7)&gt;Assumptions!$B$6,"",Assumptions!$B$5+INT((ROW()-2)/Assumptions!$B$7))</x:f>
        <x:v>46366</x:v>
      </x:c>
      <x:c r="B1719" t="str">
        <x:f>IF($A1719="","",INDEX(Assumptions!$D$5:$D$12,MOD(ROW()-2,Assumptions!$B$7)+1))</x:f>
        <x:v>Nostromo Deep</x:v>
      </x:c>
      <x:c r="C1719" s="11" t="n">
        <x:f>IF($A1719="","",INDEX(Assumptions!$F$5:$F$12,MATCH($B1719,Assumptions!$D$5:$D$12,0)))</x:f>
        <x:v>1260</x:v>
      </x:c>
      <x:c r="D1719" s="11" t="n">
        <x:f>IF($A1719="","",INDEX(Assumptions!$G$5:$G$12,MATCH($B1719,Assumptions!$D$5:$D$12,0)))</x:f>
        <x:v>145</x:v>
      </x:c>
      <x:c r="E1719" s="11" t="n">
        <x:f>IF($A1719="","",INDEX(Assumptions!$M$5:$M$11,WEEKDAY($A1719,2)))</x:f>
        <x:v>1</x:v>
      </x:c>
      <x:c r="F1719" s="11" t="n">
        <x:f>IF($A1719="","",Assumptions!$B$15)</x:f>
        <x:v>0.35</x:v>
      </x:c>
      <x:c r="G1719" s="11" t="n">
        <x:f>IF($A1719="","",MAX(INDEX(Assumptions!$H$5:$H$12,MATCH($B1719,Assumptions!$D$5:$D$12,0)),MIN(INDEX(Assumptions!$I$5:$I$12,MATCH($B1719,Assumptions!$D$5:$D$12,0)),($C1719+$D1719*SQRT(-2*LN(RAND()))*COS(2*PI()*RAND()))*$E1719*$J1719*$K1719)))</x:f>
        <x:v>1279.2609154803</x:v>
      </x:c>
      <x:c r="H1719" s="11" t="n">
        <x:f>IF($A1719="","",$G1719*$F1719+$C1719*(1-$F1719))</x:f>
        <x:v>1266.7413204181048</x:v>
      </x:c>
      <x:c r="I1719" s="11" t="n">
        <x:f>IF($A1719="","",AVERAGE($H1719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1254.0973189079484</x:v>
      </x:c>
      <x:c r="J1719" s="12" t="n">
        <x:f>IF($A1719="","",1+SUMIFS(Assumptions!$S$5:$S$10,Assumptions!$P$5:$P$10,$B1719,Assumptions!$Q$5:$Q$10,"&lt;="&amp;$A1719,Assumptions!$R$5:$R$10,"&gt;="&amp;$A1719))</x:f>
        <x:v>1</x:v>
      </x:c>
      <x:c r="K1719" s="12" t="n">
        <x:f>IF($A1719="","",1+((($A1719-Assumptions!$B$5)/30)*INDEX(Assumptions!$J$5:$J$12,MATCH($B1719,Assumptions!$D$5:$D$12,0))))</x:f>
        <x:v>1.0343</x:v>
      </x:c>
      <x:c r="L1719" t="str">
        <x:f>IF($A1719="","",IFERROR(INDEX(Assumptions!$O$5:$O$10,MATCH(1,(Assumptions!$P$5:$P$10=$B1719)*(Assumptions!$Q$5:$Q$10&lt;=$A1719)*(Assumptions!$R$5:$R$10&gt;=$A1719),0)),""))</x:f>
      </x:c>
      <x:c r="M1719" t="n">
        <x:f>--($A1719&lt;&gt;"")</x:f>
        <x:v>1</x:v>
      </x:c>
    </x:row>
    <x:row r="1720">
      <x:c r="A1720" s="10" t="n">
        <x:f>IF(Assumptions!$B$5+INT((ROW()-2)/Assumptions!$B$7)&gt;Assumptions!$B$6,"",Assumptions!$B$5+INT((ROW()-2)/Assumptions!$B$7))</x:f>
        <x:v>46366</x:v>
      </x:c>
      <x:c r="B1720" t="str">
        <x:f>IF($A1720="","",INDEX(Assumptions!$D$5:$D$12,MOD(ROW()-2,Assumptions!$B$7)+1))</x:f>
        <x:v>Hadley's Hope</x:v>
      </x:c>
      <x:c r="C1720" s="11" t="n">
        <x:f>IF($A1720="","",INDEX(Assumptions!$F$5:$F$12,MATCH($B1720,Assumptions!$D$5:$D$12,0)))</x:f>
        <x:v>845</x:v>
      </x:c>
      <x:c r="D1720" s="11" t="n">
        <x:f>IF($A1720="","",INDEX(Assumptions!$G$5:$G$12,MATCH($B1720,Assumptions!$D$5:$D$12,0)))</x:f>
        <x:v>80</x:v>
      </x:c>
      <x:c r="E1720" s="11" t="n">
        <x:f>IF($A1720="","",INDEX(Assumptions!$M$5:$M$11,WEEKDAY($A1720,2)))</x:f>
        <x:v>1</x:v>
      </x:c>
      <x:c r="F1720" s="11" t="n">
        <x:f>IF($A1720="","",Assumptions!$B$15)</x:f>
        <x:v>0.35</x:v>
      </x:c>
      <x:c r="G1720" s="11" t="n">
        <x:f>IF($A1720="","",MAX(INDEX(Assumptions!$H$5:$H$12,MATCH($B1720,Assumptions!$D$5:$D$12,0)),MIN(INDEX(Assumptions!$I$5:$I$12,MATCH($B1720,Assumptions!$D$5:$D$12,0)),($C1720+$D1720*SQRT(-2*LN(RAND()))*COS(2*PI()*RAND()))*$E1720*$J1720*$K1720)))</x:f>
        <x:v>809.0492259594191</x:v>
      </x:c>
      <x:c r="H1720" s="11" t="n">
        <x:f>IF($A1720="","",$G1720*$F1720+$C1720*(1-$F1720))</x:f>
        <x:v>832.4172290857966</x:v>
      </x:c>
      <x:c r="I1720" s="11" t="n">
        <x:f>IF($A1720="","",AVERAGE($H1720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832.8365375810919</x:v>
      </x:c>
      <x:c r="J1720" s="12" t="n">
        <x:f>IF($A1720="","",1+SUMIFS(Assumptions!$S$5:$S$10,Assumptions!$P$5:$P$10,$B1720,Assumptions!$Q$5:$Q$10,"&lt;="&amp;$A1720,Assumptions!$R$5:$R$10,"&gt;="&amp;$A1720))</x:f>
        <x:v>1</x:v>
      </x:c>
      <x:c r="K1720" s="12" t="n">
        <x:f>IF($A1720="","",1+((($A1720-Assumptions!$B$5)/30)*INDEX(Assumptions!$J$5:$J$12,MATCH($B1720,Assumptions!$D$5:$D$12,0))))</x:f>
        <x:v>1.0114333333333334</x:v>
      </x:c>
      <x:c r="L1720" t="str">
        <x:f>IF($A1720="","",IFERROR(INDEX(Assumptions!$O$5:$O$10,MATCH(1,(Assumptions!$P$5:$P$10=$B1720)*(Assumptions!$Q$5:$Q$10&lt;=$A1720)*(Assumptions!$R$5:$R$10&gt;=$A1720),0)),""))</x:f>
      </x:c>
      <x:c r="M1720" t="n">
        <x:f>--($A1720&lt;&gt;"")</x:f>
        <x:v>1</x:v>
      </x:c>
    </x:row>
    <x:row r="1721">
      <x:c r="A1721" s="10" t="n">
        <x:f>IF(Assumptions!$B$5+INT((ROW()-2)/Assumptions!$B$7)&gt;Assumptions!$B$6,"",Assumptions!$B$5+INT((ROW()-2)/Assumptions!$B$7))</x:f>
        <x:v>46366</x:v>
      </x:c>
      <x:c r="B1721" t="str">
        <x:f>IF($A1721="","",INDEX(Assumptions!$D$5:$D$12,MOD(ROW()-2,Assumptions!$B$7)+1))</x:f>
        <x:v>Yutani Ridge</x:v>
      </x:c>
      <x:c r="C1721" s="11" t="n">
        <x:f>IF($A1721="","",INDEX(Assumptions!$F$5:$F$12,MATCH($B1721,Assumptions!$D$5:$D$12,0)))</x:f>
        <x:v>1050</x:v>
      </x:c>
      <x:c r="D1721" s="11" t="n">
        <x:f>IF($A1721="","",INDEX(Assumptions!$G$5:$G$12,MATCH($B1721,Assumptions!$D$5:$D$12,0)))</x:f>
        <x:v>125</x:v>
      </x:c>
      <x:c r="E1721" s="11" t="n">
        <x:f>IF($A1721="","",INDEX(Assumptions!$M$5:$M$11,WEEKDAY($A1721,2)))</x:f>
        <x:v>1</x:v>
      </x:c>
      <x:c r="F1721" s="11" t="n">
        <x:f>IF($A1721="","",Assumptions!$B$15)</x:f>
        <x:v>0.35</x:v>
      </x:c>
      <x:c r="G1721" s="11" t="n">
        <x:f>IF($A1721="","",MAX(INDEX(Assumptions!$H$5:$H$12,MATCH($B1721,Assumptions!$D$5:$D$12,0)),MIN(INDEX(Assumptions!$I$5:$I$12,MATCH($B1721,Assumptions!$D$5:$D$12,0)),($C1721+$D1721*SQRT(-2*LN(RAND()))*COS(2*PI()*RAND()))*$E1721*$J1721*$K1721)))</x:f>
        <x:v>1174.2529011701608</x:v>
      </x:c>
      <x:c r="H1721" s="11" t="n">
        <x:f>IF($A1721="","",$G1721*$F1721+$C1721*(1-$F1721))</x:f>
        <x:v>1093.4885154095564</x:v>
      </x:c>
      <x:c r="I1721" s="11" t="n">
        <x:f>IF($A1721="","",AVERAGE($H1721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1044.9095251606009</x:v>
      </x:c>
      <x:c r="J1721" s="12" t="n">
        <x:f>IF($A1721="","",1+SUMIFS(Assumptions!$S$5:$S$10,Assumptions!$P$5:$P$10,$B1721,Assumptions!$Q$5:$Q$10,"&lt;="&amp;$A1721,Assumptions!$R$5:$R$10,"&gt;="&amp;$A1721))</x:f>
        <x:v>1</x:v>
      </x:c>
      <x:c r="K1721" s="12" t="n">
        <x:f>IF($A1721="","",1+((($A1721-Assumptions!$B$5)/30)*INDEX(Assumptions!$J$5:$J$12,MATCH($B1721,Assumptions!$D$5:$D$12,0))))</x:f>
        <x:v>1.0285833333333334</x:v>
      </x:c>
      <x:c r="L1721" t="str">
        <x:f>IF($A1721="","",IFERROR(INDEX(Assumptions!$O$5:$O$10,MATCH(1,(Assumptions!$P$5:$P$10=$B1721)*(Assumptions!$Q$5:$Q$10&lt;=$A1721)*(Assumptions!$R$5:$R$10&gt;=$A1721),0)),""))</x:f>
      </x:c>
      <x:c r="M1721" t="n">
        <x:f>--($A1721&lt;&gt;"")</x:f>
        <x:v>1</x:v>
      </x:c>
    </x:row>
    <x:row r="1722">
      <x:c r="A1722" s="10" t="n">
        <x:f>IF(Assumptions!$B$5+INT((ROW()-2)/Assumptions!$B$7)&gt;Assumptions!$B$6,"",Assumptions!$B$5+INT((ROW()-2)/Assumptions!$B$7))</x:f>
        <x:v>46367</x:v>
      </x:c>
      <x:c r="B1722" t="str">
        <x:f>IF($A1722="","",INDEX(Assumptions!$D$5:$D$12,MOD(ROW()-2,Assumptions!$B$7)+1))</x:f>
        <x:v>Acheron Prime</x:v>
      </x:c>
      <x:c r="C1722" s="11" t="n">
        <x:f>IF($A1722="","",INDEX(Assumptions!$F$5:$F$12,MATCH($B1722,Assumptions!$D$5:$D$12,0)))</x:f>
        <x:v>1120</x:v>
      </x:c>
      <x:c r="D1722" s="11" t="n">
        <x:f>IF($A1722="","",INDEX(Assumptions!$G$5:$G$12,MATCH($B1722,Assumptions!$D$5:$D$12,0)))</x:f>
        <x:v>115</x:v>
      </x:c>
      <x:c r="E1722" s="11" t="n">
        <x:f>IF($A1722="","",INDEX(Assumptions!$M$5:$M$11,WEEKDAY($A1722,2)))</x:f>
        <x:v>0.98</x:v>
      </x:c>
      <x:c r="F1722" s="11" t="n">
        <x:f>IF($A1722="","",Assumptions!$B$15)</x:f>
        <x:v>0.35</x:v>
      </x:c>
      <x:c r="G1722" s="11" t="n">
        <x:f>IF($A1722="","",MAX(INDEX(Assumptions!$H$5:$H$12,MATCH($B1722,Assumptions!$D$5:$D$12,0)),MIN(INDEX(Assumptions!$I$5:$I$12,MATCH($B1722,Assumptions!$D$5:$D$12,0)),($C1722+$D1722*SQRT(-2*LN(RAND()))*COS(2*PI()*RAND()))*$E1722*$J1722*$K1722)))</x:f>
        <x:v>1132.3494226084065</x:v>
      </x:c>
      <x:c r="H1722" s="11" t="n">
        <x:f>IF($A1722="","",$G1722*$F1722+$C1722*(1-$F1722))</x:f>
        <x:v>1124.3222979129423</x:v>
      </x:c>
      <x:c r="I1722" s="11" t="n">
        <x:f>IF($A1722="","",AVERAGE($H1722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1122.829168280981</x:v>
      </x:c>
      <x:c r="J1722" s="12" t="n">
        <x:f>IF($A1722="","",1+SUMIFS(Assumptions!$S$5:$S$10,Assumptions!$P$5:$P$10,$B1722,Assumptions!$Q$5:$Q$10,"&lt;="&amp;$A1722,Assumptions!$R$5:$R$10,"&gt;="&amp;$A1722))</x:f>
        <x:v>1</x:v>
      </x:c>
      <x:c r="K1722" s="12" t="n">
        <x:f>IF($A1722="","",1+((($A1722-Assumptions!$B$5)/30)*INDEX(Assumptions!$J$5:$J$12,MATCH($B1722,Assumptions!$D$5:$D$12,0))))</x:f>
        <x:v>1.0229333333333333</x:v>
      </x:c>
      <x:c r="L1722" t="str">
        <x:f>IF($A1722="","",IFERROR(INDEX(Assumptions!$O$5:$O$10,MATCH(1,(Assumptions!$P$5:$P$10=$B1722)*(Assumptions!$Q$5:$Q$10&lt;=$A1722)*(Assumptions!$R$5:$R$10&gt;=$A1722),0)),""))</x:f>
      </x:c>
      <x:c r="M1722" t="n">
        <x:f>--($A1722&lt;&gt;"")</x:f>
        <x:v>1</x:v>
      </x:c>
    </x:row>
    <x:row r="1723">
      <x:c r="A1723" s="10" t="n">
        <x:f>IF(Assumptions!$B$5+INT((ROW()-2)/Assumptions!$B$7)&gt;Assumptions!$B$6,"",Assumptions!$B$5+INT((ROW()-2)/Assumptions!$B$7))</x:f>
        <x:v>46367</x:v>
      </x:c>
      <x:c r="B1723" t="str">
        <x:f>IF($A1723="","",INDEX(Assumptions!$D$5:$D$12,MOD(ROW()-2,Assumptions!$B$7)+1))</x:f>
        <x:v>LV-426 North</x:v>
      </x:c>
      <x:c r="C1723" s="11" t="n">
        <x:f>IF($A1723="","",INDEX(Assumptions!$F$5:$F$12,MATCH($B1723,Assumptions!$D$5:$D$12,0)))</x:f>
        <x:v>930</x:v>
      </x:c>
      <x:c r="D1723" s="11" t="n">
        <x:f>IF($A1723="","",INDEX(Assumptions!$G$5:$G$12,MATCH($B1723,Assumptions!$D$5:$D$12,0)))</x:f>
        <x:v>95</x:v>
      </x:c>
      <x:c r="E1723" s="11" t="n">
        <x:f>IF($A1723="","",INDEX(Assumptions!$M$5:$M$11,WEEKDAY($A1723,2)))</x:f>
        <x:v>0.98</x:v>
      </x:c>
      <x:c r="F1723" s="11" t="n">
        <x:f>IF($A1723="","",Assumptions!$B$15)</x:f>
        <x:v>0.35</x:v>
      </x:c>
      <x:c r="G1723" s="11" t="n">
        <x:f>IF($A1723="","",MAX(INDEX(Assumptions!$H$5:$H$12,MATCH($B1723,Assumptions!$D$5:$D$12,0)),MIN(INDEX(Assumptions!$I$5:$I$12,MATCH($B1723,Assumptions!$D$5:$D$12,0)),($C1723+$D1723*SQRT(-2*LN(RAND()))*COS(2*PI()*RAND()))*$E1723*$J1723*$K1723)))</x:f>
        <x:v>1040.761089949532</x:v>
      </x:c>
      <x:c r="H1723" s="11" t="n">
        <x:f>IF($A1723="","",$G1723*$F1723+$C1723*(1-$F1723))</x:f>
        <x:v>968.7663814823362</x:v>
      </x:c>
      <x:c r="I1723" s="11" t="n">
        <x:f>IF($A1723="","",AVERAGE($H1723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908.4276373723499</x:v>
      </x:c>
      <x:c r="J1723" s="12" t="n">
        <x:f>IF($A1723="","",1+SUMIFS(Assumptions!$S$5:$S$10,Assumptions!$P$5:$P$10,$B1723,Assumptions!$Q$5:$Q$10,"&lt;="&amp;$A1723,Assumptions!$R$5:$R$10,"&gt;="&amp;$A1723))</x:f>
        <x:v>1</x:v>
      </x:c>
      <x:c r="K1723" s="12" t="n">
        <x:f>IF($A1723="","",1+((($A1723-Assumptions!$B$5)/30)*INDEX(Assumptions!$J$5:$J$12,MATCH($B1723,Assumptions!$D$5:$D$12,0))))</x:f>
        <x:v>0.9885333333333334</x:v>
      </x:c>
      <x:c r="L1723" t="str">
        <x:f>IF($A1723="","",IFERROR(INDEX(Assumptions!$O$5:$O$10,MATCH(1,(Assumptions!$P$5:$P$10=$B1723)*(Assumptions!$Q$5:$Q$10&lt;=$A1723)*(Assumptions!$R$5:$R$10&gt;=$A1723),0)),""))</x:f>
      </x:c>
      <x:c r="M1723" t="n">
        <x:f>--($A1723&lt;&gt;"")</x:f>
        <x:v>1</x:v>
      </x:c>
    </x:row>
    <x:row r="1724">
      <x:c r="A1724" s="10" t="n">
        <x:f>IF(Assumptions!$B$5+INT((ROW()-2)/Assumptions!$B$7)&gt;Assumptions!$B$6,"",Assumptions!$B$5+INT((ROW()-2)/Assumptions!$B$7))</x:f>
        <x:v>46367</x:v>
      </x:c>
      <x:c r="B1724" t="str">
        <x:f>IF($A1724="","",INDEX(Assumptions!$D$5:$D$12,MOD(ROW()-2,Assumptions!$B$7)+1))</x:f>
        <x:v>Nostromo Deep</x:v>
      </x:c>
      <x:c r="C1724" s="11" t="n">
        <x:f>IF($A1724="","",INDEX(Assumptions!$F$5:$F$12,MATCH($B1724,Assumptions!$D$5:$D$12,0)))</x:f>
        <x:v>1260</x:v>
      </x:c>
      <x:c r="D1724" s="11" t="n">
        <x:f>IF($A1724="","",INDEX(Assumptions!$G$5:$G$12,MATCH($B1724,Assumptions!$D$5:$D$12,0)))</x:f>
        <x:v>145</x:v>
      </x:c>
      <x:c r="E1724" s="11" t="n">
        <x:f>IF($A1724="","",INDEX(Assumptions!$M$5:$M$11,WEEKDAY($A1724,2)))</x:f>
        <x:v>0.98</x:v>
      </x:c>
      <x:c r="F1724" s="11" t="n">
        <x:f>IF($A1724="","",Assumptions!$B$15)</x:f>
        <x:v>0.35</x:v>
      </x:c>
      <x:c r="G1724" s="11" t="n">
        <x:f>IF($A1724="","",MAX(INDEX(Assumptions!$H$5:$H$12,MATCH($B1724,Assumptions!$D$5:$D$12,0)),MIN(INDEX(Assumptions!$I$5:$I$12,MATCH($B1724,Assumptions!$D$5:$D$12,0)),($C1724+$D1724*SQRT(-2*LN(RAND()))*COS(2*PI()*RAND()))*$E1724*$J1724*$K1724)))</x:f>
        <x:v>1108.9990601169734</x:v>
      </x:c>
      <x:c r="H1724" s="11" t="n">
        <x:f>IF($A1724="","",$G1724*$F1724+$C1724*(1-$F1724))</x:f>
        <x:v>1207.1496710409406</x:v>
      </x:c>
      <x:c r="I1724" s="11" t="n">
        <x:f>IF($A1724="","",AVERAGE($H1724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1248.6997667221945</x:v>
      </x:c>
      <x:c r="J1724" s="12" t="n">
        <x:f>IF($A1724="","",1+SUMIFS(Assumptions!$S$5:$S$10,Assumptions!$P$5:$P$10,$B1724,Assumptions!$Q$5:$Q$10,"&lt;="&amp;$A1724,Assumptions!$R$5:$R$10,"&gt;="&amp;$A1724))</x:f>
        <x:v>1</x:v>
      </x:c>
      <x:c r="K1724" s="12" t="n">
        <x:f>IF($A1724="","",1+((($A1724-Assumptions!$B$5)/30)*INDEX(Assumptions!$J$5:$J$12,MATCH($B1724,Assumptions!$D$5:$D$12,0))))</x:f>
        <x:v>1.0344</x:v>
      </x:c>
      <x:c r="L1724" t="str">
        <x:f>IF($A1724="","",IFERROR(INDEX(Assumptions!$O$5:$O$10,MATCH(1,(Assumptions!$P$5:$P$10=$B1724)*(Assumptions!$Q$5:$Q$10&lt;=$A1724)*(Assumptions!$R$5:$R$10&gt;=$A1724),0)),""))</x:f>
      </x:c>
      <x:c r="M1724" t="n">
        <x:f>--($A1724&lt;&gt;"")</x:f>
        <x:v>1</x:v>
      </x:c>
    </x:row>
    <x:row r="1725">
      <x:c r="A1725" s="10" t="n">
        <x:f>IF(Assumptions!$B$5+INT((ROW()-2)/Assumptions!$B$7)&gt;Assumptions!$B$6,"",Assumptions!$B$5+INT((ROW()-2)/Assumptions!$B$7))</x:f>
        <x:v>46367</x:v>
      </x:c>
      <x:c r="B1725" t="str">
        <x:f>IF($A1725="","",INDEX(Assumptions!$D$5:$D$12,MOD(ROW()-2,Assumptions!$B$7)+1))</x:f>
        <x:v>Hadley's Hope</x:v>
      </x:c>
      <x:c r="C1725" s="11" t="n">
        <x:f>IF($A1725="","",INDEX(Assumptions!$F$5:$F$12,MATCH($B1725,Assumptions!$D$5:$D$12,0)))</x:f>
        <x:v>845</x:v>
      </x:c>
      <x:c r="D1725" s="11" t="n">
        <x:f>IF($A1725="","",INDEX(Assumptions!$G$5:$G$12,MATCH($B1725,Assumptions!$D$5:$D$12,0)))</x:f>
        <x:v>80</x:v>
      </x:c>
      <x:c r="E1725" s="11" t="n">
        <x:f>IF($A1725="","",INDEX(Assumptions!$M$5:$M$11,WEEKDAY($A1725,2)))</x:f>
        <x:v>0.98</x:v>
      </x:c>
      <x:c r="F1725" s="11" t="n">
        <x:f>IF($A1725="","",Assumptions!$B$15)</x:f>
        <x:v>0.35</x:v>
      </x:c>
      <x:c r="G1725" s="11" t="n">
        <x:f>IF($A1725="","",MAX(INDEX(Assumptions!$H$5:$H$12,MATCH($B1725,Assumptions!$D$5:$D$12,0)),MIN(INDEX(Assumptions!$I$5:$I$12,MATCH($B1725,Assumptions!$D$5:$D$12,0)),($C1725+$D1725*SQRT(-2*LN(RAND()))*COS(2*PI()*RAND()))*$E1725*$J1725*$K1725)))</x:f>
        <x:v>783.3362949129341</x:v>
      </x:c>
      <x:c r="H1725" s="11" t="n">
        <x:f>IF($A1725="","",$G1725*$F1725+$C1725*(1-$F1725))</x:f>
        <x:v>823.4177032195269</x:v>
      </x:c>
      <x:c r="I1725" s="11" t="n">
        <x:f>IF($A1725="","",AVERAGE($H1725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825.6830586556205</x:v>
      </x:c>
      <x:c r="J1725" s="12" t="n">
        <x:f>IF($A1725="","",1+SUMIFS(Assumptions!$S$5:$S$10,Assumptions!$P$5:$P$10,$B1725,Assumptions!$Q$5:$Q$10,"&lt;="&amp;$A1725,Assumptions!$R$5:$R$10,"&gt;="&amp;$A1725))</x:f>
        <x:v>1</x:v>
      </x:c>
      <x:c r="K1725" s="12" t="n">
        <x:f>IF($A1725="","",1+((($A1725-Assumptions!$B$5)/30)*INDEX(Assumptions!$J$5:$J$12,MATCH($B1725,Assumptions!$D$5:$D$12,0))))</x:f>
        <x:v>1.0114666666666667</x:v>
      </x:c>
      <x:c r="L1725" t="str">
        <x:f>IF($A1725="","",IFERROR(INDEX(Assumptions!$O$5:$O$10,MATCH(1,(Assumptions!$P$5:$P$10=$B1725)*(Assumptions!$Q$5:$Q$10&lt;=$A1725)*(Assumptions!$R$5:$R$10&gt;=$A1725),0)),""))</x:f>
      </x:c>
      <x:c r="M1725" t="n">
        <x:f>--($A1725&lt;&gt;"")</x:f>
        <x:v>1</x:v>
      </x:c>
    </x:row>
    <x:row r="1726">
      <x:c r="A1726" s="10" t="n">
        <x:f>IF(Assumptions!$B$5+INT((ROW()-2)/Assumptions!$B$7)&gt;Assumptions!$B$6,"",Assumptions!$B$5+INT((ROW()-2)/Assumptions!$B$7))</x:f>
        <x:v>46367</x:v>
      </x:c>
      <x:c r="B1726" t="str">
        <x:f>IF($A1726="","",INDEX(Assumptions!$D$5:$D$12,MOD(ROW()-2,Assumptions!$B$7)+1))</x:f>
        <x:v>Yutani Ridge</x:v>
      </x:c>
      <x:c r="C1726" s="11" t="n">
        <x:f>IF($A1726="","",INDEX(Assumptions!$F$5:$F$12,MATCH($B1726,Assumptions!$D$5:$D$12,0)))</x:f>
        <x:v>1050</x:v>
      </x:c>
      <x:c r="D1726" s="11" t="n">
        <x:f>IF($A1726="","",INDEX(Assumptions!$G$5:$G$12,MATCH($B1726,Assumptions!$D$5:$D$12,0)))</x:f>
        <x:v>125</x:v>
      </x:c>
      <x:c r="E1726" s="11" t="n">
        <x:f>IF($A1726="","",INDEX(Assumptions!$M$5:$M$11,WEEKDAY($A1726,2)))</x:f>
        <x:v>0.98</x:v>
      </x:c>
      <x:c r="F1726" s="11" t="n">
        <x:f>IF($A1726="","",Assumptions!$B$15)</x:f>
        <x:v>0.35</x:v>
      </x:c>
      <x:c r="G1726" s="11" t="n">
        <x:f>IF($A1726="","",MAX(INDEX(Assumptions!$H$5:$H$12,MATCH($B1726,Assumptions!$D$5:$D$12,0)),MIN(INDEX(Assumptions!$I$5:$I$12,MATCH($B1726,Assumptions!$D$5:$D$12,0)),($C1726+$D1726*SQRT(-2*LN(RAND()))*COS(2*PI()*RAND()))*$E1726*$J1726*$K1726)))</x:f>
        <x:v>1112.0511075057843</x:v>
      </x:c>
      <x:c r="H1726" s="11" t="n">
        <x:f>IF($A1726="","",$G1726*$F1726+$C1726*(1-$F1726))</x:f>
        <x:v>1071.7178876270245</x:v>
      </x:c>
      <x:c r="I1726" s="11" t="n">
        <x:f>IF($A1726="","",AVERAGE($H1726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1053.8264995326679</x:v>
      </x:c>
      <x:c r="J1726" s="12" t="n">
        <x:f>IF($A1726="","",1+SUMIFS(Assumptions!$S$5:$S$10,Assumptions!$P$5:$P$10,$B1726,Assumptions!$Q$5:$Q$10,"&lt;="&amp;$A1726,Assumptions!$R$5:$R$10,"&gt;="&amp;$A1726))</x:f>
        <x:v>1</x:v>
      </x:c>
      <x:c r="K1726" s="12" t="n">
        <x:f>IF($A1726="","",1+((($A1726-Assumptions!$B$5)/30)*INDEX(Assumptions!$J$5:$J$12,MATCH($B1726,Assumptions!$D$5:$D$12,0))))</x:f>
        <x:v>1.0286666666666666</x:v>
      </x:c>
      <x:c r="L1726" t="str">
        <x:f>IF($A1726="","",IFERROR(INDEX(Assumptions!$O$5:$O$10,MATCH(1,(Assumptions!$P$5:$P$10=$B1726)*(Assumptions!$Q$5:$Q$10&lt;=$A1726)*(Assumptions!$R$5:$R$10&gt;=$A1726),0)),""))</x:f>
      </x:c>
      <x:c r="M1726" t="n">
        <x:f>--($A1726&lt;&gt;"")</x:f>
        <x:v>1</x:v>
      </x:c>
    </x:row>
    <x:row r="1727">
      <x:c r="A1727" s="10" t="n">
        <x:f>IF(Assumptions!$B$5+INT((ROW()-2)/Assumptions!$B$7)&gt;Assumptions!$B$6,"",Assumptions!$B$5+INT((ROW()-2)/Assumptions!$B$7))</x:f>
        <x:v>46368</x:v>
      </x:c>
      <x:c r="B1727" t="str">
        <x:f>IF($A1727="","",INDEX(Assumptions!$D$5:$D$12,MOD(ROW()-2,Assumptions!$B$7)+1))</x:f>
        <x:v>Acheron Prime</x:v>
      </x:c>
      <x:c r="C1727" s="11" t="n">
        <x:f>IF($A1727="","",INDEX(Assumptions!$F$5:$F$12,MATCH($B1727,Assumptions!$D$5:$D$12,0)))</x:f>
        <x:v>1120</x:v>
      </x:c>
      <x:c r="D1727" s="11" t="n">
        <x:f>IF($A1727="","",INDEX(Assumptions!$G$5:$G$12,MATCH($B1727,Assumptions!$D$5:$D$12,0)))</x:f>
        <x:v>115</x:v>
      </x:c>
      <x:c r="E1727" s="11" t="n">
        <x:f>IF($A1727="","",INDEX(Assumptions!$M$5:$M$11,WEEKDAY($A1727,2)))</x:f>
        <x:v>0.91</x:v>
      </x:c>
      <x:c r="F1727" s="11" t="n">
        <x:f>IF($A1727="","",Assumptions!$B$15)</x:f>
        <x:v>0.35</x:v>
      </x:c>
      <x:c r="G1727" s="11" t="n">
        <x:f>IF($A1727="","",MAX(INDEX(Assumptions!$H$5:$H$12,MATCH($B1727,Assumptions!$D$5:$D$12,0)),MIN(INDEX(Assumptions!$I$5:$I$12,MATCH($B1727,Assumptions!$D$5:$D$12,0)),($C1727+$D1727*SQRT(-2*LN(RAND()))*COS(2*PI()*RAND()))*$E1727*$J1727*$K1727)))</x:f>
        <x:v>1212.3312772125832</x:v>
      </x:c>
      <x:c r="H1727" s="11" t="n">
        <x:f>IF($A1727="","",$G1727*$F1727+$C1727*(1-$F1727))</x:f>
        <x:v>1152.315947024404</x:v>
      </x:c>
      <x:c r="I1727" s="11" t="n">
        <x:f>IF($A1727="","",AVERAGE($H1727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1128.8802015456733</x:v>
      </x:c>
      <x:c r="J1727" s="12" t="n">
        <x:f>IF($A1727="","",1+SUMIFS(Assumptions!$S$5:$S$10,Assumptions!$P$5:$P$10,$B1727,Assumptions!$Q$5:$Q$10,"&lt;="&amp;$A1727,Assumptions!$R$5:$R$10,"&gt;="&amp;$A1727))</x:f>
        <x:v>1</x:v>
      </x:c>
      <x:c r="K1727" s="12" t="n">
        <x:f>IF($A1727="","",1+((($A1727-Assumptions!$B$5)/30)*INDEX(Assumptions!$J$5:$J$12,MATCH($B1727,Assumptions!$D$5:$D$12,0))))</x:f>
        <x:v>1.023</x:v>
      </x:c>
      <x:c r="L1727" t="str">
        <x:f>IF($A1727="","",IFERROR(INDEX(Assumptions!$O$5:$O$10,MATCH(1,(Assumptions!$P$5:$P$10=$B1727)*(Assumptions!$Q$5:$Q$10&lt;=$A1727)*(Assumptions!$R$5:$R$10&gt;=$A1727),0)),""))</x:f>
      </x:c>
      <x:c r="M1727" t="n">
        <x:f>--($A1727&lt;&gt;"")</x:f>
        <x:v>1</x:v>
      </x:c>
    </x:row>
    <x:row r="1728">
      <x:c r="A1728" s="10" t="n">
        <x:f>IF(Assumptions!$B$5+INT((ROW()-2)/Assumptions!$B$7)&gt;Assumptions!$B$6,"",Assumptions!$B$5+INT((ROW()-2)/Assumptions!$B$7))</x:f>
        <x:v>46368</x:v>
      </x:c>
      <x:c r="B1728" t="str">
        <x:f>IF($A1728="","",INDEX(Assumptions!$D$5:$D$12,MOD(ROW()-2,Assumptions!$B$7)+1))</x:f>
        <x:v>LV-426 North</x:v>
      </x:c>
      <x:c r="C1728" s="11" t="n">
        <x:f>IF($A1728="","",INDEX(Assumptions!$F$5:$F$12,MATCH($B1728,Assumptions!$D$5:$D$12,0)))</x:f>
        <x:v>930</x:v>
      </x:c>
      <x:c r="D1728" s="11" t="n">
        <x:f>IF($A1728="","",INDEX(Assumptions!$G$5:$G$12,MATCH($B1728,Assumptions!$D$5:$D$12,0)))</x:f>
        <x:v>95</x:v>
      </x:c>
      <x:c r="E1728" s="11" t="n">
        <x:f>IF($A1728="","",INDEX(Assumptions!$M$5:$M$11,WEEKDAY($A1728,2)))</x:f>
        <x:v>0.91</x:v>
      </x:c>
      <x:c r="F1728" s="11" t="n">
        <x:f>IF($A1728="","",Assumptions!$B$15)</x:f>
        <x:v>0.35</x:v>
      </x:c>
      <x:c r="G1728" s="11" t="n">
        <x:f>IF($A1728="","",MAX(INDEX(Assumptions!$H$5:$H$12,MATCH($B1728,Assumptions!$D$5:$D$12,0)),MIN(INDEX(Assumptions!$I$5:$I$12,MATCH($B1728,Assumptions!$D$5:$D$12,0)),($C1728+$D1728*SQRT(-2*LN(RAND()))*COS(2*PI()*RAND()))*$E1728*$J1728*$K1728)))</x:f>
        <x:v>824.7774967589867</x:v>
      </x:c>
      <x:c r="H1728" s="11" t="n">
        <x:f>IF($A1728="","",$G1728*$F1728+$C1728*(1-$F1728))</x:f>
        <x:v>893.1721238656453</x:v>
      </x:c>
      <x:c r="I1728" s="11" t="n">
        <x:f>IF($A1728="","",AVERAGE($H1728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908.4203722721965</x:v>
      </x:c>
      <x:c r="J1728" s="12" t="n">
        <x:f>IF($A1728="","",1+SUMIFS(Assumptions!$S$5:$S$10,Assumptions!$P$5:$P$10,$B1728,Assumptions!$Q$5:$Q$10,"&lt;="&amp;$A1728,Assumptions!$R$5:$R$10,"&gt;="&amp;$A1728))</x:f>
        <x:v>1</x:v>
      </x:c>
      <x:c r="K1728" s="12" t="n">
        <x:f>IF($A1728="","",1+((($A1728-Assumptions!$B$5)/30)*INDEX(Assumptions!$J$5:$J$12,MATCH($B1728,Assumptions!$D$5:$D$12,0))))</x:f>
        <x:v>0.9885</x:v>
      </x:c>
      <x:c r="L1728" t="str">
        <x:f>IF($A1728="","",IFERROR(INDEX(Assumptions!$O$5:$O$10,MATCH(1,(Assumptions!$P$5:$P$10=$B1728)*(Assumptions!$Q$5:$Q$10&lt;=$A1728)*(Assumptions!$R$5:$R$10&gt;=$A1728),0)),""))</x:f>
      </x:c>
      <x:c r="M1728" t="n">
        <x:f>--($A1728&lt;&gt;"")</x:f>
        <x:v>1</x:v>
      </x:c>
    </x:row>
    <x:row r="1729">
      <x:c r="A1729" s="10" t="n">
        <x:f>IF(Assumptions!$B$5+INT((ROW()-2)/Assumptions!$B$7)&gt;Assumptions!$B$6,"",Assumptions!$B$5+INT((ROW()-2)/Assumptions!$B$7))</x:f>
        <x:v>46368</x:v>
      </x:c>
      <x:c r="B1729" t="str">
        <x:f>IF($A1729="","",INDEX(Assumptions!$D$5:$D$12,MOD(ROW()-2,Assumptions!$B$7)+1))</x:f>
        <x:v>Nostromo Deep</x:v>
      </x:c>
      <x:c r="C1729" s="11" t="n">
        <x:f>IF($A1729="","",INDEX(Assumptions!$F$5:$F$12,MATCH($B1729,Assumptions!$D$5:$D$12,0)))</x:f>
        <x:v>1260</x:v>
      </x:c>
      <x:c r="D1729" s="11" t="n">
        <x:f>IF($A1729="","",INDEX(Assumptions!$G$5:$G$12,MATCH($B1729,Assumptions!$D$5:$D$12,0)))</x:f>
        <x:v>145</x:v>
      </x:c>
      <x:c r="E1729" s="11" t="n">
        <x:f>IF($A1729="","",INDEX(Assumptions!$M$5:$M$11,WEEKDAY($A1729,2)))</x:f>
        <x:v>0.91</x:v>
      </x:c>
      <x:c r="F1729" s="11" t="n">
        <x:f>IF($A1729="","",Assumptions!$B$15)</x:f>
        <x:v>0.35</x:v>
      </x:c>
      <x:c r="G1729" s="11" t="n">
        <x:f>IF($A1729="","",MAX(INDEX(Assumptions!$H$5:$H$12,MATCH($B1729,Assumptions!$D$5:$D$12,0)),MIN(INDEX(Assumptions!$I$5:$I$12,MATCH($B1729,Assumptions!$D$5:$D$12,0)),($C1729+$D1729*SQRT(-2*LN(RAND()))*COS(2*PI()*RAND()))*$E1729*$J1729*$K1729)))</x:f>
        <x:v>1324.4587519173622</x:v>
      </x:c>
      <x:c r="H1729" s="11" t="n">
        <x:f>IF($A1729="","",$G1729*$F1729+$C1729*(1-$F1729))</x:f>
        <x:v>1282.5605631710769</x:v>
      </x:c>
      <x:c r="I1729" s="11" t="n">
        <x:f>IF($A1729="","",AVERAGE($H1729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1257.20846960685</x:v>
      </x:c>
      <x:c r="J1729" s="12" t="n">
        <x:f>IF($A1729="","",1+SUMIFS(Assumptions!$S$5:$S$10,Assumptions!$P$5:$P$10,$B1729,Assumptions!$Q$5:$Q$10,"&lt;="&amp;$A1729,Assumptions!$R$5:$R$10,"&gt;="&amp;$A1729))</x:f>
        <x:v>1</x:v>
      </x:c>
      <x:c r="K1729" s="12" t="n">
        <x:f>IF($A1729="","",1+((($A1729-Assumptions!$B$5)/30)*INDEX(Assumptions!$J$5:$J$12,MATCH($B1729,Assumptions!$D$5:$D$12,0))))</x:f>
        <x:v>1.0345</x:v>
      </x:c>
      <x:c r="L1729" t="str">
        <x:f>IF($A1729="","",IFERROR(INDEX(Assumptions!$O$5:$O$10,MATCH(1,(Assumptions!$P$5:$P$10=$B1729)*(Assumptions!$Q$5:$Q$10&lt;=$A1729)*(Assumptions!$R$5:$R$10&gt;=$A1729),0)),""))</x:f>
      </x:c>
      <x:c r="M1729" t="n">
        <x:f>--($A1729&lt;&gt;"")</x:f>
        <x:v>1</x:v>
      </x:c>
    </x:row>
    <x:row r="1730">
      <x:c r="A1730" s="10" t="n">
        <x:f>IF(Assumptions!$B$5+INT((ROW()-2)/Assumptions!$B$7)&gt;Assumptions!$B$6,"",Assumptions!$B$5+INT((ROW()-2)/Assumptions!$B$7))</x:f>
        <x:v>46368</x:v>
      </x:c>
      <x:c r="B1730" t="str">
        <x:f>IF($A1730="","",INDEX(Assumptions!$D$5:$D$12,MOD(ROW()-2,Assumptions!$B$7)+1))</x:f>
        <x:v>Hadley's Hope</x:v>
      </x:c>
      <x:c r="C1730" s="11" t="n">
        <x:f>IF($A1730="","",INDEX(Assumptions!$F$5:$F$12,MATCH($B1730,Assumptions!$D$5:$D$12,0)))</x:f>
        <x:v>845</x:v>
      </x:c>
      <x:c r="D1730" s="11" t="n">
        <x:f>IF($A1730="","",INDEX(Assumptions!$G$5:$G$12,MATCH($B1730,Assumptions!$D$5:$D$12,0)))</x:f>
        <x:v>80</x:v>
      </x:c>
      <x:c r="E1730" s="11" t="n">
        <x:f>IF($A1730="","",INDEX(Assumptions!$M$5:$M$11,WEEKDAY($A1730,2)))</x:f>
        <x:v>0.91</x:v>
      </x:c>
      <x:c r="F1730" s="11" t="n">
        <x:f>IF($A1730="","",Assumptions!$B$15)</x:f>
        <x:v>0.35</x:v>
      </x:c>
      <x:c r="G1730" s="11" t="n">
        <x:f>IF($A1730="","",MAX(INDEX(Assumptions!$H$5:$H$12,MATCH($B1730,Assumptions!$D$5:$D$12,0)),MIN(INDEX(Assumptions!$I$5:$I$12,MATCH($B1730,Assumptions!$D$5:$D$12,0)),($C1730+$D1730*SQRT(-2*LN(RAND()))*COS(2*PI()*RAND()))*$E1730*$J1730*$K1730)))</x:f>
        <x:v>680.1682212908651</x:v>
      </x:c>
      <x:c r="H1730" s="11" t="n">
        <x:f>IF($A1730="","",$G1730*$F1730+$C1730*(1-$F1730))</x:f>
        <x:v>787.3088774518028</x:v>
      </x:c>
      <x:c r="I1730" s="11" t="n">
        <x:f>IF($A1730="","",AVERAGE($H1730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820.211884590282</x:v>
      </x:c>
      <x:c r="J1730" s="12" t="n">
        <x:f>IF($A1730="","",1+SUMIFS(Assumptions!$S$5:$S$10,Assumptions!$P$5:$P$10,$B1730,Assumptions!$Q$5:$Q$10,"&lt;="&amp;$A1730,Assumptions!$R$5:$R$10,"&gt;="&amp;$A1730))</x:f>
        <x:v>1</x:v>
      </x:c>
      <x:c r="K1730" s="12" t="n">
        <x:f>IF($A1730="","",1+((($A1730-Assumptions!$B$5)/30)*INDEX(Assumptions!$J$5:$J$12,MATCH($B1730,Assumptions!$D$5:$D$12,0))))</x:f>
        <x:v>1.0115</x:v>
      </x:c>
      <x:c r="L1730" t="str">
        <x:f>IF($A1730="","",IFERROR(INDEX(Assumptions!$O$5:$O$10,MATCH(1,(Assumptions!$P$5:$P$10=$B1730)*(Assumptions!$Q$5:$Q$10&lt;=$A1730)*(Assumptions!$R$5:$R$10&gt;=$A1730),0)),""))</x:f>
      </x:c>
      <x:c r="M1730" t="n">
        <x:f>--($A1730&lt;&gt;"")</x:f>
        <x:v>1</x:v>
      </x:c>
    </x:row>
    <x:row r="1731">
      <x:c r="A1731" s="10" t="n">
        <x:f>IF(Assumptions!$B$5+INT((ROW()-2)/Assumptions!$B$7)&gt;Assumptions!$B$6,"",Assumptions!$B$5+INT((ROW()-2)/Assumptions!$B$7))</x:f>
        <x:v>46368</x:v>
      </x:c>
      <x:c r="B1731" t="str">
        <x:f>IF($A1731="","",INDEX(Assumptions!$D$5:$D$12,MOD(ROW()-2,Assumptions!$B$7)+1))</x:f>
        <x:v>Yutani Ridge</x:v>
      </x:c>
      <x:c r="C1731" s="11" t="n">
        <x:f>IF($A1731="","",INDEX(Assumptions!$F$5:$F$12,MATCH($B1731,Assumptions!$D$5:$D$12,0)))</x:f>
        <x:v>1050</x:v>
      </x:c>
      <x:c r="D1731" s="11" t="n">
        <x:f>IF($A1731="","",INDEX(Assumptions!$G$5:$G$12,MATCH($B1731,Assumptions!$D$5:$D$12,0)))</x:f>
        <x:v>125</x:v>
      </x:c>
      <x:c r="E1731" s="11" t="n">
        <x:f>IF($A1731="","",INDEX(Assumptions!$M$5:$M$11,WEEKDAY($A1731,2)))</x:f>
        <x:v>0.91</x:v>
      </x:c>
      <x:c r="F1731" s="11" t="n">
        <x:f>IF($A1731="","",Assumptions!$B$15)</x:f>
        <x:v>0.35</x:v>
      </x:c>
      <x:c r="G1731" s="11" t="n">
        <x:f>IF($A1731="","",MAX(INDEX(Assumptions!$H$5:$H$12,MATCH($B1731,Assumptions!$D$5:$D$12,0)),MIN(INDEX(Assumptions!$I$5:$I$12,MATCH($B1731,Assumptions!$D$5:$D$12,0)),($C1731+$D1731*SQRT(-2*LN(RAND()))*COS(2*PI()*RAND()))*$E1731*$J1731*$K1731)))</x:f>
        <x:v>1051.7931131164503</x:v>
      </x:c>
      <x:c r="H1731" s="11" t="n">
        <x:f>IF($A1731="","",$G1731*$F1731+$C1731*(1-$F1731))</x:f>
        <x:v>1050.6275895907575</x:v>
      </x:c>
      <x:c r="I1731" s="11" t="n">
        <x:f>IF($A1731="","",AVERAGE($H1731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1051.6018252927895</x:v>
      </x:c>
      <x:c r="J1731" s="12" t="n">
        <x:f>IF($A1731="","",1+SUMIFS(Assumptions!$S$5:$S$10,Assumptions!$P$5:$P$10,$B1731,Assumptions!$Q$5:$Q$10,"&lt;="&amp;$A1731,Assumptions!$R$5:$R$10,"&gt;="&amp;$A1731))</x:f>
        <x:v>1</x:v>
      </x:c>
      <x:c r="K1731" s="12" t="n">
        <x:f>IF($A1731="","",1+((($A1731-Assumptions!$B$5)/30)*INDEX(Assumptions!$J$5:$J$12,MATCH($B1731,Assumptions!$D$5:$D$12,0))))</x:f>
        <x:v>1.02875</x:v>
      </x:c>
      <x:c r="L1731" t="str">
        <x:f>IF($A1731="","",IFERROR(INDEX(Assumptions!$O$5:$O$10,MATCH(1,(Assumptions!$P$5:$P$10=$B1731)*(Assumptions!$Q$5:$Q$10&lt;=$A1731)*(Assumptions!$R$5:$R$10&gt;=$A1731),0)),""))</x:f>
      </x:c>
      <x:c r="M1731" t="n">
        <x:f>--($A1731&lt;&gt;"")</x:f>
        <x:v>1</x:v>
      </x:c>
    </x:row>
    <x:row r="1732">
      <x:c r="A1732" s="10" t="n">
        <x:f>IF(Assumptions!$B$5+INT((ROW()-2)/Assumptions!$B$7)&gt;Assumptions!$B$6,"",Assumptions!$B$5+INT((ROW()-2)/Assumptions!$B$7))</x:f>
        <x:v>46369</x:v>
      </x:c>
      <x:c r="B1732" t="str">
        <x:f>IF($A1732="","",INDEX(Assumptions!$D$5:$D$12,MOD(ROW()-2,Assumptions!$B$7)+1))</x:f>
        <x:v>Acheron Prime</x:v>
      </x:c>
      <x:c r="C1732" s="11" t="n">
        <x:f>IF($A1732="","",INDEX(Assumptions!$F$5:$F$12,MATCH($B1732,Assumptions!$D$5:$D$12,0)))</x:f>
        <x:v>1120</x:v>
      </x:c>
      <x:c r="D1732" s="11" t="n">
        <x:f>IF($A1732="","",INDEX(Assumptions!$G$5:$G$12,MATCH($B1732,Assumptions!$D$5:$D$12,0)))</x:f>
        <x:v>115</x:v>
      </x:c>
      <x:c r="E1732" s="11" t="n">
        <x:f>IF($A1732="","",INDEX(Assumptions!$M$5:$M$11,WEEKDAY($A1732,2)))</x:f>
        <x:v>0.87</x:v>
      </x:c>
      <x:c r="F1732" s="11" t="n">
        <x:f>IF($A1732="","",Assumptions!$B$15)</x:f>
        <x:v>0.35</x:v>
      </x:c>
      <x:c r="G1732" s="11" t="n">
        <x:f>IF($A1732="","",MAX(INDEX(Assumptions!$H$5:$H$12,MATCH($B1732,Assumptions!$D$5:$D$12,0)),MIN(INDEX(Assumptions!$I$5:$I$12,MATCH($B1732,Assumptions!$D$5:$D$12,0)),($C1732+$D1732*SQRT(-2*LN(RAND()))*COS(2*PI()*RAND()))*$E1732*$J1732*$K1732)))</x:f>
        <x:v>1062.667528388884</x:v>
      </x:c>
      <x:c r="H1732" s="11" t="n">
        <x:f>IF($A1732="","",$G1732*$F1732+$C1732*(1-$F1732))</x:f>
        <x:v>1099.9336349361092</x:v>
      </x:c>
      <x:c r="I1732" s="11" t="n">
        <x:f>IF($A1732="","",AVERAGE($H1732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1133.8365074215678</x:v>
      </x:c>
      <x:c r="J1732" s="12" t="n">
        <x:f>IF($A1732="","",1+SUMIFS(Assumptions!$S$5:$S$10,Assumptions!$P$5:$P$10,$B1732,Assumptions!$Q$5:$Q$10,"&lt;="&amp;$A1732,Assumptions!$R$5:$R$10,"&gt;="&amp;$A1732))</x:f>
        <x:v>1</x:v>
      </x:c>
      <x:c r="K1732" s="12" t="n">
        <x:f>IF($A1732="","",1+((($A1732-Assumptions!$B$5)/30)*INDEX(Assumptions!$J$5:$J$12,MATCH($B1732,Assumptions!$D$5:$D$12,0))))</x:f>
        <x:v>1.0230666666666666</x:v>
      </x:c>
      <x:c r="L1732" t="str">
        <x:f>IF($A1732="","",IFERROR(INDEX(Assumptions!$O$5:$O$10,MATCH(1,(Assumptions!$P$5:$P$10=$B1732)*(Assumptions!$Q$5:$Q$10&lt;=$A1732)*(Assumptions!$R$5:$R$10&gt;=$A1732),0)),""))</x:f>
      </x:c>
      <x:c r="M1732" t="n">
        <x:f>--($A1732&lt;&gt;"")</x:f>
        <x:v>1</x:v>
      </x:c>
    </x:row>
    <x:row r="1733">
      <x:c r="A1733" s="10" t="n">
        <x:f>IF(Assumptions!$B$5+INT((ROW()-2)/Assumptions!$B$7)&gt;Assumptions!$B$6,"",Assumptions!$B$5+INT((ROW()-2)/Assumptions!$B$7))</x:f>
        <x:v>46369</x:v>
      </x:c>
      <x:c r="B1733" t="str">
        <x:f>IF($A1733="","",INDEX(Assumptions!$D$5:$D$12,MOD(ROW()-2,Assumptions!$B$7)+1))</x:f>
        <x:v>LV-426 North</x:v>
      </x:c>
      <x:c r="C1733" s="11" t="n">
        <x:f>IF($A1733="","",INDEX(Assumptions!$F$5:$F$12,MATCH($B1733,Assumptions!$D$5:$D$12,0)))</x:f>
        <x:v>930</x:v>
      </x:c>
      <x:c r="D1733" s="11" t="n">
        <x:f>IF($A1733="","",INDEX(Assumptions!$G$5:$G$12,MATCH($B1733,Assumptions!$D$5:$D$12,0)))</x:f>
        <x:v>95</x:v>
      </x:c>
      <x:c r="E1733" s="11" t="n">
        <x:f>IF($A1733="","",INDEX(Assumptions!$M$5:$M$11,WEEKDAY($A1733,2)))</x:f>
        <x:v>0.87</x:v>
      </x:c>
      <x:c r="F1733" s="11" t="n">
        <x:f>IF($A1733="","",Assumptions!$B$15)</x:f>
        <x:v>0.35</x:v>
      </x:c>
      <x:c r="G1733" s="11" t="n">
        <x:f>IF($A1733="","",MAX(INDEX(Assumptions!$H$5:$H$12,MATCH($B1733,Assumptions!$D$5:$D$12,0)),MIN(INDEX(Assumptions!$I$5:$I$12,MATCH($B1733,Assumptions!$D$5:$D$12,0)),($C1733+$D1733*SQRT(-2*LN(RAND()))*COS(2*PI()*RAND()))*$E1733*$J1733*$K1733)))</x:f>
        <x:v>906.4344562548112</x:v>
      </x:c>
      <x:c r="H1733" s="11" t="n">
        <x:f>IF($A1733="","",$G1733*$F1733+$C1733*(1-$F1733))</x:f>
        <x:v>921.7520596891839</x:v>
      </x:c>
      <x:c r="I1733" s="11" t="n">
        <x:f>IF($A1733="","",AVERAGE($H1733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910.8484015725318</x:v>
      </x:c>
      <x:c r="J1733" s="12" t="n">
        <x:f>IF($A1733="","",1+SUMIFS(Assumptions!$S$5:$S$10,Assumptions!$P$5:$P$10,$B1733,Assumptions!$Q$5:$Q$10,"&lt;="&amp;$A1733,Assumptions!$R$5:$R$10,"&gt;="&amp;$A1733))</x:f>
        <x:v>1</x:v>
      </x:c>
      <x:c r="K1733" s="12" t="n">
        <x:f>IF($A1733="","",1+((($A1733-Assumptions!$B$5)/30)*INDEX(Assumptions!$J$5:$J$12,MATCH($B1733,Assumptions!$D$5:$D$12,0))))</x:f>
        <x:v>0.9884666666666667</x:v>
      </x:c>
      <x:c r="L1733" t="str">
        <x:f>IF($A1733="","",IFERROR(INDEX(Assumptions!$O$5:$O$10,MATCH(1,(Assumptions!$P$5:$P$10=$B1733)*(Assumptions!$Q$5:$Q$10&lt;=$A1733)*(Assumptions!$R$5:$R$10&gt;=$A1733),0)),""))</x:f>
      </x:c>
      <x:c r="M1733" t="n">
        <x:f>--($A1733&lt;&gt;"")</x:f>
        <x:v>1</x:v>
      </x:c>
    </x:row>
    <x:row r="1734">
      <x:c r="A1734" s="10" t="n">
        <x:f>IF(Assumptions!$B$5+INT((ROW()-2)/Assumptions!$B$7)&gt;Assumptions!$B$6,"",Assumptions!$B$5+INT((ROW()-2)/Assumptions!$B$7))</x:f>
        <x:v>46369</x:v>
      </x:c>
      <x:c r="B1734" t="str">
        <x:f>IF($A1734="","",INDEX(Assumptions!$D$5:$D$12,MOD(ROW()-2,Assumptions!$B$7)+1))</x:f>
        <x:v>Nostromo Deep</x:v>
      </x:c>
      <x:c r="C1734" s="11" t="n">
        <x:f>IF($A1734="","",INDEX(Assumptions!$F$5:$F$12,MATCH($B1734,Assumptions!$D$5:$D$12,0)))</x:f>
        <x:v>1260</x:v>
      </x:c>
      <x:c r="D1734" s="11" t="n">
        <x:f>IF($A1734="","",INDEX(Assumptions!$G$5:$G$12,MATCH($B1734,Assumptions!$D$5:$D$12,0)))</x:f>
        <x:v>145</x:v>
      </x:c>
      <x:c r="E1734" s="11" t="n">
        <x:f>IF($A1734="","",INDEX(Assumptions!$M$5:$M$11,WEEKDAY($A1734,2)))</x:f>
        <x:v>0.87</x:v>
      </x:c>
      <x:c r="F1734" s="11" t="n">
        <x:f>IF($A1734="","",Assumptions!$B$15)</x:f>
        <x:v>0.35</x:v>
      </x:c>
      <x:c r="G1734" s="11" t="n">
        <x:f>IF($A1734="","",MAX(INDEX(Assumptions!$H$5:$H$12,MATCH($B1734,Assumptions!$D$5:$D$12,0)),MIN(INDEX(Assumptions!$I$5:$I$12,MATCH($B1734,Assumptions!$D$5:$D$12,0)),($C1734+$D1734*SQRT(-2*LN(RAND()))*COS(2*PI()*RAND()))*$E1734*$J1734*$K1734)))</x:f>
        <x:v>913.3118971769375</x:v>
      </x:c>
      <x:c r="H1734" s="11" t="n">
        <x:f>IF($A1734="","",$G1734*$F1734+$C1734*(1-$F1734))</x:f>
        <x:v>1138.6591640119282</x:v>
      </x:c>
      <x:c r="I1734" s="11" t="n">
        <x:f>IF($A1734="","",AVERAGE($H1734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1247.8173123672143</x:v>
      </x:c>
      <x:c r="J1734" s="12" t="n">
        <x:f>IF($A1734="","",1+SUMIFS(Assumptions!$S$5:$S$10,Assumptions!$P$5:$P$10,$B1734,Assumptions!$Q$5:$Q$10,"&lt;="&amp;$A1734,Assumptions!$R$5:$R$10,"&gt;="&amp;$A1734))</x:f>
        <x:v>1</x:v>
      </x:c>
      <x:c r="K1734" s="12" t="n">
        <x:f>IF($A1734="","",1+((($A1734-Assumptions!$B$5)/30)*INDEX(Assumptions!$J$5:$J$12,MATCH($B1734,Assumptions!$D$5:$D$12,0))))</x:f>
        <x:v>1.0346</x:v>
      </x:c>
      <x:c r="L1734" t="str">
        <x:f>IF($A1734="","",IFERROR(INDEX(Assumptions!$O$5:$O$10,MATCH(1,(Assumptions!$P$5:$P$10=$B1734)*(Assumptions!$Q$5:$Q$10&lt;=$A1734)*(Assumptions!$R$5:$R$10&gt;=$A1734),0)),""))</x:f>
      </x:c>
      <x:c r="M1734" t="n">
        <x:f>--($A1734&lt;&gt;"")</x:f>
        <x:v>1</x:v>
      </x:c>
    </x:row>
    <x:row r="1735">
      <x:c r="A1735" s="10" t="n">
        <x:f>IF(Assumptions!$B$5+INT((ROW()-2)/Assumptions!$B$7)&gt;Assumptions!$B$6,"",Assumptions!$B$5+INT((ROW()-2)/Assumptions!$B$7))</x:f>
        <x:v>46369</x:v>
      </x:c>
      <x:c r="B1735" t="str">
        <x:f>IF($A1735="","",INDEX(Assumptions!$D$5:$D$12,MOD(ROW()-2,Assumptions!$B$7)+1))</x:f>
        <x:v>Hadley's Hope</x:v>
      </x:c>
      <x:c r="C1735" s="11" t="n">
        <x:f>IF($A1735="","",INDEX(Assumptions!$F$5:$F$12,MATCH($B1735,Assumptions!$D$5:$D$12,0)))</x:f>
        <x:v>845</x:v>
      </x:c>
      <x:c r="D1735" s="11" t="n">
        <x:f>IF($A1735="","",INDEX(Assumptions!$G$5:$G$12,MATCH($B1735,Assumptions!$D$5:$D$12,0)))</x:f>
        <x:v>80</x:v>
      </x:c>
      <x:c r="E1735" s="11" t="n">
        <x:f>IF($A1735="","",INDEX(Assumptions!$M$5:$M$11,WEEKDAY($A1735,2)))</x:f>
        <x:v>0.87</x:v>
      </x:c>
      <x:c r="F1735" s="11" t="n">
        <x:f>IF($A1735="","",Assumptions!$B$15)</x:f>
        <x:v>0.35</x:v>
      </x:c>
      <x:c r="G1735" s="11" t="n">
        <x:f>IF($A1735="","",MAX(INDEX(Assumptions!$H$5:$H$12,MATCH($B1735,Assumptions!$D$5:$D$12,0)),MIN(INDEX(Assumptions!$I$5:$I$12,MATCH($B1735,Assumptions!$D$5:$D$12,0)),($C1735+$D1735*SQRT(-2*LN(RAND()))*COS(2*PI()*RAND()))*$E1735*$J1735*$K1735)))</x:f>
        <x:v>790.8487072062125</x:v>
      </x:c>
      <x:c r="H1735" s="11" t="n">
        <x:f>IF($A1735="","",$G1735*$F1735+$C1735*(1-$F1735))</x:f>
        <x:v>826.0470475221744</x:v>
      </x:c>
      <x:c r="I1735" s="11" t="n">
        <x:f>IF($A1735="","",AVERAGE($H1735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824.632671707519</x:v>
      </x:c>
      <x:c r="J1735" s="12" t="n">
        <x:f>IF($A1735="","",1+SUMIFS(Assumptions!$S$5:$S$10,Assumptions!$P$5:$P$10,$B1735,Assumptions!$Q$5:$Q$10,"&lt;="&amp;$A1735,Assumptions!$R$5:$R$10,"&gt;="&amp;$A1735))</x:f>
        <x:v>1</x:v>
      </x:c>
      <x:c r="K1735" s="12" t="n">
        <x:f>IF($A1735="","",1+((($A1735-Assumptions!$B$5)/30)*INDEX(Assumptions!$J$5:$J$12,MATCH($B1735,Assumptions!$D$5:$D$12,0))))</x:f>
        <x:v>1.0115333333333334</x:v>
      </x:c>
      <x:c r="L1735" t="str">
        <x:f>IF($A1735="","",IFERROR(INDEX(Assumptions!$O$5:$O$10,MATCH(1,(Assumptions!$P$5:$P$10=$B1735)*(Assumptions!$Q$5:$Q$10&lt;=$A1735)*(Assumptions!$R$5:$R$10&gt;=$A1735),0)),""))</x:f>
      </x:c>
      <x:c r="M1735" t="n">
        <x:f>--($A1735&lt;&gt;"")</x:f>
        <x:v>1</x:v>
      </x:c>
    </x:row>
    <x:row r="1736">
      <x:c r="A1736" s="10" t="n">
        <x:f>IF(Assumptions!$B$5+INT((ROW()-2)/Assumptions!$B$7)&gt;Assumptions!$B$6,"",Assumptions!$B$5+INT((ROW()-2)/Assumptions!$B$7))</x:f>
        <x:v>46369</x:v>
      </x:c>
      <x:c r="B1736" t="str">
        <x:f>IF($A1736="","",INDEX(Assumptions!$D$5:$D$12,MOD(ROW()-2,Assumptions!$B$7)+1))</x:f>
        <x:v>Yutani Ridge</x:v>
      </x:c>
      <x:c r="C1736" s="11" t="n">
        <x:f>IF($A1736="","",INDEX(Assumptions!$F$5:$F$12,MATCH($B1736,Assumptions!$D$5:$D$12,0)))</x:f>
        <x:v>1050</x:v>
      </x:c>
      <x:c r="D1736" s="11" t="n">
        <x:f>IF($A1736="","",INDEX(Assumptions!$G$5:$G$12,MATCH($B1736,Assumptions!$D$5:$D$12,0)))</x:f>
        <x:v>125</x:v>
      </x:c>
      <x:c r="E1736" s="11" t="n">
        <x:f>IF($A1736="","",INDEX(Assumptions!$M$5:$M$11,WEEKDAY($A1736,2)))</x:f>
        <x:v>0.87</x:v>
      </x:c>
      <x:c r="F1736" s="11" t="n">
        <x:f>IF($A1736="","",Assumptions!$B$15)</x:f>
        <x:v>0.35</x:v>
      </x:c>
      <x:c r="G1736" s="11" t="n">
        <x:f>IF($A1736="","",MAX(INDEX(Assumptions!$H$5:$H$12,MATCH($B1736,Assumptions!$D$5:$D$12,0)),MIN(INDEX(Assumptions!$I$5:$I$12,MATCH($B1736,Assumptions!$D$5:$D$12,0)),($C1736+$D1736*SQRT(-2*LN(RAND()))*COS(2*PI()*RAND()))*$E1736*$J1736*$K1736)))</x:f>
        <x:v>950.4074706647676</x:v>
      </x:c>
      <x:c r="H1736" s="11" t="n">
        <x:f>IF($A1736="","",$G1736*$F1736+$C1736*(1-$F1736))</x:f>
        <x:v>1015.1426147326687</x:v>
      </x:c>
      <x:c r="I1736" s="11" t="n">
        <x:f>IF($A1736="","",AVERAGE($H1736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1061.506611648431</x:v>
      </x:c>
      <x:c r="J1736" s="12" t="n">
        <x:f>IF($A1736="","",1+SUMIFS(Assumptions!$S$5:$S$10,Assumptions!$P$5:$P$10,$B1736,Assumptions!$Q$5:$Q$10,"&lt;="&amp;$A1736,Assumptions!$R$5:$R$10,"&gt;="&amp;$A1736))</x:f>
        <x:v>1</x:v>
      </x:c>
      <x:c r="K1736" s="12" t="n">
        <x:f>IF($A1736="","",1+((($A1736-Assumptions!$B$5)/30)*INDEX(Assumptions!$J$5:$J$12,MATCH($B1736,Assumptions!$D$5:$D$12,0))))</x:f>
        <x:v>1.0288333333333333</x:v>
      </x:c>
      <x:c r="L1736" t="str">
        <x:f>IF($A1736="","",IFERROR(INDEX(Assumptions!$O$5:$O$10,MATCH(1,(Assumptions!$P$5:$P$10=$B1736)*(Assumptions!$Q$5:$Q$10&lt;=$A1736)*(Assumptions!$R$5:$R$10&gt;=$A1736),0)),""))</x:f>
      </x:c>
      <x:c r="M1736" t="n">
        <x:f>--($A1736&lt;&gt;"")</x:f>
        <x:v>1</x:v>
      </x:c>
    </x:row>
    <x:row r="1737">
      <x:c r="A1737" s="10" t="n">
        <x:f>IF(Assumptions!$B$5+INT((ROW()-2)/Assumptions!$B$7)&gt;Assumptions!$B$6,"",Assumptions!$B$5+INT((ROW()-2)/Assumptions!$B$7))</x:f>
        <x:v>46370</x:v>
      </x:c>
      <x:c r="B1737" t="str">
        <x:f>IF($A1737="","",INDEX(Assumptions!$D$5:$D$12,MOD(ROW()-2,Assumptions!$B$7)+1))</x:f>
        <x:v>Acheron Prime</x:v>
      </x:c>
      <x:c r="C1737" s="11" t="n">
        <x:f>IF($A1737="","",INDEX(Assumptions!$F$5:$F$12,MATCH($B1737,Assumptions!$D$5:$D$12,0)))</x:f>
        <x:v>1120</x:v>
      </x:c>
      <x:c r="D1737" s="11" t="n">
        <x:f>IF($A1737="","",INDEX(Assumptions!$G$5:$G$12,MATCH($B1737,Assumptions!$D$5:$D$12,0)))</x:f>
        <x:v>115</x:v>
      </x:c>
      <x:c r="E1737" s="11" t="n">
        <x:f>IF($A1737="","",INDEX(Assumptions!$M$5:$M$11,WEEKDAY($A1737,2)))</x:f>
        <x:v>1.03</x:v>
      </x:c>
      <x:c r="F1737" s="11" t="n">
        <x:f>IF($A1737="","",Assumptions!$B$15)</x:f>
        <x:v>0.35</x:v>
      </x:c>
      <x:c r="G1737" s="11" t="n">
        <x:f>IF($A1737="","",MAX(INDEX(Assumptions!$H$5:$H$12,MATCH($B1737,Assumptions!$D$5:$D$12,0)),MIN(INDEX(Assumptions!$I$5:$I$12,MATCH($B1737,Assumptions!$D$5:$D$12,0)),($C1737+$D1737*SQRT(-2*LN(RAND()))*COS(2*PI()*RAND()))*$E1737*$J1737*$K1737)))</x:f>
        <x:v>1385.1843155907698</x:v>
      </x:c>
      <x:c r="H1737" s="11" t="n">
        <x:f>IF($A1737="","",$G1737*$F1737+$C1737*(1-$F1737))</x:f>
        <x:v>1212.8145104567693</x:v>
      </x:c>
      <x:c r="I1737" s="11" t="n">
        <x:f>IF($A1737="","",AVERAGE($H1737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1145.8134391474136</x:v>
      </x:c>
      <x:c r="J1737" s="12" t="n">
        <x:f>IF($A1737="","",1+SUMIFS(Assumptions!$S$5:$S$10,Assumptions!$P$5:$P$10,$B1737,Assumptions!$Q$5:$Q$10,"&lt;="&amp;$A1737,Assumptions!$R$5:$R$10,"&gt;="&amp;$A1737))</x:f>
        <x:v>1</x:v>
      </x:c>
      <x:c r="K1737" s="12" t="n">
        <x:f>IF($A1737="","",1+((($A1737-Assumptions!$B$5)/30)*INDEX(Assumptions!$J$5:$J$12,MATCH($B1737,Assumptions!$D$5:$D$12,0))))</x:f>
        <x:v>1.0231333333333332</x:v>
      </x:c>
      <x:c r="L1737" t="str">
        <x:f>IF($A1737="","",IFERROR(INDEX(Assumptions!$O$5:$O$10,MATCH(1,(Assumptions!$P$5:$P$10=$B1737)*(Assumptions!$Q$5:$Q$10&lt;=$A1737)*(Assumptions!$R$5:$R$10&gt;=$A1737),0)),""))</x:f>
      </x:c>
      <x:c r="M1737" t="n">
        <x:f>--($A1737&lt;&gt;"")</x:f>
        <x:v>1</x:v>
      </x:c>
    </x:row>
    <x:row r="1738">
      <x:c r="A1738" s="10" t="n">
        <x:f>IF(Assumptions!$B$5+INT((ROW()-2)/Assumptions!$B$7)&gt;Assumptions!$B$6,"",Assumptions!$B$5+INT((ROW()-2)/Assumptions!$B$7))</x:f>
        <x:v>46370</x:v>
      </x:c>
      <x:c r="B1738" t="str">
        <x:f>IF($A1738="","",INDEX(Assumptions!$D$5:$D$12,MOD(ROW()-2,Assumptions!$B$7)+1))</x:f>
        <x:v>LV-426 North</x:v>
      </x:c>
      <x:c r="C1738" s="11" t="n">
        <x:f>IF($A1738="","",INDEX(Assumptions!$F$5:$F$12,MATCH($B1738,Assumptions!$D$5:$D$12,0)))</x:f>
        <x:v>930</x:v>
      </x:c>
      <x:c r="D1738" s="11" t="n">
        <x:f>IF($A1738="","",INDEX(Assumptions!$G$5:$G$12,MATCH($B1738,Assumptions!$D$5:$D$12,0)))</x:f>
        <x:v>95</x:v>
      </x:c>
      <x:c r="E1738" s="11" t="n">
        <x:f>IF($A1738="","",INDEX(Assumptions!$M$5:$M$11,WEEKDAY($A1738,2)))</x:f>
        <x:v>1.03</x:v>
      </x:c>
      <x:c r="F1738" s="11" t="n">
        <x:f>IF($A1738="","",Assumptions!$B$15)</x:f>
        <x:v>0.35</x:v>
      </x:c>
      <x:c r="G1738" s="11" t="n">
        <x:f>IF($A1738="","",MAX(INDEX(Assumptions!$H$5:$H$12,MATCH($B1738,Assumptions!$D$5:$D$12,0)),MIN(INDEX(Assumptions!$I$5:$I$12,MATCH($B1738,Assumptions!$D$5:$D$12,0)),($C1738+$D1738*SQRT(-2*LN(RAND()))*COS(2*PI()*RAND()))*$E1738*$J1738*$K1738)))</x:f>
        <x:v>1025.849557080726</x:v>
      </x:c>
      <x:c r="H1738" s="11" t="n">
        <x:f>IF($A1738="","",$G1738*$F1738+$C1738*(1-$F1738))</x:f>
        <x:v>963.5473449782542</x:v>
      </x:c>
      <x:c r="I1738" s="11" t="n">
        <x:f>IF($A1738="","",AVERAGE($H1738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922.7678061128723</x:v>
      </x:c>
      <x:c r="J1738" s="12" t="n">
        <x:f>IF($A1738="","",1+SUMIFS(Assumptions!$S$5:$S$10,Assumptions!$P$5:$P$10,$B1738,Assumptions!$Q$5:$Q$10,"&lt;="&amp;$A1738,Assumptions!$R$5:$R$10,"&gt;="&amp;$A1738))</x:f>
        <x:v>1</x:v>
      </x:c>
      <x:c r="K1738" s="12" t="n">
        <x:f>IF($A1738="","",1+((($A1738-Assumptions!$B$5)/30)*INDEX(Assumptions!$J$5:$J$12,MATCH($B1738,Assumptions!$D$5:$D$12,0))))</x:f>
        <x:v>0.9884333333333334</x:v>
      </x:c>
      <x:c r="L1738" t="str">
        <x:f>IF($A1738="","",IFERROR(INDEX(Assumptions!$O$5:$O$10,MATCH(1,(Assumptions!$P$5:$P$10=$B1738)*(Assumptions!$Q$5:$Q$10&lt;=$A1738)*(Assumptions!$R$5:$R$10&gt;=$A1738),0)),""))</x:f>
      </x:c>
      <x:c r="M1738" t="n">
        <x:f>--($A1738&lt;&gt;"")</x:f>
        <x:v>1</x:v>
      </x:c>
    </x:row>
    <x:row r="1739">
      <x:c r="A1739" s="10" t="n">
        <x:f>IF(Assumptions!$B$5+INT((ROW()-2)/Assumptions!$B$7)&gt;Assumptions!$B$6,"",Assumptions!$B$5+INT((ROW()-2)/Assumptions!$B$7))</x:f>
        <x:v>46370</x:v>
      </x:c>
      <x:c r="B1739" t="str">
        <x:f>IF($A1739="","",INDEX(Assumptions!$D$5:$D$12,MOD(ROW()-2,Assumptions!$B$7)+1))</x:f>
        <x:v>Nostromo Deep</x:v>
      </x:c>
      <x:c r="C1739" s="11" t="n">
        <x:f>IF($A1739="","",INDEX(Assumptions!$F$5:$F$12,MATCH($B1739,Assumptions!$D$5:$D$12,0)))</x:f>
        <x:v>1260</x:v>
      </x:c>
      <x:c r="D1739" s="11" t="n">
        <x:f>IF($A1739="","",INDEX(Assumptions!$G$5:$G$12,MATCH($B1739,Assumptions!$D$5:$D$12,0)))</x:f>
        <x:v>145</x:v>
      </x:c>
      <x:c r="E1739" s="11" t="n">
        <x:f>IF($A1739="","",INDEX(Assumptions!$M$5:$M$11,WEEKDAY($A1739,2)))</x:f>
        <x:v>1.03</x:v>
      </x:c>
      <x:c r="F1739" s="11" t="n">
        <x:f>IF($A1739="","",Assumptions!$B$15)</x:f>
        <x:v>0.35</x:v>
      </x:c>
      <x:c r="G1739" s="11" t="n">
        <x:f>IF($A1739="","",MAX(INDEX(Assumptions!$H$5:$H$12,MATCH($B1739,Assumptions!$D$5:$D$12,0)),MIN(INDEX(Assumptions!$I$5:$I$12,MATCH($B1739,Assumptions!$D$5:$D$12,0)),($C1739+$D1739*SQRT(-2*LN(RAND()))*COS(2*PI()*RAND()))*$E1739*$J1739*$K1739)))</x:f>
        <x:v>1153.1026831873555</x:v>
      </x:c>
      <x:c r="H1739" s="11" t="n">
        <x:f>IF($A1739="","",$G1739*$F1739+$C1739*(1-$F1739))</x:f>
        <x:v>1222.5859391155745</x:v>
      </x:c>
      <x:c r="I1739" s="11" t="n">
        <x:f>IF($A1739="","",AVERAGE($H1739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1230.5516285927608</x:v>
      </x:c>
      <x:c r="J1739" s="12" t="n">
        <x:f>IF($A1739="","",1+SUMIFS(Assumptions!$S$5:$S$10,Assumptions!$P$5:$P$10,$B1739,Assumptions!$Q$5:$Q$10,"&lt;="&amp;$A1739,Assumptions!$R$5:$R$10,"&gt;="&amp;$A1739))</x:f>
        <x:v>1</x:v>
      </x:c>
      <x:c r="K1739" s="12" t="n">
        <x:f>IF($A1739="","",1+((($A1739-Assumptions!$B$5)/30)*INDEX(Assumptions!$J$5:$J$12,MATCH($B1739,Assumptions!$D$5:$D$12,0))))</x:f>
        <x:v>1.0347</x:v>
      </x:c>
      <x:c r="L1739" t="str">
        <x:f>IF($A1739="","",IFERROR(INDEX(Assumptions!$O$5:$O$10,MATCH(1,(Assumptions!$P$5:$P$10=$B1739)*(Assumptions!$Q$5:$Q$10&lt;=$A1739)*(Assumptions!$R$5:$R$10&gt;=$A1739),0)),""))</x:f>
      </x:c>
      <x:c r="M1739" t="n">
        <x:f>--($A1739&lt;&gt;"")</x:f>
        <x:v>1</x:v>
      </x:c>
    </x:row>
    <x:row r="1740">
      <x:c r="A1740" s="10" t="n">
        <x:f>IF(Assumptions!$B$5+INT((ROW()-2)/Assumptions!$B$7)&gt;Assumptions!$B$6,"",Assumptions!$B$5+INT((ROW()-2)/Assumptions!$B$7))</x:f>
        <x:v>46370</x:v>
      </x:c>
      <x:c r="B1740" t="str">
        <x:f>IF($A1740="","",INDEX(Assumptions!$D$5:$D$12,MOD(ROW()-2,Assumptions!$B$7)+1))</x:f>
        <x:v>Hadley's Hope</x:v>
      </x:c>
      <x:c r="C1740" s="11" t="n">
        <x:f>IF($A1740="","",INDEX(Assumptions!$F$5:$F$12,MATCH($B1740,Assumptions!$D$5:$D$12,0)))</x:f>
        <x:v>845</x:v>
      </x:c>
      <x:c r="D1740" s="11" t="n">
        <x:f>IF($A1740="","",INDEX(Assumptions!$G$5:$G$12,MATCH($B1740,Assumptions!$D$5:$D$12,0)))</x:f>
        <x:v>80</x:v>
      </x:c>
      <x:c r="E1740" s="11" t="n">
        <x:f>IF($A1740="","",INDEX(Assumptions!$M$5:$M$11,WEEKDAY($A1740,2)))</x:f>
        <x:v>1.03</x:v>
      </x:c>
      <x:c r="F1740" s="11" t="n">
        <x:f>IF($A1740="","",Assumptions!$B$15)</x:f>
        <x:v>0.35</x:v>
      </x:c>
      <x:c r="G1740" s="11" t="n">
        <x:f>IF($A1740="","",MAX(INDEX(Assumptions!$H$5:$H$12,MATCH($B1740,Assumptions!$D$5:$D$12,0)),MIN(INDEX(Assumptions!$I$5:$I$12,MATCH($B1740,Assumptions!$D$5:$D$12,0)),($C1740+$D1740*SQRT(-2*LN(RAND()))*COS(2*PI()*RAND()))*$E1740*$J1740*$K1740)))</x:f>
        <x:v>881.9028393291674</x:v>
      </x:c>
      <x:c r="H1740" s="11" t="n">
        <x:f>IF($A1740="","",$G1740*$F1740+$C1740*(1-$F1740))</x:f>
        <x:v>857.9159937652086</x:v>
      </x:c>
      <x:c r="I1740" s="11" t="n">
        <x:f>IF($A1740="","",AVERAGE($H1740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835.2618144909278</x:v>
      </x:c>
      <x:c r="J1740" s="12" t="n">
        <x:f>IF($A1740="","",1+SUMIFS(Assumptions!$S$5:$S$10,Assumptions!$P$5:$P$10,$B1740,Assumptions!$Q$5:$Q$10,"&lt;="&amp;$A1740,Assumptions!$R$5:$R$10,"&gt;="&amp;$A1740))</x:f>
        <x:v>1</x:v>
      </x:c>
      <x:c r="K1740" s="12" t="n">
        <x:f>IF($A1740="","",1+((($A1740-Assumptions!$B$5)/30)*INDEX(Assumptions!$J$5:$J$12,MATCH($B1740,Assumptions!$D$5:$D$12,0))))</x:f>
        <x:v>1.0115666666666667</x:v>
      </x:c>
      <x:c r="L1740" t="str">
        <x:f>IF($A1740="","",IFERROR(INDEX(Assumptions!$O$5:$O$10,MATCH(1,(Assumptions!$P$5:$P$10=$B1740)*(Assumptions!$Q$5:$Q$10&lt;=$A1740)*(Assumptions!$R$5:$R$10&gt;=$A1740),0)),""))</x:f>
      </x:c>
      <x:c r="M1740" t="n">
        <x:f>--($A1740&lt;&gt;"")</x:f>
        <x:v>1</x:v>
      </x:c>
    </x:row>
    <x:row r="1741">
      <x:c r="A1741" s="10" t="n">
        <x:f>IF(Assumptions!$B$5+INT((ROW()-2)/Assumptions!$B$7)&gt;Assumptions!$B$6,"",Assumptions!$B$5+INT((ROW()-2)/Assumptions!$B$7))</x:f>
        <x:v>46370</x:v>
      </x:c>
      <x:c r="B1741" t="str">
        <x:f>IF($A1741="","",INDEX(Assumptions!$D$5:$D$12,MOD(ROW()-2,Assumptions!$B$7)+1))</x:f>
        <x:v>Yutani Ridge</x:v>
      </x:c>
      <x:c r="C1741" s="11" t="n">
        <x:f>IF($A1741="","",INDEX(Assumptions!$F$5:$F$12,MATCH($B1741,Assumptions!$D$5:$D$12,0)))</x:f>
        <x:v>1050</x:v>
      </x:c>
      <x:c r="D1741" s="11" t="n">
        <x:f>IF($A1741="","",INDEX(Assumptions!$G$5:$G$12,MATCH($B1741,Assumptions!$D$5:$D$12,0)))</x:f>
        <x:v>125</x:v>
      </x:c>
      <x:c r="E1741" s="11" t="n">
        <x:f>IF($A1741="","",INDEX(Assumptions!$M$5:$M$11,WEEKDAY($A1741,2)))</x:f>
        <x:v>1.03</x:v>
      </x:c>
      <x:c r="F1741" s="11" t="n">
        <x:f>IF($A1741="","",Assumptions!$B$15)</x:f>
        <x:v>0.35</x:v>
      </x:c>
      <x:c r="G1741" s="11" t="n">
        <x:f>IF($A1741="","",MAX(INDEX(Assumptions!$H$5:$H$12,MATCH($B1741,Assumptions!$D$5:$D$12,0)),MIN(INDEX(Assumptions!$I$5:$I$12,MATCH($B1741,Assumptions!$D$5:$D$12,0)),($C1741+$D1741*SQRT(-2*LN(RAND()))*COS(2*PI()*RAND()))*$E1741*$J1741*$K1741)))</x:f>
        <x:v>798.899540151509</x:v>
      </x:c>
      <x:c r="H1741" s="11" t="n">
        <x:f>IF($A1741="","",$G1741*$F1741+$C1741*(1-$F1741))</x:f>
        <x:v>962.1148390530282</x:v>
      </x:c>
      <x:c r="I1741" s="11" t="n">
        <x:f>IF($A1741="","",AVERAGE($H1741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1053.0443213589062</x:v>
      </x:c>
      <x:c r="J1741" s="12" t="n">
        <x:f>IF($A1741="","",1+SUMIFS(Assumptions!$S$5:$S$10,Assumptions!$P$5:$P$10,$B1741,Assumptions!$Q$5:$Q$10,"&lt;="&amp;$A1741,Assumptions!$R$5:$R$10,"&gt;="&amp;$A1741))</x:f>
        <x:v>1</x:v>
      </x:c>
      <x:c r="K1741" s="12" t="n">
        <x:f>IF($A1741="","",1+((($A1741-Assumptions!$B$5)/30)*INDEX(Assumptions!$J$5:$J$12,MATCH($B1741,Assumptions!$D$5:$D$12,0))))</x:f>
        <x:v>1.0289166666666667</x:v>
      </x:c>
      <x:c r="L1741" t="str">
        <x:f>IF($A1741="","",IFERROR(INDEX(Assumptions!$O$5:$O$10,MATCH(1,(Assumptions!$P$5:$P$10=$B1741)*(Assumptions!$Q$5:$Q$10&lt;=$A1741)*(Assumptions!$R$5:$R$10&gt;=$A1741),0)),""))</x:f>
      </x:c>
      <x:c r="M1741" t="n">
        <x:f>--($A1741&lt;&gt;"")</x:f>
        <x:v>1</x:v>
      </x:c>
    </x:row>
    <x:row r="1742">
      <x:c r="A1742" s="10" t="n">
        <x:f>IF(Assumptions!$B$5+INT((ROW()-2)/Assumptions!$B$7)&gt;Assumptions!$B$6,"",Assumptions!$B$5+INT((ROW()-2)/Assumptions!$B$7))</x:f>
        <x:v>46371</x:v>
      </x:c>
      <x:c r="B1742" t="str">
        <x:f>IF($A1742="","",INDEX(Assumptions!$D$5:$D$12,MOD(ROW()-2,Assumptions!$B$7)+1))</x:f>
        <x:v>Acheron Prime</x:v>
      </x:c>
      <x:c r="C1742" s="11" t="n">
        <x:f>IF($A1742="","",INDEX(Assumptions!$F$5:$F$12,MATCH($B1742,Assumptions!$D$5:$D$12,0)))</x:f>
        <x:v>1120</x:v>
      </x:c>
      <x:c r="D1742" s="11" t="n">
        <x:f>IF($A1742="","",INDEX(Assumptions!$G$5:$G$12,MATCH($B1742,Assumptions!$D$5:$D$12,0)))</x:f>
        <x:v>115</x:v>
      </x:c>
      <x:c r="E1742" s="11" t="n">
        <x:f>IF($A1742="","",INDEX(Assumptions!$M$5:$M$11,WEEKDAY($A1742,2)))</x:f>
        <x:v>1.02</x:v>
      </x:c>
      <x:c r="F1742" s="11" t="n">
        <x:f>IF($A1742="","",Assumptions!$B$15)</x:f>
        <x:v>0.35</x:v>
      </x:c>
      <x:c r="G1742" s="11" t="n">
        <x:f>IF($A1742="","",MAX(INDEX(Assumptions!$H$5:$H$12,MATCH($B1742,Assumptions!$D$5:$D$12,0)),MIN(INDEX(Assumptions!$I$5:$I$12,MATCH($B1742,Assumptions!$D$5:$D$12,0)),($C1742+$D1742*SQRT(-2*LN(RAND()))*COS(2*PI()*RAND()))*$E1742*$J1742*$K1742)))</x:f>
        <x:v>984.827180959037</x:v>
      </x:c>
      <x:c r="H1742" s="11" t="n">
        <x:f>IF($A1742="","",$G1742*$F1742+$C1742*(1-$F1742))</x:f>
        <x:v>1072.689513335663</x:v>
      </x:c>
      <x:c r="I1742" s="11" t="n">
        <x:f>IF($A1742="","",AVERAGE($H1742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1134.0745467835766</x:v>
      </x:c>
      <x:c r="J1742" s="12" t="n">
        <x:f>IF($A1742="","",1+SUMIFS(Assumptions!$S$5:$S$10,Assumptions!$P$5:$P$10,$B1742,Assumptions!$Q$5:$Q$10,"&lt;="&amp;$A1742,Assumptions!$R$5:$R$10,"&gt;="&amp;$A1742))</x:f>
        <x:v>1</x:v>
      </x:c>
      <x:c r="K1742" s="12" t="n">
        <x:f>IF($A1742="","",1+((($A1742-Assumptions!$B$5)/30)*INDEX(Assumptions!$J$5:$J$12,MATCH($B1742,Assumptions!$D$5:$D$12,0))))</x:f>
        <x:v>1.0232</x:v>
      </x:c>
      <x:c r="L1742" t="str">
        <x:f>IF($A1742="","",IFERROR(INDEX(Assumptions!$O$5:$O$10,MATCH(1,(Assumptions!$P$5:$P$10=$B1742)*(Assumptions!$Q$5:$Q$10&lt;=$A1742)*(Assumptions!$R$5:$R$10&gt;=$A1742),0)),""))</x:f>
      </x:c>
      <x:c r="M1742" t="n">
        <x:f>--($A1742&lt;&gt;"")</x:f>
        <x:v>1</x:v>
      </x:c>
    </x:row>
    <x:row r="1743">
      <x:c r="A1743" s="10" t="n">
        <x:f>IF(Assumptions!$B$5+INT((ROW()-2)/Assumptions!$B$7)&gt;Assumptions!$B$6,"",Assumptions!$B$5+INT((ROW()-2)/Assumptions!$B$7))</x:f>
        <x:v>46371</x:v>
      </x:c>
      <x:c r="B1743" t="str">
        <x:f>IF($A1743="","",INDEX(Assumptions!$D$5:$D$12,MOD(ROW()-2,Assumptions!$B$7)+1))</x:f>
        <x:v>LV-426 North</x:v>
      </x:c>
      <x:c r="C1743" s="11" t="n">
        <x:f>IF($A1743="","",INDEX(Assumptions!$F$5:$F$12,MATCH($B1743,Assumptions!$D$5:$D$12,0)))</x:f>
        <x:v>930</x:v>
      </x:c>
      <x:c r="D1743" s="11" t="n">
        <x:f>IF($A1743="","",INDEX(Assumptions!$G$5:$G$12,MATCH($B1743,Assumptions!$D$5:$D$12,0)))</x:f>
        <x:v>95</x:v>
      </x:c>
      <x:c r="E1743" s="11" t="n">
        <x:f>IF($A1743="","",INDEX(Assumptions!$M$5:$M$11,WEEKDAY($A1743,2)))</x:f>
        <x:v>1.02</x:v>
      </x:c>
      <x:c r="F1743" s="11" t="n">
        <x:f>IF($A1743="","",Assumptions!$B$15)</x:f>
        <x:v>0.35</x:v>
      </x:c>
      <x:c r="G1743" s="11" t="n">
        <x:f>IF($A1743="","",MAX(INDEX(Assumptions!$H$5:$H$12,MATCH($B1743,Assumptions!$D$5:$D$12,0)),MIN(INDEX(Assumptions!$I$5:$I$12,MATCH($B1743,Assumptions!$D$5:$D$12,0)),($C1743+$D1743*SQRT(-2*LN(RAND()))*COS(2*PI()*RAND()))*$E1743*$J1743*$K1743)))</x:f>
        <x:v>1040.6699327979688</x:v>
      </x:c>
      <x:c r="H1743" s="11" t="n">
        <x:f>IF($A1743="","",$G1743*$F1743+$C1743*(1-$F1743))</x:f>
        <x:v>968.734476479289</x:v>
      </x:c>
      <x:c r="I1743" s="11" t="n">
        <x:f>IF($A1743="","",AVERAGE($H1743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937.1634850258399</x:v>
      </x:c>
      <x:c r="J1743" s="12" t="n">
        <x:f>IF($A1743="","",1+SUMIFS(Assumptions!$S$5:$S$10,Assumptions!$P$5:$P$10,$B1743,Assumptions!$Q$5:$Q$10,"&lt;="&amp;$A1743,Assumptions!$R$5:$R$10,"&gt;="&amp;$A1743))</x:f>
        <x:v>1</x:v>
      </x:c>
      <x:c r="K1743" s="12" t="n">
        <x:f>IF($A1743="","",1+((($A1743-Assumptions!$B$5)/30)*INDEX(Assumptions!$J$5:$J$12,MATCH($B1743,Assumptions!$D$5:$D$12,0))))</x:f>
        <x:v>0.9884</x:v>
      </x:c>
      <x:c r="L1743" t="str">
        <x:f>IF($A1743="","",IFERROR(INDEX(Assumptions!$O$5:$O$10,MATCH(1,(Assumptions!$P$5:$P$10=$B1743)*(Assumptions!$Q$5:$Q$10&lt;=$A1743)*(Assumptions!$R$5:$R$10&gt;=$A1743),0)),""))</x:f>
      </x:c>
      <x:c r="M1743" t="n">
        <x:f>--($A1743&lt;&gt;"")</x:f>
        <x:v>1</x:v>
      </x:c>
    </x:row>
    <x:row r="1744">
      <x:c r="A1744" s="10" t="n">
        <x:f>IF(Assumptions!$B$5+INT((ROW()-2)/Assumptions!$B$7)&gt;Assumptions!$B$6,"",Assumptions!$B$5+INT((ROW()-2)/Assumptions!$B$7))</x:f>
        <x:v>46371</x:v>
      </x:c>
      <x:c r="B1744" t="str">
        <x:f>IF($A1744="","",INDEX(Assumptions!$D$5:$D$12,MOD(ROW()-2,Assumptions!$B$7)+1))</x:f>
        <x:v>Nostromo Deep</x:v>
      </x:c>
      <x:c r="C1744" s="11" t="n">
        <x:f>IF($A1744="","",INDEX(Assumptions!$F$5:$F$12,MATCH($B1744,Assumptions!$D$5:$D$12,0)))</x:f>
        <x:v>1260</x:v>
      </x:c>
      <x:c r="D1744" s="11" t="n">
        <x:f>IF($A1744="","",INDEX(Assumptions!$G$5:$G$12,MATCH($B1744,Assumptions!$D$5:$D$12,0)))</x:f>
        <x:v>145</x:v>
      </x:c>
      <x:c r="E1744" s="11" t="n">
        <x:f>IF($A1744="","",INDEX(Assumptions!$M$5:$M$11,WEEKDAY($A1744,2)))</x:f>
        <x:v>1.02</x:v>
      </x:c>
      <x:c r="F1744" s="11" t="n">
        <x:f>IF($A1744="","",Assumptions!$B$15)</x:f>
        <x:v>0.35</x:v>
      </x:c>
      <x:c r="G1744" s="11" t="n">
        <x:f>IF($A1744="","",MAX(INDEX(Assumptions!$H$5:$H$12,MATCH($B1744,Assumptions!$D$5:$D$12,0)),MIN(INDEX(Assumptions!$I$5:$I$12,MATCH($B1744,Assumptions!$D$5:$D$12,0)),($C1744+$D1744*SQRT(-2*LN(RAND()))*COS(2*PI()*RAND()))*$E1744*$J1744*$K1744)))</x:f>
        <x:v>1280.057017387286</x:v>
      </x:c>
      <x:c r="H1744" s="11" t="n">
        <x:f>IF($A1744="","",$G1744*$F1744+$C1744*(1-$F1744))</x:f>
        <x:v>1267.01995608555</x:v>
      </x:c>
      <x:c r="I1744" s="11" t="n">
        <x:f>IF($A1744="","",AVERAGE($H1744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1227.7769958862448</x:v>
      </x:c>
      <x:c r="J1744" s="12" t="n">
        <x:f>IF($A1744="","",1+SUMIFS(Assumptions!$S$5:$S$10,Assumptions!$P$5:$P$10,$B1744,Assumptions!$Q$5:$Q$10,"&lt;="&amp;$A1744,Assumptions!$R$5:$R$10,"&gt;="&amp;$A1744))</x:f>
        <x:v>1</x:v>
      </x:c>
      <x:c r="K1744" s="12" t="n">
        <x:f>IF($A1744="","",1+((($A1744-Assumptions!$B$5)/30)*INDEX(Assumptions!$J$5:$J$12,MATCH($B1744,Assumptions!$D$5:$D$12,0))))</x:f>
        <x:v>1.0348</x:v>
      </x:c>
      <x:c r="L1744" t="str">
        <x:f>IF($A1744="","",IFERROR(INDEX(Assumptions!$O$5:$O$10,MATCH(1,(Assumptions!$P$5:$P$10=$B1744)*(Assumptions!$Q$5:$Q$10&lt;=$A1744)*(Assumptions!$R$5:$R$10&gt;=$A1744),0)),""))</x:f>
      </x:c>
      <x:c r="M1744" t="n">
        <x:f>--($A1744&lt;&gt;"")</x:f>
        <x:v>1</x:v>
      </x:c>
    </x:row>
    <x:row r="1745">
      <x:c r="A1745" s="10" t="n">
        <x:f>IF(Assumptions!$B$5+INT((ROW()-2)/Assumptions!$B$7)&gt;Assumptions!$B$6,"",Assumptions!$B$5+INT((ROW()-2)/Assumptions!$B$7))</x:f>
        <x:v>46371</x:v>
      </x:c>
      <x:c r="B1745" t="str">
        <x:f>IF($A1745="","",INDEX(Assumptions!$D$5:$D$12,MOD(ROW()-2,Assumptions!$B$7)+1))</x:f>
        <x:v>Hadley's Hope</x:v>
      </x:c>
      <x:c r="C1745" s="11" t="n">
        <x:f>IF($A1745="","",INDEX(Assumptions!$F$5:$F$12,MATCH($B1745,Assumptions!$D$5:$D$12,0)))</x:f>
        <x:v>845</x:v>
      </x:c>
      <x:c r="D1745" s="11" t="n">
        <x:f>IF($A1745="","",INDEX(Assumptions!$G$5:$G$12,MATCH($B1745,Assumptions!$D$5:$D$12,0)))</x:f>
        <x:v>80</x:v>
      </x:c>
      <x:c r="E1745" s="11" t="n">
        <x:f>IF($A1745="","",INDEX(Assumptions!$M$5:$M$11,WEEKDAY($A1745,2)))</x:f>
        <x:v>1.02</x:v>
      </x:c>
      <x:c r="F1745" s="11" t="n">
        <x:f>IF($A1745="","",Assumptions!$B$15)</x:f>
        <x:v>0.35</x:v>
      </x:c>
      <x:c r="G1745" s="11" t="n">
        <x:f>IF($A1745="","",MAX(INDEX(Assumptions!$H$5:$H$12,MATCH($B1745,Assumptions!$D$5:$D$12,0)),MIN(INDEX(Assumptions!$I$5:$I$12,MATCH($B1745,Assumptions!$D$5:$D$12,0)),($C1745+$D1745*SQRT(-2*LN(RAND()))*COS(2*PI()*RAND()))*$E1745*$J1745*$K1745)))</x:f>
        <x:v>846.0902462558568</x:v>
      </x:c>
      <x:c r="H1745" s="11" t="n">
        <x:f>IF($A1745="","",$G1745*$F1745+$C1745*(1-$F1745))</x:f>
        <x:v>845.3815861895498</x:v>
      </x:c>
      <x:c r="I1745" s="11" t="n">
        <x:f>IF($A1745="","",AVERAGE($H1745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836.29843351125</x:v>
      </x:c>
      <x:c r="J1745" s="12" t="n">
        <x:f>IF($A1745="","",1+SUMIFS(Assumptions!$S$5:$S$10,Assumptions!$P$5:$P$10,$B1745,Assumptions!$Q$5:$Q$10,"&lt;="&amp;$A1745,Assumptions!$R$5:$R$10,"&gt;="&amp;$A1745))</x:f>
        <x:v>1</x:v>
      </x:c>
      <x:c r="K1745" s="12" t="n">
        <x:f>IF($A1745="","",1+((($A1745-Assumptions!$B$5)/30)*INDEX(Assumptions!$J$5:$J$12,MATCH($B1745,Assumptions!$D$5:$D$12,0))))</x:f>
        <x:v>1.0116</x:v>
      </x:c>
      <x:c r="L1745" t="str">
        <x:f>IF($A1745="","",IFERROR(INDEX(Assumptions!$O$5:$O$10,MATCH(1,(Assumptions!$P$5:$P$10=$B1745)*(Assumptions!$Q$5:$Q$10&lt;=$A1745)*(Assumptions!$R$5:$R$10&gt;=$A1745),0)),""))</x:f>
      </x:c>
      <x:c r="M1745" t="n">
        <x:f>--($A1745&lt;&gt;"")</x:f>
        <x:v>1</x:v>
      </x:c>
    </x:row>
    <x:row r="1746">
      <x:c r="A1746" s="10" t="n">
        <x:f>IF(Assumptions!$B$5+INT((ROW()-2)/Assumptions!$B$7)&gt;Assumptions!$B$6,"",Assumptions!$B$5+INT((ROW()-2)/Assumptions!$B$7))</x:f>
        <x:v>46371</x:v>
      </x:c>
      <x:c r="B1746" t="str">
        <x:f>IF($A1746="","",INDEX(Assumptions!$D$5:$D$12,MOD(ROW()-2,Assumptions!$B$7)+1))</x:f>
        <x:v>Yutani Ridge</x:v>
      </x:c>
      <x:c r="C1746" s="11" t="n">
        <x:f>IF($A1746="","",INDEX(Assumptions!$F$5:$F$12,MATCH($B1746,Assumptions!$D$5:$D$12,0)))</x:f>
        <x:v>1050</x:v>
      </x:c>
      <x:c r="D1746" s="11" t="n">
        <x:f>IF($A1746="","",INDEX(Assumptions!$G$5:$G$12,MATCH($B1746,Assumptions!$D$5:$D$12,0)))</x:f>
        <x:v>125</x:v>
      </x:c>
      <x:c r="E1746" s="11" t="n">
        <x:f>IF($A1746="","",INDEX(Assumptions!$M$5:$M$11,WEEKDAY($A1746,2)))</x:f>
        <x:v>1.02</x:v>
      </x:c>
      <x:c r="F1746" s="11" t="n">
        <x:f>IF($A1746="","",Assumptions!$B$15)</x:f>
        <x:v>0.35</x:v>
      </x:c>
      <x:c r="G1746" s="11" t="n">
        <x:f>IF($A1746="","",MAX(INDEX(Assumptions!$H$5:$H$12,MATCH($B1746,Assumptions!$D$5:$D$12,0)),MIN(INDEX(Assumptions!$I$5:$I$12,MATCH($B1746,Assumptions!$D$5:$D$12,0)),($C1746+$D1746*SQRT(-2*LN(RAND()))*COS(2*PI()*RAND()))*$E1746*$J1746*$K1746)))</x:f>
        <x:v>1443.5612810856596</x:v>
      </x:c>
      <x:c r="H1746" s="11" t="n">
        <x:f>IF($A1746="","",$G1746*$F1746+$C1746*(1-$F1746))</x:f>
        <x:v>1187.7464483799808</x:v>
      </x:c>
      <x:c r="I1746" s="11" t="n">
        <x:f>IF($A1746="","",AVERAGE($H1746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1063.44907609934</x:v>
      </x:c>
      <x:c r="J1746" s="12" t="n">
        <x:f>IF($A1746="","",1+SUMIFS(Assumptions!$S$5:$S$10,Assumptions!$P$5:$P$10,$B1746,Assumptions!$Q$5:$Q$10,"&lt;="&amp;$A1746,Assumptions!$R$5:$R$10,"&gt;="&amp;$A1746))</x:f>
        <x:v>1</x:v>
      </x:c>
      <x:c r="K1746" s="12" t="n">
        <x:f>IF($A1746="","",1+((($A1746-Assumptions!$B$5)/30)*INDEX(Assumptions!$J$5:$J$12,MATCH($B1746,Assumptions!$D$5:$D$12,0))))</x:f>
        <x:v>1.029</x:v>
      </x:c>
      <x:c r="L1746" t="str">
        <x:f>IF($A1746="","",IFERROR(INDEX(Assumptions!$O$5:$O$10,MATCH(1,(Assumptions!$P$5:$P$10=$B1746)*(Assumptions!$Q$5:$Q$10&lt;=$A1746)*(Assumptions!$R$5:$R$10&gt;=$A1746),0)),""))</x:f>
      </x:c>
      <x:c r="M1746" t="n">
        <x:f>--($A1746&lt;&gt;"")</x:f>
        <x:v>1</x:v>
      </x:c>
    </x:row>
    <x:row r="1747">
      <x:c r="A1747" s="10" t="n">
        <x:f>IF(Assumptions!$B$5+INT((ROW()-2)/Assumptions!$B$7)&gt;Assumptions!$B$6,"",Assumptions!$B$5+INT((ROW()-2)/Assumptions!$B$7))</x:f>
        <x:v>46372</x:v>
      </x:c>
      <x:c r="B1747" t="str">
        <x:f>IF($A1747="","",INDEX(Assumptions!$D$5:$D$12,MOD(ROW()-2,Assumptions!$B$7)+1))</x:f>
        <x:v>Acheron Prime</x:v>
      </x:c>
      <x:c r="C1747" s="11" t="n">
        <x:f>IF($A1747="","",INDEX(Assumptions!$F$5:$F$12,MATCH($B1747,Assumptions!$D$5:$D$12,0)))</x:f>
        <x:v>1120</x:v>
      </x:c>
      <x:c r="D1747" s="11" t="n">
        <x:f>IF($A1747="","",INDEX(Assumptions!$G$5:$G$12,MATCH($B1747,Assumptions!$D$5:$D$12,0)))</x:f>
        <x:v>115</x:v>
      </x:c>
      <x:c r="E1747" s="11" t="n">
        <x:f>IF($A1747="","",INDEX(Assumptions!$M$5:$M$11,WEEKDAY($A1747,2)))</x:f>
        <x:v>1.01</x:v>
      </x:c>
      <x:c r="F1747" s="11" t="n">
        <x:f>IF($A1747="","",Assumptions!$B$15)</x:f>
        <x:v>0.35</x:v>
      </x:c>
      <x:c r="G1747" s="11" t="n">
        <x:f>IF($A1747="","",MAX(INDEX(Assumptions!$H$5:$H$12,MATCH($B1747,Assumptions!$D$5:$D$12,0)),MIN(INDEX(Assumptions!$I$5:$I$12,MATCH($B1747,Assumptions!$D$5:$D$12,0)),($C1747+$D1747*SQRT(-2*LN(RAND()))*COS(2*PI()*RAND()))*$E1747*$J1747*$K1747)))</x:f>
        <x:v>1041.761098672444</x:v>
      </x:c>
      <x:c r="H1747" s="11" t="n">
        <x:f>IF($A1747="","",$G1747*$F1747+$C1747*(1-$F1747))</x:f>
        <x:v>1092.6163845353553</x:v>
      </x:c>
      <x:c r="I1747" s="11" t="n">
        <x:f>IF($A1747="","",AVERAGE($H1747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1121.7695072595075</x:v>
      </x:c>
      <x:c r="J1747" s="12" t="n">
        <x:f>IF($A1747="","",1+SUMIFS(Assumptions!$S$5:$S$10,Assumptions!$P$5:$P$10,$B1747,Assumptions!$Q$5:$Q$10,"&lt;="&amp;$A1747,Assumptions!$R$5:$R$10,"&gt;="&amp;$A1747))</x:f>
        <x:v>1</x:v>
      </x:c>
      <x:c r="K1747" s="12" t="n">
        <x:f>IF($A1747="","",1+((($A1747-Assumptions!$B$5)/30)*INDEX(Assumptions!$J$5:$J$12,MATCH($B1747,Assumptions!$D$5:$D$12,0))))</x:f>
        <x:v>1.0232666666666668</x:v>
      </x:c>
      <x:c r="L1747" t="str">
        <x:f>IF($A1747="","",IFERROR(INDEX(Assumptions!$O$5:$O$10,MATCH(1,(Assumptions!$P$5:$P$10=$B1747)*(Assumptions!$Q$5:$Q$10&lt;=$A1747)*(Assumptions!$R$5:$R$10&gt;=$A1747),0)),""))</x:f>
      </x:c>
      <x:c r="M1747" t="n">
        <x:f>--($A1747&lt;&gt;"")</x:f>
        <x:v>1</x:v>
      </x:c>
    </x:row>
    <x:row r="1748">
      <x:c r="A1748" s="10" t="n">
        <x:f>IF(Assumptions!$B$5+INT((ROW()-2)/Assumptions!$B$7)&gt;Assumptions!$B$6,"",Assumptions!$B$5+INT((ROW()-2)/Assumptions!$B$7))</x:f>
        <x:v>46372</x:v>
      </x:c>
      <x:c r="B1748" t="str">
        <x:f>IF($A1748="","",INDEX(Assumptions!$D$5:$D$12,MOD(ROW()-2,Assumptions!$B$7)+1))</x:f>
        <x:v>LV-426 North</x:v>
      </x:c>
      <x:c r="C1748" s="11" t="n">
        <x:f>IF($A1748="","",INDEX(Assumptions!$F$5:$F$12,MATCH($B1748,Assumptions!$D$5:$D$12,0)))</x:f>
        <x:v>930</x:v>
      </x:c>
      <x:c r="D1748" s="11" t="n">
        <x:f>IF($A1748="","",INDEX(Assumptions!$G$5:$G$12,MATCH($B1748,Assumptions!$D$5:$D$12,0)))</x:f>
        <x:v>95</x:v>
      </x:c>
      <x:c r="E1748" s="11" t="n">
        <x:f>IF($A1748="","",INDEX(Assumptions!$M$5:$M$11,WEEKDAY($A1748,2)))</x:f>
        <x:v>1.01</x:v>
      </x:c>
      <x:c r="F1748" s="11" t="n">
        <x:f>IF($A1748="","",Assumptions!$B$15)</x:f>
        <x:v>0.35</x:v>
      </x:c>
      <x:c r="G1748" s="11" t="n">
        <x:f>IF($A1748="","",MAX(INDEX(Assumptions!$H$5:$H$12,MATCH($B1748,Assumptions!$D$5:$D$12,0)),MIN(INDEX(Assumptions!$I$5:$I$12,MATCH($B1748,Assumptions!$D$5:$D$12,0)),($C1748+$D1748*SQRT(-2*LN(RAND()))*COS(2*PI()*RAND()))*$E1748*$J1748*$K1748)))</x:f>
        <x:v>828.6490807233258</x:v>
      </x:c>
      <x:c r="H1748" s="11" t="n">
        <x:f>IF($A1748="","",$G1748*$F1748+$C1748*(1-$F1748))</x:f>
        <x:v>894.527178253164</x:v>
      </x:c>
      <x:c r="I1748" s="11" t="n">
        <x:f>IF($A1748="","",AVERAGE($H1748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933.1188059220292</x:v>
      </x:c>
      <x:c r="J1748" s="12" t="n">
        <x:f>IF($A1748="","",1+SUMIFS(Assumptions!$S$5:$S$10,Assumptions!$P$5:$P$10,$B1748,Assumptions!$Q$5:$Q$10,"&lt;="&amp;$A1748,Assumptions!$R$5:$R$10,"&gt;="&amp;$A1748))</x:f>
        <x:v>1</x:v>
      </x:c>
      <x:c r="K1748" s="12" t="n">
        <x:f>IF($A1748="","",1+((($A1748-Assumptions!$B$5)/30)*INDEX(Assumptions!$J$5:$J$12,MATCH($B1748,Assumptions!$D$5:$D$12,0))))</x:f>
        <x:v>0.9883666666666666</x:v>
      </x:c>
      <x:c r="L1748" t="str">
        <x:f>IF($A1748="","",IFERROR(INDEX(Assumptions!$O$5:$O$10,MATCH(1,(Assumptions!$P$5:$P$10=$B1748)*(Assumptions!$Q$5:$Q$10&lt;=$A1748)*(Assumptions!$R$5:$R$10&gt;=$A1748),0)),""))</x:f>
      </x:c>
      <x:c r="M1748" t="n">
        <x:f>--($A1748&lt;&gt;"")</x:f>
        <x:v>1</x:v>
      </x:c>
    </x:row>
    <x:row r="1749">
      <x:c r="A1749" s="10" t="n">
        <x:f>IF(Assumptions!$B$5+INT((ROW()-2)/Assumptions!$B$7)&gt;Assumptions!$B$6,"",Assumptions!$B$5+INT((ROW()-2)/Assumptions!$B$7))</x:f>
        <x:v>46372</x:v>
      </x:c>
      <x:c r="B1749" t="str">
        <x:f>IF($A1749="","",INDEX(Assumptions!$D$5:$D$12,MOD(ROW()-2,Assumptions!$B$7)+1))</x:f>
        <x:v>Nostromo Deep</x:v>
      </x:c>
      <x:c r="C1749" s="11" t="n">
        <x:f>IF($A1749="","",INDEX(Assumptions!$F$5:$F$12,MATCH($B1749,Assumptions!$D$5:$D$12,0)))</x:f>
        <x:v>1260</x:v>
      </x:c>
      <x:c r="D1749" s="11" t="n">
        <x:f>IF($A1749="","",INDEX(Assumptions!$G$5:$G$12,MATCH($B1749,Assumptions!$D$5:$D$12,0)))</x:f>
        <x:v>145</x:v>
      </x:c>
      <x:c r="E1749" s="11" t="n">
        <x:f>IF($A1749="","",INDEX(Assumptions!$M$5:$M$11,WEEKDAY($A1749,2)))</x:f>
        <x:v>1.01</x:v>
      </x:c>
      <x:c r="F1749" s="11" t="n">
        <x:f>IF($A1749="","",Assumptions!$B$15)</x:f>
        <x:v>0.35</x:v>
      </x:c>
      <x:c r="G1749" s="11" t="n">
        <x:f>IF($A1749="","",MAX(INDEX(Assumptions!$H$5:$H$12,MATCH($B1749,Assumptions!$D$5:$D$12,0)),MIN(INDEX(Assumptions!$I$5:$I$12,MATCH($B1749,Assumptions!$D$5:$D$12,0)),($C1749+$D1749*SQRT(-2*LN(RAND()))*COS(2*PI()*RAND()))*$E1749*$J1749*$K1749)))</x:f>
        <x:v>1195.6706762448102</x:v>
      </x:c>
      <x:c r="H1749" s="11" t="n">
        <x:f>IF($A1749="","",$G1749*$F1749+$C1749*(1-$F1749))</x:f>
        <x:v>1237.4847366856836</x:v>
      </x:c>
      <x:c r="I1749" s="11" t="n">
        <x:f>IF($A1749="","",AVERAGE($H1749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1231.7430500755513</x:v>
      </x:c>
      <x:c r="J1749" s="12" t="n">
        <x:f>IF($A1749="","",1+SUMIFS(Assumptions!$S$5:$S$10,Assumptions!$P$5:$P$10,$B1749,Assumptions!$Q$5:$Q$10,"&lt;="&amp;$A1749,Assumptions!$R$5:$R$10,"&gt;="&amp;$A1749))</x:f>
        <x:v>1</x:v>
      </x:c>
      <x:c r="K1749" s="12" t="n">
        <x:f>IF($A1749="","",1+((($A1749-Assumptions!$B$5)/30)*INDEX(Assumptions!$J$5:$J$12,MATCH($B1749,Assumptions!$D$5:$D$12,0))))</x:f>
        <x:v>1.0349</x:v>
      </x:c>
      <x:c r="L1749" t="str">
        <x:f>IF($A1749="","",IFERROR(INDEX(Assumptions!$O$5:$O$10,MATCH(1,(Assumptions!$P$5:$P$10=$B1749)*(Assumptions!$Q$5:$Q$10&lt;=$A1749)*(Assumptions!$R$5:$R$10&gt;=$A1749),0)),""))</x:f>
      </x:c>
      <x:c r="M1749" t="n">
        <x:f>--($A1749&lt;&gt;"")</x:f>
        <x:v>1</x:v>
      </x:c>
    </x:row>
    <x:row r="1750">
      <x:c r="A1750" s="10" t="n">
        <x:f>IF(Assumptions!$B$5+INT((ROW()-2)/Assumptions!$B$7)&gt;Assumptions!$B$6,"",Assumptions!$B$5+INT((ROW()-2)/Assumptions!$B$7))</x:f>
        <x:v>46372</x:v>
      </x:c>
      <x:c r="B1750" t="str">
        <x:f>IF($A1750="","",INDEX(Assumptions!$D$5:$D$12,MOD(ROW()-2,Assumptions!$B$7)+1))</x:f>
        <x:v>Hadley's Hope</x:v>
      </x:c>
      <x:c r="C1750" s="11" t="n">
        <x:f>IF($A1750="","",INDEX(Assumptions!$F$5:$F$12,MATCH($B1750,Assumptions!$D$5:$D$12,0)))</x:f>
        <x:v>845</x:v>
      </x:c>
      <x:c r="D1750" s="11" t="n">
        <x:f>IF($A1750="","",INDEX(Assumptions!$G$5:$G$12,MATCH($B1750,Assumptions!$D$5:$D$12,0)))</x:f>
        <x:v>80</x:v>
      </x:c>
      <x:c r="E1750" s="11" t="n">
        <x:f>IF($A1750="","",INDEX(Assumptions!$M$5:$M$11,WEEKDAY($A1750,2)))</x:f>
        <x:v>1.01</x:v>
      </x:c>
      <x:c r="F1750" s="11" t="n">
        <x:f>IF($A1750="","",Assumptions!$B$15)</x:f>
        <x:v>0.35</x:v>
      </x:c>
      <x:c r="G1750" s="11" t="n">
        <x:f>IF($A1750="","",MAX(INDEX(Assumptions!$H$5:$H$12,MATCH($B1750,Assumptions!$D$5:$D$12,0)),MIN(INDEX(Assumptions!$I$5:$I$12,MATCH($B1750,Assumptions!$D$5:$D$12,0)),($C1750+$D1750*SQRT(-2*LN(RAND()))*COS(2*PI()*RAND()))*$E1750*$J1750*$K1750)))</x:f>
        <x:v>796.1975636585673</x:v>
      </x:c>
      <x:c r="H1750" s="11" t="n">
        <x:f>IF($A1750="","",$G1750*$F1750+$C1750*(1-$F1750))</x:f>
        <x:v>827.9191472804985</x:v>
      </x:c>
      <x:c r="I1750" s="11" t="n">
        <x:f>IF($A1750="","",AVERAGE($H1750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828.629654930651</x:v>
      </x:c>
      <x:c r="J1750" s="12" t="n">
        <x:f>IF($A1750="","",1+SUMIFS(Assumptions!$S$5:$S$10,Assumptions!$P$5:$P$10,$B1750,Assumptions!$Q$5:$Q$10,"&lt;="&amp;$A1750,Assumptions!$R$5:$R$10,"&gt;="&amp;$A1750))</x:f>
        <x:v>1</x:v>
      </x:c>
      <x:c r="K1750" s="12" t="n">
        <x:f>IF($A1750="","",1+((($A1750-Assumptions!$B$5)/30)*INDEX(Assumptions!$J$5:$J$12,MATCH($B1750,Assumptions!$D$5:$D$12,0))))</x:f>
        <x:v>1.0116333333333334</x:v>
      </x:c>
      <x:c r="L1750" t="str">
        <x:f>IF($A1750="","",IFERROR(INDEX(Assumptions!$O$5:$O$10,MATCH(1,(Assumptions!$P$5:$P$10=$B1750)*(Assumptions!$Q$5:$Q$10&lt;=$A1750)*(Assumptions!$R$5:$R$10&gt;=$A1750),0)),""))</x:f>
      </x:c>
      <x:c r="M1750" t="n">
        <x:f>--($A1750&lt;&gt;"")</x:f>
        <x:v>1</x:v>
      </x:c>
    </x:row>
    <x:row r="1751">
      <x:c r="A1751" s="10" t="n">
        <x:f>IF(Assumptions!$B$5+INT((ROW()-2)/Assumptions!$B$7)&gt;Assumptions!$B$6,"",Assumptions!$B$5+INT((ROW()-2)/Assumptions!$B$7))</x:f>
        <x:v>46372</x:v>
      </x:c>
      <x:c r="B1751" t="str">
        <x:f>IF($A1751="","",INDEX(Assumptions!$D$5:$D$12,MOD(ROW()-2,Assumptions!$B$7)+1))</x:f>
        <x:v>Yutani Ridge</x:v>
      </x:c>
      <x:c r="C1751" s="11" t="n">
        <x:f>IF($A1751="","",INDEX(Assumptions!$F$5:$F$12,MATCH($B1751,Assumptions!$D$5:$D$12,0)))</x:f>
        <x:v>1050</x:v>
      </x:c>
      <x:c r="D1751" s="11" t="n">
        <x:f>IF($A1751="","",INDEX(Assumptions!$G$5:$G$12,MATCH($B1751,Assumptions!$D$5:$D$12,0)))</x:f>
        <x:v>125</x:v>
      </x:c>
      <x:c r="E1751" s="11" t="n">
        <x:f>IF($A1751="","",INDEX(Assumptions!$M$5:$M$11,WEEKDAY($A1751,2)))</x:f>
        <x:v>1.01</x:v>
      </x:c>
      <x:c r="F1751" s="11" t="n">
        <x:f>IF($A1751="","",Assumptions!$B$15)</x:f>
        <x:v>0.35</x:v>
      </x:c>
      <x:c r="G1751" s="11" t="n">
        <x:f>IF($A1751="","",MAX(INDEX(Assumptions!$H$5:$H$12,MATCH($B1751,Assumptions!$D$5:$D$12,0)),MIN(INDEX(Assumptions!$I$5:$I$12,MATCH($B1751,Assumptions!$D$5:$D$12,0)),($C1751+$D1751*SQRT(-2*LN(RAND()))*COS(2*PI()*RAND()))*$E1751*$J1751*$K1751)))</x:f>
        <x:v>1177.1467255419943</x:v>
      </x:c>
      <x:c r="H1751" s="11" t="n">
        <x:f>IF($A1751="","",$G1751*$F1751+$C1751*(1-$F1751))</x:f>
        <x:v>1094.501353939698</x:v>
      </x:c>
      <x:c r="I1751" s="11" t="n">
        <x:f>IF($A1751="","",AVERAGE($H1751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1067.9056069618161</x:v>
      </x:c>
      <x:c r="J1751" s="12" t="n">
        <x:f>IF($A1751="","",1+SUMIFS(Assumptions!$S$5:$S$10,Assumptions!$P$5:$P$10,$B1751,Assumptions!$Q$5:$Q$10,"&lt;="&amp;$A1751,Assumptions!$R$5:$R$10,"&gt;="&amp;$A1751))</x:f>
        <x:v>1</x:v>
      </x:c>
      <x:c r="K1751" s="12" t="n">
        <x:f>IF($A1751="","",1+((($A1751-Assumptions!$B$5)/30)*INDEX(Assumptions!$J$5:$J$12,MATCH($B1751,Assumptions!$D$5:$D$12,0))))</x:f>
        <x:v>1.0290833333333333</x:v>
      </x:c>
      <x:c r="L1751" t="str">
        <x:f>IF($A1751="","",IFERROR(INDEX(Assumptions!$O$5:$O$10,MATCH(1,(Assumptions!$P$5:$P$10=$B1751)*(Assumptions!$Q$5:$Q$10&lt;=$A1751)*(Assumptions!$R$5:$R$10&gt;=$A1751),0)),""))</x:f>
      </x:c>
      <x:c r="M1751" t="n">
        <x:f>--($A1751&lt;&gt;"")</x:f>
        <x:v>1</x:v>
      </x:c>
    </x:row>
    <x:row r="1752">
      <x:c r="A1752" s="10" t="n">
        <x:f>IF(Assumptions!$B$5+INT((ROW()-2)/Assumptions!$B$7)&gt;Assumptions!$B$6,"",Assumptions!$B$5+INT((ROW()-2)/Assumptions!$B$7))</x:f>
        <x:v>46373</x:v>
      </x:c>
      <x:c r="B1752" t="str">
        <x:f>IF($A1752="","",INDEX(Assumptions!$D$5:$D$12,MOD(ROW()-2,Assumptions!$B$7)+1))</x:f>
        <x:v>Acheron Prime</x:v>
      </x:c>
      <x:c r="C1752" s="11" t="n">
        <x:f>IF($A1752="","",INDEX(Assumptions!$F$5:$F$12,MATCH($B1752,Assumptions!$D$5:$D$12,0)))</x:f>
        <x:v>1120</x:v>
      </x:c>
      <x:c r="D1752" s="11" t="n">
        <x:f>IF($A1752="","",INDEX(Assumptions!$G$5:$G$12,MATCH($B1752,Assumptions!$D$5:$D$12,0)))</x:f>
        <x:v>115</x:v>
      </x:c>
      <x:c r="E1752" s="11" t="n">
        <x:f>IF($A1752="","",INDEX(Assumptions!$M$5:$M$11,WEEKDAY($A1752,2)))</x:f>
        <x:v>1</x:v>
      </x:c>
      <x:c r="F1752" s="11" t="n">
        <x:f>IF($A1752="","",Assumptions!$B$15)</x:f>
        <x:v>0.35</x:v>
      </x:c>
      <x:c r="G1752" s="11" t="n">
        <x:f>IF($A1752="","",MAX(INDEX(Assumptions!$H$5:$H$12,MATCH($B1752,Assumptions!$D$5:$D$12,0)),MIN(INDEX(Assumptions!$I$5:$I$12,MATCH($B1752,Assumptions!$D$5:$D$12,0)),($C1752+$D1752*SQRT(-2*LN(RAND()))*COS(2*PI()*RAND()))*$E1752*$J1752*$K1752)))</x:f>
        <x:v>1066.905848527065</x:v>
      </x:c>
      <x:c r="H1752" s="11" t="n">
        <x:f>IF($A1752="","",$G1752*$F1752+$C1752*(1-$F1752))</x:f>
        <x:v>1101.4170469844728</x:v>
      </x:c>
      <x:c r="I1752" s="11" t="n">
        <x:f>IF($A1752="","",AVERAGE($H1752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1122.3013335979595</x:v>
      </x:c>
      <x:c r="J1752" s="12" t="n">
        <x:f>IF($A1752="","",1+SUMIFS(Assumptions!$S$5:$S$10,Assumptions!$P$5:$P$10,$B1752,Assumptions!$Q$5:$Q$10,"&lt;="&amp;$A1752,Assumptions!$R$5:$R$10,"&gt;="&amp;$A1752))</x:f>
        <x:v>1</x:v>
      </x:c>
      <x:c r="K1752" s="12" t="n">
        <x:f>IF($A1752="","",1+((($A1752-Assumptions!$B$5)/30)*INDEX(Assumptions!$J$5:$J$12,MATCH($B1752,Assumptions!$D$5:$D$12,0))))</x:f>
        <x:v>1.0233333333333334</x:v>
      </x:c>
      <x:c r="L1752" t="str">
        <x:f>IF($A1752="","",IFERROR(INDEX(Assumptions!$O$5:$O$10,MATCH(1,(Assumptions!$P$5:$P$10=$B1752)*(Assumptions!$Q$5:$Q$10&lt;=$A1752)*(Assumptions!$R$5:$R$10&gt;=$A1752),0)),""))</x:f>
      </x:c>
      <x:c r="M1752" t="n">
        <x:f>--($A1752&lt;&gt;"")</x:f>
        <x:v>1</x:v>
      </x:c>
    </x:row>
    <x:row r="1753">
      <x:c r="A1753" s="10" t="n">
        <x:f>IF(Assumptions!$B$5+INT((ROW()-2)/Assumptions!$B$7)&gt;Assumptions!$B$6,"",Assumptions!$B$5+INT((ROW()-2)/Assumptions!$B$7))</x:f>
        <x:v>46373</x:v>
      </x:c>
      <x:c r="B1753" t="str">
        <x:f>IF($A1753="","",INDEX(Assumptions!$D$5:$D$12,MOD(ROW()-2,Assumptions!$B$7)+1))</x:f>
        <x:v>LV-426 North</x:v>
      </x:c>
      <x:c r="C1753" s="11" t="n">
        <x:f>IF($A1753="","",INDEX(Assumptions!$F$5:$F$12,MATCH($B1753,Assumptions!$D$5:$D$12,0)))</x:f>
        <x:v>930</x:v>
      </x:c>
      <x:c r="D1753" s="11" t="n">
        <x:f>IF($A1753="","",INDEX(Assumptions!$G$5:$G$12,MATCH($B1753,Assumptions!$D$5:$D$12,0)))</x:f>
        <x:v>95</x:v>
      </x:c>
      <x:c r="E1753" s="11" t="n">
        <x:f>IF($A1753="","",INDEX(Assumptions!$M$5:$M$11,WEEKDAY($A1753,2)))</x:f>
        <x:v>1</x:v>
      </x:c>
      <x:c r="F1753" s="11" t="n">
        <x:f>IF($A1753="","",Assumptions!$B$15)</x:f>
        <x:v>0.35</x:v>
      </x:c>
      <x:c r="G1753" s="11" t="n">
        <x:f>IF($A1753="","",MAX(INDEX(Assumptions!$H$5:$H$12,MATCH($B1753,Assumptions!$D$5:$D$12,0)),MIN(INDEX(Assumptions!$I$5:$I$12,MATCH($B1753,Assumptions!$D$5:$D$12,0)),($C1753+$D1753*SQRT(-2*LN(RAND()))*COS(2*PI()*RAND()))*$E1753*$J1753*$K1753)))</x:f>
        <x:v>1151.0234035849016</x:v>
      </x:c>
      <x:c r="H1753" s="11" t="n">
        <x:f>IF($A1753="","",$G1753*$F1753+$C1753*(1-$F1753))</x:f>
        <x:v>1007.3581912547156</x:v>
      </x:c>
      <x:c r="I1753" s="11" t="n">
        <x:f>IF($A1753="","",AVERAGE($H1753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945.4082508575126</x:v>
      </x:c>
      <x:c r="J1753" s="12" t="n">
        <x:f>IF($A1753="","",1+SUMIFS(Assumptions!$S$5:$S$10,Assumptions!$P$5:$P$10,$B1753,Assumptions!$Q$5:$Q$10,"&lt;="&amp;$A1753,Assumptions!$R$5:$R$10,"&gt;="&amp;$A1753))</x:f>
        <x:v>1</x:v>
      </x:c>
      <x:c r="K1753" s="12" t="n">
        <x:f>IF($A1753="","",1+((($A1753-Assumptions!$B$5)/30)*INDEX(Assumptions!$J$5:$J$12,MATCH($B1753,Assumptions!$D$5:$D$12,0))))</x:f>
        <x:v>0.9883333333333333</x:v>
      </x:c>
      <x:c r="L1753" t="str">
        <x:f>IF($A1753="","",IFERROR(INDEX(Assumptions!$O$5:$O$10,MATCH(1,(Assumptions!$P$5:$P$10=$B1753)*(Assumptions!$Q$5:$Q$10&lt;=$A1753)*(Assumptions!$R$5:$R$10&gt;=$A1753),0)),""))</x:f>
      </x:c>
      <x:c r="M1753" t="n">
        <x:f>--($A1753&lt;&gt;"")</x:f>
        <x:v>1</x:v>
      </x:c>
    </x:row>
    <x:row r="1754">
      <x:c r="A1754" s="10" t="n">
        <x:f>IF(Assumptions!$B$5+INT((ROW()-2)/Assumptions!$B$7)&gt;Assumptions!$B$6,"",Assumptions!$B$5+INT((ROW()-2)/Assumptions!$B$7))</x:f>
        <x:v>46373</x:v>
      </x:c>
      <x:c r="B1754" t="str">
        <x:f>IF($A1754="","",INDEX(Assumptions!$D$5:$D$12,MOD(ROW()-2,Assumptions!$B$7)+1))</x:f>
        <x:v>Nostromo Deep</x:v>
      </x:c>
      <x:c r="C1754" s="11" t="n">
        <x:f>IF($A1754="","",INDEX(Assumptions!$F$5:$F$12,MATCH($B1754,Assumptions!$D$5:$D$12,0)))</x:f>
        <x:v>1260</x:v>
      </x:c>
      <x:c r="D1754" s="11" t="n">
        <x:f>IF($A1754="","",INDEX(Assumptions!$G$5:$G$12,MATCH($B1754,Assumptions!$D$5:$D$12,0)))</x:f>
        <x:v>145</x:v>
      </x:c>
      <x:c r="E1754" s="11" t="n">
        <x:f>IF($A1754="","",INDEX(Assumptions!$M$5:$M$11,WEEKDAY($A1754,2)))</x:f>
        <x:v>1</x:v>
      </x:c>
      <x:c r="F1754" s="11" t="n">
        <x:f>IF($A1754="","",Assumptions!$B$15)</x:f>
        <x:v>0.35</x:v>
      </x:c>
      <x:c r="G1754" s="11" t="n">
        <x:f>IF($A1754="","",MAX(INDEX(Assumptions!$H$5:$H$12,MATCH($B1754,Assumptions!$D$5:$D$12,0)),MIN(INDEX(Assumptions!$I$5:$I$12,MATCH($B1754,Assumptions!$D$5:$D$12,0)),($C1754+$D1754*SQRT(-2*LN(RAND()))*COS(2*PI()*RAND()))*$E1754*$J1754*$K1754)))</x:f>
        <x:v>1356.5932406658703</x:v>
      </x:c>
      <x:c r="H1754" s="11" t="n">
        <x:f>IF($A1754="","",$G1754*$F1754+$C1754*(1-$F1754))</x:f>
        <x:v>1293.8076342330546</x:v>
      </x:c>
      <x:c r="I1754" s="11" t="n">
        <x:f>IF($A1754="","",AVERAGE($H1754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1235.6096663348296</x:v>
      </x:c>
      <x:c r="J1754" s="12" t="n">
        <x:f>IF($A1754="","",1+SUMIFS(Assumptions!$S$5:$S$10,Assumptions!$P$5:$P$10,$B1754,Assumptions!$Q$5:$Q$10,"&lt;="&amp;$A1754,Assumptions!$R$5:$R$10,"&gt;="&amp;$A1754))</x:f>
        <x:v>1</x:v>
      </x:c>
      <x:c r="K1754" s="12" t="n">
        <x:f>IF($A1754="","",1+((($A1754-Assumptions!$B$5)/30)*INDEX(Assumptions!$J$5:$J$12,MATCH($B1754,Assumptions!$D$5:$D$12,0))))</x:f>
        <x:v>1.035</x:v>
      </x:c>
      <x:c r="L1754" t="str">
        <x:f>IF($A1754="","",IFERROR(INDEX(Assumptions!$O$5:$O$10,MATCH(1,(Assumptions!$P$5:$P$10=$B1754)*(Assumptions!$Q$5:$Q$10&lt;=$A1754)*(Assumptions!$R$5:$R$10&gt;=$A1754),0)),""))</x:f>
      </x:c>
      <x:c r="M1754" t="n">
        <x:f>--($A1754&lt;&gt;"")</x:f>
        <x:v>1</x:v>
      </x:c>
    </x:row>
    <x:row r="1755">
      <x:c r="A1755" s="10" t="n">
        <x:f>IF(Assumptions!$B$5+INT((ROW()-2)/Assumptions!$B$7)&gt;Assumptions!$B$6,"",Assumptions!$B$5+INT((ROW()-2)/Assumptions!$B$7))</x:f>
        <x:v>46373</x:v>
      </x:c>
      <x:c r="B1755" t="str">
        <x:f>IF($A1755="","",INDEX(Assumptions!$D$5:$D$12,MOD(ROW()-2,Assumptions!$B$7)+1))</x:f>
        <x:v>Hadley's Hope</x:v>
      </x:c>
      <x:c r="C1755" s="11" t="n">
        <x:f>IF($A1755="","",INDEX(Assumptions!$F$5:$F$12,MATCH($B1755,Assumptions!$D$5:$D$12,0)))</x:f>
        <x:v>845</x:v>
      </x:c>
      <x:c r="D1755" s="11" t="n">
        <x:f>IF($A1755="","",INDEX(Assumptions!$G$5:$G$12,MATCH($B1755,Assumptions!$D$5:$D$12,0)))</x:f>
        <x:v>80</x:v>
      </x:c>
      <x:c r="E1755" s="11" t="n">
        <x:f>IF($A1755="","",INDEX(Assumptions!$M$5:$M$11,WEEKDAY($A1755,2)))</x:f>
        <x:v>1</x:v>
      </x:c>
      <x:c r="F1755" s="11" t="n">
        <x:f>IF($A1755="","",Assumptions!$B$15)</x:f>
        <x:v>0.35</x:v>
      </x:c>
      <x:c r="G1755" s="11" t="n">
        <x:f>IF($A1755="","",MAX(INDEX(Assumptions!$H$5:$H$12,MATCH($B1755,Assumptions!$D$5:$D$12,0)),MIN(INDEX(Assumptions!$I$5:$I$12,MATCH($B1755,Assumptions!$D$5:$D$12,0)),($C1755+$D1755*SQRT(-2*LN(RAND()))*COS(2*PI()*RAND()))*$E1755*$J1755*$K1755)))</x:f>
        <x:v>857.743915856149</x:v>
      </x:c>
      <x:c r="H1755" s="11" t="n">
        <x:f>IF($A1755="","",$G1755*$F1755+$C1755*(1-$F1755))</x:f>
        <x:v>849.4603705496521</x:v>
      </x:c>
      <x:c r="I1755" s="11" t="n">
        <x:f>IF($A1755="","",AVERAGE($H1755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831.0643894254875</x:v>
      </x:c>
      <x:c r="J1755" s="12" t="n">
        <x:f>IF($A1755="","",1+SUMIFS(Assumptions!$S$5:$S$10,Assumptions!$P$5:$P$10,$B1755,Assumptions!$Q$5:$Q$10,"&lt;="&amp;$A1755,Assumptions!$R$5:$R$10,"&gt;="&amp;$A1755))</x:f>
        <x:v>1</x:v>
      </x:c>
      <x:c r="K1755" s="12" t="n">
        <x:f>IF($A1755="","",1+((($A1755-Assumptions!$B$5)/30)*INDEX(Assumptions!$J$5:$J$12,MATCH($B1755,Assumptions!$D$5:$D$12,0))))</x:f>
        <x:v>1.0116666666666667</x:v>
      </x:c>
      <x:c r="L1755" t="str">
        <x:f>IF($A1755="","",IFERROR(INDEX(Assumptions!$O$5:$O$10,MATCH(1,(Assumptions!$P$5:$P$10=$B1755)*(Assumptions!$Q$5:$Q$10&lt;=$A1755)*(Assumptions!$R$5:$R$10&gt;=$A1755),0)),""))</x:f>
      </x:c>
      <x:c r="M1755" t="n">
        <x:f>--($A1755&lt;&gt;"")</x:f>
        <x:v>1</x:v>
      </x:c>
    </x:row>
    <x:row r="1756">
      <x:c r="A1756" s="10" t="n">
        <x:f>IF(Assumptions!$B$5+INT((ROW()-2)/Assumptions!$B$7)&gt;Assumptions!$B$6,"",Assumptions!$B$5+INT((ROW()-2)/Assumptions!$B$7))</x:f>
        <x:v>46373</x:v>
      </x:c>
      <x:c r="B1756" t="str">
        <x:f>IF($A1756="","",INDEX(Assumptions!$D$5:$D$12,MOD(ROW()-2,Assumptions!$B$7)+1))</x:f>
        <x:v>Yutani Ridge</x:v>
      </x:c>
      <x:c r="C1756" s="11" t="n">
        <x:f>IF($A1756="","",INDEX(Assumptions!$F$5:$F$12,MATCH($B1756,Assumptions!$D$5:$D$12,0)))</x:f>
        <x:v>1050</x:v>
      </x:c>
      <x:c r="D1756" s="11" t="n">
        <x:f>IF($A1756="","",INDEX(Assumptions!$G$5:$G$12,MATCH($B1756,Assumptions!$D$5:$D$12,0)))</x:f>
        <x:v>125</x:v>
      </x:c>
      <x:c r="E1756" s="11" t="n">
        <x:f>IF($A1756="","",INDEX(Assumptions!$M$5:$M$11,WEEKDAY($A1756,2)))</x:f>
        <x:v>1</x:v>
      </x:c>
      <x:c r="F1756" s="11" t="n">
        <x:f>IF($A1756="","",Assumptions!$B$15)</x:f>
        <x:v>0.35</x:v>
      </x:c>
      <x:c r="G1756" s="11" t="n">
        <x:f>IF($A1756="","",MAX(INDEX(Assumptions!$H$5:$H$12,MATCH($B1756,Assumptions!$D$5:$D$12,0)),MIN(INDEX(Assumptions!$I$5:$I$12,MATCH($B1756,Assumptions!$D$5:$D$12,0)),($C1756+$D1756*SQRT(-2*LN(RAND()))*COS(2*PI()*RAND()))*$E1756*$J1756*$K1756)))</x:f>
        <x:v>1161.821173338405</x:v>
      </x:c>
      <x:c r="H1756" s="11" t="n">
        <x:f>IF($A1756="","",$G1756*$F1756+$C1756*(1-$F1756))</x:f>
        <x:v>1089.1374106684418</x:v>
      </x:c>
      <x:c r="I1756" s="11" t="n">
        <x:f>IF($A1756="","",AVERAGE($H1756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1067.2840205702284</x:v>
      </x:c>
      <x:c r="J1756" s="12" t="n">
        <x:f>IF($A1756="","",1+SUMIFS(Assumptions!$S$5:$S$10,Assumptions!$P$5:$P$10,$B1756,Assumptions!$Q$5:$Q$10,"&lt;="&amp;$A1756,Assumptions!$R$5:$R$10,"&gt;="&amp;$A1756))</x:f>
        <x:v>1</x:v>
      </x:c>
      <x:c r="K1756" s="12" t="n">
        <x:f>IF($A1756="","",1+((($A1756-Assumptions!$B$5)/30)*INDEX(Assumptions!$J$5:$J$12,MATCH($B1756,Assumptions!$D$5:$D$12,0))))</x:f>
        <x:v>1.0291666666666666</x:v>
      </x:c>
      <x:c r="L1756" t="str">
        <x:f>IF($A1756="","",IFERROR(INDEX(Assumptions!$O$5:$O$10,MATCH(1,(Assumptions!$P$5:$P$10=$B1756)*(Assumptions!$Q$5:$Q$10&lt;=$A1756)*(Assumptions!$R$5:$R$10&gt;=$A1756),0)),""))</x:f>
      </x:c>
      <x:c r="M1756" t="n">
        <x:f>--($A1756&lt;&gt;"")</x:f>
        <x:v>1</x:v>
      </x:c>
    </x:row>
    <x:row r="1757">
      <x:c r="A1757" s="10" t="n">
        <x:f>IF(Assumptions!$B$5+INT((ROW()-2)/Assumptions!$B$7)&gt;Assumptions!$B$6,"",Assumptions!$B$5+INT((ROW()-2)/Assumptions!$B$7))</x:f>
        <x:v>46374</x:v>
      </x:c>
      <x:c r="B1757" t="str">
        <x:f>IF($A1757="","",INDEX(Assumptions!$D$5:$D$12,MOD(ROW()-2,Assumptions!$B$7)+1))</x:f>
        <x:v>Acheron Prime</x:v>
      </x:c>
      <x:c r="C1757" s="11" t="n">
        <x:f>IF($A1757="","",INDEX(Assumptions!$F$5:$F$12,MATCH($B1757,Assumptions!$D$5:$D$12,0)))</x:f>
        <x:v>1120</x:v>
      </x:c>
      <x:c r="D1757" s="11" t="n">
        <x:f>IF($A1757="","",INDEX(Assumptions!$G$5:$G$12,MATCH($B1757,Assumptions!$D$5:$D$12,0)))</x:f>
        <x:v>115</x:v>
      </x:c>
      <x:c r="E1757" s="11" t="n">
        <x:f>IF($A1757="","",INDEX(Assumptions!$M$5:$M$11,WEEKDAY($A1757,2)))</x:f>
        <x:v>0.98</x:v>
      </x:c>
      <x:c r="F1757" s="11" t="n">
        <x:f>IF($A1757="","",Assumptions!$B$15)</x:f>
        <x:v>0.35</x:v>
      </x:c>
      <x:c r="G1757" s="11" t="n">
        <x:f>IF($A1757="","",MAX(INDEX(Assumptions!$H$5:$H$12,MATCH($B1757,Assumptions!$D$5:$D$12,0)),MIN(INDEX(Assumptions!$I$5:$I$12,MATCH($B1757,Assumptions!$D$5:$D$12,0)),($C1757+$D1757*SQRT(-2*LN(RAND()))*COS(2*PI()*RAND()))*$E1757*$J1757*$K1757)))</x:f>
        <x:v>1014.7169920158552</x:v>
      </x:c>
      <x:c r="H1757" s="11" t="n">
        <x:f>IF($A1757="","",$G1757*$F1757+$C1757*(1-$F1757))</x:f>
        <x:v>1083.1509472055493</x:v>
      </x:c>
      <x:c r="I1757" s="11" t="n">
        <x:f>IF($A1757="","",AVERAGE($H1757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1116.4197120683318</x:v>
      </x:c>
      <x:c r="J1757" s="12" t="n">
        <x:f>IF($A1757="","",1+SUMIFS(Assumptions!$S$5:$S$10,Assumptions!$P$5:$P$10,$B1757,Assumptions!$Q$5:$Q$10,"&lt;="&amp;$A1757,Assumptions!$R$5:$R$10,"&gt;="&amp;$A1757))</x:f>
        <x:v>1</x:v>
      </x:c>
      <x:c r="K1757" s="12" t="n">
        <x:f>IF($A1757="","",1+((($A1757-Assumptions!$B$5)/30)*INDEX(Assumptions!$J$5:$J$12,MATCH($B1757,Assumptions!$D$5:$D$12,0))))</x:f>
        <x:v>1.0234</x:v>
      </x:c>
      <x:c r="L1757" t="str">
        <x:f>IF($A1757="","",IFERROR(INDEX(Assumptions!$O$5:$O$10,MATCH(1,(Assumptions!$P$5:$P$10=$B1757)*(Assumptions!$Q$5:$Q$10&lt;=$A1757)*(Assumptions!$R$5:$R$10&gt;=$A1757),0)),""))</x:f>
      </x:c>
      <x:c r="M1757" t="n">
        <x:f>--($A1757&lt;&gt;"")</x:f>
        <x:v>1</x:v>
      </x:c>
    </x:row>
    <x:row r="1758">
      <x:c r="A1758" s="10" t="n">
        <x:f>IF(Assumptions!$B$5+INT((ROW()-2)/Assumptions!$B$7)&gt;Assumptions!$B$6,"",Assumptions!$B$5+INT((ROW()-2)/Assumptions!$B$7))</x:f>
        <x:v>46374</x:v>
      </x:c>
      <x:c r="B1758" t="str">
        <x:f>IF($A1758="","",INDEX(Assumptions!$D$5:$D$12,MOD(ROW()-2,Assumptions!$B$7)+1))</x:f>
        <x:v>LV-426 North</x:v>
      </x:c>
      <x:c r="C1758" s="11" t="n">
        <x:f>IF($A1758="","",INDEX(Assumptions!$F$5:$F$12,MATCH($B1758,Assumptions!$D$5:$D$12,0)))</x:f>
        <x:v>930</x:v>
      </x:c>
      <x:c r="D1758" s="11" t="n">
        <x:f>IF($A1758="","",INDEX(Assumptions!$G$5:$G$12,MATCH($B1758,Assumptions!$D$5:$D$12,0)))</x:f>
        <x:v>95</x:v>
      </x:c>
      <x:c r="E1758" s="11" t="n">
        <x:f>IF($A1758="","",INDEX(Assumptions!$M$5:$M$11,WEEKDAY($A1758,2)))</x:f>
        <x:v>0.98</x:v>
      </x:c>
      <x:c r="F1758" s="11" t="n">
        <x:f>IF($A1758="","",Assumptions!$B$15)</x:f>
        <x:v>0.35</x:v>
      </x:c>
      <x:c r="G1758" s="11" t="n">
        <x:f>IF($A1758="","",MAX(INDEX(Assumptions!$H$5:$H$12,MATCH($B1758,Assumptions!$D$5:$D$12,0)),MIN(INDEX(Assumptions!$I$5:$I$12,MATCH($B1758,Assumptions!$D$5:$D$12,0)),($C1758+$D1758*SQRT(-2*LN(RAND()))*COS(2*PI()*RAND()))*$E1758*$J1758*$K1758)))</x:f>
        <x:v>789.2225943207869</x:v>
      </x:c>
      <x:c r="H1758" s="11" t="n">
        <x:f>IF($A1758="","",$G1758*$F1758+$C1758*(1-$F1758))</x:f>
        <x:v>880.7279080122754</x:v>
      </x:c>
      <x:c r="I1758" s="11" t="n">
        <x:f>IF($A1758="","",AVERAGE($H1758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932.8313260760752</x:v>
      </x:c>
      <x:c r="J1758" s="12" t="n">
        <x:f>IF($A1758="","",1+SUMIFS(Assumptions!$S$5:$S$10,Assumptions!$P$5:$P$10,$B1758,Assumptions!$Q$5:$Q$10,"&lt;="&amp;$A1758,Assumptions!$R$5:$R$10,"&gt;="&amp;$A1758))</x:f>
        <x:v>1</x:v>
      </x:c>
      <x:c r="K1758" s="12" t="n">
        <x:f>IF($A1758="","",1+((($A1758-Assumptions!$B$5)/30)*INDEX(Assumptions!$J$5:$J$12,MATCH($B1758,Assumptions!$D$5:$D$12,0))))</x:f>
        <x:v>0.9883</x:v>
      </x:c>
      <x:c r="L1758" t="str">
        <x:f>IF($A1758="","",IFERROR(INDEX(Assumptions!$O$5:$O$10,MATCH(1,(Assumptions!$P$5:$P$10=$B1758)*(Assumptions!$Q$5:$Q$10&lt;=$A1758)*(Assumptions!$R$5:$R$10&gt;=$A1758),0)),""))</x:f>
      </x:c>
      <x:c r="M1758" t="n">
        <x:f>--($A1758&lt;&gt;"")</x:f>
        <x:v>1</x:v>
      </x:c>
    </x:row>
    <x:row r="1759">
      <x:c r="A1759" s="10" t="n">
        <x:f>IF(Assumptions!$B$5+INT((ROW()-2)/Assumptions!$B$7)&gt;Assumptions!$B$6,"",Assumptions!$B$5+INT((ROW()-2)/Assumptions!$B$7))</x:f>
        <x:v>46374</x:v>
      </x:c>
      <x:c r="B1759" t="str">
        <x:f>IF($A1759="","",INDEX(Assumptions!$D$5:$D$12,MOD(ROW()-2,Assumptions!$B$7)+1))</x:f>
        <x:v>Nostromo Deep</x:v>
      </x:c>
      <x:c r="C1759" s="11" t="n">
        <x:f>IF($A1759="","",INDEX(Assumptions!$F$5:$F$12,MATCH($B1759,Assumptions!$D$5:$D$12,0)))</x:f>
        <x:v>1260</x:v>
      </x:c>
      <x:c r="D1759" s="11" t="n">
        <x:f>IF($A1759="","",INDEX(Assumptions!$G$5:$G$12,MATCH($B1759,Assumptions!$D$5:$D$12,0)))</x:f>
        <x:v>145</x:v>
      </x:c>
      <x:c r="E1759" s="11" t="n">
        <x:f>IF($A1759="","",INDEX(Assumptions!$M$5:$M$11,WEEKDAY($A1759,2)))</x:f>
        <x:v>0.98</x:v>
      </x:c>
      <x:c r="F1759" s="11" t="n">
        <x:f>IF($A1759="","",Assumptions!$B$15)</x:f>
        <x:v>0.35</x:v>
      </x:c>
      <x:c r="G1759" s="11" t="n">
        <x:f>IF($A1759="","",MAX(INDEX(Assumptions!$H$5:$H$12,MATCH($B1759,Assumptions!$D$5:$D$12,0)),MIN(INDEX(Assumptions!$I$5:$I$12,MATCH($B1759,Assumptions!$D$5:$D$12,0)),($C1759+$D1759*SQRT(-2*LN(RAND()))*COS(2*PI()*RAND()))*$E1759*$J1759*$K1759)))</x:f>
        <x:v>1302.4589406761966</x:v>
      </x:c>
      <x:c r="H1759" s="11" t="n">
        <x:f>IF($A1759="","",$G1759*$F1759+$C1759*(1-$F1759))</x:f>
        <x:v>1274.8606292366687</x:v>
      </x:c>
      <x:c r="I1759" s="11" t="n">
        <x:f>IF($A1759="","",AVERAGE($H1759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1245.282660362791</x:v>
      </x:c>
      <x:c r="J1759" s="12" t="n">
        <x:f>IF($A1759="","",1+SUMIFS(Assumptions!$S$5:$S$10,Assumptions!$P$5:$P$10,$B1759,Assumptions!$Q$5:$Q$10,"&lt;="&amp;$A1759,Assumptions!$R$5:$R$10,"&gt;="&amp;$A1759))</x:f>
        <x:v>1</x:v>
      </x:c>
      <x:c r="K1759" s="12" t="n">
        <x:f>IF($A1759="","",1+((($A1759-Assumptions!$B$5)/30)*INDEX(Assumptions!$J$5:$J$12,MATCH($B1759,Assumptions!$D$5:$D$12,0))))</x:f>
        <x:v>1.0351</x:v>
      </x:c>
      <x:c r="L1759" t="str">
        <x:f>IF($A1759="","",IFERROR(INDEX(Assumptions!$O$5:$O$10,MATCH(1,(Assumptions!$P$5:$P$10=$B1759)*(Assumptions!$Q$5:$Q$10&lt;=$A1759)*(Assumptions!$R$5:$R$10&gt;=$A1759),0)),""))</x:f>
      </x:c>
      <x:c r="M1759" t="n">
        <x:f>--($A1759&lt;&gt;"")</x:f>
        <x:v>1</x:v>
      </x:c>
    </x:row>
    <x:row r="1760">
      <x:c r="A1760" s="10" t="n">
        <x:f>IF(Assumptions!$B$5+INT((ROW()-2)/Assumptions!$B$7)&gt;Assumptions!$B$6,"",Assumptions!$B$5+INT((ROW()-2)/Assumptions!$B$7))</x:f>
        <x:v>46374</x:v>
      </x:c>
      <x:c r="B1760" t="str">
        <x:f>IF($A1760="","",INDEX(Assumptions!$D$5:$D$12,MOD(ROW()-2,Assumptions!$B$7)+1))</x:f>
        <x:v>Hadley's Hope</x:v>
      </x:c>
      <x:c r="C1760" s="11" t="n">
        <x:f>IF($A1760="","",INDEX(Assumptions!$F$5:$F$12,MATCH($B1760,Assumptions!$D$5:$D$12,0)))</x:f>
        <x:v>845</x:v>
      </x:c>
      <x:c r="D1760" s="11" t="n">
        <x:f>IF($A1760="","",INDEX(Assumptions!$G$5:$G$12,MATCH($B1760,Assumptions!$D$5:$D$12,0)))</x:f>
        <x:v>80</x:v>
      </x:c>
      <x:c r="E1760" s="11" t="n">
        <x:f>IF($A1760="","",INDEX(Assumptions!$M$5:$M$11,WEEKDAY($A1760,2)))</x:f>
        <x:v>0.98</x:v>
      </x:c>
      <x:c r="F1760" s="11" t="n">
        <x:f>IF($A1760="","",Assumptions!$B$15)</x:f>
        <x:v>0.35</x:v>
      </x:c>
      <x:c r="G1760" s="11" t="n">
        <x:f>IF($A1760="","",MAX(INDEX(Assumptions!$H$5:$H$12,MATCH($B1760,Assumptions!$D$5:$D$12,0)),MIN(INDEX(Assumptions!$I$5:$I$12,MATCH($B1760,Assumptions!$D$5:$D$12,0)),($C1760+$D1760*SQRT(-2*LN(RAND()))*COS(2*PI()*RAND()))*$E1760*$J1760*$K1760)))</x:f>
        <x:v>726.693440382939</x:v>
      </x:c>
      <x:c r="H1760" s="11" t="n">
        <x:f>IF($A1760="","",$G1760*$F1760+$C1760*(1-$F1760))</x:f>
        <x:v>803.5927041340286</x:v>
      </x:c>
      <x:c r="I1760" s="11" t="n">
        <x:f>IF($A1760="","",AVERAGE($H1760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828.2322466989879</x:v>
      </x:c>
      <x:c r="J1760" s="12" t="n">
        <x:f>IF($A1760="","",1+SUMIFS(Assumptions!$S$5:$S$10,Assumptions!$P$5:$P$10,$B1760,Assumptions!$Q$5:$Q$10,"&lt;="&amp;$A1760,Assumptions!$R$5:$R$10,"&gt;="&amp;$A1760))</x:f>
        <x:v>1</x:v>
      </x:c>
      <x:c r="K1760" s="12" t="n">
        <x:f>IF($A1760="","",1+((($A1760-Assumptions!$B$5)/30)*INDEX(Assumptions!$J$5:$J$12,MATCH($B1760,Assumptions!$D$5:$D$12,0))))</x:f>
        <x:v>1.0117</x:v>
      </x:c>
      <x:c r="L1760" t="str">
        <x:f>IF($A1760="","",IFERROR(INDEX(Assumptions!$O$5:$O$10,MATCH(1,(Assumptions!$P$5:$P$10=$B1760)*(Assumptions!$Q$5:$Q$10&lt;=$A1760)*(Assumptions!$R$5:$R$10&gt;=$A1760),0)),""))</x:f>
      </x:c>
      <x:c r="M1760" t="n">
        <x:f>--($A1760&lt;&gt;"")</x:f>
        <x:v>1</x:v>
      </x:c>
    </x:row>
    <x:row r="1761">
      <x:c r="A1761" s="10" t="n">
        <x:f>IF(Assumptions!$B$5+INT((ROW()-2)/Assumptions!$B$7)&gt;Assumptions!$B$6,"",Assumptions!$B$5+INT((ROW()-2)/Assumptions!$B$7))</x:f>
        <x:v>46374</x:v>
      </x:c>
      <x:c r="B1761" t="str">
        <x:f>IF($A1761="","",INDEX(Assumptions!$D$5:$D$12,MOD(ROW()-2,Assumptions!$B$7)+1))</x:f>
        <x:v>Yutani Ridge</x:v>
      </x:c>
      <x:c r="C1761" s="11" t="n">
        <x:f>IF($A1761="","",INDEX(Assumptions!$F$5:$F$12,MATCH($B1761,Assumptions!$D$5:$D$12,0)))</x:f>
        <x:v>1050</x:v>
      </x:c>
      <x:c r="D1761" s="11" t="n">
        <x:f>IF($A1761="","",INDEX(Assumptions!$G$5:$G$12,MATCH($B1761,Assumptions!$D$5:$D$12,0)))</x:f>
        <x:v>125</x:v>
      </x:c>
      <x:c r="E1761" s="11" t="n">
        <x:f>IF($A1761="","",INDEX(Assumptions!$M$5:$M$11,WEEKDAY($A1761,2)))</x:f>
        <x:v>0.98</x:v>
      </x:c>
      <x:c r="F1761" s="11" t="n">
        <x:f>IF($A1761="","",Assumptions!$B$15)</x:f>
        <x:v>0.35</x:v>
      </x:c>
      <x:c r="G1761" s="11" t="n">
        <x:f>IF($A1761="","",MAX(INDEX(Assumptions!$H$5:$H$12,MATCH($B1761,Assumptions!$D$5:$D$12,0)),MIN(INDEX(Assumptions!$I$5:$I$12,MATCH($B1761,Assumptions!$D$5:$D$12,0)),($C1761+$D1761*SQRT(-2*LN(RAND()))*COS(2*PI()*RAND()))*$E1761*$J1761*$K1761)))</x:f>
        <x:v>1242.419909469664</x:v>
      </x:c>
      <x:c r="H1761" s="11" t="n">
        <x:f>IF($A1761="","",$G1761*$F1761+$C1761*(1-$F1761))</x:f>
        <x:v>1117.3469683143824</x:v>
      </x:c>
      <x:c r="I1761" s="11" t="n">
        <x:f>IF($A1761="","",AVERAGE($H1761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1073.8024606684223</x:v>
      </x:c>
      <x:c r="J1761" s="12" t="n">
        <x:f>IF($A1761="","",1+SUMIFS(Assumptions!$S$5:$S$10,Assumptions!$P$5:$P$10,$B1761,Assumptions!$Q$5:$Q$10,"&lt;="&amp;$A1761,Assumptions!$R$5:$R$10,"&gt;="&amp;$A1761))</x:f>
        <x:v>1</x:v>
      </x:c>
      <x:c r="K1761" s="12" t="n">
        <x:f>IF($A1761="","",1+((($A1761-Assumptions!$B$5)/30)*INDEX(Assumptions!$J$5:$J$12,MATCH($B1761,Assumptions!$D$5:$D$12,0))))</x:f>
        <x:v>1.02925</x:v>
      </x:c>
      <x:c r="L1761" t="str">
        <x:f>IF($A1761="","",IFERROR(INDEX(Assumptions!$O$5:$O$10,MATCH(1,(Assumptions!$P$5:$P$10=$B1761)*(Assumptions!$Q$5:$Q$10&lt;=$A1761)*(Assumptions!$R$5:$R$10&gt;=$A1761),0)),""))</x:f>
      </x:c>
      <x:c r="M1761" t="n">
        <x:f>--($A1761&lt;&gt;"")</x:f>
        <x:v>1</x:v>
      </x:c>
    </x:row>
    <x:row r="1762">
      <x:c r="A1762" s="10" t="n">
        <x:f>IF(Assumptions!$B$5+INT((ROW()-2)/Assumptions!$B$7)&gt;Assumptions!$B$6,"",Assumptions!$B$5+INT((ROW()-2)/Assumptions!$B$7))</x:f>
        <x:v>46375</x:v>
      </x:c>
      <x:c r="B1762" t="str">
        <x:f>IF($A1762="","",INDEX(Assumptions!$D$5:$D$12,MOD(ROW()-2,Assumptions!$B$7)+1))</x:f>
        <x:v>Acheron Prime</x:v>
      </x:c>
      <x:c r="C1762" s="11" t="n">
        <x:f>IF($A1762="","",INDEX(Assumptions!$F$5:$F$12,MATCH($B1762,Assumptions!$D$5:$D$12,0)))</x:f>
        <x:v>1120</x:v>
      </x:c>
      <x:c r="D1762" s="11" t="n">
        <x:f>IF($A1762="","",INDEX(Assumptions!$G$5:$G$12,MATCH($B1762,Assumptions!$D$5:$D$12,0)))</x:f>
        <x:v>115</x:v>
      </x:c>
      <x:c r="E1762" s="11" t="n">
        <x:f>IF($A1762="","",INDEX(Assumptions!$M$5:$M$11,WEEKDAY($A1762,2)))</x:f>
        <x:v>0.91</x:v>
      </x:c>
      <x:c r="F1762" s="11" t="n">
        <x:f>IF($A1762="","",Assumptions!$B$15)</x:f>
        <x:v>0.35</x:v>
      </x:c>
      <x:c r="G1762" s="11" t="n">
        <x:f>IF($A1762="","",MAX(INDEX(Assumptions!$H$5:$H$12,MATCH($B1762,Assumptions!$D$5:$D$12,0)),MIN(INDEX(Assumptions!$I$5:$I$12,MATCH($B1762,Assumptions!$D$5:$D$12,0)),($C1762+$D1762*SQRT(-2*LN(RAND()))*COS(2*PI()*RAND()))*$E1762*$J1762*$K1762)))</x:f>
        <x:v>982.700023568785</x:v>
      </x:c>
      <x:c r="H1762" s="11" t="n">
        <x:f>IF($A1762="","",$G1762*$F1762+$C1762*(1-$F1762))</x:f>
        <x:v>1071.9450082490748</x:v>
      </x:c>
      <x:c r="I1762" s="11" t="n">
        <x:f>IF($A1762="","",AVERAGE($H1762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1104.9381493861422</x:v>
      </x:c>
      <x:c r="J1762" s="12" t="n">
        <x:f>IF($A1762="","",1+SUMIFS(Assumptions!$S$5:$S$10,Assumptions!$P$5:$P$10,$B1762,Assumptions!$Q$5:$Q$10,"&lt;="&amp;$A1762,Assumptions!$R$5:$R$10,"&gt;="&amp;$A1762))</x:f>
        <x:v>1</x:v>
      </x:c>
      <x:c r="K1762" s="12" t="n">
        <x:f>IF($A1762="","",1+((($A1762-Assumptions!$B$5)/30)*INDEX(Assumptions!$J$5:$J$12,MATCH($B1762,Assumptions!$D$5:$D$12,0))))</x:f>
        <x:v>1.0234666666666667</x:v>
      </x:c>
      <x:c r="L1762" t="str">
        <x:f>IF($A1762="","",IFERROR(INDEX(Assumptions!$O$5:$O$10,MATCH(1,(Assumptions!$P$5:$P$10=$B1762)*(Assumptions!$Q$5:$Q$10&lt;=$A1762)*(Assumptions!$R$5:$R$10&gt;=$A1762),0)),""))</x:f>
      </x:c>
      <x:c r="M1762" t="n">
        <x:f>--($A1762&lt;&gt;"")</x:f>
        <x:v>1</x:v>
      </x:c>
    </x:row>
    <x:row r="1763">
      <x:c r="A1763" s="10" t="n">
        <x:f>IF(Assumptions!$B$5+INT((ROW()-2)/Assumptions!$B$7)&gt;Assumptions!$B$6,"",Assumptions!$B$5+INT((ROW()-2)/Assumptions!$B$7))</x:f>
        <x:v>46375</x:v>
      </x:c>
      <x:c r="B1763" t="str">
        <x:f>IF($A1763="","",INDEX(Assumptions!$D$5:$D$12,MOD(ROW()-2,Assumptions!$B$7)+1))</x:f>
        <x:v>LV-426 North</x:v>
      </x:c>
      <x:c r="C1763" s="11" t="n">
        <x:f>IF($A1763="","",INDEX(Assumptions!$F$5:$F$12,MATCH($B1763,Assumptions!$D$5:$D$12,0)))</x:f>
        <x:v>930</x:v>
      </x:c>
      <x:c r="D1763" s="11" t="n">
        <x:f>IF($A1763="","",INDEX(Assumptions!$G$5:$G$12,MATCH($B1763,Assumptions!$D$5:$D$12,0)))</x:f>
        <x:v>95</x:v>
      </x:c>
      <x:c r="E1763" s="11" t="n">
        <x:f>IF($A1763="","",INDEX(Assumptions!$M$5:$M$11,WEEKDAY($A1763,2)))</x:f>
        <x:v>0.91</x:v>
      </x:c>
      <x:c r="F1763" s="11" t="n">
        <x:f>IF($A1763="","",Assumptions!$B$15)</x:f>
        <x:v>0.35</x:v>
      </x:c>
      <x:c r="G1763" s="11" t="n">
        <x:f>IF($A1763="","",MAX(INDEX(Assumptions!$H$5:$H$12,MATCH($B1763,Assumptions!$D$5:$D$12,0)),MIN(INDEX(Assumptions!$I$5:$I$12,MATCH($B1763,Assumptions!$D$5:$D$12,0)),($C1763+$D1763*SQRT(-2*LN(RAND()))*COS(2*PI()*RAND()))*$E1763*$J1763*$K1763)))</x:f>
        <x:v>833.3378174371686</x:v>
      </x:c>
      <x:c r="H1763" s="11" t="n">
        <x:f>IF($A1763="","",$G1763*$F1763+$C1763*(1-$F1763))</x:f>
        <x:v>896.168236103009</x:v>
      </x:c>
      <x:c r="I1763" s="11" t="n">
        <x:f>IF($A1763="","",AVERAGE($H1763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933.2593421099845</x:v>
      </x:c>
      <x:c r="J1763" s="12" t="n">
        <x:f>IF($A1763="","",1+SUMIFS(Assumptions!$S$5:$S$10,Assumptions!$P$5:$P$10,$B1763,Assumptions!$Q$5:$Q$10,"&lt;="&amp;$A1763,Assumptions!$R$5:$R$10,"&gt;="&amp;$A1763))</x:f>
        <x:v>1</x:v>
      </x:c>
      <x:c r="K1763" s="12" t="n">
        <x:f>IF($A1763="","",1+((($A1763-Assumptions!$B$5)/30)*INDEX(Assumptions!$J$5:$J$12,MATCH($B1763,Assumptions!$D$5:$D$12,0))))</x:f>
        <x:v>0.9882666666666666</x:v>
      </x:c>
      <x:c r="L1763" t="str">
        <x:f>IF($A1763="","",IFERROR(INDEX(Assumptions!$O$5:$O$10,MATCH(1,(Assumptions!$P$5:$P$10=$B1763)*(Assumptions!$Q$5:$Q$10&lt;=$A1763)*(Assumptions!$R$5:$R$10&gt;=$A1763),0)),""))</x:f>
      </x:c>
      <x:c r="M1763" t="n">
        <x:f>--($A1763&lt;&gt;"")</x:f>
        <x:v>1</x:v>
      </x:c>
    </x:row>
    <x:row r="1764">
      <x:c r="A1764" s="10" t="n">
        <x:f>IF(Assumptions!$B$5+INT((ROW()-2)/Assumptions!$B$7)&gt;Assumptions!$B$6,"",Assumptions!$B$5+INT((ROW()-2)/Assumptions!$B$7))</x:f>
        <x:v>46375</x:v>
      </x:c>
      <x:c r="B1764" t="str">
        <x:f>IF($A1764="","",INDEX(Assumptions!$D$5:$D$12,MOD(ROW()-2,Assumptions!$B$7)+1))</x:f>
        <x:v>Nostromo Deep</x:v>
      </x:c>
      <x:c r="C1764" s="11" t="n">
        <x:f>IF($A1764="","",INDEX(Assumptions!$F$5:$F$12,MATCH($B1764,Assumptions!$D$5:$D$12,0)))</x:f>
        <x:v>1260</x:v>
      </x:c>
      <x:c r="D1764" s="11" t="n">
        <x:f>IF($A1764="","",INDEX(Assumptions!$G$5:$G$12,MATCH($B1764,Assumptions!$D$5:$D$12,0)))</x:f>
        <x:v>145</x:v>
      </x:c>
      <x:c r="E1764" s="11" t="n">
        <x:f>IF($A1764="","",INDEX(Assumptions!$M$5:$M$11,WEEKDAY($A1764,2)))</x:f>
        <x:v>0.91</x:v>
      </x:c>
      <x:c r="F1764" s="11" t="n">
        <x:f>IF($A1764="","",Assumptions!$B$15)</x:f>
        <x:v>0.35</x:v>
      </x:c>
      <x:c r="G1764" s="11" t="n">
        <x:f>IF($A1764="","",MAX(INDEX(Assumptions!$H$5:$H$12,MATCH($B1764,Assumptions!$D$5:$D$12,0)),MIN(INDEX(Assumptions!$I$5:$I$12,MATCH($B1764,Assumptions!$D$5:$D$12,0)),($C1764+$D1764*SQRT(-2*LN(RAND()))*COS(2*PI()*RAND()))*$E1764*$J1764*$K1764)))</x:f>
        <x:v>1155.8185954494968</x:v>
      </x:c>
      <x:c r="H1764" s="11" t="n">
        <x:f>IF($A1764="","",$G1764*$F1764+$C1764*(1-$F1764))</x:f>
        <x:v>1223.536508407324</x:v>
      </x:c>
      <x:c r="I1764" s="11" t="n">
        <x:f>IF($A1764="","",AVERAGE($H1764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1236.8506525393975</x:v>
      </x:c>
      <x:c r="J1764" s="12" t="n">
        <x:f>IF($A1764="","",1+SUMIFS(Assumptions!$S$5:$S$10,Assumptions!$P$5:$P$10,$B1764,Assumptions!$Q$5:$Q$10,"&lt;="&amp;$A1764,Assumptions!$R$5:$R$10,"&gt;="&amp;$A1764))</x:f>
        <x:v>1</x:v>
      </x:c>
      <x:c r="K1764" s="12" t="n">
        <x:f>IF($A1764="","",1+((($A1764-Assumptions!$B$5)/30)*INDEX(Assumptions!$J$5:$J$12,MATCH($B1764,Assumptions!$D$5:$D$12,0))))</x:f>
        <x:v>1.0352</x:v>
      </x:c>
      <x:c r="L1764" t="str">
        <x:f>IF($A1764="","",IFERROR(INDEX(Assumptions!$O$5:$O$10,MATCH(1,(Assumptions!$P$5:$P$10=$B1764)*(Assumptions!$Q$5:$Q$10&lt;=$A1764)*(Assumptions!$R$5:$R$10&gt;=$A1764),0)),""))</x:f>
      </x:c>
      <x:c r="M1764" t="n">
        <x:f>--($A1764&lt;&gt;"")</x:f>
        <x:v>1</x:v>
      </x:c>
    </x:row>
    <x:row r="1765">
      <x:c r="A1765" s="10" t="n">
        <x:f>IF(Assumptions!$B$5+INT((ROW()-2)/Assumptions!$B$7)&gt;Assumptions!$B$6,"",Assumptions!$B$5+INT((ROW()-2)/Assumptions!$B$7))</x:f>
        <x:v>46375</x:v>
      </x:c>
      <x:c r="B1765" t="str">
        <x:f>IF($A1765="","",INDEX(Assumptions!$D$5:$D$12,MOD(ROW()-2,Assumptions!$B$7)+1))</x:f>
        <x:v>Hadley's Hope</x:v>
      </x:c>
      <x:c r="C1765" s="11" t="n">
        <x:f>IF($A1765="","",INDEX(Assumptions!$F$5:$F$12,MATCH($B1765,Assumptions!$D$5:$D$12,0)))</x:f>
        <x:v>845</x:v>
      </x:c>
      <x:c r="D1765" s="11" t="n">
        <x:f>IF($A1765="","",INDEX(Assumptions!$G$5:$G$12,MATCH($B1765,Assumptions!$D$5:$D$12,0)))</x:f>
        <x:v>80</x:v>
      </x:c>
      <x:c r="E1765" s="11" t="n">
        <x:f>IF($A1765="","",INDEX(Assumptions!$M$5:$M$11,WEEKDAY($A1765,2)))</x:f>
        <x:v>0.91</x:v>
      </x:c>
      <x:c r="F1765" s="11" t="n">
        <x:f>IF($A1765="","",Assumptions!$B$15)</x:f>
        <x:v>0.35</x:v>
      </x:c>
      <x:c r="G1765" s="11" t="n">
        <x:f>IF($A1765="","",MAX(INDEX(Assumptions!$H$5:$H$12,MATCH($B1765,Assumptions!$D$5:$D$12,0)),MIN(INDEX(Assumptions!$I$5:$I$12,MATCH($B1765,Assumptions!$D$5:$D$12,0)),($C1765+$D1765*SQRT(-2*LN(RAND()))*COS(2*PI()*RAND()))*$E1765*$J1765*$K1765)))</x:f>
        <x:v>692.3962010568094</x:v>
      </x:c>
      <x:c r="H1765" s="11" t="n">
        <x:f>IF($A1765="","",$G1765*$F1765+$C1765*(1-$F1765))</x:f>
        <x:v>791.5886703698833</x:v>
      </x:c>
      <x:c r="I1765" s="11" t="n">
        <x:f>IF($A1765="","",AVERAGE($H1765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828.8436456872851</x:v>
      </x:c>
      <x:c r="J1765" s="12" t="n">
        <x:f>IF($A1765="","",1+SUMIFS(Assumptions!$S$5:$S$10,Assumptions!$P$5:$P$10,$B1765,Assumptions!$Q$5:$Q$10,"&lt;="&amp;$A1765,Assumptions!$R$5:$R$10,"&gt;="&amp;$A1765))</x:f>
        <x:v>1</x:v>
      </x:c>
      <x:c r="K1765" s="12" t="n">
        <x:f>IF($A1765="","",1+((($A1765-Assumptions!$B$5)/30)*INDEX(Assumptions!$J$5:$J$12,MATCH($B1765,Assumptions!$D$5:$D$12,0))))</x:f>
        <x:v>1.0117333333333334</x:v>
      </x:c>
      <x:c r="L1765" t="str">
        <x:f>IF($A1765="","",IFERROR(INDEX(Assumptions!$O$5:$O$10,MATCH(1,(Assumptions!$P$5:$P$10=$B1765)*(Assumptions!$Q$5:$Q$10&lt;=$A1765)*(Assumptions!$R$5:$R$10&gt;=$A1765),0)),""))</x:f>
      </x:c>
      <x:c r="M1765" t="n">
        <x:f>--($A1765&lt;&gt;"")</x:f>
        <x:v>1</x:v>
      </x:c>
    </x:row>
    <x:row r="1766">
      <x:c r="A1766" s="10" t="n">
        <x:f>IF(Assumptions!$B$5+INT((ROW()-2)/Assumptions!$B$7)&gt;Assumptions!$B$6,"",Assumptions!$B$5+INT((ROW()-2)/Assumptions!$B$7))</x:f>
        <x:v>46375</x:v>
      </x:c>
      <x:c r="B1766" t="str">
        <x:f>IF($A1766="","",INDEX(Assumptions!$D$5:$D$12,MOD(ROW()-2,Assumptions!$B$7)+1))</x:f>
        <x:v>Yutani Ridge</x:v>
      </x:c>
      <x:c r="C1766" s="11" t="n">
        <x:f>IF($A1766="","",INDEX(Assumptions!$F$5:$F$12,MATCH($B1766,Assumptions!$D$5:$D$12,0)))</x:f>
        <x:v>1050</x:v>
      </x:c>
      <x:c r="D1766" s="11" t="n">
        <x:f>IF($A1766="","",INDEX(Assumptions!$G$5:$G$12,MATCH($B1766,Assumptions!$D$5:$D$12,0)))</x:f>
        <x:v>125</x:v>
      </x:c>
      <x:c r="E1766" s="11" t="n">
        <x:f>IF($A1766="","",INDEX(Assumptions!$M$5:$M$11,WEEKDAY($A1766,2)))</x:f>
        <x:v>0.91</x:v>
      </x:c>
      <x:c r="F1766" s="11" t="n">
        <x:f>IF($A1766="","",Assumptions!$B$15)</x:f>
        <x:v>0.35</x:v>
      </x:c>
      <x:c r="G1766" s="11" t="n">
        <x:f>IF($A1766="","",MAX(INDEX(Assumptions!$H$5:$H$12,MATCH($B1766,Assumptions!$D$5:$D$12,0)),MIN(INDEX(Assumptions!$I$5:$I$12,MATCH($B1766,Assumptions!$D$5:$D$12,0)),($C1766+$D1766*SQRT(-2*LN(RAND()))*COS(2*PI()*RAND()))*$E1766*$J1766*$K1766)))</x:f>
        <x:v>938.6172488001414</x:v>
      </x:c>
      <x:c r="H1766" s="11" t="n">
        <x:f>IF($A1766="","",$G1766*$F1766+$C1766*(1-$F1766))</x:f>
        <x:v>1011.0160370800495</x:v>
      </x:c>
      <x:c r="I1766" s="11" t="n">
        <x:f>IF($A1766="","",AVERAGE($H1766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1068.143667452607</x:v>
      </x:c>
      <x:c r="J1766" s="12" t="n">
        <x:f>IF($A1766="","",1+SUMIFS(Assumptions!$S$5:$S$10,Assumptions!$P$5:$P$10,$B1766,Assumptions!$Q$5:$Q$10,"&lt;="&amp;$A1766,Assumptions!$R$5:$R$10,"&gt;="&amp;$A1766))</x:f>
        <x:v>1</x:v>
      </x:c>
      <x:c r="K1766" s="12" t="n">
        <x:f>IF($A1766="","",1+((($A1766-Assumptions!$B$5)/30)*INDEX(Assumptions!$J$5:$J$12,MATCH($B1766,Assumptions!$D$5:$D$12,0))))</x:f>
        <x:v>1.0293333333333334</x:v>
      </x:c>
      <x:c r="L1766" t="str">
        <x:f>IF($A1766="","",IFERROR(INDEX(Assumptions!$O$5:$O$10,MATCH(1,(Assumptions!$P$5:$P$10=$B1766)*(Assumptions!$Q$5:$Q$10&lt;=$A1766)*(Assumptions!$R$5:$R$10&gt;=$A1766),0)),""))</x:f>
      </x:c>
      <x:c r="M1766" t="n">
        <x:f>--($A1766&lt;&gt;"")</x:f>
        <x:v>1</x:v>
      </x:c>
    </x:row>
    <x:row r="1767">
      <x:c r="A1767" s="10" t="n">
        <x:f>IF(Assumptions!$B$5+INT((ROW()-2)/Assumptions!$B$7)&gt;Assumptions!$B$6,"",Assumptions!$B$5+INT((ROW()-2)/Assumptions!$B$7))</x:f>
        <x:v>46376</x:v>
      </x:c>
      <x:c r="B1767" t="str">
        <x:f>IF($A1767="","",INDEX(Assumptions!$D$5:$D$12,MOD(ROW()-2,Assumptions!$B$7)+1))</x:f>
        <x:v>Acheron Prime</x:v>
      </x:c>
      <x:c r="C1767" s="11" t="n">
        <x:f>IF($A1767="","",INDEX(Assumptions!$F$5:$F$12,MATCH($B1767,Assumptions!$D$5:$D$12,0)))</x:f>
        <x:v>1120</x:v>
      </x:c>
      <x:c r="D1767" s="11" t="n">
        <x:f>IF($A1767="","",INDEX(Assumptions!$G$5:$G$12,MATCH($B1767,Assumptions!$D$5:$D$12,0)))</x:f>
        <x:v>115</x:v>
      </x:c>
      <x:c r="E1767" s="11" t="n">
        <x:f>IF($A1767="","",INDEX(Assumptions!$M$5:$M$11,WEEKDAY($A1767,2)))</x:f>
        <x:v>0.87</x:v>
      </x:c>
      <x:c r="F1767" s="11" t="n">
        <x:f>IF($A1767="","",Assumptions!$B$15)</x:f>
        <x:v>0.35</x:v>
      </x:c>
      <x:c r="G1767" s="11" t="n">
        <x:f>IF($A1767="","",MAX(INDEX(Assumptions!$H$5:$H$12,MATCH($B1767,Assumptions!$D$5:$D$12,0)),MIN(INDEX(Assumptions!$I$5:$I$12,MATCH($B1767,Assumptions!$D$5:$D$12,0)),($C1767+$D1767*SQRT(-2*LN(RAND()))*COS(2*PI()*RAND()))*$E1767*$J1767*$K1767)))</x:f>
        <x:v>827.7524797889902</x:v>
      </x:c>
      <x:c r="H1767" s="11" t="n">
        <x:f>IF($A1767="","",$G1767*$F1767+$C1767*(1-$F1767))</x:f>
        <x:v>1017.7133679261465</x:v>
      </x:c>
      <x:c r="I1767" s="11" t="n">
        <x:f>IF($A1767="","",AVERAGE($H1767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1093.1923969561474</x:v>
      </x:c>
      <x:c r="J1767" s="12" t="n">
        <x:f>IF($A1767="","",1+SUMIFS(Assumptions!$S$5:$S$10,Assumptions!$P$5:$P$10,$B1767,Assumptions!$Q$5:$Q$10,"&lt;="&amp;$A1767,Assumptions!$R$5:$R$10,"&gt;="&amp;$A1767))</x:f>
        <x:v>1</x:v>
      </x:c>
      <x:c r="K1767" s="12" t="n">
        <x:f>IF($A1767="","",1+((($A1767-Assumptions!$B$5)/30)*INDEX(Assumptions!$J$5:$J$12,MATCH($B1767,Assumptions!$D$5:$D$12,0))))</x:f>
        <x:v>1.0235333333333334</x:v>
      </x:c>
      <x:c r="L1767" t="str">
        <x:f>IF($A1767="","",IFERROR(INDEX(Assumptions!$O$5:$O$10,MATCH(1,(Assumptions!$P$5:$P$10=$B1767)*(Assumptions!$Q$5:$Q$10&lt;=$A1767)*(Assumptions!$R$5:$R$10&gt;=$A1767),0)),""))</x:f>
      </x:c>
      <x:c r="M1767" t="n">
        <x:f>--($A1767&lt;&gt;"")</x:f>
        <x:v>1</x:v>
      </x:c>
    </x:row>
    <x:row r="1768">
      <x:c r="A1768" s="10" t="n">
        <x:f>IF(Assumptions!$B$5+INT((ROW()-2)/Assumptions!$B$7)&gt;Assumptions!$B$6,"",Assumptions!$B$5+INT((ROW()-2)/Assumptions!$B$7))</x:f>
        <x:v>46376</x:v>
      </x:c>
      <x:c r="B1768" t="str">
        <x:f>IF($A1768="","",INDEX(Assumptions!$D$5:$D$12,MOD(ROW()-2,Assumptions!$B$7)+1))</x:f>
        <x:v>LV-426 North</x:v>
      </x:c>
      <x:c r="C1768" s="11" t="n">
        <x:f>IF($A1768="","",INDEX(Assumptions!$F$5:$F$12,MATCH($B1768,Assumptions!$D$5:$D$12,0)))</x:f>
        <x:v>930</x:v>
      </x:c>
      <x:c r="D1768" s="11" t="n">
        <x:f>IF($A1768="","",INDEX(Assumptions!$G$5:$G$12,MATCH($B1768,Assumptions!$D$5:$D$12,0)))</x:f>
        <x:v>95</x:v>
      </x:c>
      <x:c r="E1768" s="11" t="n">
        <x:f>IF($A1768="","",INDEX(Assumptions!$M$5:$M$11,WEEKDAY($A1768,2)))</x:f>
        <x:v>0.87</x:v>
      </x:c>
      <x:c r="F1768" s="11" t="n">
        <x:f>IF($A1768="","",Assumptions!$B$15)</x:f>
        <x:v>0.35</x:v>
      </x:c>
      <x:c r="G1768" s="11" t="n">
        <x:f>IF($A1768="","",MAX(INDEX(Assumptions!$H$5:$H$12,MATCH($B1768,Assumptions!$D$5:$D$12,0)),MIN(INDEX(Assumptions!$I$5:$I$12,MATCH($B1768,Assumptions!$D$5:$D$12,0)),($C1768+$D1768*SQRT(-2*LN(RAND()))*COS(2*PI()*RAND()))*$E1768*$J1768*$K1768)))</x:f>
        <x:v>811.5174587938131</x:v>
      </x:c>
      <x:c r="H1768" s="11" t="n">
        <x:f>IF($A1768="","",$G1768*$F1768+$C1768*(1-$F1768))</x:f>
        <x:v>888.5311105778346</x:v>
      </x:c>
      <x:c r="I1768" s="11" t="n">
        <x:f>IF($A1768="","",AVERAGE($H1768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928.5134922369344</x:v>
      </x:c>
      <x:c r="J1768" s="12" t="n">
        <x:f>IF($A1768="","",1+SUMIFS(Assumptions!$S$5:$S$10,Assumptions!$P$5:$P$10,$B1768,Assumptions!$Q$5:$Q$10,"&lt;="&amp;$A1768,Assumptions!$R$5:$R$10,"&gt;="&amp;$A1768))</x:f>
        <x:v>1</x:v>
      </x:c>
      <x:c r="K1768" s="12" t="n">
        <x:f>IF($A1768="","",1+((($A1768-Assumptions!$B$5)/30)*INDEX(Assumptions!$J$5:$J$12,MATCH($B1768,Assumptions!$D$5:$D$12,0))))</x:f>
        <x:v>0.9882333333333333</x:v>
      </x:c>
      <x:c r="L1768" t="str">
        <x:f>IF($A1768="","",IFERROR(INDEX(Assumptions!$O$5:$O$10,MATCH(1,(Assumptions!$P$5:$P$10=$B1768)*(Assumptions!$Q$5:$Q$10&lt;=$A1768)*(Assumptions!$R$5:$R$10&gt;=$A1768),0)),""))</x:f>
      </x:c>
      <x:c r="M1768" t="n">
        <x:f>--($A1768&lt;&gt;"")</x:f>
        <x:v>1</x:v>
      </x:c>
    </x:row>
    <x:row r="1769">
      <x:c r="A1769" s="10" t="n">
        <x:f>IF(Assumptions!$B$5+INT((ROW()-2)/Assumptions!$B$7)&gt;Assumptions!$B$6,"",Assumptions!$B$5+INT((ROW()-2)/Assumptions!$B$7))</x:f>
        <x:v>46376</x:v>
      </x:c>
      <x:c r="B1769" t="str">
        <x:f>IF($A1769="","",INDEX(Assumptions!$D$5:$D$12,MOD(ROW()-2,Assumptions!$B$7)+1))</x:f>
        <x:v>Nostromo Deep</x:v>
      </x:c>
      <x:c r="C1769" s="11" t="n">
        <x:f>IF($A1769="","",INDEX(Assumptions!$F$5:$F$12,MATCH($B1769,Assumptions!$D$5:$D$12,0)))</x:f>
        <x:v>1260</x:v>
      </x:c>
      <x:c r="D1769" s="11" t="n">
        <x:f>IF($A1769="","",INDEX(Assumptions!$G$5:$G$12,MATCH($B1769,Assumptions!$D$5:$D$12,0)))</x:f>
        <x:v>145</x:v>
      </x:c>
      <x:c r="E1769" s="11" t="n">
        <x:f>IF($A1769="","",INDEX(Assumptions!$M$5:$M$11,WEEKDAY($A1769,2)))</x:f>
        <x:v>0.87</x:v>
      </x:c>
      <x:c r="F1769" s="11" t="n">
        <x:f>IF($A1769="","",Assumptions!$B$15)</x:f>
        <x:v>0.35</x:v>
      </x:c>
      <x:c r="G1769" s="11" t="n">
        <x:f>IF($A1769="","",MAX(INDEX(Assumptions!$H$5:$H$12,MATCH($B1769,Assumptions!$D$5:$D$12,0)),MIN(INDEX(Assumptions!$I$5:$I$12,MATCH($B1769,Assumptions!$D$5:$D$12,0)),($C1769+$D1769*SQRT(-2*LN(RAND()))*COS(2*PI()*RAND()))*$E1769*$J1769*$K1769)))</x:f>
        <x:v>1024.7602852965026</x:v>
      </x:c>
      <x:c r="H1769" s="11" t="n">
        <x:f>IF($A1769="","",$G1769*$F1769+$C1769*(1-$F1769))</x:f>
        <x:v>1177.666099853776</x:v>
      </x:c>
      <x:c r="I1769" s="11" t="n">
        <x:f>IF($A1769="","",AVERAGE($H1769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1242.423071945376</x:v>
      </x:c>
      <x:c r="J1769" s="12" t="n">
        <x:f>IF($A1769="","",1+SUMIFS(Assumptions!$S$5:$S$10,Assumptions!$P$5:$P$10,$B1769,Assumptions!$Q$5:$Q$10,"&lt;="&amp;$A1769,Assumptions!$R$5:$R$10,"&gt;="&amp;$A1769))</x:f>
        <x:v>1</x:v>
      </x:c>
      <x:c r="K1769" s="12" t="n">
        <x:f>IF($A1769="","",1+((($A1769-Assumptions!$B$5)/30)*INDEX(Assumptions!$J$5:$J$12,MATCH($B1769,Assumptions!$D$5:$D$12,0))))</x:f>
        <x:v>1.0353</x:v>
      </x:c>
      <x:c r="L1769" t="str">
        <x:f>IF($A1769="","",IFERROR(INDEX(Assumptions!$O$5:$O$10,MATCH(1,(Assumptions!$P$5:$P$10=$B1769)*(Assumptions!$Q$5:$Q$10&lt;=$A1769)*(Assumptions!$R$5:$R$10&gt;=$A1769),0)),""))</x:f>
      </x:c>
      <x:c r="M1769" t="n">
        <x:f>--($A1769&lt;&gt;"")</x:f>
        <x:v>1</x:v>
      </x:c>
    </x:row>
    <x:row r="1770">
      <x:c r="A1770" s="10" t="n">
        <x:f>IF(Assumptions!$B$5+INT((ROW()-2)/Assumptions!$B$7)&gt;Assumptions!$B$6,"",Assumptions!$B$5+INT((ROW()-2)/Assumptions!$B$7))</x:f>
        <x:v>46376</x:v>
      </x:c>
      <x:c r="B1770" t="str">
        <x:f>IF($A1770="","",INDEX(Assumptions!$D$5:$D$12,MOD(ROW()-2,Assumptions!$B$7)+1))</x:f>
        <x:v>Hadley's Hope</x:v>
      </x:c>
      <x:c r="C1770" s="11" t="n">
        <x:f>IF($A1770="","",INDEX(Assumptions!$F$5:$F$12,MATCH($B1770,Assumptions!$D$5:$D$12,0)))</x:f>
        <x:v>845</x:v>
      </x:c>
      <x:c r="D1770" s="11" t="n">
        <x:f>IF($A1770="","",INDEX(Assumptions!$G$5:$G$12,MATCH($B1770,Assumptions!$D$5:$D$12,0)))</x:f>
        <x:v>80</x:v>
      </x:c>
      <x:c r="E1770" s="11" t="n">
        <x:f>IF($A1770="","",INDEX(Assumptions!$M$5:$M$11,WEEKDAY($A1770,2)))</x:f>
        <x:v>0.87</x:v>
      </x:c>
      <x:c r="F1770" s="11" t="n">
        <x:f>IF($A1770="","",Assumptions!$B$15)</x:f>
        <x:v>0.35</x:v>
      </x:c>
      <x:c r="G1770" s="11" t="n">
        <x:f>IF($A1770="","",MAX(INDEX(Assumptions!$H$5:$H$12,MATCH($B1770,Assumptions!$D$5:$D$12,0)),MIN(INDEX(Assumptions!$I$5:$I$12,MATCH($B1770,Assumptions!$D$5:$D$12,0)),($C1770+$D1770*SQRT(-2*LN(RAND()))*COS(2*PI()*RAND()))*$E1770*$J1770*$K1770)))</x:f>
        <x:v>879.3561001638948</x:v>
      </x:c>
      <x:c r="H1770" s="11" t="n">
        <x:f>IF($A1770="","",$G1770*$F1770+$C1770*(1-$F1770))</x:f>
        <x:v>857.0246350573632</x:v>
      </x:c>
      <x:c r="I1770" s="11" t="n">
        <x:f>IF($A1770="","",AVERAGE($H1770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833.2690153351692</x:v>
      </x:c>
      <x:c r="J1770" s="12" t="n">
        <x:f>IF($A1770="","",1+SUMIFS(Assumptions!$S$5:$S$10,Assumptions!$P$5:$P$10,$B1770,Assumptions!$Q$5:$Q$10,"&lt;="&amp;$A1770,Assumptions!$R$5:$R$10,"&gt;="&amp;$A1770))</x:f>
        <x:v>1</x:v>
      </x:c>
      <x:c r="K1770" s="12" t="n">
        <x:f>IF($A1770="","",1+((($A1770-Assumptions!$B$5)/30)*INDEX(Assumptions!$J$5:$J$12,MATCH($B1770,Assumptions!$D$5:$D$12,0))))</x:f>
        <x:v>1.0117666666666667</x:v>
      </x:c>
      <x:c r="L1770" t="str">
        <x:f>IF($A1770="","",IFERROR(INDEX(Assumptions!$O$5:$O$10,MATCH(1,(Assumptions!$P$5:$P$10=$B1770)*(Assumptions!$Q$5:$Q$10&lt;=$A1770)*(Assumptions!$R$5:$R$10&gt;=$A1770),0)),""))</x:f>
      </x:c>
      <x:c r="M1770" t="n">
        <x:f>--($A1770&lt;&gt;"")</x:f>
        <x:v>1</x:v>
      </x:c>
    </x:row>
    <x:row r="1771">
      <x:c r="A1771" s="10" t="n">
        <x:f>IF(Assumptions!$B$5+INT((ROW()-2)/Assumptions!$B$7)&gt;Assumptions!$B$6,"",Assumptions!$B$5+INT((ROW()-2)/Assumptions!$B$7))</x:f>
        <x:v>46376</x:v>
      </x:c>
      <x:c r="B1771" t="str">
        <x:f>IF($A1771="","",INDEX(Assumptions!$D$5:$D$12,MOD(ROW()-2,Assumptions!$B$7)+1))</x:f>
        <x:v>Yutani Ridge</x:v>
      </x:c>
      <x:c r="C1771" s="11" t="n">
        <x:f>IF($A1771="","",INDEX(Assumptions!$F$5:$F$12,MATCH($B1771,Assumptions!$D$5:$D$12,0)))</x:f>
        <x:v>1050</x:v>
      </x:c>
      <x:c r="D1771" s="11" t="n">
        <x:f>IF($A1771="","",INDEX(Assumptions!$G$5:$G$12,MATCH($B1771,Assumptions!$D$5:$D$12,0)))</x:f>
        <x:v>125</x:v>
      </x:c>
      <x:c r="E1771" s="11" t="n">
        <x:f>IF($A1771="","",INDEX(Assumptions!$M$5:$M$11,WEEKDAY($A1771,2)))</x:f>
        <x:v>0.87</x:v>
      </x:c>
      <x:c r="F1771" s="11" t="n">
        <x:f>IF($A1771="","",Assumptions!$B$15)</x:f>
        <x:v>0.35</x:v>
      </x:c>
      <x:c r="G1771" s="11" t="n">
        <x:f>IF($A1771="","",MAX(INDEX(Assumptions!$H$5:$H$12,MATCH($B1771,Assumptions!$D$5:$D$12,0)),MIN(INDEX(Assumptions!$I$5:$I$12,MATCH($B1771,Assumptions!$D$5:$D$12,0)),($C1771+$D1771*SQRT(-2*LN(RAND()))*COS(2*PI()*RAND()))*$E1771*$J1771*$K1771)))</x:f>
        <x:v>920.5870097441475</x:v>
      </x:c>
      <x:c r="H1771" s="11" t="n">
        <x:f>IF($A1771="","",$G1771*$F1771+$C1771*(1-$F1771))</x:f>
        <x:v>1004.7054534104516</x:v>
      </x:c>
      <x:c r="I1771" s="11" t="n">
        <x:f>IF($A1771="","",AVERAGE($H1771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1066.652644406576</x:v>
      </x:c>
      <x:c r="J1771" s="12" t="n">
        <x:f>IF($A1771="","",1+SUMIFS(Assumptions!$S$5:$S$10,Assumptions!$P$5:$P$10,$B1771,Assumptions!$Q$5:$Q$10,"&lt;="&amp;$A1771,Assumptions!$R$5:$R$10,"&gt;="&amp;$A1771))</x:f>
        <x:v>1</x:v>
      </x:c>
      <x:c r="K1771" s="12" t="n">
        <x:f>IF($A1771="","",1+((($A1771-Assumptions!$B$5)/30)*INDEX(Assumptions!$J$5:$J$12,MATCH($B1771,Assumptions!$D$5:$D$12,0))))</x:f>
        <x:v>1.0294166666666666</x:v>
      </x:c>
      <x:c r="L1771" t="str">
        <x:f>IF($A1771="","",IFERROR(INDEX(Assumptions!$O$5:$O$10,MATCH(1,(Assumptions!$P$5:$P$10=$B1771)*(Assumptions!$Q$5:$Q$10&lt;=$A1771)*(Assumptions!$R$5:$R$10&gt;=$A1771),0)),""))</x:f>
      </x:c>
      <x:c r="M1771" t="n">
        <x:f>--($A1771&lt;&gt;"")</x:f>
        <x:v>1</x:v>
      </x:c>
    </x:row>
    <x:row r="1772">
      <x:c r="A1772" s="10" t="n">
        <x:f>IF(Assumptions!$B$5+INT((ROW()-2)/Assumptions!$B$7)&gt;Assumptions!$B$6,"",Assumptions!$B$5+INT((ROW()-2)/Assumptions!$B$7))</x:f>
        <x:v>46377</x:v>
      </x:c>
      <x:c r="B1772" t="str">
        <x:f>IF($A1772="","",INDEX(Assumptions!$D$5:$D$12,MOD(ROW()-2,Assumptions!$B$7)+1))</x:f>
        <x:v>Acheron Prime</x:v>
      </x:c>
      <x:c r="C1772" s="11" t="n">
        <x:f>IF($A1772="","",INDEX(Assumptions!$F$5:$F$12,MATCH($B1772,Assumptions!$D$5:$D$12,0)))</x:f>
        <x:v>1120</x:v>
      </x:c>
      <x:c r="D1772" s="11" t="n">
        <x:f>IF($A1772="","",INDEX(Assumptions!$G$5:$G$12,MATCH($B1772,Assumptions!$D$5:$D$12,0)))</x:f>
        <x:v>115</x:v>
      </x:c>
      <x:c r="E1772" s="11" t="n">
        <x:f>IF($A1772="","",INDEX(Assumptions!$M$5:$M$11,WEEKDAY($A1772,2)))</x:f>
        <x:v>1.03</x:v>
      </x:c>
      <x:c r="F1772" s="11" t="n">
        <x:f>IF($A1772="","",Assumptions!$B$15)</x:f>
        <x:v>0.35</x:v>
      </x:c>
      <x:c r="G1772" s="11" t="n">
        <x:f>IF($A1772="","",MAX(INDEX(Assumptions!$H$5:$H$12,MATCH($B1772,Assumptions!$D$5:$D$12,0)),MIN(INDEX(Assumptions!$I$5:$I$12,MATCH($B1772,Assumptions!$D$5:$D$12,0)),($C1772+$D1772*SQRT(-2*LN(RAND()))*COS(2*PI()*RAND()))*$E1772*$J1772*$K1772)))</x:f>
        <x:v>1219.4538139342515</x:v>
      </x:c>
      <x:c r="H1772" s="11" t="n">
        <x:f>IF($A1772="","",$G1772*$F1772+$C1772*(1-$F1772))</x:f>
        <x:v>1154.808834876988</x:v>
      </x:c>
      <x:c r="I1772" s="11" t="n">
        <x:f>IF($A1772="","",AVERAGE($H1772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1084.9058718733213</x:v>
      </x:c>
      <x:c r="J1772" s="12" t="n">
        <x:f>IF($A1772="","",1+SUMIFS(Assumptions!$S$5:$S$10,Assumptions!$P$5:$P$10,$B1772,Assumptions!$Q$5:$Q$10,"&lt;="&amp;$A1772,Assumptions!$R$5:$R$10,"&gt;="&amp;$A1772))</x:f>
        <x:v>1</x:v>
      </x:c>
      <x:c r="K1772" s="12" t="n">
        <x:f>IF($A1772="","",1+((($A1772-Assumptions!$B$5)/30)*INDEX(Assumptions!$J$5:$J$12,MATCH($B1772,Assumptions!$D$5:$D$12,0))))</x:f>
        <x:v>1.0236</x:v>
      </x:c>
      <x:c r="L1772" t="str">
        <x:f>IF($A1772="","",IFERROR(INDEX(Assumptions!$O$5:$O$10,MATCH(1,(Assumptions!$P$5:$P$10=$B1772)*(Assumptions!$Q$5:$Q$10&lt;=$A1772)*(Assumptions!$R$5:$R$10&gt;=$A1772),0)),""))</x:f>
      </x:c>
      <x:c r="M1772" t="n">
        <x:f>--($A1772&lt;&gt;"")</x:f>
        <x:v>1</x:v>
      </x:c>
    </x:row>
    <x:row r="1773">
      <x:c r="A1773" s="10" t="n">
        <x:f>IF(Assumptions!$B$5+INT((ROW()-2)/Assumptions!$B$7)&gt;Assumptions!$B$6,"",Assumptions!$B$5+INT((ROW()-2)/Assumptions!$B$7))</x:f>
        <x:v>46377</x:v>
      </x:c>
      <x:c r="B1773" t="str">
        <x:f>IF($A1773="","",INDEX(Assumptions!$D$5:$D$12,MOD(ROW()-2,Assumptions!$B$7)+1))</x:f>
        <x:v>LV-426 North</x:v>
      </x:c>
      <x:c r="C1773" s="11" t="n">
        <x:f>IF($A1773="","",INDEX(Assumptions!$F$5:$F$12,MATCH($B1773,Assumptions!$D$5:$D$12,0)))</x:f>
        <x:v>930</x:v>
      </x:c>
      <x:c r="D1773" s="11" t="n">
        <x:f>IF($A1773="","",INDEX(Assumptions!$G$5:$G$12,MATCH($B1773,Assumptions!$D$5:$D$12,0)))</x:f>
        <x:v>95</x:v>
      </x:c>
      <x:c r="E1773" s="11" t="n">
        <x:f>IF($A1773="","",INDEX(Assumptions!$M$5:$M$11,WEEKDAY($A1773,2)))</x:f>
        <x:v>1.03</x:v>
      </x:c>
      <x:c r="F1773" s="11" t="n">
        <x:f>IF($A1773="","",Assumptions!$B$15)</x:f>
        <x:v>0.35</x:v>
      </x:c>
      <x:c r="G1773" s="11" t="n">
        <x:f>IF($A1773="","",MAX(INDEX(Assumptions!$H$5:$H$12,MATCH($B1773,Assumptions!$D$5:$D$12,0)),MIN(INDEX(Assumptions!$I$5:$I$12,MATCH($B1773,Assumptions!$D$5:$D$12,0)),($C1773+$D1773*SQRT(-2*LN(RAND()))*COS(2*PI()*RAND()))*$E1773*$J1773*$K1773)))</x:f>
        <x:v>1047.702524356051</x:v>
      </x:c>
      <x:c r="H1773" s="11" t="n">
        <x:f>IF($A1773="","",$G1773*$F1773+$C1773*(1-$F1773))</x:f>
        <x:v>971.1958835246178</x:v>
      </x:c>
      <x:c r="I1773" s="11" t="n">
        <x:f>IF($A1773="","",AVERAGE($H1773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929.6061406007005</x:v>
      </x:c>
      <x:c r="J1773" s="12" t="n">
        <x:f>IF($A1773="","",1+SUMIFS(Assumptions!$S$5:$S$10,Assumptions!$P$5:$P$10,$B1773,Assumptions!$Q$5:$Q$10,"&lt;="&amp;$A1773,Assumptions!$R$5:$R$10,"&gt;="&amp;$A1773))</x:f>
        <x:v>1</x:v>
      </x:c>
      <x:c r="K1773" s="12" t="n">
        <x:f>IF($A1773="","",1+((($A1773-Assumptions!$B$5)/30)*INDEX(Assumptions!$J$5:$J$12,MATCH($B1773,Assumptions!$D$5:$D$12,0))))</x:f>
        <x:v>0.9882</x:v>
      </x:c>
      <x:c r="L1773" t="str">
        <x:f>IF($A1773="","",IFERROR(INDEX(Assumptions!$O$5:$O$10,MATCH(1,(Assumptions!$P$5:$P$10=$B1773)*(Assumptions!$Q$5:$Q$10&lt;=$A1773)*(Assumptions!$R$5:$R$10&gt;=$A1773),0)),""))</x:f>
      </x:c>
      <x:c r="M1773" t="n">
        <x:f>--($A1773&lt;&gt;"")</x:f>
        <x:v>1</x:v>
      </x:c>
    </x:row>
    <x:row r="1774">
      <x:c r="A1774" s="10" t="n">
        <x:f>IF(Assumptions!$B$5+INT((ROW()-2)/Assumptions!$B$7)&gt;Assumptions!$B$6,"",Assumptions!$B$5+INT((ROW()-2)/Assumptions!$B$7))</x:f>
        <x:v>46377</x:v>
      </x:c>
      <x:c r="B1774" t="str">
        <x:f>IF($A1774="","",INDEX(Assumptions!$D$5:$D$12,MOD(ROW()-2,Assumptions!$B$7)+1))</x:f>
        <x:v>Nostromo Deep</x:v>
      </x:c>
      <x:c r="C1774" s="11" t="n">
        <x:f>IF($A1774="","",INDEX(Assumptions!$F$5:$F$12,MATCH($B1774,Assumptions!$D$5:$D$12,0)))</x:f>
        <x:v>1260</x:v>
      </x:c>
      <x:c r="D1774" s="11" t="n">
        <x:f>IF($A1774="","",INDEX(Assumptions!$G$5:$G$12,MATCH($B1774,Assumptions!$D$5:$D$12,0)))</x:f>
        <x:v>145</x:v>
      </x:c>
      <x:c r="E1774" s="11" t="n">
        <x:f>IF($A1774="","",INDEX(Assumptions!$M$5:$M$11,WEEKDAY($A1774,2)))</x:f>
        <x:v>1.03</x:v>
      </x:c>
      <x:c r="F1774" s="11" t="n">
        <x:f>IF($A1774="","",Assumptions!$B$15)</x:f>
        <x:v>0.35</x:v>
      </x:c>
      <x:c r="G1774" s="11" t="n">
        <x:f>IF($A1774="","",MAX(INDEX(Assumptions!$H$5:$H$12,MATCH($B1774,Assumptions!$D$5:$D$12,0)),MIN(INDEX(Assumptions!$I$5:$I$12,MATCH($B1774,Assumptions!$D$5:$D$12,0)),($C1774+$D1774*SQRT(-2*LN(RAND()))*COS(2*PI()*RAND()))*$E1774*$J1774*$K1774)))</x:f>
        <x:v>1641.3021572396829</x:v>
      </x:c>
      <x:c r="H1774" s="11" t="n">
        <x:f>IF($A1774="","",$G1774*$F1774+$C1774*(1-$F1774))</x:f>
        <x:v>1393.455755033889</x:v>
      </x:c>
      <x:c r="I1774" s="11" t="n">
        <x:f>IF($A1774="","",AVERAGE($H1774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1266.8330456479923</x:v>
      </x:c>
      <x:c r="J1774" s="12" t="n">
        <x:f>IF($A1774="","",1+SUMIFS(Assumptions!$S$5:$S$10,Assumptions!$P$5:$P$10,$B1774,Assumptions!$Q$5:$Q$10,"&lt;="&amp;$A1774,Assumptions!$R$5:$R$10,"&gt;="&amp;$A1774))</x:f>
        <x:v>1</x:v>
      </x:c>
      <x:c r="K1774" s="12" t="n">
        <x:f>IF($A1774="","",1+((($A1774-Assumptions!$B$5)/30)*INDEX(Assumptions!$J$5:$J$12,MATCH($B1774,Assumptions!$D$5:$D$12,0))))</x:f>
        <x:v>1.0354</x:v>
      </x:c>
      <x:c r="L1774" t="str">
        <x:f>IF($A1774="","",IFERROR(INDEX(Assumptions!$O$5:$O$10,MATCH(1,(Assumptions!$P$5:$P$10=$B1774)*(Assumptions!$Q$5:$Q$10&lt;=$A1774)*(Assumptions!$R$5:$R$10&gt;=$A1774),0)),""))</x:f>
      </x:c>
      <x:c r="M1774" t="n">
        <x:f>--($A1774&lt;&gt;"")</x:f>
        <x:v>1</x:v>
      </x:c>
    </x:row>
    <x:row r="1775">
      <x:c r="A1775" s="10" t="n">
        <x:f>IF(Assumptions!$B$5+INT((ROW()-2)/Assumptions!$B$7)&gt;Assumptions!$B$6,"",Assumptions!$B$5+INT((ROW()-2)/Assumptions!$B$7))</x:f>
        <x:v>46377</x:v>
      </x:c>
      <x:c r="B1775" t="str">
        <x:f>IF($A1775="","",INDEX(Assumptions!$D$5:$D$12,MOD(ROW()-2,Assumptions!$B$7)+1))</x:f>
        <x:v>Hadley's Hope</x:v>
      </x:c>
      <x:c r="C1775" s="11" t="n">
        <x:f>IF($A1775="","",INDEX(Assumptions!$F$5:$F$12,MATCH($B1775,Assumptions!$D$5:$D$12,0)))</x:f>
        <x:v>845</x:v>
      </x:c>
      <x:c r="D1775" s="11" t="n">
        <x:f>IF($A1775="","",INDEX(Assumptions!$G$5:$G$12,MATCH($B1775,Assumptions!$D$5:$D$12,0)))</x:f>
        <x:v>80</x:v>
      </x:c>
      <x:c r="E1775" s="11" t="n">
        <x:f>IF($A1775="","",INDEX(Assumptions!$M$5:$M$11,WEEKDAY($A1775,2)))</x:f>
        <x:v>1.03</x:v>
      </x:c>
      <x:c r="F1775" s="11" t="n">
        <x:f>IF($A1775="","",Assumptions!$B$15)</x:f>
        <x:v>0.35</x:v>
      </x:c>
      <x:c r="G1775" s="11" t="n">
        <x:f>IF($A1775="","",MAX(INDEX(Assumptions!$H$5:$H$12,MATCH($B1775,Assumptions!$D$5:$D$12,0)),MIN(INDEX(Assumptions!$I$5:$I$12,MATCH($B1775,Assumptions!$D$5:$D$12,0)),($C1775+$D1775*SQRT(-2*LN(RAND()))*COS(2*PI()*RAND()))*$E1775*$J1775*$K1775)))</x:f>
        <x:v>944.8500304895642</x:v>
      </x:c>
      <x:c r="H1775" s="11" t="n">
        <x:f>IF($A1775="","",$G1775*$F1775+$C1775*(1-$F1775))</x:f>
        <x:v>879.9475106713475</x:v>
      </x:c>
      <x:c r="I1775" s="11" t="n">
        <x:f>IF($A1775="","",AVERAGE($H1775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836.4163748931891</x:v>
      </x:c>
      <x:c r="J1775" s="12" t="n">
        <x:f>IF($A1775="","",1+SUMIFS(Assumptions!$S$5:$S$10,Assumptions!$P$5:$P$10,$B1775,Assumptions!$Q$5:$Q$10,"&lt;="&amp;$A1775,Assumptions!$R$5:$R$10,"&gt;="&amp;$A1775))</x:f>
        <x:v>1</x:v>
      </x:c>
      <x:c r="K1775" s="12" t="n">
        <x:f>IF($A1775="","",1+((($A1775-Assumptions!$B$5)/30)*INDEX(Assumptions!$J$5:$J$12,MATCH($B1775,Assumptions!$D$5:$D$12,0))))</x:f>
        <x:v>1.0118</x:v>
      </x:c>
      <x:c r="L1775" t="str">
        <x:f>IF($A1775="","",IFERROR(INDEX(Assumptions!$O$5:$O$10,MATCH(1,(Assumptions!$P$5:$P$10=$B1775)*(Assumptions!$Q$5:$Q$10&lt;=$A1775)*(Assumptions!$R$5:$R$10&gt;=$A1775),0)),""))</x:f>
      </x:c>
      <x:c r="M1775" t="n">
        <x:f>--($A1775&lt;&gt;"")</x:f>
        <x:v>1</x:v>
      </x:c>
    </x:row>
    <x:row r="1776">
      <x:c r="A1776" s="10" t="n">
        <x:f>IF(Assumptions!$B$5+INT((ROW()-2)/Assumptions!$B$7)&gt;Assumptions!$B$6,"",Assumptions!$B$5+INT((ROW()-2)/Assumptions!$B$7))</x:f>
        <x:v>46377</x:v>
      </x:c>
      <x:c r="B1776" t="str">
        <x:f>IF($A1776="","",INDEX(Assumptions!$D$5:$D$12,MOD(ROW()-2,Assumptions!$B$7)+1))</x:f>
        <x:v>Yutani Ridge</x:v>
      </x:c>
      <x:c r="C1776" s="11" t="n">
        <x:f>IF($A1776="","",INDEX(Assumptions!$F$5:$F$12,MATCH($B1776,Assumptions!$D$5:$D$12,0)))</x:f>
        <x:v>1050</x:v>
      </x:c>
      <x:c r="D1776" s="11" t="n">
        <x:f>IF($A1776="","",INDEX(Assumptions!$G$5:$G$12,MATCH($B1776,Assumptions!$D$5:$D$12,0)))</x:f>
        <x:v>125</x:v>
      </x:c>
      <x:c r="E1776" s="11" t="n">
        <x:f>IF($A1776="","",INDEX(Assumptions!$M$5:$M$11,WEEKDAY($A1776,2)))</x:f>
        <x:v>1.03</x:v>
      </x:c>
      <x:c r="F1776" s="11" t="n">
        <x:f>IF($A1776="","",Assumptions!$B$15)</x:f>
        <x:v>0.35</x:v>
      </x:c>
      <x:c r="G1776" s="11" t="n">
        <x:f>IF($A1776="","",MAX(INDEX(Assumptions!$H$5:$H$12,MATCH($B1776,Assumptions!$D$5:$D$12,0)),MIN(INDEX(Assumptions!$I$5:$I$12,MATCH($B1776,Assumptions!$D$5:$D$12,0)),($C1776+$D1776*SQRT(-2*LN(RAND()))*COS(2*PI()*RAND()))*$E1776*$J1776*$K1776)))</x:f>
        <x:v>948.7867980407088</x:v>
      </x:c>
      <x:c r="H1776" s="11" t="n">
        <x:f>IF($A1776="","",$G1776*$F1776+$C1776*(1-$F1776))</x:f>
        <x:v>1014.575379314248</x:v>
      </x:c>
      <x:c r="I1776" s="11" t="n">
        <x:f>IF($A1776="","",AVERAGE($H1776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1074.1470073010357</x:v>
      </x:c>
      <x:c r="J1776" s="12" t="n">
        <x:f>IF($A1776="","",1+SUMIFS(Assumptions!$S$5:$S$10,Assumptions!$P$5:$P$10,$B1776,Assumptions!$Q$5:$Q$10,"&lt;="&amp;$A1776,Assumptions!$R$5:$R$10,"&gt;="&amp;$A1776))</x:f>
        <x:v>1</x:v>
      </x:c>
      <x:c r="K1776" s="12" t="n">
        <x:f>IF($A1776="","",1+((($A1776-Assumptions!$B$5)/30)*INDEX(Assumptions!$J$5:$J$12,MATCH($B1776,Assumptions!$D$5:$D$12,0))))</x:f>
        <x:v>1.0295</x:v>
      </x:c>
      <x:c r="L1776" t="str">
        <x:f>IF($A1776="","",IFERROR(INDEX(Assumptions!$O$5:$O$10,MATCH(1,(Assumptions!$P$5:$P$10=$B1776)*(Assumptions!$Q$5:$Q$10&lt;=$A1776)*(Assumptions!$R$5:$R$10&gt;=$A1776),0)),""))</x:f>
      </x:c>
      <x:c r="M1776" t="n">
        <x:f>--($A1776&lt;&gt;"")</x:f>
        <x:v>1</x:v>
      </x:c>
    </x:row>
    <x:row r="1777">
      <x:c r="A1777" s="10" t="n">
        <x:f>IF(Assumptions!$B$5+INT((ROW()-2)/Assumptions!$B$7)&gt;Assumptions!$B$6,"",Assumptions!$B$5+INT((ROW()-2)/Assumptions!$B$7))</x:f>
        <x:v>46378</x:v>
      </x:c>
      <x:c r="B1777" t="str">
        <x:f>IF($A1777="","",INDEX(Assumptions!$D$5:$D$12,MOD(ROW()-2,Assumptions!$B$7)+1))</x:f>
        <x:v>Acheron Prime</x:v>
      </x:c>
      <x:c r="C1777" s="11" t="n">
        <x:f>IF($A1777="","",INDEX(Assumptions!$F$5:$F$12,MATCH($B1777,Assumptions!$D$5:$D$12,0)))</x:f>
        <x:v>1120</x:v>
      </x:c>
      <x:c r="D1777" s="11" t="n">
        <x:f>IF($A1777="","",INDEX(Assumptions!$G$5:$G$12,MATCH($B1777,Assumptions!$D$5:$D$12,0)))</x:f>
        <x:v>115</x:v>
      </x:c>
      <x:c r="E1777" s="11" t="n">
        <x:f>IF($A1777="","",INDEX(Assumptions!$M$5:$M$11,WEEKDAY($A1777,2)))</x:f>
        <x:v>1.02</x:v>
      </x:c>
      <x:c r="F1777" s="11" t="n">
        <x:f>IF($A1777="","",Assumptions!$B$15)</x:f>
        <x:v>0.35</x:v>
      </x:c>
      <x:c r="G1777" s="11" t="n">
        <x:f>IF($A1777="","",MAX(INDEX(Assumptions!$H$5:$H$12,MATCH($B1777,Assumptions!$D$5:$D$12,0)),MIN(INDEX(Assumptions!$I$5:$I$12,MATCH($B1777,Assumptions!$D$5:$D$12,0)),($C1777+$D1777*SQRT(-2*LN(RAND()))*COS(2*PI()*RAND()))*$E1777*$J1777*$K1777)))</x:f>
        <x:v>1336.5997304873538</x:v>
      </x:c>
      <x:c r="H1777" s="11" t="n">
        <x:f>IF($A1777="","",$G1777*$F1777+$C1777*(1-$F1777))</x:f>
        <x:v>1195.8099056705737</x:v>
      </x:c>
      <x:c r="I1777" s="11" t="n">
        <x:f>IF($A1777="","",AVERAGE($H1777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1102.4944993497372</x:v>
      </x:c>
      <x:c r="J1777" s="12" t="n">
        <x:f>IF($A1777="","",1+SUMIFS(Assumptions!$S$5:$S$10,Assumptions!$P$5:$P$10,$B1777,Assumptions!$Q$5:$Q$10,"&lt;="&amp;$A1777,Assumptions!$R$5:$R$10,"&gt;="&amp;$A1777))</x:f>
        <x:v>1</x:v>
      </x:c>
      <x:c r="K1777" s="12" t="n">
        <x:f>IF($A1777="","",1+((($A1777-Assumptions!$B$5)/30)*INDEX(Assumptions!$J$5:$J$12,MATCH($B1777,Assumptions!$D$5:$D$12,0))))</x:f>
        <x:v>1.0236666666666667</x:v>
      </x:c>
      <x:c r="L1777" t="str">
        <x:f>IF($A1777="","",IFERROR(INDEX(Assumptions!$O$5:$O$10,MATCH(1,(Assumptions!$P$5:$P$10=$B1777)*(Assumptions!$Q$5:$Q$10&lt;=$A1777)*(Assumptions!$R$5:$R$10&gt;=$A1777),0)),""))</x:f>
      </x:c>
      <x:c r="M1777" t="n">
        <x:f>--($A1777&lt;&gt;"")</x:f>
        <x:v>1</x:v>
      </x:c>
    </x:row>
    <x:row r="1778">
      <x:c r="A1778" s="10" t="n">
        <x:f>IF(Assumptions!$B$5+INT((ROW()-2)/Assumptions!$B$7)&gt;Assumptions!$B$6,"",Assumptions!$B$5+INT((ROW()-2)/Assumptions!$B$7))</x:f>
        <x:v>46378</x:v>
      </x:c>
      <x:c r="B1778" t="str">
        <x:f>IF($A1778="","",INDEX(Assumptions!$D$5:$D$12,MOD(ROW()-2,Assumptions!$B$7)+1))</x:f>
        <x:v>LV-426 North</x:v>
      </x:c>
      <x:c r="C1778" s="11" t="n">
        <x:f>IF($A1778="","",INDEX(Assumptions!$F$5:$F$12,MATCH($B1778,Assumptions!$D$5:$D$12,0)))</x:f>
        <x:v>930</x:v>
      </x:c>
      <x:c r="D1778" s="11" t="n">
        <x:f>IF($A1778="","",INDEX(Assumptions!$G$5:$G$12,MATCH($B1778,Assumptions!$D$5:$D$12,0)))</x:f>
        <x:v>95</x:v>
      </x:c>
      <x:c r="E1778" s="11" t="n">
        <x:f>IF($A1778="","",INDEX(Assumptions!$M$5:$M$11,WEEKDAY($A1778,2)))</x:f>
        <x:v>1.02</x:v>
      </x:c>
      <x:c r="F1778" s="11" t="n">
        <x:f>IF($A1778="","",Assumptions!$B$15)</x:f>
        <x:v>0.35</x:v>
      </x:c>
      <x:c r="G1778" s="11" t="n">
        <x:f>IF($A1778="","",MAX(INDEX(Assumptions!$H$5:$H$12,MATCH($B1778,Assumptions!$D$5:$D$12,0)),MIN(INDEX(Assumptions!$I$5:$I$12,MATCH($B1778,Assumptions!$D$5:$D$12,0)),($C1778+$D1778*SQRT(-2*LN(RAND()))*COS(2*PI()*RAND()))*$E1778*$J1778*$K1778)))</x:f>
        <x:v>759.7901491233604</x:v>
      </x:c>
      <x:c r="H1778" s="11" t="n">
        <x:f>IF($A1778="","",$G1778*$F1778+$C1778*(1-$F1778))</x:f>
        <x:v>870.4265521931761</x:v>
      </x:c>
      <x:c r="I1778" s="11" t="n">
        <x:f>IF($A1778="","",AVERAGE($H1778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915.5621514169704</x:v>
      </x:c>
      <x:c r="J1778" s="12" t="n">
        <x:f>IF($A1778="","",1+SUMIFS(Assumptions!$S$5:$S$10,Assumptions!$P$5:$P$10,$B1778,Assumptions!$Q$5:$Q$10,"&lt;="&amp;$A1778,Assumptions!$R$5:$R$10,"&gt;="&amp;$A1778))</x:f>
        <x:v>1</x:v>
      </x:c>
      <x:c r="K1778" s="12" t="n">
        <x:f>IF($A1778="","",1+((($A1778-Assumptions!$B$5)/30)*INDEX(Assumptions!$J$5:$J$12,MATCH($B1778,Assumptions!$D$5:$D$12,0))))</x:f>
        <x:v>0.9881666666666666</x:v>
      </x:c>
      <x:c r="L1778" t="str">
        <x:f>IF($A1778="","",IFERROR(INDEX(Assumptions!$O$5:$O$10,MATCH(1,(Assumptions!$P$5:$P$10=$B1778)*(Assumptions!$Q$5:$Q$10&lt;=$A1778)*(Assumptions!$R$5:$R$10&gt;=$A1778),0)),""))</x:f>
      </x:c>
      <x:c r="M1778" t="n">
        <x:f>--($A1778&lt;&gt;"")</x:f>
        <x:v>1</x:v>
      </x:c>
    </x:row>
    <x:row r="1779">
      <x:c r="A1779" s="10" t="n">
        <x:f>IF(Assumptions!$B$5+INT((ROW()-2)/Assumptions!$B$7)&gt;Assumptions!$B$6,"",Assumptions!$B$5+INT((ROW()-2)/Assumptions!$B$7))</x:f>
        <x:v>46378</x:v>
      </x:c>
      <x:c r="B1779" t="str">
        <x:f>IF($A1779="","",INDEX(Assumptions!$D$5:$D$12,MOD(ROW()-2,Assumptions!$B$7)+1))</x:f>
        <x:v>Nostromo Deep</x:v>
      </x:c>
      <x:c r="C1779" s="11" t="n">
        <x:f>IF($A1779="","",INDEX(Assumptions!$F$5:$F$12,MATCH($B1779,Assumptions!$D$5:$D$12,0)))</x:f>
        <x:v>1260</x:v>
      </x:c>
      <x:c r="D1779" s="11" t="n">
        <x:f>IF($A1779="","",INDEX(Assumptions!$G$5:$G$12,MATCH($B1779,Assumptions!$D$5:$D$12,0)))</x:f>
        <x:v>145</x:v>
      </x:c>
      <x:c r="E1779" s="11" t="n">
        <x:f>IF($A1779="","",INDEX(Assumptions!$M$5:$M$11,WEEKDAY($A1779,2)))</x:f>
        <x:v>1.02</x:v>
      </x:c>
      <x:c r="F1779" s="11" t="n">
        <x:f>IF($A1779="","",Assumptions!$B$15)</x:f>
        <x:v>0.35</x:v>
      </x:c>
      <x:c r="G1779" s="11" t="n">
        <x:f>IF($A1779="","",MAX(INDEX(Assumptions!$H$5:$H$12,MATCH($B1779,Assumptions!$D$5:$D$12,0)),MIN(INDEX(Assumptions!$I$5:$I$12,MATCH($B1779,Assumptions!$D$5:$D$12,0)),($C1779+$D1779*SQRT(-2*LN(RAND()))*COS(2*PI()*RAND()))*$E1779*$J1779*$K1779)))</x:f>
        <x:v>1287.6045988760939</x:v>
      </x:c>
      <x:c r="H1779" s="11" t="n">
        <x:f>IF($A1779="","",$G1779*$F1779+$C1779*(1-$F1779))</x:f>
        <x:v>1269.6616096066327</x:v>
      </x:c>
      <x:c r="I1779" s="11" t="n">
        <x:f>IF($A1779="","",AVERAGE($H1779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1267.2104247224324</x:v>
      </x:c>
      <x:c r="J1779" s="12" t="n">
        <x:f>IF($A1779="","",1+SUMIFS(Assumptions!$S$5:$S$10,Assumptions!$P$5:$P$10,$B1779,Assumptions!$Q$5:$Q$10,"&lt;="&amp;$A1779,Assumptions!$R$5:$R$10,"&gt;="&amp;$A1779))</x:f>
        <x:v>1</x:v>
      </x:c>
      <x:c r="K1779" s="12" t="n">
        <x:f>IF($A1779="","",1+((($A1779-Assumptions!$B$5)/30)*INDEX(Assumptions!$J$5:$J$12,MATCH($B1779,Assumptions!$D$5:$D$12,0))))</x:f>
        <x:v>1.0355</x:v>
      </x:c>
      <x:c r="L1779" t="str">
        <x:f>IF($A1779="","",IFERROR(INDEX(Assumptions!$O$5:$O$10,MATCH(1,(Assumptions!$P$5:$P$10=$B1779)*(Assumptions!$Q$5:$Q$10&lt;=$A1779)*(Assumptions!$R$5:$R$10&gt;=$A1779),0)),""))</x:f>
      </x:c>
      <x:c r="M1779" t="n">
        <x:f>--($A1779&lt;&gt;"")</x:f>
        <x:v>1</x:v>
      </x:c>
    </x:row>
    <x:row r="1780">
      <x:c r="A1780" s="10" t="n">
        <x:f>IF(Assumptions!$B$5+INT((ROW()-2)/Assumptions!$B$7)&gt;Assumptions!$B$6,"",Assumptions!$B$5+INT((ROW()-2)/Assumptions!$B$7))</x:f>
        <x:v>46378</x:v>
      </x:c>
      <x:c r="B1780" t="str">
        <x:f>IF($A1780="","",INDEX(Assumptions!$D$5:$D$12,MOD(ROW()-2,Assumptions!$B$7)+1))</x:f>
        <x:v>Hadley's Hope</x:v>
      </x:c>
      <x:c r="C1780" s="11" t="n">
        <x:f>IF($A1780="","",INDEX(Assumptions!$F$5:$F$12,MATCH($B1780,Assumptions!$D$5:$D$12,0)))</x:f>
        <x:v>845</x:v>
      </x:c>
      <x:c r="D1780" s="11" t="n">
        <x:f>IF($A1780="","",INDEX(Assumptions!$G$5:$G$12,MATCH($B1780,Assumptions!$D$5:$D$12,0)))</x:f>
        <x:v>80</x:v>
      </x:c>
      <x:c r="E1780" s="11" t="n">
        <x:f>IF($A1780="","",INDEX(Assumptions!$M$5:$M$11,WEEKDAY($A1780,2)))</x:f>
        <x:v>1.02</x:v>
      </x:c>
      <x:c r="F1780" s="11" t="n">
        <x:f>IF($A1780="","",Assumptions!$B$15)</x:f>
        <x:v>0.35</x:v>
      </x:c>
      <x:c r="G1780" s="11" t="n">
        <x:f>IF($A1780="","",MAX(INDEX(Assumptions!$H$5:$H$12,MATCH($B1780,Assumptions!$D$5:$D$12,0)),MIN(INDEX(Assumptions!$I$5:$I$12,MATCH($B1780,Assumptions!$D$5:$D$12,0)),($C1780+$D1780*SQRT(-2*LN(RAND()))*COS(2*PI()*RAND()))*$E1780*$J1780*$K1780)))</x:f>
        <x:v>897.5736797199237</x:v>
      </x:c>
      <x:c r="H1780" s="11" t="n">
        <x:f>IF($A1780="","",$G1780*$F1780+$C1780*(1-$F1780))</x:f>
        <x:v>863.4007879019732</x:v>
      </x:c>
      <x:c r="I1780" s="11" t="n">
        <x:f>IF($A1780="","",AVERAGE($H1780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838.9905465663924</x:v>
      </x:c>
      <x:c r="J1780" s="12" t="n">
        <x:f>IF($A1780="","",1+SUMIFS(Assumptions!$S$5:$S$10,Assumptions!$P$5:$P$10,$B1780,Assumptions!$Q$5:$Q$10,"&lt;="&amp;$A1780,Assumptions!$R$5:$R$10,"&gt;="&amp;$A1780))</x:f>
        <x:v>1</x:v>
      </x:c>
      <x:c r="K1780" s="12" t="n">
        <x:f>IF($A1780="","",1+((($A1780-Assumptions!$B$5)/30)*INDEX(Assumptions!$J$5:$J$12,MATCH($B1780,Assumptions!$D$5:$D$12,0))))</x:f>
        <x:v>1.0118333333333334</x:v>
      </x:c>
      <x:c r="L1780" t="str">
        <x:f>IF($A1780="","",IFERROR(INDEX(Assumptions!$O$5:$O$10,MATCH(1,(Assumptions!$P$5:$P$10=$B1780)*(Assumptions!$Q$5:$Q$10&lt;=$A1780)*(Assumptions!$R$5:$R$10&gt;=$A1780),0)),""))</x:f>
      </x:c>
      <x:c r="M1780" t="n">
        <x:f>--($A1780&lt;&gt;"")</x:f>
        <x:v>1</x:v>
      </x:c>
    </x:row>
    <x:row r="1781">
      <x:c r="A1781" s="10" t="n">
        <x:f>IF(Assumptions!$B$5+INT((ROW()-2)/Assumptions!$B$7)&gt;Assumptions!$B$6,"",Assumptions!$B$5+INT((ROW()-2)/Assumptions!$B$7))</x:f>
        <x:v>46378</x:v>
      </x:c>
      <x:c r="B1781" t="str">
        <x:f>IF($A1781="","",INDEX(Assumptions!$D$5:$D$12,MOD(ROW()-2,Assumptions!$B$7)+1))</x:f>
        <x:v>Yutani Ridge</x:v>
      </x:c>
      <x:c r="C1781" s="11" t="n">
        <x:f>IF($A1781="","",INDEX(Assumptions!$F$5:$F$12,MATCH($B1781,Assumptions!$D$5:$D$12,0)))</x:f>
        <x:v>1050</x:v>
      </x:c>
      <x:c r="D1781" s="11" t="n">
        <x:f>IF($A1781="","",INDEX(Assumptions!$G$5:$G$12,MATCH($B1781,Assumptions!$D$5:$D$12,0)))</x:f>
        <x:v>125</x:v>
      </x:c>
      <x:c r="E1781" s="11" t="n">
        <x:f>IF($A1781="","",INDEX(Assumptions!$M$5:$M$11,WEEKDAY($A1781,2)))</x:f>
        <x:v>1.02</x:v>
      </x:c>
      <x:c r="F1781" s="11" t="n">
        <x:f>IF($A1781="","",Assumptions!$B$15)</x:f>
        <x:v>0.35</x:v>
      </x:c>
      <x:c r="G1781" s="11" t="n">
        <x:f>IF($A1781="","",MAX(INDEX(Assumptions!$H$5:$H$12,MATCH($B1781,Assumptions!$D$5:$D$12,0)),MIN(INDEX(Assumptions!$I$5:$I$12,MATCH($B1781,Assumptions!$D$5:$D$12,0)),($C1781+$D1781*SQRT(-2*LN(RAND()))*COS(2*PI()*RAND()))*$E1781*$J1781*$K1781)))</x:f>
        <x:v>1257.215990774441</x:v>
      </x:c>
      <x:c r="H1781" s="11" t="n">
        <x:f>IF($A1781="","",$G1781*$F1781+$C1781*(1-$F1781))</x:f>
        <x:v>1122.5255967710543</x:v>
      </x:c>
      <x:c r="I1781" s="11" t="n">
        <x:f>IF($A1781="","",AVERAGE($H1781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1064.829742785475</x:v>
      </x:c>
      <x:c r="J1781" s="12" t="n">
        <x:f>IF($A1781="","",1+SUMIFS(Assumptions!$S$5:$S$10,Assumptions!$P$5:$P$10,$B1781,Assumptions!$Q$5:$Q$10,"&lt;="&amp;$A1781,Assumptions!$R$5:$R$10,"&gt;="&amp;$A1781))</x:f>
        <x:v>1</x:v>
      </x:c>
      <x:c r="K1781" s="12" t="n">
        <x:f>IF($A1781="","",1+((($A1781-Assumptions!$B$5)/30)*INDEX(Assumptions!$J$5:$J$12,MATCH($B1781,Assumptions!$D$5:$D$12,0))))</x:f>
        <x:v>1.0295833333333333</x:v>
      </x:c>
      <x:c r="L1781" t="str">
        <x:f>IF($A1781="","",IFERROR(INDEX(Assumptions!$O$5:$O$10,MATCH(1,(Assumptions!$P$5:$P$10=$B1781)*(Assumptions!$Q$5:$Q$10&lt;=$A1781)*(Assumptions!$R$5:$R$10&gt;=$A1781),0)),""))</x:f>
      </x:c>
      <x:c r="M1781" t="n">
        <x:f>--($A1781&lt;&gt;"")</x:f>
        <x:v>1</x:v>
      </x:c>
    </x:row>
    <x:row r="1782">
      <x:c r="A1782" s="10" t="n">
        <x:f>IF(Assumptions!$B$5+INT((ROW()-2)/Assumptions!$B$7)&gt;Assumptions!$B$6,"",Assumptions!$B$5+INT((ROW()-2)/Assumptions!$B$7))</x:f>
        <x:v>46379</x:v>
      </x:c>
      <x:c r="B1782" t="str">
        <x:f>IF($A1782="","",INDEX(Assumptions!$D$5:$D$12,MOD(ROW()-2,Assumptions!$B$7)+1))</x:f>
        <x:v>Acheron Prime</x:v>
      </x:c>
      <x:c r="C1782" s="11" t="n">
        <x:f>IF($A1782="","",INDEX(Assumptions!$F$5:$F$12,MATCH($B1782,Assumptions!$D$5:$D$12,0)))</x:f>
        <x:v>1120</x:v>
      </x:c>
      <x:c r="D1782" s="11" t="n">
        <x:f>IF($A1782="","",INDEX(Assumptions!$G$5:$G$12,MATCH($B1782,Assumptions!$D$5:$D$12,0)))</x:f>
        <x:v>115</x:v>
      </x:c>
      <x:c r="E1782" s="11" t="n">
        <x:f>IF($A1782="","",INDEX(Assumptions!$M$5:$M$11,WEEKDAY($A1782,2)))</x:f>
        <x:v>1.01</x:v>
      </x:c>
      <x:c r="F1782" s="11" t="n">
        <x:f>IF($A1782="","",Assumptions!$B$15)</x:f>
        <x:v>0.35</x:v>
      </x:c>
      <x:c r="G1782" s="11" t="n">
        <x:f>IF($A1782="","",MAX(INDEX(Assumptions!$H$5:$H$12,MATCH($B1782,Assumptions!$D$5:$D$12,0)),MIN(INDEX(Assumptions!$I$5:$I$12,MATCH($B1782,Assumptions!$D$5:$D$12,0)),($C1782+$D1782*SQRT(-2*LN(RAND()))*COS(2*PI()*RAND()))*$E1782*$J1782*$K1782)))</x:f>
        <x:v>1235.87458255138</x:v>
      </x:c>
      <x:c r="H1782" s="11" t="n">
        <x:f>IF($A1782="","",$G1782*$F1782+$C1782*(1-$F1782))</x:f>
        <x:v>1160.556103892983</x:v>
      </x:c>
      <x:c r="I1782" s="11" t="n">
        <x:f>IF($A1782="","",AVERAGE($H1782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1112.200173543684</x:v>
      </x:c>
      <x:c r="J1782" s="12" t="n">
        <x:f>IF($A1782="","",1+SUMIFS(Assumptions!$S$5:$S$10,Assumptions!$P$5:$P$10,$B1782,Assumptions!$Q$5:$Q$10,"&lt;="&amp;$A1782,Assumptions!$R$5:$R$10,"&gt;="&amp;$A1782))</x:f>
        <x:v>1</x:v>
      </x:c>
      <x:c r="K1782" s="12" t="n">
        <x:f>IF($A1782="","",1+((($A1782-Assumptions!$B$5)/30)*INDEX(Assumptions!$J$5:$J$12,MATCH($B1782,Assumptions!$D$5:$D$12,0))))</x:f>
        <x:v>1.0237333333333334</x:v>
      </x:c>
      <x:c r="L1782" t="str">
        <x:f>IF($A1782="","",IFERROR(INDEX(Assumptions!$O$5:$O$10,MATCH(1,(Assumptions!$P$5:$P$10=$B1782)*(Assumptions!$Q$5:$Q$10&lt;=$A1782)*(Assumptions!$R$5:$R$10&gt;=$A1782),0)),""))</x:f>
      </x:c>
      <x:c r="M1782" t="n">
        <x:f>--($A1782&lt;&gt;"")</x:f>
        <x:v>1</x:v>
      </x:c>
    </x:row>
    <x:row r="1783">
      <x:c r="A1783" s="10" t="n">
        <x:f>IF(Assumptions!$B$5+INT((ROW()-2)/Assumptions!$B$7)&gt;Assumptions!$B$6,"",Assumptions!$B$5+INT((ROW()-2)/Assumptions!$B$7))</x:f>
        <x:v>46379</x:v>
      </x:c>
      <x:c r="B1783" t="str">
        <x:f>IF($A1783="","",INDEX(Assumptions!$D$5:$D$12,MOD(ROW()-2,Assumptions!$B$7)+1))</x:f>
        <x:v>LV-426 North</x:v>
      </x:c>
      <x:c r="C1783" s="11" t="n">
        <x:f>IF($A1783="","",INDEX(Assumptions!$F$5:$F$12,MATCH($B1783,Assumptions!$D$5:$D$12,0)))</x:f>
        <x:v>930</x:v>
      </x:c>
      <x:c r="D1783" s="11" t="n">
        <x:f>IF($A1783="","",INDEX(Assumptions!$G$5:$G$12,MATCH($B1783,Assumptions!$D$5:$D$12,0)))</x:f>
        <x:v>95</x:v>
      </x:c>
      <x:c r="E1783" s="11" t="n">
        <x:f>IF($A1783="","",INDEX(Assumptions!$M$5:$M$11,WEEKDAY($A1783,2)))</x:f>
        <x:v>1.01</x:v>
      </x:c>
      <x:c r="F1783" s="11" t="n">
        <x:f>IF($A1783="","",Assumptions!$B$15)</x:f>
        <x:v>0.35</x:v>
      </x:c>
      <x:c r="G1783" s="11" t="n">
        <x:f>IF($A1783="","",MAX(INDEX(Assumptions!$H$5:$H$12,MATCH($B1783,Assumptions!$D$5:$D$12,0)),MIN(INDEX(Assumptions!$I$5:$I$12,MATCH($B1783,Assumptions!$D$5:$D$12,0)),($C1783+$D1783*SQRT(-2*LN(RAND()))*COS(2*PI()*RAND()))*$E1783*$J1783*$K1783)))</x:f>
        <x:v>973.6689608061705</x:v>
      </x:c>
      <x:c r="H1783" s="11" t="n">
        <x:f>IF($A1783="","",$G1783*$F1783+$C1783*(1-$F1783))</x:f>
        <x:v>945.2841362821596</x:v>
      </x:c>
      <x:c r="I1783" s="11" t="n">
        <x:f>IF($A1783="","",AVERAGE($H1783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922.8131454211125</x:v>
      </x:c>
      <x:c r="J1783" s="12" t="n">
        <x:f>IF($A1783="","",1+SUMIFS(Assumptions!$S$5:$S$10,Assumptions!$P$5:$P$10,$B1783,Assumptions!$Q$5:$Q$10,"&lt;="&amp;$A1783,Assumptions!$R$5:$R$10,"&gt;="&amp;$A1783))</x:f>
        <x:v>1</x:v>
      </x:c>
      <x:c r="K1783" s="12" t="n">
        <x:f>IF($A1783="","",1+((($A1783-Assumptions!$B$5)/30)*INDEX(Assumptions!$J$5:$J$12,MATCH($B1783,Assumptions!$D$5:$D$12,0))))</x:f>
        <x:v>0.9881333333333333</x:v>
      </x:c>
      <x:c r="L1783" t="str">
        <x:f>IF($A1783="","",IFERROR(INDEX(Assumptions!$O$5:$O$10,MATCH(1,(Assumptions!$P$5:$P$10=$B1783)*(Assumptions!$Q$5:$Q$10&lt;=$A1783)*(Assumptions!$R$5:$R$10&gt;=$A1783),0)),""))</x:f>
      </x:c>
      <x:c r="M1783" t="n">
        <x:f>--($A1783&lt;&gt;"")</x:f>
        <x:v>1</x:v>
      </x:c>
    </x:row>
    <x:row r="1784">
      <x:c r="A1784" s="10" t="n">
        <x:f>IF(Assumptions!$B$5+INT((ROW()-2)/Assumptions!$B$7)&gt;Assumptions!$B$6,"",Assumptions!$B$5+INT((ROW()-2)/Assumptions!$B$7))</x:f>
        <x:v>46379</x:v>
      </x:c>
      <x:c r="B1784" t="str">
        <x:f>IF($A1784="","",INDEX(Assumptions!$D$5:$D$12,MOD(ROW()-2,Assumptions!$B$7)+1))</x:f>
        <x:v>Nostromo Deep</x:v>
      </x:c>
      <x:c r="C1784" s="11" t="n">
        <x:f>IF($A1784="","",INDEX(Assumptions!$F$5:$F$12,MATCH($B1784,Assumptions!$D$5:$D$12,0)))</x:f>
        <x:v>1260</x:v>
      </x:c>
      <x:c r="D1784" s="11" t="n">
        <x:f>IF($A1784="","",INDEX(Assumptions!$G$5:$G$12,MATCH($B1784,Assumptions!$D$5:$D$12,0)))</x:f>
        <x:v>145</x:v>
      </x:c>
      <x:c r="E1784" s="11" t="n">
        <x:f>IF($A1784="","",INDEX(Assumptions!$M$5:$M$11,WEEKDAY($A1784,2)))</x:f>
        <x:v>1.01</x:v>
      </x:c>
      <x:c r="F1784" s="11" t="n">
        <x:f>IF($A1784="","",Assumptions!$B$15)</x:f>
        <x:v>0.35</x:v>
      </x:c>
      <x:c r="G1784" s="11" t="n">
        <x:f>IF($A1784="","",MAX(INDEX(Assumptions!$H$5:$H$12,MATCH($B1784,Assumptions!$D$5:$D$12,0)),MIN(INDEX(Assumptions!$I$5:$I$12,MATCH($B1784,Assumptions!$D$5:$D$12,0)),($C1784+$D1784*SQRT(-2*LN(RAND()))*COS(2*PI()*RAND()))*$E1784*$J1784*$K1784)))</x:f>
        <x:v>1274.6382981270565</x:v>
      </x:c>
      <x:c r="H1784" s="11" t="n">
        <x:f>IF($A1784="","",$G1784*$F1784+$C1784*(1-$F1784))</x:f>
        <x:v>1265.1234043444697</x:v>
      </x:c>
      <x:c r="I1784" s="11" t="n">
        <x:f>IF($A1784="","",AVERAGE($H1784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1271.1588058165448</x:v>
      </x:c>
      <x:c r="J1784" s="12" t="n">
        <x:f>IF($A1784="","",1+SUMIFS(Assumptions!$S$5:$S$10,Assumptions!$P$5:$P$10,$B1784,Assumptions!$Q$5:$Q$10,"&lt;="&amp;$A1784,Assumptions!$R$5:$R$10,"&gt;="&amp;$A1784))</x:f>
        <x:v>1</x:v>
      </x:c>
      <x:c r="K1784" s="12" t="n">
        <x:f>IF($A1784="","",1+((($A1784-Assumptions!$B$5)/30)*INDEX(Assumptions!$J$5:$J$12,MATCH($B1784,Assumptions!$D$5:$D$12,0))))</x:f>
        <x:v>1.0356</x:v>
      </x:c>
      <x:c r="L1784" t="str">
        <x:f>IF($A1784="","",IFERROR(INDEX(Assumptions!$O$5:$O$10,MATCH(1,(Assumptions!$P$5:$P$10=$B1784)*(Assumptions!$Q$5:$Q$10&lt;=$A1784)*(Assumptions!$R$5:$R$10&gt;=$A1784),0)),""))</x:f>
      </x:c>
      <x:c r="M1784" t="n">
        <x:f>--($A1784&lt;&gt;"")</x:f>
        <x:v>1</x:v>
      </x:c>
    </x:row>
    <x:row r="1785">
      <x:c r="A1785" s="10" t="n">
        <x:f>IF(Assumptions!$B$5+INT((ROW()-2)/Assumptions!$B$7)&gt;Assumptions!$B$6,"",Assumptions!$B$5+INT((ROW()-2)/Assumptions!$B$7))</x:f>
        <x:v>46379</x:v>
      </x:c>
      <x:c r="B1785" t="str">
        <x:f>IF($A1785="","",INDEX(Assumptions!$D$5:$D$12,MOD(ROW()-2,Assumptions!$B$7)+1))</x:f>
        <x:v>Hadley's Hope</x:v>
      </x:c>
      <x:c r="C1785" s="11" t="n">
        <x:f>IF($A1785="","",INDEX(Assumptions!$F$5:$F$12,MATCH($B1785,Assumptions!$D$5:$D$12,0)))</x:f>
        <x:v>845</x:v>
      </x:c>
      <x:c r="D1785" s="11" t="n">
        <x:f>IF($A1785="","",INDEX(Assumptions!$G$5:$G$12,MATCH($B1785,Assumptions!$D$5:$D$12,0)))</x:f>
        <x:v>80</x:v>
      </x:c>
      <x:c r="E1785" s="11" t="n">
        <x:f>IF($A1785="","",INDEX(Assumptions!$M$5:$M$11,WEEKDAY($A1785,2)))</x:f>
        <x:v>1.01</x:v>
      </x:c>
      <x:c r="F1785" s="11" t="n">
        <x:f>IF($A1785="","",Assumptions!$B$15)</x:f>
        <x:v>0.35</x:v>
      </x:c>
      <x:c r="G1785" s="11" t="n">
        <x:f>IF($A1785="","",MAX(INDEX(Assumptions!$H$5:$H$12,MATCH($B1785,Assumptions!$D$5:$D$12,0)),MIN(INDEX(Assumptions!$I$5:$I$12,MATCH($B1785,Assumptions!$D$5:$D$12,0)),($C1785+$D1785*SQRT(-2*LN(RAND()))*COS(2*PI()*RAND()))*$E1785*$J1785*$K1785)))</x:f>
        <x:v>953.6515216049419</x:v>
      </x:c>
      <x:c r="H1785" s="11" t="n">
        <x:f>IF($A1785="","",$G1785*$F1785+$C1785*(1-$F1785))</x:f>
        <x:v>883.0280325617296</x:v>
      </x:c>
      <x:c r="I1785" s="11" t="n">
        <x:f>IF($A1785="","",AVERAGE($H1785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846.8632444637111</x:v>
      </x:c>
      <x:c r="J1785" s="12" t="n">
        <x:f>IF($A1785="","",1+SUMIFS(Assumptions!$S$5:$S$10,Assumptions!$P$5:$P$10,$B1785,Assumptions!$Q$5:$Q$10,"&lt;="&amp;$A1785,Assumptions!$R$5:$R$10,"&gt;="&amp;$A1785))</x:f>
        <x:v>1</x:v>
      </x:c>
      <x:c r="K1785" s="12" t="n">
        <x:f>IF($A1785="","",1+((($A1785-Assumptions!$B$5)/30)*INDEX(Assumptions!$J$5:$J$12,MATCH($B1785,Assumptions!$D$5:$D$12,0))))</x:f>
        <x:v>1.0118666666666667</x:v>
      </x:c>
      <x:c r="L1785" t="str">
        <x:f>IF($A1785="","",IFERROR(INDEX(Assumptions!$O$5:$O$10,MATCH(1,(Assumptions!$P$5:$P$10=$B1785)*(Assumptions!$Q$5:$Q$10&lt;=$A1785)*(Assumptions!$R$5:$R$10&gt;=$A1785),0)),""))</x:f>
      </x:c>
      <x:c r="M1785" t="n">
        <x:f>--($A1785&lt;&gt;"")</x:f>
        <x:v>1</x:v>
      </x:c>
    </x:row>
    <x:row r="1786">
      <x:c r="A1786" s="10" t="n">
        <x:f>IF(Assumptions!$B$5+INT((ROW()-2)/Assumptions!$B$7)&gt;Assumptions!$B$6,"",Assumptions!$B$5+INT((ROW()-2)/Assumptions!$B$7))</x:f>
        <x:v>46379</x:v>
      </x:c>
      <x:c r="B1786" t="str">
        <x:f>IF($A1786="","",INDEX(Assumptions!$D$5:$D$12,MOD(ROW()-2,Assumptions!$B$7)+1))</x:f>
        <x:v>Yutani Ridge</x:v>
      </x:c>
      <x:c r="C1786" s="11" t="n">
        <x:f>IF($A1786="","",INDEX(Assumptions!$F$5:$F$12,MATCH($B1786,Assumptions!$D$5:$D$12,0)))</x:f>
        <x:v>1050</x:v>
      </x:c>
      <x:c r="D1786" s="11" t="n">
        <x:f>IF($A1786="","",INDEX(Assumptions!$G$5:$G$12,MATCH($B1786,Assumptions!$D$5:$D$12,0)))</x:f>
        <x:v>125</x:v>
      </x:c>
      <x:c r="E1786" s="11" t="n">
        <x:f>IF($A1786="","",INDEX(Assumptions!$M$5:$M$11,WEEKDAY($A1786,2)))</x:f>
        <x:v>1.01</x:v>
      </x:c>
      <x:c r="F1786" s="11" t="n">
        <x:f>IF($A1786="","",Assumptions!$B$15)</x:f>
        <x:v>0.35</x:v>
      </x:c>
      <x:c r="G1786" s="11" t="n">
        <x:f>IF($A1786="","",MAX(INDEX(Assumptions!$H$5:$H$12,MATCH($B1786,Assumptions!$D$5:$D$12,0)),MIN(INDEX(Assumptions!$I$5:$I$12,MATCH($B1786,Assumptions!$D$5:$D$12,0)),($C1786+$D1786*SQRT(-2*LN(RAND()))*COS(2*PI()*RAND()))*$E1786*$J1786*$K1786)))</x:f>
        <x:v>1111.3913236672092</x:v>
      </x:c>
      <x:c r="H1786" s="11" t="n">
        <x:f>IF($A1786="","",$G1786*$F1786+$C1786*(1-$F1786))</x:f>
        <x:v>1071.4869632835232</x:v>
      </x:c>
      <x:c r="I1786" s="11" t="n">
        <x:f>IF($A1786="","",AVERAGE($H1786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1061.5419726917357</x:v>
      </x:c>
      <x:c r="J1786" s="12" t="n">
        <x:f>IF($A1786="","",1+SUMIFS(Assumptions!$S$5:$S$10,Assumptions!$P$5:$P$10,$B1786,Assumptions!$Q$5:$Q$10,"&lt;="&amp;$A1786,Assumptions!$R$5:$R$10,"&gt;="&amp;$A1786))</x:f>
        <x:v>1</x:v>
      </x:c>
      <x:c r="K1786" s="12" t="n">
        <x:f>IF($A1786="","",1+((($A1786-Assumptions!$B$5)/30)*INDEX(Assumptions!$J$5:$J$12,MATCH($B1786,Assumptions!$D$5:$D$12,0))))</x:f>
        <x:v>1.0296666666666667</x:v>
      </x:c>
      <x:c r="L1786" t="str">
        <x:f>IF($A1786="","",IFERROR(INDEX(Assumptions!$O$5:$O$10,MATCH(1,(Assumptions!$P$5:$P$10=$B1786)*(Assumptions!$Q$5:$Q$10&lt;=$A1786)*(Assumptions!$R$5:$R$10&gt;=$A1786),0)),""))</x:f>
      </x:c>
      <x:c r="M1786" t="n">
        <x:f>--($A1786&lt;&gt;"")</x:f>
        <x:v>1</x:v>
      </x:c>
    </x:row>
    <x:row r="1787">
      <x:c r="A1787" s="10" t="n">
        <x:f>IF(Assumptions!$B$5+INT((ROW()-2)/Assumptions!$B$7)&gt;Assumptions!$B$6,"",Assumptions!$B$5+INT((ROW()-2)/Assumptions!$B$7))</x:f>
        <x:v>46380</x:v>
      </x:c>
      <x:c r="B1787" t="str">
        <x:f>IF($A1787="","",INDEX(Assumptions!$D$5:$D$12,MOD(ROW()-2,Assumptions!$B$7)+1))</x:f>
        <x:v>Acheron Prime</x:v>
      </x:c>
      <x:c r="C1787" s="11" t="n">
        <x:f>IF($A1787="","",INDEX(Assumptions!$F$5:$F$12,MATCH($B1787,Assumptions!$D$5:$D$12,0)))</x:f>
        <x:v>1120</x:v>
      </x:c>
      <x:c r="D1787" s="11" t="n">
        <x:f>IF($A1787="","",INDEX(Assumptions!$G$5:$G$12,MATCH($B1787,Assumptions!$D$5:$D$12,0)))</x:f>
        <x:v>115</x:v>
      </x:c>
      <x:c r="E1787" s="11" t="n">
        <x:f>IF($A1787="","",INDEX(Assumptions!$M$5:$M$11,WEEKDAY($A1787,2)))</x:f>
        <x:v>1</x:v>
      </x:c>
      <x:c r="F1787" s="11" t="n">
        <x:f>IF($A1787="","",Assumptions!$B$15)</x:f>
        <x:v>0.35</x:v>
      </x:c>
      <x:c r="G1787" s="11" t="n">
        <x:f>IF($A1787="","",MAX(INDEX(Assumptions!$H$5:$H$12,MATCH($B1787,Assumptions!$D$5:$D$12,0)),MIN(INDEX(Assumptions!$I$5:$I$12,MATCH($B1787,Assumptions!$D$5:$D$12,0)),($C1787+$D1787*SQRT(-2*LN(RAND()))*COS(2*PI()*RAND()))*$E1787*$J1787*$K1787)))</x:f>
        <x:v>1308.1241551983924</x:v>
      </x:c>
      <x:c r="H1787" s="11" t="n">
        <x:f>IF($A1787="","",$G1787*$F1787+$C1787*(1-$F1787))</x:f>
        <x:v>1185.8434543194373</x:v>
      </x:c>
      <x:c r="I1787" s="11" t="n">
        <x:f>IF($A1787="","",AVERAGE($H1787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1124.2610888772504</x:v>
      </x:c>
      <x:c r="J1787" s="12" t="n">
        <x:f>IF($A1787="","",1+SUMIFS(Assumptions!$S$5:$S$10,Assumptions!$P$5:$P$10,$B1787,Assumptions!$Q$5:$Q$10,"&lt;="&amp;$A1787,Assumptions!$R$5:$R$10,"&gt;="&amp;$A1787))</x:f>
        <x:v>1</x:v>
      </x:c>
      <x:c r="K1787" s="12" t="n">
        <x:f>IF($A1787="","",1+((($A1787-Assumptions!$B$5)/30)*INDEX(Assumptions!$J$5:$J$12,MATCH($B1787,Assumptions!$D$5:$D$12,0))))</x:f>
        <x:v>1.0238</x:v>
      </x:c>
      <x:c r="L1787" t="str">
        <x:f>IF($A1787="","",IFERROR(INDEX(Assumptions!$O$5:$O$10,MATCH(1,(Assumptions!$P$5:$P$10=$B1787)*(Assumptions!$Q$5:$Q$10&lt;=$A1787)*(Assumptions!$R$5:$R$10&gt;=$A1787),0)),""))</x:f>
      </x:c>
      <x:c r="M1787" t="n">
        <x:f>--($A1787&lt;&gt;"")</x:f>
        <x:v>1</x:v>
      </x:c>
    </x:row>
    <x:row r="1788">
      <x:c r="A1788" s="10" t="n">
        <x:f>IF(Assumptions!$B$5+INT((ROW()-2)/Assumptions!$B$7)&gt;Assumptions!$B$6,"",Assumptions!$B$5+INT((ROW()-2)/Assumptions!$B$7))</x:f>
        <x:v>46380</x:v>
      </x:c>
      <x:c r="B1788" t="str">
        <x:f>IF($A1788="","",INDEX(Assumptions!$D$5:$D$12,MOD(ROW()-2,Assumptions!$B$7)+1))</x:f>
        <x:v>LV-426 North</x:v>
      </x:c>
      <x:c r="C1788" s="11" t="n">
        <x:f>IF($A1788="","",INDEX(Assumptions!$F$5:$F$12,MATCH($B1788,Assumptions!$D$5:$D$12,0)))</x:f>
        <x:v>930</x:v>
      </x:c>
      <x:c r="D1788" s="11" t="n">
        <x:f>IF($A1788="","",INDEX(Assumptions!$G$5:$G$12,MATCH($B1788,Assumptions!$D$5:$D$12,0)))</x:f>
        <x:v>95</x:v>
      </x:c>
      <x:c r="E1788" s="11" t="n">
        <x:f>IF($A1788="","",INDEX(Assumptions!$M$5:$M$11,WEEKDAY($A1788,2)))</x:f>
        <x:v>1</x:v>
      </x:c>
      <x:c r="F1788" s="11" t="n">
        <x:f>IF($A1788="","",Assumptions!$B$15)</x:f>
        <x:v>0.35</x:v>
      </x:c>
      <x:c r="G1788" s="11" t="n">
        <x:f>IF($A1788="","",MAX(INDEX(Assumptions!$H$5:$H$12,MATCH($B1788,Assumptions!$D$5:$D$12,0)),MIN(INDEX(Assumptions!$I$5:$I$12,MATCH($B1788,Assumptions!$D$5:$D$12,0)),($C1788+$D1788*SQRT(-2*LN(RAND()))*COS(2*PI()*RAND()))*$E1788*$J1788*$K1788)))</x:f>
        <x:v>842.9694886499323</x:v>
      </x:c>
      <x:c r="H1788" s="11" t="n">
        <x:f>IF($A1788="","",$G1788*$F1788+$C1788*(1-$F1788))</x:f>
        <x:v>899.5393210274763</x:v>
      </x:c>
      <x:c r="I1788" s="11" t="n">
        <x:f>IF($A1788="","",AVERAGE($H1788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907.410449674364</x:v>
      </x:c>
      <x:c r="J1788" s="12" t="n">
        <x:f>IF($A1788="","",1+SUMIFS(Assumptions!$S$5:$S$10,Assumptions!$P$5:$P$10,$B1788,Assumptions!$Q$5:$Q$10,"&lt;="&amp;$A1788,Assumptions!$R$5:$R$10,"&gt;="&amp;$A1788))</x:f>
        <x:v>1</x:v>
      </x:c>
      <x:c r="K1788" s="12" t="n">
        <x:f>IF($A1788="","",1+((($A1788-Assumptions!$B$5)/30)*INDEX(Assumptions!$J$5:$J$12,MATCH($B1788,Assumptions!$D$5:$D$12,0))))</x:f>
        <x:v>0.9881</x:v>
      </x:c>
      <x:c r="L1788" t="str">
        <x:f>IF($A1788="","",IFERROR(INDEX(Assumptions!$O$5:$O$10,MATCH(1,(Assumptions!$P$5:$P$10=$B1788)*(Assumptions!$Q$5:$Q$10&lt;=$A1788)*(Assumptions!$R$5:$R$10&gt;=$A1788),0)),""))</x:f>
      </x:c>
      <x:c r="M1788" t="n">
        <x:f>--($A1788&lt;&gt;"")</x:f>
        <x:v>1</x:v>
      </x:c>
    </x:row>
    <x:row r="1789">
      <x:c r="A1789" s="10" t="n">
        <x:f>IF(Assumptions!$B$5+INT((ROW()-2)/Assumptions!$B$7)&gt;Assumptions!$B$6,"",Assumptions!$B$5+INT((ROW()-2)/Assumptions!$B$7))</x:f>
        <x:v>46380</x:v>
      </x:c>
      <x:c r="B1789" t="str">
        <x:f>IF($A1789="","",INDEX(Assumptions!$D$5:$D$12,MOD(ROW()-2,Assumptions!$B$7)+1))</x:f>
        <x:v>Nostromo Deep</x:v>
      </x:c>
      <x:c r="C1789" s="11" t="n">
        <x:f>IF($A1789="","",INDEX(Assumptions!$F$5:$F$12,MATCH($B1789,Assumptions!$D$5:$D$12,0)))</x:f>
        <x:v>1260</x:v>
      </x:c>
      <x:c r="D1789" s="11" t="n">
        <x:f>IF($A1789="","",INDEX(Assumptions!$G$5:$G$12,MATCH($B1789,Assumptions!$D$5:$D$12,0)))</x:f>
        <x:v>145</x:v>
      </x:c>
      <x:c r="E1789" s="11" t="n">
        <x:f>IF($A1789="","",INDEX(Assumptions!$M$5:$M$11,WEEKDAY($A1789,2)))</x:f>
        <x:v>1</x:v>
      </x:c>
      <x:c r="F1789" s="11" t="n">
        <x:f>IF($A1789="","",Assumptions!$B$15)</x:f>
        <x:v>0.35</x:v>
      </x:c>
      <x:c r="G1789" s="11" t="n">
        <x:f>IF($A1789="","",MAX(INDEX(Assumptions!$H$5:$H$12,MATCH($B1789,Assumptions!$D$5:$D$12,0)),MIN(INDEX(Assumptions!$I$5:$I$12,MATCH($B1789,Assumptions!$D$5:$D$12,0)),($C1789+$D1789*SQRT(-2*LN(RAND()))*COS(2*PI()*RAND()))*$E1789*$J1789*$K1789)))</x:f>
        <x:v>992.1979178853736</x:v>
      </x:c>
      <x:c r="H1789" s="11" t="n">
        <x:f>IF($A1789="","",$G1789*$F1789+$C1789*(1-$F1789))</x:f>
        <x:v>1166.2692712598807</x:v>
      </x:c>
      <x:c r="I1789" s="11" t="n">
        <x:f>IF($A1789="","",AVERAGE($H1789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1252.93903967752</x:v>
      </x:c>
      <x:c r="J1789" s="12" t="n">
        <x:f>IF($A1789="","",1+SUMIFS(Assumptions!$S$5:$S$10,Assumptions!$P$5:$P$10,$B1789,Assumptions!$Q$5:$Q$10,"&lt;="&amp;$A1789,Assumptions!$R$5:$R$10,"&gt;="&amp;$A1789))</x:f>
        <x:v>1</x:v>
      </x:c>
      <x:c r="K1789" s="12" t="n">
        <x:f>IF($A1789="","",1+((($A1789-Assumptions!$B$5)/30)*INDEX(Assumptions!$J$5:$J$12,MATCH($B1789,Assumptions!$D$5:$D$12,0))))</x:f>
        <x:v>1.0357</x:v>
      </x:c>
      <x:c r="L1789" t="str">
        <x:f>IF($A1789="","",IFERROR(INDEX(Assumptions!$O$5:$O$10,MATCH(1,(Assumptions!$P$5:$P$10=$B1789)*(Assumptions!$Q$5:$Q$10&lt;=$A1789)*(Assumptions!$R$5:$R$10&gt;=$A1789),0)),""))</x:f>
      </x:c>
      <x:c r="M1789" t="n">
        <x:f>--($A1789&lt;&gt;"")</x:f>
        <x:v>1</x:v>
      </x:c>
    </x:row>
    <x:row r="1790">
      <x:c r="A1790" s="10" t="n">
        <x:f>IF(Assumptions!$B$5+INT((ROW()-2)/Assumptions!$B$7)&gt;Assumptions!$B$6,"",Assumptions!$B$5+INT((ROW()-2)/Assumptions!$B$7))</x:f>
        <x:v>46380</x:v>
      </x:c>
      <x:c r="B1790" t="str">
        <x:f>IF($A1790="","",INDEX(Assumptions!$D$5:$D$12,MOD(ROW()-2,Assumptions!$B$7)+1))</x:f>
        <x:v>Hadley's Hope</x:v>
      </x:c>
      <x:c r="C1790" s="11" t="n">
        <x:f>IF($A1790="","",INDEX(Assumptions!$F$5:$F$12,MATCH($B1790,Assumptions!$D$5:$D$12,0)))</x:f>
        <x:v>845</x:v>
      </x:c>
      <x:c r="D1790" s="11" t="n">
        <x:f>IF($A1790="","",INDEX(Assumptions!$G$5:$G$12,MATCH($B1790,Assumptions!$D$5:$D$12,0)))</x:f>
        <x:v>80</x:v>
      </x:c>
      <x:c r="E1790" s="11" t="n">
        <x:f>IF($A1790="","",INDEX(Assumptions!$M$5:$M$11,WEEKDAY($A1790,2)))</x:f>
        <x:v>1</x:v>
      </x:c>
      <x:c r="F1790" s="11" t="n">
        <x:f>IF($A1790="","",Assumptions!$B$15)</x:f>
        <x:v>0.35</x:v>
      </x:c>
      <x:c r="G1790" s="11" t="n">
        <x:f>IF($A1790="","",MAX(INDEX(Assumptions!$H$5:$H$12,MATCH($B1790,Assumptions!$D$5:$D$12,0)),MIN(INDEX(Assumptions!$I$5:$I$12,MATCH($B1790,Assumptions!$D$5:$D$12,0)),($C1790+$D1790*SQRT(-2*LN(RAND()))*COS(2*PI()*RAND()))*$E1790*$J1790*$K1790)))</x:f>
        <x:v>737.5960245228042</x:v>
      </x:c>
      <x:c r="H1790" s="11" t="n">
        <x:f>IF($A1790="","",$G1790*$F1790+$C1790*(1-$F1790))</x:f>
        <x:v>807.4086085829815</x:v>
      </x:c>
      <x:c r="I1790" s="11" t="n">
        <x:f>IF($A1790="","",AVERAGE($H1790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840.8558498970439</x:v>
      </x:c>
      <x:c r="J1790" s="12" t="n">
        <x:f>IF($A1790="","",1+SUMIFS(Assumptions!$S$5:$S$10,Assumptions!$P$5:$P$10,$B1790,Assumptions!$Q$5:$Q$10,"&lt;="&amp;$A1790,Assumptions!$R$5:$R$10,"&gt;="&amp;$A1790))</x:f>
        <x:v>1</x:v>
      </x:c>
      <x:c r="K1790" s="12" t="n">
        <x:f>IF($A1790="","",1+((($A1790-Assumptions!$B$5)/30)*INDEX(Assumptions!$J$5:$J$12,MATCH($B1790,Assumptions!$D$5:$D$12,0))))</x:f>
        <x:v>1.0119</x:v>
      </x:c>
      <x:c r="L1790" t="str">
        <x:f>IF($A1790="","",IFERROR(INDEX(Assumptions!$O$5:$O$10,MATCH(1,(Assumptions!$P$5:$P$10=$B1790)*(Assumptions!$Q$5:$Q$10&lt;=$A1790)*(Assumptions!$R$5:$R$10&gt;=$A1790),0)),""))</x:f>
      </x:c>
      <x:c r="M1790" t="n">
        <x:f>--($A1790&lt;&gt;"")</x:f>
        <x:v>1</x:v>
      </x:c>
    </x:row>
    <x:row r="1791">
      <x:c r="A1791" s="10" t="n">
        <x:f>IF(Assumptions!$B$5+INT((ROW()-2)/Assumptions!$B$7)&gt;Assumptions!$B$6,"",Assumptions!$B$5+INT((ROW()-2)/Assumptions!$B$7))</x:f>
        <x:v>46380</x:v>
      </x:c>
      <x:c r="B1791" t="str">
        <x:f>IF($A1791="","",INDEX(Assumptions!$D$5:$D$12,MOD(ROW()-2,Assumptions!$B$7)+1))</x:f>
        <x:v>Yutani Ridge</x:v>
      </x:c>
      <x:c r="C1791" s="11" t="n">
        <x:f>IF($A1791="","",INDEX(Assumptions!$F$5:$F$12,MATCH($B1791,Assumptions!$D$5:$D$12,0)))</x:f>
        <x:v>1050</x:v>
      </x:c>
      <x:c r="D1791" s="11" t="n">
        <x:f>IF($A1791="","",INDEX(Assumptions!$G$5:$G$12,MATCH($B1791,Assumptions!$D$5:$D$12,0)))</x:f>
        <x:v>125</x:v>
      </x:c>
      <x:c r="E1791" s="11" t="n">
        <x:f>IF($A1791="","",INDEX(Assumptions!$M$5:$M$11,WEEKDAY($A1791,2)))</x:f>
        <x:v>1</x:v>
      </x:c>
      <x:c r="F1791" s="11" t="n">
        <x:f>IF($A1791="","",Assumptions!$B$15)</x:f>
        <x:v>0.35</x:v>
      </x:c>
      <x:c r="G1791" s="11" t="n">
        <x:f>IF($A1791="","",MAX(INDEX(Assumptions!$H$5:$H$12,MATCH($B1791,Assumptions!$D$5:$D$12,0)),MIN(INDEX(Assumptions!$I$5:$I$12,MATCH($B1791,Assumptions!$D$5:$D$12,0)),($C1791+$D1791*SQRT(-2*LN(RAND()))*COS(2*PI()*RAND()))*$E1791*$J1791*$K1791)))</x:f>
        <x:v>1237.335351683912</x:v>
      </x:c>
      <x:c r="H1791" s="11" t="n">
        <x:f>IF($A1791="","",$G1791*$F1791+$C1791*(1-$F1791))</x:f>
        <x:v>1115.567373089369</x:v>
      </x:c>
      <x:c r="I1791" s="11" t="n">
        <x:f>IF($A1791="","",AVERAGE($H1791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1065.3176816090113</x:v>
      </x:c>
      <x:c r="J1791" s="12" t="n">
        <x:f>IF($A1791="","",1+SUMIFS(Assumptions!$S$5:$S$10,Assumptions!$P$5:$P$10,$B1791,Assumptions!$Q$5:$Q$10,"&lt;="&amp;$A1791,Assumptions!$R$5:$R$10,"&gt;="&amp;$A1791))</x:f>
        <x:v>1</x:v>
      </x:c>
      <x:c r="K1791" s="12" t="n">
        <x:f>IF($A1791="","",1+((($A1791-Assumptions!$B$5)/30)*INDEX(Assumptions!$J$5:$J$12,MATCH($B1791,Assumptions!$D$5:$D$12,0))))</x:f>
        <x:v>1.02975</x:v>
      </x:c>
      <x:c r="L1791" t="str">
        <x:f>IF($A1791="","",IFERROR(INDEX(Assumptions!$O$5:$O$10,MATCH(1,(Assumptions!$P$5:$P$10=$B1791)*(Assumptions!$Q$5:$Q$10&lt;=$A1791)*(Assumptions!$R$5:$R$10&gt;=$A1791),0)),""))</x:f>
      </x:c>
      <x:c r="M1791" t="n">
        <x:f>--($A1791&lt;&gt;"")</x:f>
        <x:v>1</x:v>
      </x:c>
    </x:row>
    <x:row r="1792">
      <x:c r="A1792" s="10" t="n">
        <x:f>IF(Assumptions!$B$5+INT((ROW()-2)/Assumptions!$B$7)&gt;Assumptions!$B$6,"",Assumptions!$B$5+INT((ROW()-2)/Assumptions!$B$7))</x:f>
        <x:v>46381</x:v>
      </x:c>
      <x:c r="B1792" t="str">
        <x:f>IF($A1792="","",INDEX(Assumptions!$D$5:$D$12,MOD(ROW()-2,Assumptions!$B$7)+1))</x:f>
        <x:v>Acheron Prime</x:v>
      </x:c>
      <x:c r="C1792" s="11" t="n">
        <x:f>IF($A1792="","",INDEX(Assumptions!$F$5:$F$12,MATCH($B1792,Assumptions!$D$5:$D$12,0)))</x:f>
        <x:v>1120</x:v>
      </x:c>
      <x:c r="D1792" s="11" t="n">
        <x:f>IF($A1792="","",INDEX(Assumptions!$G$5:$G$12,MATCH($B1792,Assumptions!$D$5:$D$12,0)))</x:f>
        <x:v>115</x:v>
      </x:c>
      <x:c r="E1792" s="11" t="n">
        <x:f>IF($A1792="","",INDEX(Assumptions!$M$5:$M$11,WEEKDAY($A1792,2)))</x:f>
        <x:v>0.98</x:v>
      </x:c>
      <x:c r="F1792" s="11" t="n">
        <x:f>IF($A1792="","",Assumptions!$B$15)</x:f>
        <x:v>0.35</x:v>
      </x:c>
      <x:c r="G1792" s="11" t="n">
        <x:f>IF($A1792="","",MAX(INDEX(Assumptions!$H$5:$H$12,MATCH($B1792,Assumptions!$D$5:$D$12,0)),MIN(INDEX(Assumptions!$I$5:$I$12,MATCH($B1792,Assumptions!$D$5:$D$12,0)),($C1792+$D1792*SQRT(-2*LN(RAND()))*COS(2*PI()*RAND()))*$E1792*$J1792*$K1792)))</x:f>
        <x:v>1239.8605620964981</x:v>
      </x:c>
      <x:c r="H1792" s="11" t="n">
        <x:f>IF($A1792="","",$G1792*$F1792+$C1792*(1-$F1792))</x:f>
        <x:v>1161.9511967337744</x:v>
      </x:c>
      <x:c r="I1792" s="11" t="n">
        <x:f>IF($A1792="","",AVERAGE($H1792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1135.5182673812826</x:v>
      </x:c>
      <x:c r="J1792" s="12" t="n">
        <x:f>IF($A1792="","",1+SUMIFS(Assumptions!$S$5:$S$10,Assumptions!$P$5:$P$10,$B1792,Assumptions!$Q$5:$Q$10,"&lt;="&amp;$A1792,Assumptions!$R$5:$R$10,"&gt;="&amp;$A1792))</x:f>
        <x:v>1</x:v>
      </x:c>
      <x:c r="K1792" s="12" t="n">
        <x:f>IF($A1792="","",1+((($A1792-Assumptions!$B$5)/30)*INDEX(Assumptions!$J$5:$J$12,MATCH($B1792,Assumptions!$D$5:$D$12,0))))</x:f>
        <x:v>1.0238666666666667</x:v>
      </x:c>
      <x:c r="L1792" t="str">
        <x:f>IF($A1792="","",IFERROR(INDEX(Assumptions!$O$5:$O$10,MATCH(1,(Assumptions!$P$5:$P$10=$B1792)*(Assumptions!$Q$5:$Q$10&lt;=$A1792)*(Assumptions!$R$5:$R$10&gt;=$A1792),0)),""))</x:f>
      </x:c>
      <x:c r="M1792" t="n">
        <x:f>--($A1792&lt;&gt;"")</x:f>
        <x:v>1</x:v>
      </x:c>
    </x:row>
    <x:row r="1793">
      <x:c r="A1793" s="10" t="n">
        <x:f>IF(Assumptions!$B$5+INT((ROW()-2)/Assumptions!$B$7)&gt;Assumptions!$B$6,"",Assumptions!$B$5+INT((ROW()-2)/Assumptions!$B$7))</x:f>
        <x:v>46381</x:v>
      </x:c>
      <x:c r="B1793" t="str">
        <x:f>IF($A1793="","",INDEX(Assumptions!$D$5:$D$12,MOD(ROW()-2,Assumptions!$B$7)+1))</x:f>
        <x:v>LV-426 North</x:v>
      </x:c>
      <x:c r="C1793" s="11" t="n">
        <x:f>IF($A1793="","",INDEX(Assumptions!$F$5:$F$12,MATCH($B1793,Assumptions!$D$5:$D$12,0)))</x:f>
        <x:v>930</x:v>
      </x:c>
      <x:c r="D1793" s="11" t="n">
        <x:f>IF($A1793="","",INDEX(Assumptions!$G$5:$G$12,MATCH($B1793,Assumptions!$D$5:$D$12,0)))</x:f>
        <x:v>95</x:v>
      </x:c>
      <x:c r="E1793" s="11" t="n">
        <x:f>IF($A1793="","",INDEX(Assumptions!$M$5:$M$11,WEEKDAY($A1793,2)))</x:f>
        <x:v>0.98</x:v>
      </x:c>
      <x:c r="F1793" s="11" t="n">
        <x:f>IF($A1793="","",Assumptions!$B$15)</x:f>
        <x:v>0.35</x:v>
      </x:c>
      <x:c r="G1793" s="11" t="n">
        <x:f>IF($A1793="","",MAX(INDEX(Assumptions!$H$5:$H$12,MATCH($B1793,Assumptions!$D$5:$D$12,0)),MIN(INDEX(Assumptions!$I$5:$I$12,MATCH($B1793,Assumptions!$D$5:$D$12,0)),($C1793+$D1793*SQRT(-2*LN(RAND()))*COS(2*PI()*RAND()))*$E1793*$J1793*$K1793)))</x:f>
        <x:v>796.8516910875856</x:v>
      </x:c>
      <x:c r="H1793" s="11" t="n">
        <x:f>IF($A1793="","",$G1793*$F1793+$C1793*(1-$F1793))</x:f>
        <x:v>883.3980918806549</x:v>
      </x:c>
      <x:c r="I1793" s="11" t="n">
        <x:f>IF($A1793="","",AVERAGE($H1793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907.7919045127039</x:v>
      </x:c>
      <x:c r="J1793" s="12" t="n">
        <x:f>IF($A1793="","",1+SUMIFS(Assumptions!$S$5:$S$10,Assumptions!$P$5:$P$10,$B1793,Assumptions!$Q$5:$Q$10,"&lt;="&amp;$A1793,Assumptions!$R$5:$R$10,"&gt;="&amp;$A1793))</x:f>
        <x:v>1</x:v>
      </x:c>
      <x:c r="K1793" s="12" t="n">
        <x:f>IF($A1793="","",1+((($A1793-Assumptions!$B$5)/30)*INDEX(Assumptions!$J$5:$J$12,MATCH($B1793,Assumptions!$D$5:$D$12,0))))</x:f>
        <x:v>0.9880666666666666</x:v>
      </x:c>
      <x:c r="L1793" t="str">
        <x:f>IF($A1793="","",IFERROR(INDEX(Assumptions!$O$5:$O$10,MATCH(1,(Assumptions!$P$5:$P$10=$B1793)*(Assumptions!$Q$5:$Q$10&lt;=$A1793)*(Assumptions!$R$5:$R$10&gt;=$A1793),0)),""))</x:f>
      </x:c>
      <x:c r="M1793" t="n">
        <x:f>--($A1793&lt;&gt;"")</x:f>
        <x:v>1</x:v>
      </x:c>
    </x:row>
    <x:row r="1794">
      <x:c r="A1794" s="10" t="n">
        <x:f>IF(Assumptions!$B$5+INT((ROW()-2)/Assumptions!$B$7)&gt;Assumptions!$B$6,"",Assumptions!$B$5+INT((ROW()-2)/Assumptions!$B$7))</x:f>
        <x:v>46381</x:v>
      </x:c>
      <x:c r="B1794" t="str">
        <x:f>IF($A1794="","",INDEX(Assumptions!$D$5:$D$12,MOD(ROW()-2,Assumptions!$B$7)+1))</x:f>
        <x:v>Nostromo Deep</x:v>
      </x:c>
      <x:c r="C1794" s="11" t="n">
        <x:f>IF($A1794="","",INDEX(Assumptions!$F$5:$F$12,MATCH($B1794,Assumptions!$D$5:$D$12,0)))</x:f>
        <x:v>1260</x:v>
      </x:c>
      <x:c r="D1794" s="11" t="n">
        <x:f>IF($A1794="","",INDEX(Assumptions!$G$5:$G$12,MATCH($B1794,Assumptions!$D$5:$D$12,0)))</x:f>
        <x:v>145</x:v>
      </x:c>
      <x:c r="E1794" s="11" t="n">
        <x:f>IF($A1794="","",INDEX(Assumptions!$M$5:$M$11,WEEKDAY($A1794,2)))</x:f>
        <x:v>0.98</x:v>
      </x:c>
      <x:c r="F1794" s="11" t="n">
        <x:f>IF($A1794="","",Assumptions!$B$15)</x:f>
        <x:v>0.35</x:v>
      </x:c>
      <x:c r="G1794" s="11" t="n">
        <x:f>IF($A1794="","",MAX(INDEX(Assumptions!$H$5:$H$12,MATCH($B1794,Assumptions!$D$5:$D$12,0)),MIN(INDEX(Assumptions!$I$5:$I$12,MATCH($B1794,Assumptions!$D$5:$D$12,0)),($C1794+$D1794*SQRT(-2*LN(RAND()))*COS(2*PI()*RAND()))*$E1794*$J1794*$K1794)))</x:f>
        <x:v>1419.0878623179894</x:v>
      </x:c>
      <x:c r="H1794" s="11" t="n">
        <x:f>IF($A1794="","",$G1794*$F1794+$C1794*(1-$F1794))</x:f>
        <x:v>1315.6807518112962</x:v>
      </x:c>
      <x:c r="I1794" s="11" t="n">
        <x:f>IF($A1794="","",AVERAGE($H1794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1258.7704857596095</x:v>
      </x:c>
      <x:c r="J1794" s="12" t="n">
        <x:f>IF($A1794="","",1+SUMIFS(Assumptions!$S$5:$S$10,Assumptions!$P$5:$P$10,$B1794,Assumptions!$Q$5:$Q$10,"&lt;="&amp;$A1794,Assumptions!$R$5:$R$10,"&gt;="&amp;$A1794))</x:f>
        <x:v>1</x:v>
      </x:c>
      <x:c r="K1794" s="12" t="n">
        <x:f>IF($A1794="","",1+((($A1794-Assumptions!$B$5)/30)*INDEX(Assumptions!$J$5:$J$12,MATCH($B1794,Assumptions!$D$5:$D$12,0))))</x:f>
        <x:v>1.0358</x:v>
      </x:c>
      <x:c r="L1794" t="str">
        <x:f>IF($A1794="","",IFERROR(INDEX(Assumptions!$O$5:$O$10,MATCH(1,(Assumptions!$P$5:$P$10=$B1794)*(Assumptions!$Q$5:$Q$10&lt;=$A1794)*(Assumptions!$R$5:$R$10&gt;=$A1794),0)),""))</x:f>
      </x:c>
      <x:c r="M1794" t="n">
        <x:f>--($A1794&lt;&gt;"")</x:f>
        <x:v>1</x:v>
      </x:c>
    </x:row>
    <x:row r="1795">
      <x:c r="A1795" s="10" t="n">
        <x:f>IF(Assumptions!$B$5+INT((ROW()-2)/Assumptions!$B$7)&gt;Assumptions!$B$6,"",Assumptions!$B$5+INT((ROW()-2)/Assumptions!$B$7))</x:f>
        <x:v>46381</x:v>
      </x:c>
      <x:c r="B1795" t="str">
        <x:f>IF($A1795="","",INDEX(Assumptions!$D$5:$D$12,MOD(ROW()-2,Assumptions!$B$7)+1))</x:f>
        <x:v>Hadley's Hope</x:v>
      </x:c>
      <x:c r="C1795" s="11" t="n">
        <x:f>IF($A1795="","",INDEX(Assumptions!$F$5:$F$12,MATCH($B1795,Assumptions!$D$5:$D$12,0)))</x:f>
        <x:v>845</x:v>
      </x:c>
      <x:c r="D1795" s="11" t="n">
        <x:f>IF($A1795="","",INDEX(Assumptions!$G$5:$G$12,MATCH($B1795,Assumptions!$D$5:$D$12,0)))</x:f>
        <x:v>80</x:v>
      </x:c>
      <x:c r="E1795" s="11" t="n">
        <x:f>IF($A1795="","",INDEX(Assumptions!$M$5:$M$11,WEEKDAY($A1795,2)))</x:f>
        <x:v>0.98</x:v>
      </x:c>
      <x:c r="F1795" s="11" t="n">
        <x:f>IF($A1795="","",Assumptions!$B$15)</x:f>
        <x:v>0.35</x:v>
      </x:c>
      <x:c r="G1795" s="11" t="n">
        <x:f>IF($A1795="","",MAX(INDEX(Assumptions!$H$5:$H$12,MATCH($B1795,Assumptions!$D$5:$D$12,0)),MIN(INDEX(Assumptions!$I$5:$I$12,MATCH($B1795,Assumptions!$D$5:$D$12,0)),($C1795+$D1795*SQRT(-2*LN(RAND()))*COS(2*PI()*RAND()))*$E1795*$J1795*$K1795)))</x:f>
        <x:v>900.8979970820077</x:v>
      </x:c>
      <x:c r="H1795" s="11" t="n">
        <x:f>IF($A1795="","",$G1795*$F1795+$C1795*(1-$F1795))</x:f>
        <x:v>864.5642989787027</x:v>
      </x:c>
      <x:c r="I1795" s="11" t="n">
        <x:f>IF($A1795="","",AVERAGE($H1795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849.5660777319973</x:v>
      </x:c>
      <x:c r="J1795" s="12" t="n">
        <x:f>IF($A1795="","",1+SUMIFS(Assumptions!$S$5:$S$10,Assumptions!$P$5:$P$10,$B1795,Assumptions!$Q$5:$Q$10,"&lt;="&amp;$A1795,Assumptions!$R$5:$R$10,"&gt;="&amp;$A1795))</x:f>
        <x:v>1</x:v>
      </x:c>
      <x:c r="K1795" s="12" t="n">
        <x:f>IF($A1795="","",1+((($A1795-Assumptions!$B$5)/30)*INDEX(Assumptions!$J$5:$J$12,MATCH($B1795,Assumptions!$D$5:$D$12,0))))</x:f>
        <x:v>1.0119333333333334</x:v>
      </x:c>
      <x:c r="L1795" t="str">
        <x:f>IF($A1795="","",IFERROR(INDEX(Assumptions!$O$5:$O$10,MATCH(1,(Assumptions!$P$5:$P$10=$B1795)*(Assumptions!$Q$5:$Q$10&lt;=$A1795)*(Assumptions!$R$5:$R$10&gt;=$A1795),0)),""))</x:f>
      </x:c>
      <x:c r="M1795" t="n">
        <x:f>--($A1795&lt;&gt;"")</x:f>
        <x:v>1</x:v>
      </x:c>
    </x:row>
    <x:row r="1796">
      <x:c r="A1796" s="10" t="n">
        <x:f>IF(Assumptions!$B$5+INT((ROW()-2)/Assumptions!$B$7)&gt;Assumptions!$B$6,"",Assumptions!$B$5+INT((ROW()-2)/Assumptions!$B$7))</x:f>
        <x:v>46381</x:v>
      </x:c>
      <x:c r="B1796" t="str">
        <x:f>IF($A1796="","",INDEX(Assumptions!$D$5:$D$12,MOD(ROW()-2,Assumptions!$B$7)+1))</x:f>
        <x:v>Yutani Ridge</x:v>
      </x:c>
      <x:c r="C1796" s="11" t="n">
        <x:f>IF($A1796="","",INDEX(Assumptions!$F$5:$F$12,MATCH($B1796,Assumptions!$D$5:$D$12,0)))</x:f>
        <x:v>1050</x:v>
      </x:c>
      <x:c r="D1796" s="11" t="n">
        <x:f>IF($A1796="","",INDEX(Assumptions!$G$5:$G$12,MATCH($B1796,Assumptions!$D$5:$D$12,0)))</x:f>
        <x:v>125</x:v>
      </x:c>
      <x:c r="E1796" s="11" t="n">
        <x:f>IF($A1796="","",INDEX(Assumptions!$M$5:$M$11,WEEKDAY($A1796,2)))</x:f>
        <x:v>0.98</x:v>
      </x:c>
      <x:c r="F1796" s="11" t="n">
        <x:f>IF($A1796="","",Assumptions!$B$15)</x:f>
        <x:v>0.35</x:v>
      </x:c>
      <x:c r="G1796" s="11" t="n">
        <x:f>IF($A1796="","",MAX(INDEX(Assumptions!$H$5:$H$12,MATCH($B1796,Assumptions!$D$5:$D$12,0)),MIN(INDEX(Assumptions!$I$5:$I$12,MATCH($B1796,Assumptions!$D$5:$D$12,0)),($C1796+$D1796*SQRT(-2*LN(RAND()))*COS(2*PI()*RAND()))*$E1796*$J1796*$K1796)))</x:f>
        <x:v>1311.3958678948309</x:v>
      </x:c>
      <x:c r="H1796" s="11" t="n">
        <x:f>IF($A1796="","",$G1796*$F1796+$C1796*(1-$F1796))</x:f>
        <x:v>1141.4885537631908</x:v>
      </x:c>
      <x:c r="I1796" s="11" t="n">
        <x:f>IF($A1796="","",AVERAGE($H1796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1068.7664795302696</x:v>
      </x:c>
      <x:c r="J1796" s="12" t="n">
        <x:f>IF($A1796="","",1+SUMIFS(Assumptions!$S$5:$S$10,Assumptions!$P$5:$P$10,$B1796,Assumptions!$Q$5:$Q$10,"&lt;="&amp;$A1796,Assumptions!$R$5:$R$10,"&gt;="&amp;$A1796))</x:f>
        <x:v>1</x:v>
      </x:c>
      <x:c r="K1796" s="12" t="n">
        <x:f>IF($A1796="","",1+((($A1796-Assumptions!$B$5)/30)*INDEX(Assumptions!$J$5:$J$12,MATCH($B1796,Assumptions!$D$5:$D$12,0))))</x:f>
        <x:v>1.0298333333333334</x:v>
      </x:c>
      <x:c r="L1796" t="str">
        <x:f>IF($A1796="","",IFERROR(INDEX(Assumptions!$O$5:$O$10,MATCH(1,(Assumptions!$P$5:$P$10=$B1796)*(Assumptions!$Q$5:$Q$10&lt;=$A1796)*(Assumptions!$R$5:$R$10&gt;=$A1796),0)),""))</x:f>
      </x:c>
      <x:c r="M1796" t="n">
        <x:f>--($A1796&lt;&gt;"")</x:f>
        <x:v>1</x:v>
      </x:c>
    </x:row>
    <x:row r="1797">
      <x:c r="A1797" s="10" t="n">
        <x:f>IF(Assumptions!$B$5+INT((ROW()-2)/Assumptions!$B$7)&gt;Assumptions!$B$6,"",Assumptions!$B$5+INT((ROW()-2)/Assumptions!$B$7))</x:f>
        <x:v>46382</x:v>
      </x:c>
      <x:c r="B1797" t="str">
        <x:f>IF($A1797="","",INDEX(Assumptions!$D$5:$D$12,MOD(ROW()-2,Assumptions!$B$7)+1))</x:f>
        <x:v>Acheron Prime</x:v>
      </x:c>
      <x:c r="C1797" s="11" t="n">
        <x:f>IF($A1797="","",INDEX(Assumptions!$F$5:$F$12,MATCH($B1797,Assumptions!$D$5:$D$12,0)))</x:f>
        <x:v>1120</x:v>
      </x:c>
      <x:c r="D1797" s="11" t="n">
        <x:f>IF($A1797="","",INDEX(Assumptions!$G$5:$G$12,MATCH($B1797,Assumptions!$D$5:$D$12,0)))</x:f>
        <x:v>115</x:v>
      </x:c>
      <x:c r="E1797" s="11" t="n">
        <x:f>IF($A1797="","",INDEX(Assumptions!$M$5:$M$11,WEEKDAY($A1797,2)))</x:f>
        <x:v>0.91</x:v>
      </x:c>
      <x:c r="F1797" s="11" t="n">
        <x:f>IF($A1797="","",Assumptions!$B$15)</x:f>
        <x:v>0.35</x:v>
      </x:c>
      <x:c r="G1797" s="11" t="n">
        <x:f>IF($A1797="","",MAX(INDEX(Assumptions!$H$5:$H$12,MATCH($B1797,Assumptions!$D$5:$D$12,0)),MIN(INDEX(Assumptions!$I$5:$I$12,MATCH($B1797,Assumptions!$D$5:$D$12,0)),($C1797+$D1797*SQRT(-2*LN(RAND()))*COS(2*PI()*RAND()))*$E1797*$J1797*$K1797)))</x:f>
        <x:v>1109.232810293907</x:v>
      </x:c>
      <x:c r="H1797" s="11" t="n">
        <x:f>IF($A1797="","",$G1797*$F1797+$C1797*(1-$F1797))</x:f>
        <x:v>1116.2314836028675</x:v>
      </x:c>
      <x:c r="I1797" s="11" t="n">
        <x:f>IF($A1797="","",AVERAGE($H1797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1141.8449067175386</x:v>
      </x:c>
      <x:c r="J1797" s="12" t="n">
        <x:f>IF($A1797="","",1+SUMIFS(Assumptions!$S$5:$S$10,Assumptions!$P$5:$P$10,$B1797,Assumptions!$Q$5:$Q$10,"&lt;="&amp;$A1797,Assumptions!$R$5:$R$10,"&gt;="&amp;$A1797))</x:f>
        <x:v>1</x:v>
      </x:c>
      <x:c r="K1797" s="12" t="n">
        <x:f>IF($A1797="","",1+((($A1797-Assumptions!$B$5)/30)*INDEX(Assumptions!$J$5:$J$12,MATCH($B1797,Assumptions!$D$5:$D$12,0))))</x:f>
        <x:v>1.0239333333333334</x:v>
      </x:c>
      <x:c r="L1797" t="str">
        <x:f>IF($A1797="","",IFERROR(INDEX(Assumptions!$O$5:$O$10,MATCH(1,(Assumptions!$P$5:$P$10=$B1797)*(Assumptions!$Q$5:$Q$10&lt;=$A1797)*(Assumptions!$R$5:$R$10&gt;=$A1797),0)),""))</x:f>
      </x:c>
      <x:c r="M1797" t="n">
        <x:f>--($A1797&lt;&gt;"")</x:f>
        <x:v>1</x:v>
      </x:c>
    </x:row>
    <x:row r="1798">
      <x:c r="A1798" s="10" t="n">
        <x:f>IF(Assumptions!$B$5+INT((ROW()-2)/Assumptions!$B$7)&gt;Assumptions!$B$6,"",Assumptions!$B$5+INT((ROW()-2)/Assumptions!$B$7))</x:f>
        <x:v>46382</x:v>
      </x:c>
      <x:c r="B1798" t="str">
        <x:f>IF($A1798="","",INDEX(Assumptions!$D$5:$D$12,MOD(ROW()-2,Assumptions!$B$7)+1))</x:f>
        <x:v>LV-426 North</x:v>
      </x:c>
      <x:c r="C1798" s="11" t="n">
        <x:f>IF($A1798="","",INDEX(Assumptions!$F$5:$F$12,MATCH($B1798,Assumptions!$D$5:$D$12,0)))</x:f>
        <x:v>930</x:v>
      </x:c>
      <x:c r="D1798" s="11" t="n">
        <x:f>IF($A1798="","",INDEX(Assumptions!$G$5:$G$12,MATCH($B1798,Assumptions!$D$5:$D$12,0)))</x:f>
        <x:v>95</x:v>
      </x:c>
      <x:c r="E1798" s="11" t="n">
        <x:f>IF($A1798="","",INDEX(Assumptions!$M$5:$M$11,WEEKDAY($A1798,2)))</x:f>
        <x:v>0.91</x:v>
      </x:c>
      <x:c r="F1798" s="11" t="n">
        <x:f>IF($A1798="","",Assumptions!$B$15)</x:f>
        <x:v>0.35</x:v>
      </x:c>
      <x:c r="G1798" s="11" t="n">
        <x:f>IF($A1798="","",MAX(INDEX(Assumptions!$H$5:$H$12,MATCH($B1798,Assumptions!$D$5:$D$12,0)),MIN(INDEX(Assumptions!$I$5:$I$12,MATCH($B1798,Assumptions!$D$5:$D$12,0)),($C1798+$D1798*SQRT(-2*LN(RAND()))*COS(2*PI()*RAND()))*$E1798*$J1798*$K1798)))</x:f>
        <x:v>801.2398327011423</x:v>
      </x:c>
      <x:c r="H1798" s="11" t="n">
        <x:f>IF($A1798="","",$G1798*$F1798+$C1798*(1-$F1798))</x:f>
        <x:v>884.9339414453998</x:v>
      </x:c>
      <x:c r="I1798" s="11" t="n">
        <x:f>IF($A1798="","",AVERAGE($H1798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906.1870052759026</x:v>
      </x:c>
      <x:c r="J1798" s="12" t="n">
        <x:f>IF($A1798="","",1+SUMIFS(Assumptions!$S$5:$S$10,Assumptions!$P$5:$P$10,$B1798,Assumptions!$Q$5:$Q$10,"&lt;="&amp;$A1798,Assumptions!$R$5:$R$10,"&gt;="&amp;$A1798))</x:f>
        <x:v>1</x:v>
      </x:c>
      <x:c r="K1798" s="12" t="n">
        <x:f>IF($A1798="","",1+((($A1798-Assumptions!$B$5)/30)*INDEX(Assumptions!$J$5:$J$12,MATCH($B1798,Assumptions!$D$5:$D$12,0))))</x:f>
        <x:v>0.9880333333333333</x:v>
      </x:c>
      <x:c r="L1798" t="str">
        <x:f>IF($A1798="","",IFERROR(INDEX(Assumptions!$O$5:$O$10,MATCH(1,(Assumptions!$P$5:$P$10=$B1798)*(Assumptions!$Q$5:$Q$10&lt;=$A1798)*(Assumptions!$R$5:$R$10&gt;=$A1798),0)),""))</x:f>
      </x:c>
      <x:c r="M1798" t="n">
        <x:f>--($A1798&lt;&gt;"")</x:f>
        <x:v>1</x:v>
      </x:c>
    </x:row>
    <x:row r="1799">
      <x:c r="A1799" s="10" t="n">
        <x:f>IF(Assumptions!$B$5+INT((ROW()-2)/Assumptions!$B$7)&gt;Assumptions!$B$6,"",Assumptions!$B$5+INT((ROW()-2)/Assumptions!$B$7))</x:f>
        <x:v>46382</x:v>
      </x:c>
      <x:c r="B1799" t="str">
        <x:f>IF($A1799="","",INDEX(Assumptions!$D$5:$D$12,MOD(ROW()-2,Assumptions!$B$7)+1))</x:f>
        <x:v>Nostromo Deep</x:v>
      </x:c>
      <x:c r="C1799" s="11" t="n">
        <x:f>IF($A1799="","",INDEX(Assumptions!$F$5:$F$12,MATCH($B1799,Assumptions!$D$5:$D$12,0)))</x:f>
        <x:v>1260</x:v>
      </x:c>
      <x:c r="D1799" s="11" t="n">
        <x:f>IF($A1799="","",INDEX(Assumptions!$G$5:$G$12,MATCH($B1799,Assumptions!$D$5:$D$12,0)))</x:f>
        <x:v>145</x:v>
      </x:c>
      <x:c r="E1799" s="11" t="n">
        <x:f>IF($A1799="","",INDEX(Assumptions!$M$5:$M$11,WEEKDAY($A1799,2)))</x:f>
        <x:v>0.91</x:v>
      </x:c>
      <x:c r="F1799" s="11" t="n">
        <x:f>IF($A1799="","",Assumptions!$B$15)</x:f>
        <x:v>0.35</x:v>
      </x:c>
      <x:c r="G1799" s="11" t="n">
        <x:f>IF($A1799="","",MAX(INDEX(Assumptions!$H$5:$H$12,MATCH($B1799,Assumptions!$D$5:$D$12,0)),MIN(INDEX(Assumptions!$I$5:$I$12,MATCH($B1799,Assumptions!$D$5:$D$12,0)),($C1799+$D1799*SQRT(-2*LN(RAND()))*COS(2*PI()*RAND()))*$E1799*$J1799*$K1799)))</x:f>
        <x:v>1247.589366557986</x:v>
      </x:c>
      <x:c r="H1799" s="11" t="n">
        <x:f>IF($A1799="","",$G1799*$F1799+$C1799*(1-$F1799))</x:f>
        <x:v>1255.6562782952951</x:v>
      </x:c>
      <x:c r="I1799" s="11" t="n">
        <x:f>IF($A1799="","",AVERAGE($H1799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1263.3590243150343</x:v>
      </x:c>
      <x:c r="J1799" s="12" t="n">
        <x:f>IF($A1799="","",1+SUMIFS(Assumptions!$S$5:$S$10,Assumptions!$P$5:$P$10,$B1799,Assumptions!$Q$5:$Q$10,"&lt;="&amp;$A1799,Assumptions!$R$5:$R$10,"&gt;="&amp;$A1799))</x:f>
        <x:v>1</x:v>
      </x:c>
      <x:c r="K1799" s="12" t="n">
        <x:f>IF($A1799="","",1+((($A1799-Assumptions!$B$5)/30)*INDEX(Assumptions!$J$5:$J$12,MATCH($B1799,Assumptions!$D$5:$D$12,0))))</x:f>
        <x:v>1.0359</x:v>
      </x:c>
      <x:c r="L1799" t="str">
        <x:f>IF($A1799="","",IFERROR(INDEX(Assumptions!$O$5:$O$10,MATCH(1,(Assumptions!$P$5:$P$10=$B1799)*(Assumptions!$Q$5:$Q$10&lt;=$A1799)*(Assumptions!$R$5:$R$10&gt;=$A1799),0)),""))</x:f>
      </x:c>
      <x:c r="M1799" t="n">
        <x:f>--($A1799&lt;&gt;"")</x:f>
        <x:v>1</x:v>
      </x:c>
    </x:row>
    <x:row r="1800">
      <x:c r="A1800" s="10" t="n">
        <x:f>IF(Assumptions!$B$5+INT((ROW()-2)/Assumptions!$B$7)&gt;Assumptions!$B$6,"",Assumptions!$B$5+INT((ROW()-2)/Assumptions!$B$7))</x:f>
        <x:v>46382</x:v>
      </x:c>
      <x:c r="B1800" t="str">
        <x:f>IF($A1800="","",INDEX(Assumptions!$D$5:$D$12,MOD(ROW()-2,Assumptions!$B$7)+1))</x:f>
        <x:v>Hadley's Hope</x:v>
      </x:c>
      <x:c r="C1800" s="11" t="n">
        <x:f>IF($A1800="","",INDEX(Assumptions!$F$5:$F$12,MATCH($B1800,Assumptions!$D$5:$D$12,0)))</x:f>
        <x:v>845</x:v>
      </x:c>
      <x:c r="D1800" s="11" t="n">
        <x:f>IF($A1800="","",INDEX(Assumptions!$G$5:$G$12,MATCH($B1800,Assumptions!$D$5:$D$12,0)))</x:f>
        <x:v>80</x:v>
      </x:c>
      <x:c r="E1800" s="11" t="n">
        <x:f>IF($A1800="","",INDEX(Assumptions!$M$5:$M$11,WEEKDAY($A1800,2)))</x:f>
        <x:v>0.91</x:v>
      </x:c>
      <x:c r="F1800" s="11" t="n">
        <x:f>IF($A1800="","",Assumptions!$B$15)</x:f>
        <x:v>0.35</x:v>
      </x:c>
      <x:c r="G1800" s="11" t="n">
        <x:f>IF($A1800="","",MAX(INDEX(Assumptions!$H$5:$H$12,MATCH($B1800,Assumptions!$D$5:$D$12,0)),MIN(INDEX(Assumptions!$I$5:$I$12,MATCH($B1800,Assumptions!$D$5:$D$12,0)),($C1800+$D1800*SQRT(-2*LN(RAND()))*COS(2*PI()*RAND()))*$E1800*$J1800*$K1800)))</x:f>
        <x:v>669.7186923929949</x:v>
      </x:c>
      <x:c r="H1800" s="11" t="n">
        <x:f>IF($A1800="","",$G1800*$F1800+$C1800*(1-$F1800))</x:f>
        <x:v>783.6515423375482</x:v>
      </x:c>
      <x:c r="I1800" s="11" t="n">
        <x:f>IF($A1800="","",AVERAGE($H1800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848.4322022988066</x:v>
      </x:c>
      <x:c r="J1800" s="12" t="n">
        <x:f>IF($A1800="","",1+SUMIFS(Assumptions!$S$5:$S$10,Assumptions!$P$5:$P$10,$B1800,Assumptions!$Q$5:$Q$10,"&lt;="&amp;$A1800,Assumptions!$R$5:$R$10,"&gt;="&amp;$A1800))</x:f>
        <x:v>1</x:v>
      </x:c>
      <x:c r="K1800" s="12" t="n">
        <x:f>IF($A1800="","",1+((($A1800-Assumptions!$B$5)/30)*INDEX(Assumptions!$J$5:$J$12,MATCH($B1800,Assumptions!$D$5:$D$12,0))))</x:f>
        <x:v>1.0119666666666667</x:v>
      </x:c>
      <x:c r="L1800" t="str">
        <x:f>IF($A1800="","",IFERROR(INDEX(Assumptions!$O$5:$O$10,MATCH(1,(Assumptions!$P$5:$P$10=$B1800)*(Assumptions!$Q$5:$Q$10&lt;=$A1800)*(Assumptions!$R$5:$R$10&gt;=$A1800),0)),""))</x:f>
      </x:c>
      <x:c r="M1800" t="n">
        <x:f>--($A1800&lt;&gt;"")</x:f>
        <x:v>1</x:v>
      </x:c>
    </x:row>
    <x:row r="1801">
      <x:c r="A1801" s="10" t="n">
        <x:f>IF(Assumptions!$B$5+INT((ROW()-2)/Assumptions!$B$7)&gt;Assumptions!$B$6,"",Assumptions!$B$5+INT((ROW()-2)/Assumptions!$B$7))</x:f>
        <x:v>46382</x:v>
      </x:c>
      <x:c r="B1801" t="str">
        <x:f>IF($A1801="","",INDEX(Assumptions!$D$5:$D$12,MOD(ROW()-2,Assumptions!$B$7)+1))</x:f>
        <x:v>Yutani Ridge</x:v>
      </x:c>
      <x:c r="C1801" s="11" t="n">
        <x:f>IF($A1801="","",INDEX(Assumptions!$F$5:$F$12,MATCH($B1801,Assumptions!$D$5:$D$12,0)))</x:f>
        <x:v>1050</x:v>
      </x:c>
      <x:c r="D1801" s="11" t="n">
        <x:f>IF($A1801="","",INDEX(Assumptions!$G$5:$G$12,MATCH($B1801,Assumptions!$D$5:$D$12,0)))</x:f>
        <x:v>125</x:v>
      </x:c>
      <x:c r="E1801" s="11" t="n">
        <x:f>IF($A1801="","",INDEX(Assumptions!$M$5:$M$11,WEEKDAY($A1801,2)))</x:f>
        <x:v>0.91</x:v>
      </x:c>
      <x:c r="F1801" s="11" t="n">
        <x:f>IF($A1801="","",Assumptions!$B$15)</x:f>
        <x:v>0.35</x:v>
      </x:c>
      <x:c r="G1801" s="11" t="n">
        <x:f>IF($A1801="","",MAX(INDEX(Assumptions!$H$5:$H$12,MATCH($B1801,Assumptions!$D$5:$D$12,0)),MIN(INDEX(Assumptions!$I$5:$I$12,MATCH($B1801,Assumptions!$D$5:$D$12,0)),($C1801+$D1801*SQRT(-2*LN(RAND()))*COS(2*PI()*RAND()))*$E1801*$J1801*$K1801)))</x:f>
        <x:v>983.2859004089598</x:v>
      </x:c>
      <x:c r="H1801" s="11" t="n">
        <x:f>IF($A1801="","",$G1801*$F1801+$C1801*(1-$F1801))</x:f>
        <x:v>1026.6500651431359</x:v>
      </x:c>
      <x:c r="I1801" s="11" t="n">
        <x:f>IF($A1801="","",AVERAGE($H1801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1070.9999121107105</x:v>
      </x:c>
      <x:c r="J1801" s="12" t="n">
        <x:f>IF($A1801="","",1+SUMIFS(Assumptions!$S$5:$S$10,Assumptions!$P$5:$P$10,$B1801,Assumptions!$Q$5:$Q$10,"&lt;="&amp;$A1801,Assumptions!$R$5:$R$10,"&gt;="&amp;$A1801))</x:f>
        <x:v>1</x:v>
      </x:c>
      <x:c r="K1801" s="12" t="n">
        <x:f>IF($A1801="","",1+((($A1801-Assumptions!$B$5)/30)*INDEX(Assumptions!$J$5:$J$12,MATCH($B1801,Assumptions!$D$5:$D$12,0))))</x:f>
        <x:v>1.0299166666666666</x:v>
      </x:c>
      <x:c r="L1801" t="str">
        <x:f>IF($A1801="","",IFERROR(INDEX(Assumptions!$O$5:$O$10,MATCH(1,(Assumptions!$P$5:$P$10=$B1801)*(Assumptions!$Q$5:$Q$10&lt;=$A1801)*(Assumptions!$R$5:$R$10&gt;=$A1801),0)),""))</x:f>
      </x:c>
      <x:c r="M1801" t="n">
        <x:f>--($A1801&lt;&gt;"")</x:f>
        <x:v>1</x:v>
      </x:c>
    </x:row>
    <x:row r="1802">
      <x:c r="A1802" s="10" t="n">
        <x:f>IF(Assumptions!$B$5+INT((ROW()-2)/Assumptions!$B$7)&gt;Assumptions!$B$6,"",Assumptions!$B$5+INT((ROW()-2)/Assumptions!$B$7))</x:f>
        <x:v>46383</x:v>
      </x:c>
      <x:c r="B1802" t="str">
        <x:f>IF($A1802="","",INDEX(Assumptions!$D$5:$D$12,MOD(ROW()-2,Assumptions!$B$7)+1))</x:f>
        <x:v>Acheron Prime</x:v>
      </x:c>
      <x:c r="C1802" s="11" t="n">
        <x:f>IF($A1802="","",INDEX(Assumptions!$F$5:$F$12,MATCH($B1802,Assumptions!$D$5:$D$12,0)))</x:f>
        <x:v>1120</x:v>
      </x:c>
      <x:c r="D1802" s="11" t="n">
        <x:f>IF($A1802="","",INDEX(Assumptions!$G$5:$G$12,MATCH($B1802,Assumptions!$D$5:$D$12,0)))</x:f>
        <x:v>115</x:v>
      </x:c>
      <x:c r="E1802" s="11" t="n">
        <x:f>IF($A1802="","",INDEX(Assumptions!$M$5:$M$11,WEEKDAY($A1802,2)))</x:f>
        <x:v>0.87</x:v>
      </x:c>
      <x:c r="F1802" s="11" t="n">
        <x:f>IF($A1802="","",Assumptions!$B$15)</x:f>
        <x:v>0.35</x:v>
      </x:c>
      <x:c r="G1802" s="11" t="n">
        <x:f>IF($A1802="","",MAX(INDEX(Assumptions!$H$5:$H$12,MATCH($B1802,Assumptions!$D$5:$D$12,0)),MIN(INDEX(Assumptions!$I$5:$I$12,MATCH($B1802,Assumptions!$D$5:$D$12,0)),($C1802+$D1802*SQRT(-2*LN(RAND()))*COS(2*PI()*RAND()))*$E1802*$J1802*$K1802)))</x:f>
        <x:v>1117.9015675215069</x:v>
      </x:c>
      <x:c r="H1802" s="11" t="n">
        <x:f>IF($A1802="","",$G1802*$F1802+$C1802*(1-$F1802))</x:f>
        <x:v>1119.2655486325275</x:v>
      </x:c>
      <x:c r="I1802" s="11" t="n">
        <x:f>IF($A1802="","",AVERAGE($H1802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1156.3523611041644</x:v>
      </x:c>
      <x:c r="J1802" s="12" t="n">
        <x:f>IF($A1802="","",1+SUMIFS(Assumptions!$S$5:$S$10,Assumptions!$P$5:$P$10,$B1802,Assumptions!$Q$5:$Q$10,"&lt;="&amp;$A1802,Assumptions!$R$5:$R$10,"&gt;="&amp;$A1802))</x:f>
        <x:v>1</x:v>
      </x:c>
      <x:c r="K1802" s="12" t="n">
        <x:f>IF($A1802="","",1+((($A1802-Assumptions!$B$5)/30)*INDEX(Assumptions!$J$5:$J$12,MATCH($B1802,Assumptions!$D$5:$D$12,0))))</x:f>
        <x:v>1.024</x:v>
      </x:c>
      <x:c r="L1802" t="str">
        <x:f>IF($A1802="","",IFERROR(INDEX(Assumptions!$O$5:$O$10,MATCH(1,(Assumptions!$P$5:$P$10=$B1802)*(Assumptions!$Q$5:$Q$10&lt;=$A1802)*(Assumptions!$R$5:$R$10&gt;=$A1802),0)),""))</x:f>
      </x:c>
      <x:c r="M1802" t="n">
        <x:f>--($A1802&lt;&gt;"")</x:f>
        <x:v>1</x:v>
      </x:c>
    </x:row>
    <x:row r="1803">
      <x:c r="A1803" s="10" t="n">
        <x:f>IF(Assumptions!$B$5+INT((ROW()-2)/Assumptions!$B$7)&gt;Assumptions!$B$6,"",Assumptions!$B$5+INT((ROW()-2)/Assumptions!$B$7))</x:f>
        <x:v>46383</x:v>
      </x:c>
      <x:c r="B1803" t="str">
        <x:f>IF($A1803="","",INDEX(Assumptions!$D$5:$D$12,MOD(ROW()-2,Assumptions!$B$7)+1))</x:f>
        <x:v>LV-426 North</x:v>
      </x:c>
      <x:c r="C1803" s="11" t="n">
        <x:f>IF($A1803="","",INDEX(Assumptions!$F$5:$F$12,MATCH($B1803,Assumptions!$D$5:$D$12,0)))</x:f>
        <x:v>930</x:v>
      </x:c>
      <x:c r="D1803" s="11" t="n">
        <x:f>IF($A1803="","",INDEX(Assumptions!$G$5:$G$12,MATCH($B1803,Assumptions!$D$5:$D$12,0)))</x:f>
        <x:v>95</x:v>
      </x:c>
      <x:c r="E1803" s="11" t="n">
        <x:f>IF($A1803="","",INDEX(Assumptions!$M$5:$M$11,WEEKDAY($A1803,2)))</x:f>
        <x:v>0.87</x:v>
      </x:c>
      <x:c r="F1803" s="11" t="n">
        <x:f>IF($A1803="","",Assumptions!$B$15)</x:f>
        <x:v>0.35</x:v>
      </x:c>
      <x:c r="G1803" s="11" t="n">
        <x:f>IF($A1803="","",MAX(INDEX(Assumptions!$H$5:$H$12,MATCH($B1803,Assumptions!$D$5:$D$12,0)),MIN(INDEX(Assumptions!$I$5:$I$12,MATCH($B1803,Assumptions!$D$5:$D$12,0)),($C1803+$D1803*SQRT(-2*LN(RAND()))*COS(2*PI()*RAND()))*$E1803*$J1803*$K1803)))</x:f>
        <x:v>768.2974973139626</x:v>
      </x:c>
      <x:c r="H1803" s="11" t="n">
        <x:f>IF($A1803="","",$G1803*$F1803+$C1803*(1-$F1803))</x:f>
        <x:v>873.404124059887</x:v>
      </x:c>
      <x:c r="I1803" s="11" t="n">
        <x:f>IF($A1803="","",AVERAGE($H1803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904.0260072019101</x:v>
      </x:c>
      <x:c r="J1803" s="12" t="n">
        <x:f>IF($A1803="","",1+SUMIFS(Assumptions!$S$5:$S$10,Assumptions!$P$5:$P$10,$B1803,Assumptions!$Q$5:$Q$10,"&lt;="&amp;$A1803,Assumptions!$R$5:$R$10,"&gt;="&amp;$A1803))</x:f>
        <x:v>1</x:v>
      </x:c>
      <x:c r="K1803" s="12" t="n">
        <x:f>IF($A1803="","",1+((($A1803-Assumptions!$B$5)/30)*INDEX(Assumptions!$J$5:$J$12,MATCH($B1803,Assumptions!$D$5:$D$12,0))))</x:f>
        <x:v>0.988</x:v>
      </x:c>
      <x:c r="L1803" t="str">
        <x:f>IF($A1803="","",IFERROR(INDEX(Assumptions!$O$5:$O$10,MATCH(1,(Assumptions!$P$5:$P$10=$B1803)*(Assumptions!$Q$5:$Q$10&lt;=$A1803)*(Assumptions!$R$5:$R$10&gt;=$A1803),0)),""))</x:f>
      </x:c>
      <x:c r="M1803" t="n">
        <x:f>--($A1803&lt;&gt;"")</x:f>
        <x:v>1</x:v>
      </x:c>
    </x:row>
    <x:row r="1804">
      <x:c r="A1804" s="10" t="n">
        <x:f>IF(Assumptions!$B$5+INT((ROW()-2)/Assumptions!$B$7)&gt;Assumptions!$B$6,"",Assumptions!$B$5+INT((ROW()-2)/Assumptions!$B$7))</x:f>
        <x:v>46383</x:v>
      </x:c>
      <x:c r="B1804" t="str">
        <x:f>IF($A1804="","",INDEX(Assumptions!$D$5:$D$12,MOD(ROW()-2,Assumptions!$B$7)+1))</x:f>
        <x:v>Nostromo Deep</x:v>
      </x:c>
      <x:c r="C1804" s="11" t="n">
        <x:f>IF($A1804="","",INDEX(Assumptions!$F$5:$F$12,MATCH($B1804,Assumptions!$D$5:$D$12,0)))</x:f>
        <x:v>1260</x:v>
      </x:c>
      <x:c r="D1804" s="11" t="n">
        <x:f>IF($A1804="","",INDEX(Assumptions!$G$5:$G$12,MATCH($B1804,Assumptions!$D$5:$D$12,0)))</x:f>
        <x:v>145</x:v>
      </x:c>
      <x:c r="E1804" s="11" t="n">
        <x:f>IF($A1804="","",INDEX(Assumptions!$M$5:$M$11,WEEKDAY($A1804,2)))</x:f>
        <x:v>0.87</x:v>
      </x:c>
      <x:c r="F1804" s="11" t="n">
        <x:f>IF($A1804="","",Assumptions!$B$15)</x:f>
        <x:v>0.35</x:v>
      </x:c>
      <x:c r="G1804" s="11" t="n">
        <x:f>IF($A1804="","",MAX(INDEX(Assumptions!$H$5:$H$12,MATCH($B1804,Assumptions!$D$5:$D$12,0)),MIN(INDEX(Assumptions!$I$5:$I$12,MATCH($B1804,Assumptions!$D$5:$D$12,0)),($C1804+$D1804*SQRT(-2*LN(RAND()))*COS(2*PI()*RAND()))*$E1804*$J1804*$K1804)))</x:f>
        <x:v>1188.0858106932444</x:v>
      </x:c>
      <x:c r="H1804" s="11" t="n">
        <x:f>IF($A1804="","",$G1804*$F1804+$C1804*(1-$F1804))</x:f>
        <x:v>1234.8300337426356</x:v>
      </x:c>
      <x:c r="I1804" s="11" t="n">
        <x:f>IF($A1804="","",AVERAGE($H1804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1271.5253005848715</x:v>
      </x:c>
      <x:c r="J1804" s="12" t="n">
        <x:f>IF($A1804="","",1+SUMIFS(Assumptions!$S$5:$S$10,Assumptions!$P$5:$P$10,$B1804,Assumptions!$Q$5:$Q$10,"&lt;="&amp;$A1804,Assumptions!$R$5:$R$10,"&gt;="&amp;$A1804))</x:f>
        <x:v>1</x:v>
      </x:c>
      <x:c r="K1804" s="12" t="n">
        <x:f>IF($A1804="","",1+((($A1804-Assumptions!$B$5)/30)*INDEX(Assumptions!$J$5:$J$12,MATCH($B1804,Assumptions!$D$5:$D$12,0))))</x:f>
        <x:v>1.036</x:v>
      </x:c>
      <x:c r="L1804" t="str">
        <x:f>IF($A1804="","",IFERROR(INDEX(Assumptions!$O$5:$O$10,MATCH(1,(Assumptions!$P$5:$P$10=$B1804)*(Assumptions!$Q$5:$Q$10&lt;=$A1804)*(Assumptions!$R$5:$R$10&gt;=$A1804),0)),""))</x:f>
      </x:c>
      <x:c r="M1804" t="n">
        <x:f>--($A1804&lt;&gt;"")</x:f>
        <x:v>1</x:v>
      </x:c>
    </x:row>
    <x:row r="1805">
      <x:c r="A1805" s="10" t="n">
        <x:f>IF(Assumptions!$B$5+INT((ROW()-2)/Assumptions!$B$7)&gt;Assumptions!$B$6,"",Assumptions!$B$5+INT((ROW()-2)/Assumptions!$B$7))</x:f>
        <x:v>46383</x:v>
      </x:c>
      <x:c r="B1805" t="str">
        <x:f>IF($A1805="","",INDEX(Assumptions!$D$5:$D$12,MOD(ROW()-2,Assumptions!$B$7)+1))</x:f>
        <x:v>Hadley's Hope</x:v>
      </x:c>
      <x:c r="C1805" s="11" t="n">
        <x:f>IF($A1805="","",INDEX(Assumptions!$F$5:$F$12,MATCH($B1805,Assumptions!$D$5:$D$12,0)))</x:f>
        <x:v>845</x:v>
      </x:c>
      <x:c r="D1805" s="11" t="n">
        <x:f>IF($A1805="","",INDEX(Assumptions!$G$5:$G$12,MATCH($B1805,Assumptions!$D$5:$D$12,0)))</x:f>
        <x:v>80</x:v>
      </x:c>
      <x:c r="E1805" s="11" t="n">
        <x:f>IF($A1805="","",INDEX(Assumptions!$M$5:$M$11,WEEKDAY($A1805,2)))</x:f>
        <x:v>0.87</x:v>
      </x:c>
      <x:c r="F1805" s="11" t="n">
        <x:f>IF($A1805="","",Assumptions!$B$15)</x:f>
        <x:v>0.35</x:v>
      </x:c>
      <x:c r="G1805" s="11" t="n">
        <x:f>IF($A1805="","",MAX(INDEX(Assumptions!$H$5:$H$12,MATCH($B1805,Assumptions!$D$5:$D$12,0)),MIN(INDEX(Assumptions!$I$5:$I$12,MATCH($B1805,Assumptions!$D$5:$D$12,0)),($C1805+$D1805*SQRT(-2*LN(RAND()))*COS(2*PI()*RAND()))*$E1805*$J1805*$K1805)))</x:f>
        <x:v>745.9006187867384</x:v>
      </x:c>
      <x:c r="H1805" s="11" t="n">
        <x:f>IF($A1805="","",$G1805*$F1805+$C1805*(1-$F1805))</x:f>
        <x:v>810.3152165753584</x:v>
      </x:c>
      <x:c r="I1805" s="11" t="n">
        <x:f>IF($A1805="","",AVERAGE($H1805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841.7594282299488</x:v>
      </x:c>
      <x:c r="J1805" s="12" t="n">
        <x:f>IF($A1805="","",1+SUMIFS(Assumptions!$S$5:$S$10,Assumptions!$P$5:$P$10,$B1805,Assumptions!$Q$5:$Q$10,"&lt;="&amp;$A1805,Assumptions!$R$5:$R$10,"&gt;="&amp;$A1805))</x:f>
        <x:v>1</x:v>
      </x:c>
      <x:c r="K1805" s="12" t="n">
        <x:f>IF($A1805="","",1+((($A1805-Assumptions!$B$5)/30)*INDEX(Assumptions!$J$5:$J$12,MATCH($B1805,Assumptions!$D$5:$D$12,0))))</x:f>
        <x:v>1.012</x:v>
      </x:c>
      <x:c r="L1805" t="str">
        <x:f>IF($A1805="","",IFERROR(INDEX(Assumptions!$O$5:$O$10,MATCH(1,(Assumptions!$P$5:$P$10=$B1805)*(Assumptions!$Q$5:$Q$10&lt;=$A1805)*(Assumptions!$R$5:$R$10&gt;=$A1805),0)),""))</x:f>
      </x:c>
      <x:c r="M1805" t="n">
        <x:f>--($A1805&lt;&gt;"")</x:f>
        <x:v>1</x:v>
      </x:c>
    </x:row>
    <x:row r="1806">
      <x:c r="A1806" s="10" t="n">
        <x:f>IF(Assumptions!$B$5+INT((ROW()-2)/Assumptions!$B$7)&gt;Assumptions!$B$6,"",Assumptions!$B$5+INT((ROW()-2)/Assumptions!$B$7))</x:f>
        <x:v>46383</x:v>
      </x:c>
      <x:c r="B1806" t="str">
        <x:f>IF($A1806="","",INDEX(Assumptions!$D$5:$D$12,MOD(ROW()-2,Assumptions!$B$7)+1))</x:f>
        <x:v>Yutani Ridge</x:v>
      </x:c>
      <x:c r="C1806" s="11" t="n">
        <x:f>IF($A1806="","",INDEX(Assumptions!$F$5:$F$12,MATCH($B1806,Assumptions!$D$5:$D$12,0)))</x:f>
        <x:v>1050</x:v>
      </x:c>
      <x:c r="D1806" s="11" t="n">
        <x:f>IF($A1806="","",INDEX(Assumptions!$G$5:$G$12,MATCH($B1806,Assumptions!$D$5:$D$12,0)))</x:f>
        <x:v>125</x:v>
      </x:c>
      <x:c r="E1806" s="11" t="n">
        <x:f>IF($A1806="","",INDEX(Assumptions!$M$5:$M$11,WEEKDAY($A1806,2)))</x:f>
        <x:v>0.87</x:v>
      </x:c>
      <x:c r="F1806" s="11" t="n">
        <x:f>IF($A1806="","",Assumptions!$B$15)</x:f>
        <x:v>0.35</x:v>
      </x:c>
      <x:c r="G1806" s="11" t="n">
        <x:f>IF($A1806="","",MAX(INDEX(Assumptions!$H$5:$H$12,MATCH($B1806,Assumptions!$D$5:$D$12,0)),MIN(INDEX(Assumptions!$I$5:$I$12,MATCH($B1806,Assumptions!$D$5:$D$12,0)),($C1806+$D1806*SQRT(-2*LN(RAND()))*COS(2*PI()*RAND()))*$E1806*$J1806*$K1806)))</x:f>
        <x:v>950.825634445946</x:v>
      </x:c>
      <x:c r="H1806" s="11" t="n">
        <x:f>IF($A1806="","",$G1806*$F1806+$C1806*(1-$F1806))</x:f>
        <x:v>1015.2889720560811</x:v>
      </x:c>
      <x:c r="I1806" s="11" t="n">
        <x:f>IF($A1806="","",AVERAGE($H1806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1072.5118433458006</x:v>
      </x:c>
      <x:c r="J1806" s="12" t="n">
        <x:f>IF($A1806="","",1+SUMIFS(Assumptions!$S$5:$S$10,Assumptions!$P$5:$P$10,$B1806,Assumptions!$Q$5:$Q$10,"&lt;="&amp;$A1806,Assumptions!$R$5:$R$10,"&gt;="&amp;$A1806))</x:f>
        <x:v>1</x:v>
      </x:c>
      <x:c r="K1806" s="12" t="n">
        <x:f>IF($A1806="","",1+((($A1806-Assumptions!$B$5)/30)*INDEX(Assumptions!$J$5:$J$12,MATCH($B1806,Assumptions!$D$5:$D$12,0))))</x:f>
        <x:v>1.03</x:v>
      </x:c>
      <x:c r="L1806" t="str">
        <x:f>IF($A1806="","",IFERROR(INDEX(Assumptions!$O$5:$O$10,MATCH(1,(Assumptions!$P$5:$P$10=$B1806)*(Assumptions!$Q$5:$Q$10&lt;=$A1806)*(Assumptions!$R$5:$R$10&gt;=$A1806),0)),""))</x:f>
      </x:c>
      <x:c r="M1806" t="n">
        <x:f>--($A1806&lt;&gt;"")</x:f>
        <x:v>1</x:v>
      </x:c>
    </x:row>
    <x:row r="1807">
      <x:c r="A1807" s="10" t="n">
        <x:f>IF(Assumptions!$B$5+INT((ROW()-2)/Assumptions!$B$7)&gt;Assumptions!$B$6,"",Assumptions!$B$5+INT((ROW()-2)/Assumptions!$B$7))</x:f>
        <x:v>46384</x:v>
      </x:c>
      <x:c r="B1807" t="str">
        <x:f>IF($A1807="","",INDEX(Assumptions!$D$5:$D$12,MOD(ROW()-2,Assumptions!$B$7)+1))</x:f>
        <x:v>Acheron Prime</x:v>
      </x:c>
      <x:c r="C1807" s="11" t="n">
        <x:f>IF($A1807="","",INDEX(Assumptions!$F$5:$F$12,MATCH($B1807,Assumptions!$D$5:$D$12,0)))</x:f>
        <x:v>1120</x:v>
      </x:c>
      <x:c r="D1807" s="11" t="n">
        <x:f>IF($A1807="","",INDEX(Assumptions!$G$5:$G$12,MATCH($B1807,Assumptions!$D$5:$D$12,0)))</x:f>
        <x:v>115</x:v>
      </x:c>
      <x:c r="E1807" s="11" t="n">
        <x:f>IF($A1807="","",INDEX(Assumptions!$M$5:$M$11,WEEKDAY($A1807,2)))</x:f>
        <x:v>1.03</x:v>
      </x:c>
      <x:c r="F1807" s="11" t="n">
        <x:f>IF($A1807="","",Assumptions!$B$15)</x:f>
        <x:v>0.35</x:v>
      </x:c>
      <x:c r="G1807" s="11" t="n">
        <x:f>IF($A1807="","",MAX(INDEX(Assumptions!$H$5:$H$12,MATCH($B1807,Assumptions!$D$5:$D$12,0)),MIN(INDEX(Assumptions!$I$5:$I$12,MATCH($B1807,Assumptions!$D$5:$D$12,0)),($C1807+$D1807*SQRT(-2*LN(RAND()))*COS(2*PI()*RAND()))*$E1807*$J1807*$K1807)))</x:f>
        <x:v>1215.778042114402</x:v>
      </x:c>
      <x:c r="H1807" s="11" t="n">
        <x:f>IF($A1807="","",$G1807*$F1807+$C1807*(1-$F1807))</x:f>
        <x:v>1153.5223147400407</x:v>
      </x:c>
      <x:c r="I1807" s="11" t="n">
        <x:f>IF($A1807="","",AVERAGE($H1807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1156.168572513172</x:v>
      </x:c>
      <x:c r="J1807" s="12" t="n">
        <x:f>IF($A1807="","",1+SUMIFS(Assumptions!$S$5:$S$10,Assumptions!$P$5:$P$10,$B1807,Assumptions!$Q$5:$Q$10,"&lt;="&amp;$A1807,Assumptions!$R$5:$R$10,"&gt;="&amp;$A1807))</x:f>
        <x:v>1</x:v>
      </x:c>
      <x:c r="K1807" s="12" t="n">
        <x:f>IF($A1807="","",1+((($A1807-Assumptions!$B$5)/30)*INDEX(Assumptions!$J$5:$J$12,MATCH($B1807,Assumptions!$D$5:$D$12,0))))</x:f>
        <x:v>1.0240666666666667</x:v>
      </x:c>
      <x:c r="L1807" t="str">
        <x:f>IF($A1807="","",IFERROR(INDEX(Assumptions!$O$5:$O$10,MATCH(1,(Assumptions!$P$5:$P$10=$B1807)*(Assumptions!$Q$5:$Q$10&lt;=$A1807)*(Assumptions!$R$5:$R$10&gt;=$A1807),0)),""))</x:f>
      </x:c>
      <x:c r="M1807" t="n">
        <x:f>--($A1807&lt;&gt;"")</x:f>
        <x:v>1</x:v>
      </x:c>
    </x:row>
    <x:row r="1808">
      <x:c r="A1808" s="10" t="n">
        <x:f>IF(Assumptions!$B$5+INT((ROW()-2)/Assumptions!$B$7)&gt;Assumptions!$B$6,"",Assumptions!$B$5+INT((ROW()-2)/Assumptions!$B$7))</x:f>
        <x:v>46384</x:v>
      </x:c>
      <x:c r="B1808" t="str">
        <x:f>IF($A1808="","",INDEX(Assumptions!$D$5:$D$12,MOD(ROW()-2,Assumptions!$B$7)+1))</x:f>
        <x:v>LV-426 North</x:v>
      </x:c>
      <x:c r="C1808" s="11" t="n">
        <x:f>IF($A1808="","",INDEX(Assumptions!$F$5:$F$12,MATCH($B1808,Assumptions!$D$5:$D$12,0)))</x:f>
        <x:v>930</x:v>
      </x:c>
      <x:c r="D1808" s="11" t="n">
        <x:f>IF($A1808="","",INDEX(Assumptions!$G$5:$G$12,MATCH($B1808,Assumptions!$D$5:$D$12,0)))</x:f>
        <x:v>95</x:v>
      </x:c>
      <x:c r="E1808" s="11" t="n">
        <x:f>IF($A1808="","",INDEX(Assumptions!$M$5:$M$11,WEEKDAY($A1808,2)))</x:f>
        <x:v>1.03</x:v>
      </x:c>
      <x:c r="F1808" s="11" t="n">
        <x:f>IF($A1808="","",Assumptions!$B$15)</x:f>
        <x:v>0.35</x:v>
      </x:c>
      <x:c r="G1808" s="11" t="n">
        <x:f>IF($A1808="","",MAX(INDEX(Assumptions!$H$5:$H$12,MATCH($B1808,Assumptions!$D$5:$D$12,0)),MIN(INDEX(Assumptions!$I$5:$I$12,MATCH($B1808,Assumptions!$D$5:$D$12,0)),($C1808+$D1808*SQRT(-2*LN(RAND()))*COS(2*PI()*RAND()))*$E1808*$J1808*$K1808)))</x:f>
        <x:v>918.4057565117604</x:v>
      </x:c>
      <x:c r="H1808" s="11" t="n">
        <x:f>IF($A1808="","",$G1808*$F1808+$C1808*(1-$F1808))</x:f>
        <x:v>925.9420147791161</x:v>
      </x:c>
      <x:c r="I1808" s="11" t="n">
        <x:f>IF($A1808="","",AVERAGE($H1808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897.5611688096955</x:v>
      </x:c>
      <x:c r="J1808" s="12" t="n">
        <x:f>IF($A1808="","",1+SUMIFS(Assumptions!$S$5:$S$10,Assumptions!$P$5:$P$10,$B1808,Assumptions!$Q$5:$Q$10,"&lt;="&amp;$A1808,Assumptions!$R$5:$R$10,"&gt;="&amp;$A1808))</x:f>
        <x:v>1</x:v>
      </x:c>
      <x:c r="K1808" s="12" t="n">
        <x:f>IF($A1808="","",1+((($A1808-Assumptions!$B$5)/30)*INDEX(Assumptions!$J$5:$J$12,MATCH($B1808,Assumptions!$D$5:$D$12,0))))</x:f>
        <x:v>0.9879666666666667</x:v>
      </x:c>
      <x:c r="L1808" t="str">
        <x:f>IF($A1808="","",IFERROR(INDEX(Assumptions!$O$5:$O$10,MATCH(1,(Assumptions!$P$5:$P$10=$B1808)*(Assumptions!$Q$5:$Q$10&lt;=$A1808)*(Assumptions!$R$5:$R$10&gt;=$A1808),0)),""))</x:f>
      </x:c>
      <x:c r="M1808" t="n">
        <x:f>--($A1808&lt;&gt;"")</x:f>
        <x:v>1</x:v>
      </x:c>
    </x:row>
    <x:row r="1809">
      <x:c r="A1809" s="10" t="n">
        <x:f>IF(Assumptions!$B$5+INT((ROW()-2)/Assumptions!$B$7)&gt;Assumptions!$B$6,"",Assumptions!$B$5+INT((ROW()-2)/Assumptions!$B$7))</x:f>
        <x:v>46384</x:v>
      </x:c>
      <x:c r="B1809" t="str">
        <x:f>IF($A1809="","",INDEX(Assumptions!$D$5:$D$12,MOD(ROW()-2,Assumptions!$B$7)+1))</x:f>
        <x:v>Nostromo Deep</x:v>
      </x:c>
      <x:c r="C1809" s="11" t="n">
        <x:f>IF($A1809="","",INDEX(Assumptions!$F$5:$F$12,MATCH($B1809,Assumptions!$D$5:$D$12,0)))</x:f>
        <x:v>1260</x:v>
      </x:c>
      <x:c r="D1809" s="11" t="n">
        <x:f>IF($A1809="","",INDEX(Assumptions!$G$5:$G$12,MATCH($B1809,Assumptions!$D$5:$D$12,0)))</x:f>
        <x:v>145</x:v>
      </x:c>
      <x:c r="E1809" s="11" t="n">
        <x:f>IF($A1809="","",INDEX(Assumptions!$M$5:$M$11,WEEKDAY($A1809,2)))</x:f>
        <x:v>1.03</x:v>
      </x:c>
      <x:c r="F1809" s="11" t="n">
        <x:f>IF($A1809="","",Assumptions!$B$15)</x:f>
        <x:v>0.35</x:v>
      </x:c>
      <x:c r="G1809" s="11" t="n">
        <x:f>IF($A1809="","",MAX(INDEX(Assumptions!$H$5:$H$12,MATCH($B1809,Assumptions!$D$5:$D$12,0)),MIN(INDEX(Assumptions!$I$5:$I$12,MATCH($B1809,Assumptions!$D$5:$D$12,0)),($C1809+$D1809*SQRT(-2*LN(RAND()))*COS(2*PI()*RAND()))*$E1809*$J1809*$K1809)))</x:f>
        <x:v>1254.8563420451067</x:v>
      </x:c>
      <x:c r="H1809" s="11" t="n">
        <x:f>IF($A1809="","",$G1809*$F1809+$C1809*(1-$F1809))</x:f>
        <x:v>1258.1997197157873</x:v>
      </x:c>
      <x:c r="I1809" s="11" t="n">
        <x:f>IF($A1809="","",AVERAGE($H1809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1252.2030098251428</x:v>
      </x:c>
      <x:c r="J1809" s="12" t="n">
        <x:f>IF($A1809="","",1+SUMIFS(Assumptions!$S$5:$S$10,Assumptions!$P$5:$P$10,$B1809,Assumptions!$Q$5:$Q$10,"&lt;="&amp;$A1809,Assumptions!$R$5:$R$10,"&gt;="&amp;$A1809))</x:f>
        <x:v>1</x:v>
      </x:c>
      <x:c r="K1809" s="12" t="n">
        <x:f>IF($A1809="","",1+((($A1809-Assumptions!$B$5)/30)*INDEX(Assumptions!$J$5:$J$12,MATCH($B1809,Assumptions!$D$5:$D$12,0))))</x:f>
        <x:v>1.0361</x:v>
      </x:c>
      <x:c r="L1809" t="str">
        <x:f>IF($A1809="","",IFERROR(INDEX(Assumptions!$O$5:$O$10,MATCH(1,(Assumptions!$P$5:$P$10=$B1809)*(Assumptions!$Q$5:$Q$10&lt;=$A1809)*(Assumptions!$R$5:$R$10&gt;=$A1809),0)),""))</x:f>
      </x:c>
      <x:c r="M1809" t="n">
        <x:f>--($A1809&lt;&gt;"")</x:f>
        <x:v>1</x:v>
      </x:c>
    </x:row>
    <x:row r="1810">
      <x:c r="A1810" s="10" t="n">
        <x:f>IF(Assumptions!$B$5+INT((ROW()-2)/Assumptions!$B$7)&gt;Assumptions!$B$6,"",Assumptions!$B$5+INT((ROW()-2)/Assumptions!$B$7))</x:f>
        <x:v>46384</x:v>
      </x:c>
      <x:c r="B1810" t="str">
        <x:f>IF($A1810="","",INDEX(Assumptions!$D$5:$D$12,MOD(ROW()-2,Assumptions!$B$7)+1))</x:f>
        <x:v>Hadley's Hope</x:v>
      </x:c>
      <x:c r="C1810" s="11" t="n">
        <x:f>IF($A1810="","",INDEX(Assumptions!$F$5:$F$12,MATCH($B1810,Assumptions!$D$5:$D$12,0)))</x:f>
        <x:v>845</x:v>
      </x:c>
      <x:c r="D1810" s="11" t="n">
        <x:f>IF($A1810="","",INDEX(Assumptions!$G$5:$G$12,MATCH($B1810,Assumptions!$D$5:$D$12,0)))</x:f>
        <x:v>80</x:v>
      </x:c>
      <x:c r="E1810" s="11" t="n">
        <x:f>IF($A1810="","",INDEX(Assumptions!$M$5:$M$11,WEEKDAY($A1810,2)))</x:f>
        <x:v>1.03</x:v>
      </x:c>
      <x:c r="F1810" s="11" t="n">
        <x:f>IF($A1810="","",Assumptions!$B$15)</x:f>
        <x:v>0.35</x:v>
      </x:c>
      <x:c r="G1810" s="11" t="n">
        <x:f>IF($A1810="","",MAX(INDEX(Assumptions!$H$5:$H$12,MATCH($B1810,Assumptions!$D$5:$D$12,0)),MIN(INDEX(Assumptions!$I$5:$I$12,MATCH($B1810,Assumptions!$D$5:$D$12,0)),($C1810+$D1810*SQRT(-2*LN(RAND()))*COS(2*PI()*RAND()))*$E1810*$J1810*$K1810)))</x:f>
        <x:v>926.2496926118251</x:v>
      </x:c>
      <x:c r="H1810" s="11" t="n">
        <x:f>IF($A1810="","",$G1810*$F1810+$C1810*(1-$F1810))</x:f>
        <x:v>873.4373924141388</x:v>
      </x:c>
      <x:c r="I1810" s="11" t="n">
        <x:f>IF($A1810="","",AVERAGE($H1810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840.8294113360618</x:v>
      </x:c>
      <x:c r="J1810" s="12" t="n">
        <x:f>IF($A1810="","",1+SUMIFS(Assumptions!$S$5:$S$10,Assumptions!$P$5:$P$10,$B1810,Assumptions!$Q$5:$Q$10,"&lt;="&amp;$A1810,Assumptions!$R$5:$R$10,"&gt;="&amp;$A1810))</x:f>
        <x:v>1</x:v>
      </x:c>
      <x:c r="K1810" s="12" t="n">
        <x:f>IF($A1810="","",1+((($A1810-Assumptions!$B$5)/30)*INDEX(Assumptions!$J$5:$J$12,MATCH($B1810,Assumptions!$D$5:$D$12,0))))</x:f>
        <x:v>1.0120333333333333</x:v>
      </x:c>
      <x:c r="L1810" t="str">
        <x:f>IF($A1810="","",IFERROR(INDEX(Assumptions!$O$5:$O$10,MATCH(1,(Assumptions!$P$5:$P$10=$B1810)*(Assumptions!$Q$5:$Q$10&lt;=$A1810)*(Assumptions!$R$5:$R$10&gt;=$A1810),0)),""))</x:f>
      </x:c>
      <x:c r="M1810" t="n">
        <x:f>--($A1810&lt;&gt;"")</x:f>
        <x:v>1</x:v>
      </x:c>
    </x:row>
    <x:row r="1811">
      <x:c r="A1811" s="10" t="n">
        <x:f>IF(Assumptions!$B$5+INT((ROW()-2)/Assumptions!$B$7)&gt;Assumptions!$B$6,"",Assumptions!$B$5+INT((ROW()-2)/Assumptions!$B$7))</x:f>
        <x:v>46384</x:v>
      </x:c>
      <x:c r="B1811" t="str">
        <x:f>IF($A1811="","",INDEX(Assumptions!$D$5:$D$12,MOD(ROW()-2,Assumptions!$B$7)+1))</x:f>
        <x:v>Yutani Ridge</x:v>
      </x:c>
      <x:c r="C1811" s="11" t="n">
        <x:f>IF($A1811="","",INDEX(Assumptions!$F$5:$F$12,MATCH($B1811,Assumptions!$D$5:$D$12,0)))</x:f>
        <x:v>1050</x:v>
      </x:c>
      <x:c r="D1811" s="11" t="n">
        <x:f>IF($A1811="","",INDEX(Assumptions!$G$5:$G$12,MATCH($B1811,Assumptions!$D$5:$D$12,0)))</x:f>
        <x:v>125</x:v>
      </x:c>
      <x:c r="E1811" s="11" t="n">
        <x:f>IF($A1811="","",INDEX(Assumptions!$M$5:$M$11,WEEKDAY($A1811,2)))</x:f>
        <x:v>1.03</x:v>
      </x:c>
      <x:c r="F1811" s="11" t="n">
        <x:f>IF($A1811="","",Assumptions!$B$15)</x:f>
        <x:v>0.35</x:v>
      </x:c>
      <x:c r="G1811" s="11" t="n">
        <x:f>IF($A1811="","",MAX(INDEX(Assumptions!$H$5:$H$12,MATCH($B1811,Assumptions!$D$5:$D$12,0)),MIN(INDEX(Assumptions!$I$5:$I$12,MATCH($B1811,Assumptions!$D$5:$D$12,0)),($C1811+$D1811*SQRT(-2*LN(RAND()))*COS(2*PI()*RAND()))*$E1811*$J1811*$K1811)))</x:f>
        <x:v>1229.0700715474222</x:v>
      </x:c>
      <x:c r="H1811" s="11" t="n">
        <x:f>IF($A1811="","",$G1811*$F1811+$C1811*(1-$F1811))</x:f>
        <x:v>1112.6745250415977</x:v>
      </x:c>
      <x:c r="I1811" s="11" t="n">
        <x:f>IF($A1811="","",AVERAGE($H1811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1086.526007021136</x:v>
      </x:c>
      <x:c r="J1811" s="12" t="n">
        <x:f>IF($A1811="","",1+SUMIFS(Assumptions!$S$5:$S$10,Assumptions!$P$5:$P$10,$B1811,Assumptions!$Q$5:$Q$10,"&lt;="&amp;$A1811,Assumptions!$R$5:$R$10,"&gt;="&amp;$A1811))</x:f>
        <x:v>1</x:v>
      </x:c>
      <x:c r="K1811" s="12" t="n">
        <x:f>IF($A1811="","",1+((($A1811-Assumptions!$B$5)/30)*INDEX(Assumptions!$J$5:$J$12,MATCH($B1811,Assumptions!$D$5:$D$12,0))))</x:f>
        <x:v>1.0300833333333332</x:v>
      </x:c>
      <x:c r="L1811" t="str">
        <x:f>IF($A1811="","",IFERROR(INDEX(Assumptions!$O$5:$O$10,MATCH(1,(Assumptions!$P$5:$P$10=$B1811)*(Assumptions!$Q$5:$Q$10&lt;=$A1811)*(Assumptions!$R$5:$R$10&gt;=$A1811),0)),""))</x:f>
      </x:c>
      <x:c r="M1811" t="n">
        <x:f>--($A1811&lt;&gt;"")</x:f>
        <x:v>1</x:v>
      </x:c>
    </x:row>
    <x:row r="1812">
      <x:c r="A1812" s="10" t="n">
        <x:f>IF(Assumptions!$B$5+INT((ROW()-2)/Assumptions!$B$7)&gt;Assumptions!$B$6,"",Assumptions!$B$5+INT((ROW()-2)/Assumptions!$B$7))</x:f>
        <x:v>46385</x:v>
      </x:c>
      <x:c r="B1812" t="str">
        <x:f>IF($A1812="","",INDEX(Assumptions!$D$5:$D$12,MOD(ROW()-2,Assumptions!$B$7)+1))</x:f>
        <x:v>Acheron Prime</x:v>
      </x:c>
      <x:c r="C1812" s="11" t="n">
        <x:f>IF($A1812="","",INDEX(Assumptions!$F$5:$F$12,MATCH($B1812,Assumptions!$D$5:$D$12,0)))</x:f>
        <x:v>1120</x:v>
      </x:c>
      <x:c r="D1812" s="11" t="n">
        <x:f>IF($A1812="","",INDEX(Assumptions!$G$5:$G$12,MATCH($B1812,Assumptions!$D$5:$D$12,0)))</x:f>
        <x:v>115</x:v>
      </x:c>
      <x:c r="E1812" s="11" t="n">
        <x:f>IF($A1812="","",INDEX(Assumptions!$M$5:$M$11,WEEKDAY($A1812,2)))</x:f>
        <x:v>1.02</x:v>
      </x:c>
      <x:c r="F1812" s="11" t="n">
        <x:f>IF($A1812="","",Assumptions!$B$15)</x:f>
        <x:v>0.35</x:v>
      </x:c>
      <x:c r="G1812" s="11" t="n">
        <x:f>IF($A1812="","",MAX(INDEX(Assumptions!$H$5:$H$12,MATCH($B1812,Assumptions!$D$5:$D$12,0)),MIN(INDEX(Assumptions!$I$5:$I$12,MATCH($B1812,Assumptions!$D$5:$D$12,0)),($C1812+$D1812*SQRT(-2*LN(RAND()))*COS(2*PI()*RAND()))*$E1812*$J1812*$K1812)))</x:f>
        <x:v>1293.9566875267467</x:v>
      </x:c>
      <x:c r="H1812" s="11" t="n">
        <x:f>IF($A1812="","",$G1812*$F1812+$C1812*(1-$F1812))</x:f>
        <x:v>1180.8848406343614</x:v>
      </x:c>
      <x:c r="I1812" s="11" t="n">
        <x:f>IF($A1812="","",AVERAGE($H1812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1154.0364203651416</x:v>
      </x:c>
      <x:c r="J1812" s="12" t="n">
        <x:f>IF($A1812="","",1+SUMIFS(Assumptions!$S$5:$S$10,Assumptions!$P$5:$P$10,$B1812,Assumptions!$Q$5:$Q$10,"&lt;="&amp;$A1812,Assumptions!$R$5:$R$10,"&gt;="&amp;$A1812))</x:f>
        <x:v>1</x:v>
      </x:c>
      <x:c r="K1812" s="12" t="n">
        <x:f>IF($A1812="","",1+((($A1812-Assumptions!$B$5)/30)*INDEX(Assumptions!$J$5:$J$12,MATCH($B1812,Assumptions!$D$5:$D$12,0))))</x:f>
        <x:v>1.0241333333333333</x:v>
      </x:c>
      <x:c r="L1812" t="str">
        <x:f>IF($A1812="","",IFERROR(INDEX(Assumptions!$O$5:$O$10,MATCH(1,(Assumptions!$P$5:$P$10=$B1812)*(Assumptions!$Q$5:$Q$10&lt;=$A1812)*(Assumptions!$R$5:$R$10&gt;=$A1812),0)),""))</x:f>
      </x:c>
      <x:c r="M1812" t="n">
        <x:f>--($A1812&lt;&gt;"")</x:f>
        <x:v>1</x:v>
      </x:c>
    </x:row>
    <x:row r="1813">
      <x:c r="A1813" s="10" t="n">
        <x:f>IF(Assumptions!$B$5+INT((ROW()-2)/Assumptions!$B$7)&gt;Assumptions!$B$6,"",Assumptions!$B$5+INT((ROW()-2)/Assumptions!$B$7))</x:f>
        <x:v>46385</x:v>
      </x:c>
      <x:c r="B1813" t="str">
        <x:f>IF($A1813="","",INDEX(Assumptions!$D$5:$D$12,MOD(ROW()-2,Assumptions!$B$7)+1))</x:f>
        <x:v>LV-426 North</x:v>
      </x:c>
      <x:c r="C1813" s="11" t="n">
        <x:f>IF($A1813="","",INDEX(Assumptions!$F$5:$F$12,MATCH($B1813,Assumptions!$D$5:$D$12,0)))</x:f>
        <x:v>930</x:v>
      </x:c>
      <x:c r="D1813" s="11" t="n">
        <x:f>IF($A1813="","",INDEX(Assumptions!$G$5:$G$12,MATCH($B1813,Assumptions!$D$5:$D$12,0)))</x:f>
        <x:v>95</x:v>
      </x:c>
      <x:c r="E1813" s="11" t="n">
        <x:f>IF($A1813="","",INDEX(Assumptions!$M$5:$M$11,WEEKDAY($A1813,2)))</x:f>
        <x:v>1.02</x:v>
      </x:c>
      <x:c r="F1813" s="11" t="n">
        <x:f>IF($A1813="","",Assumptions!$B$15)</x:f>
        <x:v>0.35</x:v>
      </x:c>
      <x:c r="G1813" s="11" t="n">
        <x:f>IF($A1813="","",MAX(INDEX(Assumptions!$H$5:$H$12,MATCH($B1813,Assumptions!$D$5:$D$12,0)),MIN(INDEX(Assumptions!$I$5:$I$12,MATCH($B1813,Assumptions!$D$5:$D$12,0)),($C1813+$D1813*SQRT(-2*LN(RAND()))*COS(2*PI()*RAND()))*$E1813*$J1813*$K1813)))</x:f>
        <x:v>969.2873450363008</x:v>
      </x:c>
      <x:c r="H1813" s="11" t="n">
        <x:f>IF($A1813="","",$G1813*$F1813+$C1813*(1-$F1813))</x:f>
        <x:v>943.7505707627053</x:v>
      </x:c>
      <x:c r="I1813" s="11" t="n">
        <x:f>IF($A1813="","",AVERAGE($H1813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908.0360286053427</x:v>
      </x:c>
      <x:c r="J1813" s="12" t="n">
        <x:f>IF($A1813="","",1+SUMIFS(Assumptions!$S$5:$S$10,Assumptions!$P$5:$P$10,$B1813,Assumptions!$Q$5:$Q$10,"&lt;="&amp;$A1813,Assumptions!$R$5:$R$10,"&gt;="&amp;$A1813))</x:f>
        <x:v>1</x:v>
      </x:c>
      <x:c r="K1813" s="12" t="n">
        <x:f>IF($A1813="","",1+((($A1813-Assumptions!$B$5)/30)*INDEX(Assumptions!$J$5:$J$12,MATCH($B1813,Assumptions!$D$5:$D$12,0))))</x:f>
        <x:v>0.9879333333333333</x:v>
      </x:c>
      <x:c r="L1813" t="str">
        <x:f>IF($A1813="","",IFERROR(INDEX(Assumptions!$O$5:$O$10,MATCH(1,(Assumptions!$P$5:$P$10=$B1813)*(Assumptions!$Q$5:$Q$10&lt;=$A1813)*(Assumptions!$R$5:$R$10&gt;=$A1813),0)),""))</x:f>
      </x:c>
      <x:c r="M1813" t="n">
        <x:f>--($A1813&lt;&gt;"")</x:f>
        <x:v>1</x:v>
      </x:c>
    </x:row>
    <x:row r="1814">
      <x:c r="A1814" s="10" t="n">
        <x:f>IF(Assumptions!$B$5+INT((ROW()-2)/Assumptions!$B$7)&gt;Assumptions!$B$6,"",Assumptions!$B$5+INT((ROW()-2)/Assumptions!$B$7))</x:f>
        <x:v>46385</x:v>
      </x:c>
      <x:c r="B1814" t="str">
        <x:f>IF($A1814="","",INDEX(Assumptions!$D$5:$D$12,MOD(ROW()-2,Assumptions!$B$7)+1))</x:f>
        <x:v>Nostromo Deep</x:v>
      </x:c>
      <x:c r="C1814" s="11" t="n">
        <x:f>IF($A1814="","",INDEX(Assumptions!$F$5:$F$12,MATCH($B1814,Assumptions!$D$5:$D$12,0)))</x:f>
        <x:v>1260</x:v>
      </x:c>
      <x:c r="D1814" s="11" t="n">
        <x:f>IF($A1814="","",INDEX(Assumptions!$G$5:$G$12,MATCH($B1814,Assumptions!$D$5:$D$12,0)))</x:f>
        <x:v>145</x:v>
      </x:c>
      <x:c r="E1814" s="11" t="n">
        <x:f>IF($A1814="","",INDEX(Assumptions!$M$5:$M$11,WEEKDAY($A1814,2)))</x:f>
        <x:v>1.02</x:v>
      </x:c>
      <x:c r="F1814" s="11" t="n">
        <x:f>IF($A1814="","",Assumptions!$B$15)</x:f>
        <x:v>0.35</x:v>
      </x:c>
      <x:c r="G1814" s="11" t="n">
        <x:f>IF($A1814="","",MAX(INDEX(Assumptions!$H$5:$H$12,MATCH($B1814,Assumptions!$D$5:$D$12,0)),MIN(INDEX(Assumptions!$I$5:$I$12,MATCH($B1814,Assumptions!$D$5:$D$12,0)),($C1814+$D1814*SQRT(-2*LN(RAND()))*COS(2*PI()*RAND()))*$E1814*$J1814*$K1814)))</x:f>
        <x:v>1051.9082818294391</x:v>
      </x:c>
      <x:c r="H1814" s="11" t="n">
        <x:f>IF($A1814="","",$G1814*$F1814+$C1814*(1-$F1814))</x:f>
        <x:v>1187.1678986403037</x:v>
      </x:c>
      <x:c r="I1814" s="11" t="n">
        <x:f>IF($A1814="","",AVERAGE($H1814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1240.4181939728098</x:v>
      </x:c>
      <x:c r="J1814" s="12" t="n">
        <x:f>IF($A1814="","",1+SUMIFS(Assumptions!$S$5:$S$10,Assumptions!$P$5:$P$10,$B1814,Assumptions!$Q$5:$Q$10,"&lt;="&amp;$A1814,Assumptions!$R$5:$R$10,"&gt;="&amp;$A1814))</x:f>
        <x:v>1</x:v>
      </x:c>
      <x:c r="K1814" s="12" t="n">
        <x:f>IF($A1814="","",1+((($A1814-Assumptions!$B$5)/30)*INDEX(Assumptions!$J$5:$J$12,MATCH($B1814,Assumptions!$D$5:$D$12,0))))</x:f>
        <x:v>1.0362</x:v>
      </x:c>
      <x:c r="L1814" t="str">
        <x:f>IF($A1814="","",IFERROR(INDEX(Assumptions!$O$5:$O$10,MATCH(1,(Assumptions!$P$5:$P$10=$B1814)*(Assumptions!$Q$5:$Q$10&lt;=$A1814)*(Assumptions!$R$5:$R$10&gt;=$A1814),0)),""))</x:f>
      </x:c>
      <x:c r="M1814" t="n">
        <x:f>--($A1814&lt;&gt;"")</x:f>
        <x:v>1</x:v>
      </x:c>
    </x:row>
    <x:row r="1815">
      <x:c r="A1815" s="10" t="n">
        <x:f>IF(Assumptions!$B$5+INT((ROW()-2)/Assumptions!$B$7)&gt;Assumptions!$B$6,"",Assumptions!$B$5+INT((ROW()-2)/Assumptions!$B$7))</x:f>
        <x:v>46385</x:v>
      </x:c>
      <x:c r="B1815" t="str">
        <x:f>IF($A1815="","",INDEX(Assumptions!$D$5:$D$12,MOD(ROW()-2,Assumptions!$B$7)+1))</x:f>
        <x:v>Hadley's Hope</x:v>
      </x:c>
      <x:c r="C1815" s="11" t="n">
        <x:f>IF($A1815="","",INDEX(Assumptions!$F$5:$F$12,MATCH($B1815,Assumptions!$D$5:$D$12,0)))</x:f>
        <x:v>845</x:v>
      </x:c>
      <x:c r="D1815" s="11" t="n">
        <x:f>IF($A1815="","",INDEX(Assumptions!$G$5:$G$12,MATCH($B1815,Assumptions!$D$5:$D$12,0)))</x:f>
        <x:v>80</x:v>
      </x:c>
      <x:c r="E1815" s="11" t="n">
        <x:f>IF($A1815="","",INDEX(Assumptions!$M$5:$M$11,WEEKDAY($A1815,2)))</x:f>
        <x:v>1.02</x:v>
      </x:c>
      <x:c r="F1815" s="11" t="n">
        <x:f>IF($A1815="","",Assumptions!$B$15)</x:f>
        <x:v>0.35</x:v>
      </x:c>
      <x:c r="G1815" s="11" t="n">
        <x:f>IF($A1815="","",MAX(INDEX(Assumptions!$H$5:$H$12,MATCH($B1815,Assumptions!$D$5:$D$12,0)),MIN(INDEX(Assumptions!$I$5:$I$12,MATCH($B1815,Assumptions!$D$5:$D$12,0)),($C1815+$D1815*SQRT(-2*LN(RAND()))*COS(2*PI()*RAND()))*$E1815*$J1815*$K1815)))</x:f>
        <x:v>784.9508703055008</x:v>
      </x:c>
      <x:c r="H1815" s="11" t="n">
        <x:f>IF($A1815="","",$G1815*$F1815+$C1815*(1-$F1815))</x:f>
        <x:v>823.9828046069252</x:v>
      </x:c>
      <x:c r="I1815" s="11" t="n">
        <x:f>IF($A1815="","",AVERAGE($H1815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835.1982708653405</x:v>
      </x:c>
      <x:c r="J1815" s="12" t="n">
        <x:f>IF($A1815="","",1+SUMIFS(Assumptions!$S$5:$S$10,Assumptions!$P$5:$P$10,$B1815,Assumptions!$Q$5:$Q$10,"&lt;="&amp;$A1815,Assumptions!$R$5:$R$10,"&gt;="&amp;$A1815))</x:f>
        <x:v>1</x:v>
      </x:c>
      <x:c r="K1815" s="12" t="n">
        <x:f>IF($A1815="","",1+((($A1815-Assumptions!$B$5)/30)*INDEX(Assumptions!$J$5:$J$12,MATCH($B1815,Assumptions!$D$5:$D$12,0))))</x:f>
        <x:v>1.0120666666666667</x:v>
      </x:c>
      <x:c r="L1815" t="str">
        <x:f>IF($A1815="","",IFERROR(INDEX(Assumptions!$O$5:$O$10,MATCH(1,(Assumptions!$P$5:$P$10=$B1815)*(Assumptions!$Q$5:$Q$10&lt;=$A1815)*(Assumptions!$R$5:$R$10&gt;=$A1815),0)),""))</x:f>
      </x:c>
      <x:c r="M1815" t="n">
        <x:f>--($A1815&lt;&gt;"")</x:f>
        <x:v>1</x:v>
      </x:c>
    </x:row>
    <x:row r="1816">
      <x:c r="A1816" s="10" t="n">
        <x:f>IF(Assumptions!$B$5+INT((ROW()-2)/Assumptions!$B$7)&gt;Assumptions!$B$6,"",Assumptions!$B$5+INT((ROW()-2)/Assumptions!$B$7))</x:f>
        <x:v>46385</x:v>
      </x:c>
      <x:c r="B1816" t="str">
        <x:f>IF($A1816="","",INDEX(Assumptions!$D$5:$D$12,MOD(ROW()-2,Assumptions!$B$7)+1))</x:f>
        <x:v>Yutani Ridge</x:v>
      </x:c>
      <x:c r="C1816" s="11" t="n">
        <x:f>IF($A1816="","",INDEX(Assumptions!$F$5:$F$12,MATCH($B1816,Assumptions!$D$5:$D$12,0)))</x:f>
        <x:v>1050</x:v>
      </x:c>
      <x:c r="D1816" s="11" t="n">
        <x:f>IF($A1816="","",INDEX(Assumptions!$G$5:$G$12,MATCH($B1816,Assumptions!$D$5:$D$12,0)))</x:f>
        <x:v>125</x:v>
      </x:c>
      <x:c r="E1816" s="11" t="n">
        <x:f>IF($A1816="","",INDEX(Assumptions!$M$5:$M$11,WEEKDAY($A1816,2)))</x:f>
        <x:v>1.02</x:v>
      </x:c>
      <x:c r="F1816" s="11" t="n">
        <x:f>IF($A1816="","",Assumptions!$B$15)</x:f>
        <x:v>0.35</x:v>
      </x:c>
      <x:c r="G1816" s="11" t="n">
        <x:f>IF($A1816="","",MAX(INDEX(Assumptions!$H$5:$H$12,MATCH($B1816,Assumptions!$D$5:$D$12,0)),MIN(INDEX(Assumptions!$I$5:$I$12,MATCH($B1816,Assumptions!$D$5:$D$12,0)),($C1816+$D1816*SQRT(-2*LN(RAND()))*COS(2*PI()*RAND()))*$E1816*$J1816*$K1816)))</x:f>
        <x:v>1354.6560594142757</x:v>
      </x:c>
      <x:c r="H1816" s="11" t="n">
        <x:f>IF($A1816="","",$G1816*$F1816+$C1816*(1-$F1816))</x:f>
        <x:v>1156.6296207949965</x:v>
      </x:c>
      <x:c r="I1816" s="11" t="n">
        <x:f>IF($A1816="","",AVERAGE($H1816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1091.3980104531277</x:v>
      </x:c>
      <x:c r="J1816" s="12" t="n">
        <x:f>IF($A1816="","",1+SUMIFS(Assumptions!$S$5:$S$10,Assumptions!$P$5:$P$10,$B1816,Assumptions!$Q$5:$Q$10,"&lt;="&amp;$A1816,Assumptions!$R$5:$R$10,"&gt;="&amp;$A1816))</x:f>
        <x:v>1</x:v>
      </x:c>
      <x:c r="K1816" s="12" t="n">
        <x:f>IF($A1816="","",1+((($A1816-Assumptions!$B$5)/30)*INDEX(Assumptions!$J$5:$J$12,MATCH($B1816,Assumptions!$D$5:$D$12,0))))</x:f>
        <x:v>1.0301666666666667</x:v>
      </x:c>
      <x:c r="L1816" t="str">
        <x:f>IF($A1816="","",IFERROR(INDEX(Assumptions!$O$5:$O$10,MATCH(1,(Assumptions!$P$5:$P$10=$B1816)*(Assumptions!$Q$5:$Q$10&lt;=$A1816)*(Assumptions!$R$5:$R$10&gt;=$A1816),0)),""))</x:f>
      </x:c>
      <x:c r="M1816" t="n">
        <x:f>--($A1816&lt;&gt;"")</x:f>
        <x:v>1</x:v>
      </x:c>
    </x:row>
    <x:row r="1817">
      <x:c r="A1817" s="10" t="n">
        <x:f>IF(Assumptions!$B$5+INT((ROW()-2)/Assumptions!$B$7)&gt;Assumptions!$B$6,"",Assumptions!$B$5+INT((ROW()-2)/Assumptions!$B$7))</x:f>
        <x:v>46386</x:v>
      </x:c>
      <x:c r="B1817" t="str">
        <x:f>IF($A1817="","",INDEX(Assumptions!$D$5:$D$12,MOD(ROW()-2,Assumptions!$B$7)+1))</x:f>
        <x:v>Acheron Prime</x:v>
      </x:c>
      <x:c r="C1817" s="11" t="n">
        <x:f>IF($A1817="","",INDEX(Assumptions!$F$5:$F$12,MATCH($B1817,Assumptions!$D$5:$D$12,0)))</x:f>
        <x:v>1120</x:v>
      </x:c>
      <x:c r="D1817" s="11" t="n">
        <x:f>IF($A1817="","",INDEX(Assumptions!$G$5:$G$12,MATCH($B1817,Assumptions!$D$5:$D$12,0)))</x:f>
        <x:v>115</x:v>
      </x:c>
      <x:c r="E1817" s="11" t="n">
        <x:f>IF($A1817="","",INDEX(Assumptions!$M$5:$M$11,WEEKDAY($A1817,2)))</x:f>
        <x:v>1.01</x:v>
      </x:c>
      <x:c r="F1817" s="11" t="n">
        <x:f>IF($A1817="","",Assumptions!$B$15)</x:f>
        <x:v>0.35</x:v>
      </x:c>
      <x:c r="G1817" s="11" t="n">
        <x:f>IF($A1817="","",MAX(INDEX(Assumptions!$H$5:$H$12,MATCH($B1817,Assumptions!$D$5:$D$12,0)),MIN(INDEX(Assumptions!$I$5:$I$12,MATCH($B1817,Assumptions!$D$5:$D$12,0)),($C1817+$D1817*SQRT(-2*LN(RAND()))*COS(2*PI()*RAND()))*$E1817*$J1817*$K1817)))</x:f>
        <x:v>1222.1364293081813</x:v>
      </x:c>
      <x:c r="H1817" s="11" t="n">
        <x:f>IF($A1817="","",$G1817*$F1817+$C1817*(1-$F1817))</x:f>
        <x:v>1155.7477502578633</x:v>
      </x:c>
      <x:c r="I1817" s="11" t="n">
        <x:f>IF($A1817="","",AVERAGE($H1817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1153.3495127029817</x:v>
      </x:c>
      <x:c r="J1817" s="12" t="n">
        <x:f>IF($A1817="","",1+SUMIFS(Assumptions!$S$5:$S$10,Assumptions!$P$5:$P$10,$B1817,Assumptions!$Q$5:$Q$10,"&lt;="&amp;$A1817,Assumptions!$R$5:$R$10,"&gt;="&amp;$A1817))</x:f>
        <x:v>1</x:v>
      </x:c>
      <x:c r="K1817" s="12" t="n">
        <x:f>IF($A1817="","",1+((($A1817-Assumptions!$B$5)/30)*INDEX(Assumptions!$J$5:$J$12,MATCH($B1817,Assumptions!$D$5:$D$12,0))))</x:f>
        <x:v>1.0242</x:v>
      </x:c>
      <x:c r="L1817" t="str">
        <x:f>IF($A1817="","",IFERROR(INDEX(Assumptions!$O$5:$O$10,MATCH(1,(Assumptions!$P$5:$P$10=$B1817)*(Assumptions!$Q$5:$Q$10&lt;=$A1817)*(Assumptions!$R$5:$R$10&gt;=$A1817),0)),""))</x:f>
      </x:c>
      <x:c r="M1817" t="n">
        <x:f>--($A1817&lt;&gt;"")</x:f>
        <x:v>1</x:v>
      </x:c>
    </x:row>
    <x:row r="1818">
      <x:c r="A1818" s="10" t="n">
        <x:f>IF(Assumptions!$B$5+INT((ROW()-2)/Assumptions!$B$7)&gt;Assumptions!$B$6,"",Assumptions!$B$5+INT((ROW()-2)/Assumptions!$B$7))</x:f>
        <x:v>46386</x:v>
      </x:c>
      <x:c r="B1818" t="str">
        <x:f>IF($A1818="","",INDEX(Assumptions!$D$5:$D$12,MOD(ROW()-2,Assumptions!$B$7)+1))</x:f>
        <x:v>LV-426 North</x:v>
      </x:c>
      <x:c r="C1818" s="11" t="n">
        <x:f>IF($A1818="","",INDEX(Assumptions!$F$5:$F$12,MATCH($B1818,Assumptions!$D$5:$D$12,0)))</x:f>
        <x:v>930</x:v>
      </x:c>
      <x:c r="D1818" s="11" t="n">
        <x:f>IF($A1818="","",INDEX(Assumptions!$G$5:$G$12,MATCH($B1818,Assumptions!$D$5:$D$12,0)))</x:f>
        <x:v>95</x:v>
      </x:c>
      <x:c r="E1818" s="11" t="n">
        <x:f>IF($A1818="","",INDEX(Assumptions!$M$5:$M$11,WEEKDAY($A1818,2)))</x:f>
        <x:v>1.01</x:v>
      </x:c>
      <x:c r="F1818" s="11" t="n">
        <x:f>IF($A1818="","",Assumptions!$B$15)</x:f>
        <x:v>0.35</x:v>
      </x:c>
      <x:c r="G1818" s="11" t="n">
        <x:f>IF($A1818="","",MAX(INDEX(Assumptions!$H$5:$H$12,MATCH($B1818,Assumptions!$D$5:$D$12,0)),MIN(INDEX(Assumptions!$I$5:$I$12,MATCH($B1818,Assumptions!$D$5:$D$12,0)),($C1818+$D1818*SQRT(-2*LN(RAND()))*COS(2*PI()*RAND()))*$E1818*$J1818*$K1818)))</x:f>
        <x:v>909.3106469076098</x:v>
      </x:c>
      <x:c r="H1818" s="11" t="n">
        <x:f>IF($A1818="","",$G1818*$F1818+$C1818*(1-$F1818))</x:f>
        <x:v>922.7587264176634</x:v>
      </x:c>
      <x:c r="I1818" s="11" t="n">
        <x:f>IF($A1818="","",AVERAGE($H1818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904.8181129104147</x:v>
      </x:c>
      <x:c r="J1818" s="12" t="n">
        <x:f>IF($A1818="","",1+SUMIFS(Assumptions!$S$5:$S$10,Assumptions!$P$5:$P$10,$B1818,Assumptions!$Q$5:$Q$10,"&lt;="&amp;$A1818,Assumptions!$R$5:$R$10,"&gt;="&amp;$A1818))</x:f>
        <x:v>1</x:v>
      </x:c>
      <x:c r="K1818" s="12" t="n">
        <x:f>IF($A1818="","",1+((($A1818-Assumptions!$B$5)/30)*INDEX(Assumptions!$J$5:$J$12,MATCH($B1818,Assumptions!$D$5:$D$12,0))))</x:f>
        <x:v>0.9879</x:v>
      </x:c>
      <x:c r="L1818" t="str">
        <x:f>IF($A1818="","",IFERROR(INDEX(Assumptions!$O$5:$O$10,MATCH(1,(Assumptions!$P$5:$P$10=$B1818)*(Assumptions!$Q$5:$Q$10&lt;=$A1818)*(Assumptions!$R$5:$R$10&gt;=$A1818),0)),""))</x:f>
      </x:c>
      <x:c r="M1818" t="n">
        <x:f>--($A1818&lt;&gt;"")</x:f>
        <x:v>1</x:v>
      </x:c>
    </x:row>
    <x:row r="1819">
      <x:c r="A1819" s="10" t="n">
        <x:f>IF(Assumptions!$B$5+INT((ROW()-2)/Assumptions!$B$7)&gt;Assumptions!$B$6,"",Assumptions!$B$5+INT((ROW()-2)/Assumptions!$B$7))</x:f>
        <x:v>46386</x:v>
      </x:c>
      <x:c r="B1819" t="str">
        <x:f>IF($A1819="","",INDEX(Assumptions!$D$5:$D$12,MOD(ROW()-2,Assumptions!$B$7)+1))</x:f>
        <x:v>Nostromo Deep</x:v>
      </x:c>
      <x:c r="C1819" s="11" t="n">
        <x:f>IF($A1819="","",INDEX(Assumptions!$F$5:$F$12,MATCH($B1819,Assumptions!$D$5:$D$12,0)))</x:f>
        <x:v>1260</x:v>
      </x:c>
      <x:c r="D1819" s="11" t="n">
        <x:f>IF($A1819="","",INDEX(Assumptions!$G$5:$G$12,MATCH($B1819,Assumptions!$D$5:$D$12,0)))</x:f>
        <x:v>145</x:v>
      </x:c>
      <x:c r="E1819" s="11" t="n">
        <x:f>IF($A1819="","",INDEX(Assumptions!$M$5:$M$11,WEEKDAY($A1819,2)))</x:f>
        <x:v>1.01</x:v>
      </x:c>
      <x:c r="F1819" s="11" t="n">
        <x:f>IF($A1819="","",Assumptions!$B$15)</x:f>
        <x:v>0.35</x:v>
      </x:c>
      <x:c r="G1819" s="11" t="n">
        <x:f>IF($A1819="","",MAX(INDEX(Assumptions!$H$5:$H$12,MATCH($B1819,Assumptions!$D$5:$D$12,0)),MIN(INDEX(Assumptions!$I$5:$I$12,MATCH($B1819,Assumptions!$D$5:$D$12,0)),($C1819+$D1819*SQRT(-2*LN(RAND()))*COS(2*PI()*RAND()))*$E1819*$J1819*$K1819)))</x:f>
        <x:v>1400.3444809009195</x:v>
      </x:c>
      <x:c r="H1819" s="11" t="n">
        <x:f>IF($A1819="","",$G1819*$F1819+$C1819*(1-$F1819))</x:f>
        <x:v>1309.1205683153219</x:v>
      </x:c>
      <x:c r="I1819" s="11" t="n">
        <x:f>IF($A1819="","",AVERAGE($H1819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1246.7035031115029</x:v>
      </x:c>
      <x:c r="J1819" s="12" t="n">
        <x:f>IF($A1819="","",1+SUMIFS(Assumptions!$S$5:$S$10,Assumptions!$P$5:$P$10,$B1819,Assumptions!$Q$5:$Q$10,"&lt;="&amp;$A1819,Assumptions!$R$5:$R$10,"&gt;="&amp;$A1819))</x:f>
        <x:v>1</x:v>
      </x:c>
      <x:c r="K1819" s="12" t="n">
        <x:f>IF($A1819="","",1+((($A1819-Assumptions!$B$5)/30)*INDEX(Assumptions!$J$5:$J$12,MATCH($B1819,Assumptions!$D$5:$D$12,0))))</x:f>
        <x:v>1.0363</x:v>
      </x:c>
      <x:c r="L1819" t="str">
        <x:f>IF($A1819="","",IFERROR(INDEX(Assumptions!$O$5:$O$10,MATCH(1,(Assumptions!$P$5:$P$10=$B1819)*(Assumptions!$Q$5:$Q$10&lt;=$A1819)*(Assumptions!$R$5:$R$10&gt;=$A1819),0)),""))</x:f>
      </x:c>
      <x:c r="M1819" t="n">
        <x:f>--($A1819&lt;&gt;"")</x:f>
        <x:v>1</x:v>
      </x:c>
    </x:row>
    <x:row r="1820">
      <x:c r="A1820" s="10" t="n">
        <x:f>IF(Assumptions!$B$5+INT((ROW()-2)/Assumptions!$B$7)&gt;Assumptions!$B$6,"",Assumptions!$B$5+INT((ROW()-2)/Assumptions!$B$7))</x:f>
        <x:v>46386</x:v>
      </x:c>
      <x:c r="B1820" t="str">
        <x:f>IF($A1820="","",INDEX(Assumptions!$D$5:$D$12,MOD(ROW()-2,Assumptions!$B$7)+1))</x:f>
        <x:v>Hadley's Hope</x:v>
      </x:c>
      <x:c r="C1820" s="11" t="n">
        <x:f>IF($A1820="","",INDEX(Assumptions!$F$5:$F$12,MATCH($B1820,Assumptions!$D$5:$D$12,0)))</x:f>
        <x:v>845</x:v>
      </x:c>
      <x:c r="D1820" s="11" t="n">
        <x:f>IF($A1820="","",INDEX(Assumptions!$G$5:$G$12,MATCH($B1820,Assumptions!$D$5:$D$12,0)))</x:f>
        <x:v>80</x:v>
      </x:c>
      <x:c r="E1820" s="11" t="n">
        <x:f>IF($A1820="","",INDEX(Assumptions!$M$5:$M$11,WEEKDAY($A1820,2)))</x:f>
        <x:v>1.01</x:v>
      </x:c>
      <x:c r="F1820" s="11" t="n">
        <x:f>IF($A1820="","",Assumptions!$B$15)</x:f>
        <x:v>0.35</x:v>
      </x:c>
      <x:c r="G1820" s="11" t="n">
        <x:f>IF($A1820="","",MAX(INDEX(Assumptions!$H$5:$H$12,MATCH($B1820,Assumptions!$D$5:$D$12,0)),MIN(INDEX(Assumptions!$I$5:$I$12,MATCH($B1820,Assumptions!$D$5:$D$12,0)),($C1820+$D1820*SQRT(-2*LN(RAND()))*COS(2*PI()*RAND()))*$E1820*$J1820*$K1820)))</x:f>
        <x:v>800.5906146057353</x:v>
      </x:c>
      <x:c r="H1820" s="11" t="n">
        <x:f>IF($A1820="","",$G1820*$F1820+$C1820*(1-$F1820))</x:f>
        <x:v>829.4567151120073</x:v>
      </x:c>
      <x:c r="I1820" s="11" t="n">
        <x:f>IF($A1820="","",AVERAGE($H1820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827.5452255153804</x:v>
      </x:c>
      <x:c r="J1820" s="12" t="n">
        <x:f>IF($A1820="","",1+SUMIFS(Assumptions!$S$5:$S$10,Assumptions!$P$5:$P$10,$B1820,Assumptions!$Q$5:$Q$10,"&lt;="&amp;$A1820,Assumptions!$R$5:$R$10,"&gt;="&amp;$A1820))</x:f>
        <x:v>1</x:v>
      </x:c>
      <x:c r="K1820" s="12" t="n">
        <x:f>IF($A1820="","",1+((($A1820-Assumptions!$B$5)/30)*INDEX(Assumptions!$J$5:$J$12,MATCH($B1820,Assumptions!$D$5:$D$12,0))))</x:f>
        <x:v>1.0121</x:v>
      </x:c>
      <x:c r="L1820" t="str">
        <x:f>IF($A1820="","",IFERROR(INDEX(Assumptions!$O$5:$O$10,MATCH(1,(Assumptions!$P$5:$P$10=$B1820)*(Assumptions!$Q$5:$Q$10&lt;=$A1820)*(Assumptions!$R$5:$R$10&gt;=$A1820),0)),""))</x:f>
      </x:c>
      <x:c r="M1820" t="n">
        <x:f>--($A1820&lt;&gt;"")</x:f>
        <x:v>1</x:v>
      </x:c>
    </x:row>
    <x:row r="1821">
      <x:c r="A1821" s="10" t="n">
        <x:f>IF(Assumptions!$B$5+INT((ROW()-2)/Assumptions!$B$7)&gt;Assumptions!$B$6,"",Assumptions!$B$5+INT((ROW()-2)/Assumptions!$B$7))</x:f>
        <x:v>46386</x:v>
      </x:c>
      <x:c r="B1821" t="str">
        <x:f>IF($A1821="","",INDEX(Assumptions!$D$5:$D$12,MOD(ROW()-2,Assumptions!$B$7)+1))</x:f>
        <x:v>Yutani Ridge</x:v>
      </x:c>
      <x:c r="C1821" s="11" t="n">
        <x:f>IF($A1821="","",INDEX(Assumptions!$F$5:$F$12,MATCH($B1821,Assumptions!$D$5:$D$12,0)))</x:f>
        <x:v>1050</x:v>
      </x:c>
      <x:c r="D1821" s="11" t="n">
        <x:f>IF($A1821="","",INDEX(Assumptions!$G$5:$G$12,MATCH($B1821,Assumptions!$D$5:$D$12,0)))</x:f>
        <x:v>125</x:v>
      </x:c>
      <x:c r="E1821" s="11" t="n">
        <x:f>IF($A1821="","",INDEX(Assumptions!$M$5:$M$11,WEEKDAY($A1821,2)))</x:f>
        <x:v>1.01</x:v>
      </x:c>
      <x:c r="F1821" s="11" t="n">
        <x:f>IF($A1821="","",Assumptions!$B$15)</x:f>
        <x:v>0.35</x:v>
      </x:c>
      <x:c r="G1821" s="11" t="n">
        <x:f>IF($A1821="","",MAX(INDEX(Assumptions!$H$5:$H$12,MATCH($B1821,Assumptions!$D$5:$D$12,0)),MIN(INDEX(Assumptions!$I$5:$I$12,MATCH($B1821,Assumptions!$D$5:$D$12,0)),($C1821+$D1821*SQRT(-2*LN(RAND()))*COS(2*PI()*RAND()))*$E1821*$J1821*$K1821)))</x:f>
        <x:v>1065.836348726297</x:v>
      </x:c>
      <x:c r="H1821" s="11" t="n">
        <x:f>IF($A1821="","",$G1821*$F1821+$C1821*(1-$F1821))</x:f>
        <x:v>1055.542722054204</x:v>
      </x:c>
      <x:c r="I1821" s="11" t="n">
        <x:f>IF($A1821="","",AVERAGE($H1821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1089.1202617060821</x:v>
      </x:c>
      <x:c r="J1821" s="12" t="n">
        <x:f>IF($A1821="","",1+SUMIFS(Assumptions!$S$5:$S$10,Assumptions!$P$5:$P$10,$B1821,Assumptions!$Q$5:$Q$10,"&lt;="&amp;$A1821,Assumptions!$R$5:$R$10,"&gt;="&amp;$A1821))</x:f>
        <x:v>1</x:v>
      </x:c>
      <x:c r="K1821" s="12" t="n">
        <x:f>IF($A1821="","",1+((($A1821-Assumptions!$B$5)/30)*INDEX(Assumptions!$J$5:$J$12,MATCH($B1821,Assumptions!$D$5:$D$12,0))))</x:f>
        <x:v>1.03025</x:v>
      </x:c>
      <x:c r="L1821" t="str">
        <x:f>IF($A1821="","",IFERROR(INDEX(Assumptions!$O$5:$O$10,MATCH(1,(Assumptions!$P$5:$P$10=$B1821)*(Assumptions!$Q$5:$Q$10&lt;=$A1821)*(Assumptions!$R$5:$R$10&gt;=$A1821),0)),""))</x:f>
      </x:c>
      <x:c r="M1821" t="n">
        <x:f>--($A1821&lt;&gt;"")</x:f>
        <x:v>1</x:v>
      </x:c>
    </x:row>
    <x:row r="1822">
      <x:c r="A1822" s="10" t="n">
        <x:f>IF(Assumptions!$B$5+INT((ROW()-2)/Assumptions!$B$7)&gt;Assumptions!$B$6,"",Assumptions!$B$5+INT((ROW()-2)/Assumptions!$B$7))</x:f>
        <x:v>46387</x:v>
      </x:c>
      <x:c r="B1822" t="str">
        <x:f>IF($A1822="","",INDEX(Assumptions!$D$5:$D$12,MOD(ROW()-2,Assumptions!$B$7)+1))</x:f>
        <x:v>Acheron Prime</x:v>
      </x:c>
      <x:c r="C1822" s="11" t="n">
        <x:f>IF($A1822="","",INDEX(Assumptions!$F$5:$F$12,MATCH($B1822,Assumptions!$D$5:$D$12,0)))</x:f>
        <x:v>1120</x:v>
      </x:c>
      <x:c r="D1822" s="11" t="n">
        <x:f>IF($A1822="","",INDEX(Assumptions!$G$5:$G$12,MATCH($B1822,Assumptions!$D$5:$D$12,0)))</x:f>
        <x:v>115</x:v>
      </x:c>
      <x:c r="E1822" s="11" t="n">
        <x:f>IF($A1822="","",INDEX(Assumptions!$M$5:$M$11,WEEKDAY($A1822,2)))</x:f>
        <x:v>1</x:v>
      </x:c>
      <x:c r="F1822" s="11" t="n">
        <x:f>IF($A1822="","",Assumptions!$B$15)</x:f>
        <x:v>0.35</x:v>
      </x:c>
      <x:c r="G1822" s="11" t="n">
        <x:f>IF($A1822="","",MAX(INDEX(Assumptions!$H$5:$H$12,MATCH($B1822,Assumptions!$D$5:$D$12,0)),MIN(INDEX(Assumptions!$I$5:$I$12,MATCH($B1822,Assumptions!$D$5:$D$12,0)),($C1822+$D1822*SQRT(-2*LN(RAND()))*COS(2*PI()*RAND()))*$E1822*$J1822*$K1822)))</x:f>
        <x:v>1147.2924800074256</x:v>
      </x:c>
      <x:c r="H1822" s="11" t="n">
        <x:f>IF($A1822="","",$G1822*$F1822+$C1822*(1-$F1822))</x:f>
        <x:v>1129.552368002599</x:v>
      </x:c>
      <x:c r="I1822" s="11" t="n">
        <x:f>IF($A1822="","",AVERAGE($H1822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1145.3079289434334</x:v>
      </x:c>
      <x:c r="J1822" s="12" t="n">
        <x:f>IF($A1822="","",1+SUMIFS(Assumptions!$S$5:$S$10,Assumptions!$P$5:$P$10,$B1822,Assumptions!$Q$5:$Q$10,"&lt;="&amp;$A1822,Assumptions!$R$5:$R$10,"&gt;="&amp;$A1822))</x:f>
        <x:v>1</x:v>
      </x:c>
      <x:c r="K1822" s="12" t="n">
        <x:f>IF($A1822="","",1+((($A1822-Assumptions!$B$5)/30)*INDEX(Assumptions!$J$5:$J$12,MATCH($B1822,Assumptions!$D$5:$D$12,0))))</x:f>
        <x:v>1.0242666666666667</x:v>
      </x:c>
      <x:c r="L1822" t="str">
        <x:f>IF($A1822="","",IFERROR(INDEX(Assumptions!$O$5:$O$10,MATCH(1,(Assumptions!$P$5:$P$10=$B1822)*(Assumptions!$Q$5:$Q$10&lt;=$A1822)*(Assumptions!$R$5:$R$10&gt;=$A1822),0)),""))</x:f>
      </x:c>
      <x:c r="M1822" t="n">
        <x:f>--($A1822&lt;&gt;"")</x:f>
        <x:v>1</x:v>
      </x:c>
    </x:row>
    <x:row r="1823">
      <x:c r="A1823" s="10" t="n">
        <x:f>IF(Assumptions!$B$5+INT((ROW()-2)/Assumptions!$B$7)&gt;Assumptions!$B$6,"",Assumptions!$B$5+INT((ROW()-2)/Assumptions!$B$7))</x:f>
        <x:v>46387</x:v>
      </x:c>
      <x:c r="B1823" t="str">
        <x:f>IF($A1823="","",INDEX(Assumptions!$D$5:$D$12,MOD(ROW()-2,Assumptions!$B$7)+1))</x:f>
        <x:v>LV-426 North</x:v>
      </x:c>
      <x:c r="C1823" s="11" t="n">
        <x:f>IF($A1823="","",INDEX(Assumptions!$F$5:$F$12,MATCH($B1823,Assumptions!$D$5:$D$12,0)))</x:f>
        <x:v>930</x:v>
      </x:c>
      <x:c r="D1823" s="11" t="n">
        <x:f>IF($A1823="","",INDEX(Assumptions!$G$5:$G$12,MATCH($B1823,Assumptions!$D$5:$D$12,0)))</x:f>
        <x:v>95</x:v>
      </x:c>
      <x:c r="E1823" s="11" t="n">
        <x:f>IF($A1823="","",INDEX(Assumptions!$M$5:$M$11,WEEKDAY($A1823,2)))</x:f>
        <x:v>1</x:v>
      </x:c>
      <x:c r="F1823" s="11" t="n">
        <x:f>IF($A1823="","",Assumptions!$B$15)</x:f>
        <x:v>0.35</x:v>
      </x:c>
      <x:c r="G1823" s="11" t="n">
        <x:f>IF($A1823="","",MAX(INDEX(Assumptions!$H$5:$H$12,MATCH($B1823,Assumptions!$D$5:$D$12,0)),MIN(INDEX(Assumptions!$I$5:$I$12,MATCH($B1823,Assumptions!$D$5:$D$12,0)),($C1823+$D1823*SQRT(-2*LN(RAND()))*COS(2*PI()*RAND()))*$E1823*$J1823*$K1823)))</x:f>
        <x:v>1012.5694841792433</x:v>
      </x:c>
      <x:c r="H1823" s="11" t="n">
        <x:f>IF($A1823="","",$G1823*$F1823+$C1823*(1-$F1823))</x:f>
        <x:v>958.8993194627351</x:v>
      </x:c>
      <x:c r="I1823" s="11" t="n">
        <x:f>IF($A1823="","",AVERAGE($H1823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913.2981126868801</x:v>
      </x:c>
      <x:c r="J1823" s="12" t="n">
        <x:f>IF($A1823="","",1+SUMIFS(Assumptions!$S$5:$S$10,Assumptions!$P$5:$P$10,$B1823,Assumptions!$Q$5:$Q$10,"&lt;="&amp;$A1823,Assumptions!$R$5:$R$10,"&gt;="&amp;$A1823))</x:f>
        <x:v>1</x:v>
      </x:c>
      <x:c r="K1823" s="12" t="n">
        <x:f>IF($A1823="","",1+((($A1823-Assumptions!$B$5)/30)*INDEX(Assumptions!$J$5:$J$12,MATCH($B1823,Assumptions!$D$5:$D$12,0))))</x:f>
        <x:v>0.9878666666666667</x:v>
      </x:c>
      <x:c r="L1823" t="str">
        <x:f>IF($A1823="","",IFERROR(INDEX(Assumptions!$O$5:$O$10,MATCH(1,(Assumptions!$P$5:$P$10=$B1823)*(Assumptions!$Q$5:$Q$10&lt;=$A1823)*(Assumptions!$R$5:$R$10&gt;=$A1823),0)),""))</x:f>
      </x:c>
      <x:c r="M1823" t="n">
        <x:f>--($A1823&lt;&gt;"")</x:f>
        <x:v>1</x:v>
      </x:c>
    </x:row>
    <x:row r="1824">
      <x:c r="A1824" s="10" t="n">
        <x:f>IF(Assumptions!$B$5+INT((ROW()-2)/Assumptions!$B$7)&gt;Assumptions!$B$6,"",Assumptions!$B$5+INT((ROW()-2)/Assumptions!$B$7))</x:f>
        <x:v>46387</x:v>
      </x:c>
      <x:c r="B1824" t="str">
        <x:f>IF($A1824="","",INDEX(Assumptions!$D$5:$D$12,MOD(ROW()-2,Assumptions!$B$7)+1))</x:f>
        <x:v>Nostromo Deep</x:v>
      </x:c>
      <x:c r="C1824" s="11" t="n">
        <x:f>IF($A1824="","",INDEX(Assumptions!$F$5:$F$12,MATCH($B1824,Assumptions!$D$5:$D$12,0)))</x:f>
        <x:v>1260</x:v>
      </x:c>
      <x:c r="D1824" s="11" t="n">
        <x:f>IF($A1824="","",INDEX(Assumptions!$G$5:$G$12,MATCH($B1824,Assumptions!$D$5:$D$12,0)))</x:f>
        <x:v>145</x:v>
      </x:c>
      <x:c r="E1824" s="11" t="n">
        <x:f>IF($A1824="","",INDEX(Assumptions!$M$5:$M$11,WEEKDAY($A1824,2)))</x:f>
        <x:v>1</x:v>
      </x:c>
      <x:c r="F1824" s="11" t="n">
        <x:f>IF($A1824="","",Assumptions!$B$15)</x:f>
        <x:v>0.35</x:v>
      </x:c>
      <x:c r="G1824" s="11" t="n">
        <x:f>IF($A1824="","",MAX(INDEX(Assumptions!$H$5:$H$12,MATCH($B1824,Assumptions!$D$5:$D$12,0)),MIN(INDEX(Assumptions!$I$5:$I$12,MATCH($B1824,Assumptions!$D$5:$D$12,0)),($C1824+$D1824*SQRT(-2*LN(RAND()))*COS(2*PI()*RAND()))*$E1824*$J1824*$K1824)))</x:f>
        <x:v>1225.84323464355</x:v>
      </x:c>
      <x:c r="H1824" s="11" t="n">
        <x:f>IF($A1824="","",$G1824*$F1824+$C1824*(1-$F1824))</x:f>
        <x:v>1248.0451321252424</x:v>
      </x:c>
      <x:c r="I1824" s="11" t="n">
        <x:f>IF($A1824="","",AVERAGE($H1824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1258.3857689494118</x:v>
      </x:c>
      <x:c r="J1824" s="12" t="n">
        <x:f>IF($A1824="","",1+SUMIFS(Assumptions!$S$5:$S$10,Assumptions!$P$5:$P$10,$B1824,Assumptions!$Q$5:$Q$10,"&lt;="&amp;$A1824,Assumptions!$R$5:$R$10,"&gt;="&amp;$A1824))</x:f>
        <x:v>1</x:v>
      </x:c>
      <x:c r="K1824" s="12" t="n">
        <x:f>IF($A1824="","",1+((($A1824-Assumptions!$B$5)/30)*INDEX(Assumptions!$J$5:$J$12,MATCH($B1824,Assumptions!$D$5:$D$12,0))))</x:f>
        <x:v>1.0364</x:v>
      </x:c>
      <x:c r="L1824" t="str">
        <x:f>IF($A1824="","",IFERROR(INDEX(Assumptions!$O$5:$O$10,MATCH(1,(Assumptions!$P$5:$P$10=$B1824)*(Assumptions!$Q$5:$Q$10&lt;=$A1824)*(Assumptions!$R$5:$R$10&gt;=$A1824),0)),""))</x:f>
      </x:c>
      <x:c r="M1824" t="n">
        <x:f>--($A1824&lt;&gt;"")</x:f>
        <x:v>1</x:v>
      </x:c>
    </x:row>
    <x:row r="1825">
      <x:c r="A1825" s="10" t="n">
        <x:f>IF(Assumptions!$B$5+INT((ROW()-2)/Assumptions!$B$7)&gt;Assumptions!$B$6,"",Assumptions!$B$5+INT((ROW()-2)/Assumptions!$B$7))</x:f>
        <x:v>46387</x:v>
      </x:c>
      <x:c r="B1825" t="str">
        <x:f>IF($A1825="","",INDEX(Assumptions!$D$5:$D$12,MOD(ROW()-2,Assumptions!$B$7)+1))</x:f>
        <x:v>Hadley's Hope</x:v>
      </x:c>
      <x:c r="C1825" s="11" t="n">
        <x:f>IF($A1825="","",INDEX(Assumptions!$F$5:$F$12,MATCH($B1825,Assumptions!$D$5:$D$12,0)))</x:f>
        <x:v>845</x:v>
      </x:c>
      <x:c r="D1825" s="11" t="n">
        <x:f>IF($A1825="","",INDEX(Assumptions!$G$5:$G$12,MATCH($B1825,Assumptions!$D$5:$D$12,0)))</x:f>
        <x:v>80</x:v>
      </x:c>
      <x:c r="E1825" s="11" t="n">
        <x:f>IF($A1825="","",INDEX(Assumptions!$M$5:$M$11,WEEKDAY($A1825,2)))</x:f>
        <x:v>1</x:v>
      </x:c>
      <x:c r="F1825" s="11" t="n">
        <x:f>IF($A1825="","",Assumptions!$B$15)</x:f>
        <x:v>0.35</x:v>
      </x:c>
      <x:c r="G1825" s="11" t="n">
        <x:f>IF($A1825="","",MAX(INDEX(Assumptions!$H$5:$H$12,MATCH($B1825,Assumptions!$D$5:$D$12,0)),MIN(INDEX(Assumptions!$I$5:$I$12,MATCH($B1825,Assumptions!$D$5:$D$12,0)),($C1825+$D1825*SQRT(-2*LN(RAND()))*COS(2*PI()*RAND()))*$E1825*$J1825*$K1825)))</x:f>
        <x:v>848.6742492644299</x:v>
      </x:c>
      <x:c r="H1825" s="11" t="n">
        <x:f>IF($A1825="","",$G1825*$F1825+$C1825*(1-$F1825))</x:f>
        <x:v>846.2859872425504</x:v>
      </x:c>
      <x:c r="I1825" s="11" t="n">
        <x:f>IF($A1825="","",AVERAGE($H1825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833.0991367524617</x:v>
      </x:c>
      <x:c r="J1825" s="12" t="n">
        <x:f>IF($A1825="","",1+SUMIFS(Assumptions!$S$5:$S$10,Assumptions!$P$5:$P$10,$B1825,Assumptions!$Q$5:$Q$10,"&lt;="&amp;$A1825,Assumptions!$R$5:$R$10,"&gt;="&amp;$A1825))</x:f>
        <x:v>1</x:v>
      </x:c>
      <x:c r="K1825" s="12" t="n">
        <x:f>IF($A1825="","",1+((($A1825-Assumptions!$B$5)/30)*INDEX(Assumptions!$J$5:$J$12,MATCH($B1825,Assumptions!$D$5:$D$12,0))))</x:f>
        <x:v>1.0121333333333333</x:v>
      </x:c>
      <x:c r="L1825" t="str">
        <x:f>IF($A1825="","",IFERROR(INDEX(Assumptions!$O$5:$O$10,MATCH(1,(Assumptions!$P$5:$P$10=$B1825)*(Assumptions!$Q$5:$Q$10&lt;=$A1825)*(Assumptions!$R$5:$R$10&gt;=$A1825),0)),""))</x:f>
      </x:c>
      <x:c r="M1825" t="n">
        <x:f>--($A1825&lt;&gt;"")</x:f>
        <x:v>1</x:v>
      </x:c>
    </x:row>
    <x:row r="1826">
      <x:c r="A1826" s="10" t="n">
        <x:f>IF(Assumptions!$B$5+INT((ROW()-2)/Assumptions!$B$7)&gt;Assumptions!$B$6,"",Assumptions!$B$5+INT((ROW()-2)/Assumptions!$B$7))</x:f>
        <x:v>46387</x:v>
      </x:c>
      <x:c r="B1826" t="str">
        <x:f>IF($A1826="","",INDEX(Assumptions!$D$5:$D$12,MOD(ROW()-2,Assumptions!$B$7)+1))</x:f>
        <x:v>Yutani Ridge</x:v>
      </x:c>
      <x:c r="C1826" s="11" t="n">
        <x:f>IF($A1826="","",INDEX(Assumptions!$F$5:$F$12,MATCH($B1826,Assumptions!$D$5:$D$12,0)))</x:f>
        <x:v>1050</x:v>
      </x:c>
      <x:c r="D1826" s="11" t="n">
        <x:f>IF($A1826="","",INDEX(Assumptions!$G$5:$G$12,MATCH($B1826,Assumptions!$D$5:$D$12,0)))</x:f>
        <x:v>125</x:v>
      </x:c>
      <x:c r="E1826" s="11" t="n">
        <x:f>IF($A1826="","",INDEX(Assumptions!$M$5:$M$11,WEEKDAY($A1826,2)))</x:f>
        <x:v>1</x:v>
      </x:c>
      <x:c r="F1826" s="11" t="n">
        <x:f>IF($A1826="","",Assumptions!$B$15)</x:f>
        <x:v>0.35</x:v>
      </x:c>
      <x:c r="G1826" s="11" t="n">
        <x:f>IF($A1826="","",MAX(INDEX(Assumptions!$H$5:$H$12,MATCH($B1826,Assumptions!$D$5:$D$12,0)),MIN(INDEX(Assumptions!$I$5:$I$12,MATCH($B1826,Assumptions!$D$5:$D$12,0)),($C1826+$D1826*SQRT(-2*LN(RAND()))*COS(2*PI()*RAND()))*$E1826*$J1826*$K1826)))</x:f>
        <x:v>1097.3677585444166</x:v>
      </x:c>
      <x:c r="H1826" s="11" t="n">
        <x:f>IF($A1826="","",$G1826*$F1826+$C1826*(1-$F1826))</x:f>
        <x:v>1066.5787154905458</x:v>
      </x:c>
      <x:c r="I1826" s="11" t="n">
        <x:f>IF($A1826="","",AVERAGE($H1826,IFERROR(INDEX($H:$H,ROW()-Assumptions!$B$7),""),IFERROR(INDEX($H:$H,ROW()-2*Assumptions!$B$7),""),IFERROR(INDEX($H:$H,ROW()-3*Assumptions!$B$7),""),IFERROR(INDEX($H:$H,ROW()-4*Assumptions!$B$7),""),IFERROR(INDEX($H:$H,ROW()-5*Assumptions!$B$7),""),IFERROR(INDEX($H:$H,ROW()-6*Assumptions!$B$7),"")))</x:f>
        <x:v>1082.1218820491074</x:v>
      </x:c>
      <x:c r="J1826" s="12" t="n">
        <x:f>IF($A1826="","",1+SUMIFS(Assumptions!$S$5:$S$10,Assumptions!$P$5:$P$10,$B1826,Assumptions!$Q$5:$Q$10,"&lt;="&amp;$A1826,Assumptions!$R$5:$R$10,"&gt;="&amp;$A1826))</x:f>
        <x:v>1</x:v>
      </x:c>
      <x:c r="K1826" s="12" t="n">
        <x:f>IF($A1826="","",1+((($A1826-Assumptions!$B$5)/30)*INDEX(Assumptions!$J$5:$J$12,MATCH($B1826,Assumptions!$D$5:$D$12,0))))</x:f>
        <x:v>1.0303333333333333</x:v>
      </x:c>
      <x:c r="L1826" t="str">
        <x:f>IF($A1826="","",IFERROR(INDEX(Assumptions!$O$5:$O$10,MATCH(1,(Assumptions!$P$5:$P$10=$B1826)*(Assumptions!$Q$5:$Q$10&lt;=$A1826)*(Assumptions!$R$5:$R$10&gt;=$A1826),0)),""))</x:f>
      </x:c>
      <x:c r="M1826" t="n">
        <x:f>--($A1826&lt;&gt;"")</x:f>
        <x:v>1</x:v>
      </x:c>
    </x:row>
  </x:sheetData>
  <x:conditionalFormatting sqref="H2:H182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4B3C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.25" hidden="0" customWidth="1"/>
    <x:col min="3" max="3" width="6.130000114440918" hidden="0" customWidth="1"/>
    <x:col min="4" max="4" width="7.130000114440918" hidden="0" customWidth="1"/>
    <x:col min="5" max="5" width="6.880000114440918" hidden="0" customWidth="1"/>
    <x:col min="6" max="6" width="6.130000114440918" hidden="0" customWidth="1"/>
    <x:col min="7" max="7" width="6.130000114440918" hidden="0" customWidth="1"/>
    <x:col min="8" max="8" width="3.880000114440918" hidden="0" customWidth="1"/>
    <x:col min="9" max="9" width="13.25" hidden="0" customWidth="1"/>
    <x:col min="10" max="10" width="16.6299991607666" hidden="0" customWidth="1"/>
    <x:col min="11" max="11" width="20.8799991607666" hidden="0" customWidth="1"/>
    <x:col min="12" max="12" width="9" hidden="0" customWidth="1"/>
    <x:col min="13" max="13" width="24.3799991607666" hidden="0" customWidth="1"/>
    <x:col min="14" max="14" width="22" hidden="0" customWidth="1"/>
  </x:cols>
  <x:sheetData>
    <x:row r="2">
      <x:c r="A2" s="1" t="str">
        <x:v>Mine analytics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4">
      <x:c r="A4" s="3" t="str">
        <x:v>Mine</x:v>
      </x:c>
      <x:c r="B4" s="3" t="str">
        <x:v>Observations</x:v>
      </x:c>
      <x:c r="C4" s="3" t="str">
        <x:v>Mean</x:v>
      </x:c>
      <x:c r="D4" s="3" t="str">
        <x:v>Std dev</x:v>
      </x:c>
      <x:c r="E4" s="3" t="str">
        <x:v>Median</x:v>
      </x:c>
      <x:c r="F4" s="3" t="str">
        <x:v>Q1</x:v>
      </x:c>
      <x:c r="G4" s="3" t="str">
        <x:v>Q3</x:v>
      </x:c>
      <x:c r="H4" s="3" t="str">
        <x:v>IQR</x:v>
      </x:c>
      <x:c r="I4" s="3" t="str">
        <x:v>IQR anomalies</x:v>
      </x:c>
      <x:c r="J4" s="3" t="str">
        <x:v>Z-score anomalies</x:v>
      </x:c>
      <x:c r="K4" s="3" t="str">
        <x:v>MA-distance anomalies</x:v>
      </x:c>
      <x:c r="L4" s="3" t="str">
        <x:v>Grubbs G</x:v>
      </x:c>
      <x:c r="M4" s="3" t="str">
        <x:v>Grubbs critical (.05 approx)</x:v>
      </x:c>
      <x:c r="N4" s="3" t="str">
        <x:v>Grubbs result</x:v>
      </x:c>
    </x:row>
    <x:row r="5">
      <x:c r="A5" t="str">
        <x:f>Assumptions!D5</x:f>
        <x:v>Acheron Prime</x:v>
      </x:c>
      <x:c r="B5" t="n">
        <x:f>COUNTIF(Generator!$B$2:$B$1826,$A5)</x:f>
        <x:v>365</x:v>
      </x:c>
      <x:c r="C5" s="11" t="n">
        <x:f>IFERROR(AVERAGEIF(Generator!$B$2:$B$1826,$A5,Generator!$H$2:$H$1826),"")</x:f>
        <x:v>1113.9861542547537</x:v>
      </x:c>
      <x:c r="D5" s="11" t="n">
        <x:f>IFERROR(_xlfn.STDEV.S(_xlfn._xlws.FILTER(Generator!$H$2:$H$1826,Generator!$B$2:$B$1826=$A5)),"")</x:f>
        <x:v>50.74742431851323</x:v>
      </x:c>
      <x:c r="E5" s="11" t="n">
        <x:f>IFERROR(MEDIAN(_xlfn._xlws.FILTER(Generator!$H$2:$H$1826,Generator!$B$2:$B$1826=$A5)),"")</x:f>
        <x:v>1119.1655340908464</x:v>
      </x:c>
      <x:c r="F5" s="11" t="n">
        <x:f>IFERROR(_xlfn.QUARTILE.INC(_xlfn._xlws.FILTER(Generator!$H$2:$H$1826,Generator!$B$2:$B$1826=$A5),1),"")</x:f>
        <x:v>1078.8673045219866</x:v>
      </x:c>
      <x:c r="G5" s="11" t="n">
        <x:f>IFERROR(_xlfn.QUARTILE.INC(_xlfn._xlws.FILTER(Generator!$H$2:$H$1826,Generator!$B$2:$B$1826=$A5),3),"")</x:f>
        <x:v>1149.029128938764</x:v>
      </x:c>
      <x:c r="H5" s="11" t="n">
        <x:f>IF(OR(F5="",G5=""),"",G5-F5)</x:f>
        <x:v>70.16182441677734</x:v>
      </x:c>
      <x:c r="I5" t="n">
        <x:f>IFERROR(SUMPRODUCT((Generator!$B$2:$B$1826=$A5)*((Generator!$H$2:$H$1826&lt;$F5-Assumptions!$B$11*$H5)+(Generator!$H$2:$H$1826&gt;$G5+Assumptions!$B$11*$H5))),0)</x:f>
        <x:v>1</x:v>
      </x:c>
      <x:c r="J5" t="n">
        <x:f>IFERROR(SUMPRODUCT((Generator!$B$2:$B$1826=$A5)*(ABS(Generator!$H$2:$H$1826-$C5)&gt;Assumptions!$B$12*$D5)),0)</x:f>
        <x:v>0</x:v>
      </x:c>
      <x:c r="K5" t="n">
        <x:f>IFERROR(SUMPRODUCT((Generator!$B$2:$B$1826=$A5)*(ABS(Generator!$H$2:$H$1826-Generator!$I$2:$I$1826)&gt;Assumptions!$B$12*$D5)),0)</x:f>
        <x:v>0</x:v>
      </x:c>
      <x:c r="L5" s="12" t="str">
        <x:f>IFERROR(MAX(ABS(_xlfn._xlws.FILTER(Generator!$H$2:$H$1826,Generator!$B$2:$B$1826=$A5)-$C5))/$D5,"")</x:f>
      </x:c>
      <x:c r="M5" s="12" t="n">
        <x:f>IF(B5&lt;3,"",3.5+0.04*LN(B5))</x:f>
        <x:v>3.7359958941433</x:v>
      </x:c>
      <x:c r="N5" t="str">
        <x:f>IF(OR(L5="",M5=""),"",IF(L5&gt;M5,"Outlier detected","No Grubbs outlier"))</x:f>
      </x:c>
    </x:row>
    <x:row r="6">
      <x:c r="A6" t="str">
        <x:f>Assumptions!D6</x:f>
        <x:v>LV-426 North</x:v>
      </x:c>
      <x:c r="B6" t="n">
        <x:f>COUNTIF(Generator!$B$2:$B$1826,$A6)</x:f>
        <x:v>365</x:v>
      </x:c>
      <x:c r="C6" s="11" t="n">
        <x:f>IFERROR(AVERAGEIF(Generator!$B$2:$B$1826,$A6,Generator!$H$2:$H$1826),"")</x:f>
        <x:v>924.1744390044157</x:v>
      </x:c>
      <x:c r="D6" s="11" t="n">
        <x:f>IFERROR(_xlfn.STDEV.S(_xlfn._xlws.FILTER(Generator!$H$2:$H$1826,Generator!$B$2:$B$1826=$A6)),"")</x:f>
        <x:v>40.42591790909579</x:v>
      </x:c>
      <x:c r="E6" s="11" t="n">
        <x:f>IFERROR(MEDIAN(_xlfn._xlws.FILTER(Generator!$H$2:$H$1826,Generator!$B$2:$B$1826=$A6)),"")</x:f>
        <x:v>924.6052913187102</x:v>
      </x:c>
      <x:c r="F6" s="11" t="n">
        <x:f>IFERROR(_xlfn.QUARTILE.INC(_xlfn._xlws.FILTER(Generator!$H$2:$H$1826,Generator!$B$2:$B$1826=$A6),1),"")</x:f>
        <x:v>894.2922903536473</x:v>
      </x:c>
      <x:c r="G6" s="11" t="n">
        <x:f>IFERROR(_xlfn.QUARTILE.INC(_xlfn._xlws.FILTER(Generator!$H$2:$H$1826,Generator!$B$2:$B$1826=$A6),3),"")</x:f>
        <x:v>949.5013553139222</x:v>
      </x:c>
      <x:c r="H6" s="11" t="n">
        <x:f>IF(OR(F6="",G6=""),"",G6-F6)</x:f>
        <x:v>55.20906496027487</x:v>
      </x:c>
      <x:c r="I6" t="n">
        <x:f>IFERROR(SUMPRODUCT((Generator!$B$2:$B$1826=$A6)*((Generator!$H$2:$H$1826&lt;$F6-Assumptions!$B$11*$H6)+(Generator!$H$2:$H$1826&gt;$G6+Assumptions!$B$11*$H6))),0)</x:f>
        <x:v>3</x:v>
      </x:c>
      <x:c r="J6" t="n">
        <x:f>IFERROR(SUMPRODUCT((Generator!$B$2:$B$1826=$A6)*(ABS(Generator!$H$2:$H$1826-$C6)&gt;Assumptions!$B$12*$D6)),0)</x:f>
        <x:v>0</x:v>
      </x:c>
      <x:c r="K6" t="n">
        <x:f>IFERROR(SUMPRODUCT((Generator!$B$2:$B$1826=$A6)*(ABS(Generator!$H$2:$H$1826-Generator!$I$2:$I$1826)&gt;Assumptions!$B$12*$D6)),0)</x:f>
        <x:v>0</x:v>
      </x:c>
      <x:c r="L6" s="12" t="str">
        <x:f>IFERROR(MAX(ABS(_xlfn._xlws.FILTER(Generator!$H$2:$H$1826,Generator!$B$2:$B$1826=$A6)-$C6))/$D6,"")</x:f>
      </x:c>
      <x:c r="M6" s="12" t="n">
        <x:f>IF(B6&lt;3,"",3.5+0.04*LN(B6))</x:f>
        <x:v>3.7359958941433</x:v>
      </x:c>
      <x:c r="N6" t="str">
        <x:f>IF(OR(L6="",M6=""),"",IF(L6&gt;M6,"Outlier detected","No Grubbs outlier"))</x:f>
      </x:c>
    </x:row>
    <x:row r="7">
      <x:c r="A7" t="str">
        <x:f>Assumptions!D7</x:f>
        <x:v>Nostromo Deep</x:v>
      </x:c>
      <x:c r="B7" t="n">
        <x:f>COUNTIF(Generator!$B$2:$B$1826,$A7)</x:f>
        <x:v>365</x:v>
      </x:c>
      <x:c r="C7" s="11" t="n">
        <x:f>IFERROR(AVERAGEIF(Generator!$B$2:$B$1826,$A7,Generator!$H$2:$H$1826),"")</x:f>
        <x:v>1256.01609012918</x:v>
      </x:c>
      <x:c r="D7" s="11" t="n">
        <x:f>IFERROR(_xlfn.STDEV.S(_xlfn._xlws.FILTER(Generator!$H$2:$H$1826,Generator!$B$2:$B$1826=$A7)),"")</x:f>
        <x:v>60.956789688732215</x:v>
      </x:c>
      <x:c r="E7" s="11" t="n">
        <x:f>IFERROR(MEDIAN(_xlfn._xlws.FILTER(Generator!$H$2:$H$1826,Generator!$B$2:$B$1826=$A7)),"")</x:f>
        <x:v>1255.1138754267722</x:v>
      </x:c>
      <x:c r="F7" s="11" t="n">
        <x:f>IFERROR(_xlfn.QUARTILE.INC(_xlfn._xlws.FILTER(Generator!$H$2:$H$1826,Generator!$B$2:$B$1826=$A7),1),"")</x:f>
        <x:v>1213.9526083740293</x:v>
      </x:c>
      <x:c r="G7" s="11" t="n">
        <x:f>IFERROR(_xlfn.QUARTILE.INC(_xlfn._xlws.FILTER(Generator!$H$2:$H$1826,Generator!$B$2:$B$1826=$A7),3),"")</x:f>
        <x:v>1291.0579263899342</x:v>
      </x:c>
      <x:c r="H7" s="11" t="n">
        <x:f>IF(OR(F7="",G7=""),"",G7-F7)</x:f>
        <x:v>77.10531801590491</x:v>
      </x:c>
      <x:c r="I7" t="n">
        <x:f>IFERROR(SUMPRODUCT((Generator!$B$2:$B$1826=$A7)*((Generator!$H$2:$H$1826&lt;$F7-Assumptions!$B$11*$H7)+(Generator!$H$2:$H$1826&gt;$G7+Assumptions!$B$11*$H7))),0)</x:f>
        <x:v>4</x:v>
      </x:c>
      <x:c r="J7" t="n">
        <x:f>IFERROR(SUMPRODUCT((Generator!$B$2:$B$1826=$A7)*(ABS(Generator!$H$2:$H$1826-$C7)&gt;Assumptions!$B$12*$D7)),0)</x:f>
        <x:v>0</x:v>
      </x:c>
      <x:c r="K7" t="n">
        <x:f>IFERROR(SUMPRODUCT((Generator!$B$2:$B$1826=$A7)*(ABS(Generator!$H$2:$H$1826-Generator!$I$2:$I$1826)&gt;Assumptions!$B$12*$D7)),0)</x:f>
        <x:v>0</x:v>
      </x:c>
      <x:c r="L7" s="12" t="str">
        <x:f>IFERROR(MAX(ABS(_xlfn._xlws.FILTER(Generator!$H$2:$H$1826,Generator!$B$2:$B$1826=$A7)-$C7))/$D7,"")</x:f>
      </x:c>
      <x:c r="M7" s="12" t="n">
        <x:f>IF(B7&lt;3,"",3.5+0.04*LN(B7))</x:f>
        <x:v>3.7359958941433</x:v>
      </x:c>
      <x:c r="N7" t="str">
        <x:f>IF(OR(L7="",M7=""),"",IF(L7&gt;M7,"Outlier detected","No Grubbs outlier"))</x:f>
      </x:c>
    </x:row>
    <x:row r="8">
      <x:c r="A8" t="str">
        <x:f>Assumptions!D8</x:f>
        <x:v>Hadley's Hope</x:v>
      </x:c>
      <x:c r="B8" t="n">
        <x:f>COUNTIF(Generator!$B$2:$B$1826,$A8)</x:f>
        <x:v>365</x:v>
      </x:c>
      <x:c r="C8" s="11" t="n">
        <x:f>IFERROR(AVERAGEIF(Generator!$B$2:$B$1826,$A8,Generator!$H$2:$H$1826),"")</x:f>
        <x:v>837.3845876761051</x:v>
      </x:c>
      <x:c r="D8" s="11" t="n">
        <x:f>IFERROR(_xlfn.STDEV.S(_xlfn._xlws.FILTER(Generator!$H$2:$H$1826,Generator!$B$2:$B$1826=$A8)),"")</x:f>
        <x:v>30.69554763062282</x:v>
      </x:c>
      <x:c r="E8" s="11" t="n">
        <x:f>IFERROR(MEDIAN(_xlfn._xlws.FILTER(Generator!$H$2:$H$1826,Generator!$B$2:$B$1826=$A8)),"")</x:f>
        <x:v>837.9266473060823</x:v>
      </x:c>
      <x:c r="F8" s="11" t="n">
        <x:f>IFERROR(_xlfn.QUARTILE.INC(_xlfn._xlws.FILTER(Generator!$H$2:$H$1826,Generator!$B$2:$B$1826=$A8),1),"")</x:f>
        <x:v>815.8857584244384</x:v>
      </x:c>
      <x:c r="G8" s="11" t="n">
        <x:f>IFERROR(_xlfn.QUARTILE.INC(_xlfn._xlws.FILTER(Generator!$H$2:$H$1826,Generator!$B$2:$B$1826=$A8),3),"")</x:f>
        <x:v>858.0633259343056</x:v>
      </x:c>
      <x:c r="H8" s="11" t="n">
        <x:f>IF(OR(F8="",G8=""),"",G8-F8)</x:f>
        <x:v>42.17756750986712</x:v>
      </x:c>
      <x:c r="I8" t="n">
        <x:f>IFERROR(SUMPRODUCT((Generator!$B$2:$B$1826=$A8)*((Generator!$H$2:$H$1826&lt;$F8-Assumptions!$B$11*$H8)+(Generator!$H$2:$H$1826&gt;$G8+Assumptions!$B$11*$H8))),0)</x:f>
        <x:v>1</x:v>
      </x:c>
      <x:c r="J8" t="n">
        <x:f>IFERROR(SUMPRODUCT((Generator!$B$2:$B$1826=$A8)*(ABS(Generator!$H$2:$H$1826-$C8)&gt;Assumptions!$B$12*$D8)),0)</x:f>
        <x:v>0</x:v>
      </x:c>
      <x:c r="K8" t="n">
        <x:f>IFERROR(SUMPRODUCT((Generator!$B$2:$B$1826=$A8)*(ABS(Generator!$H$2:$H$1826-Generator!$I$2:$I$1826)&gt;Assumptions!$B$12*$D8)),0)</x:f>
        <x:v>0</x:v>
      </x:c>
      <x:c r="L8" s="12" t="str">
        <x:f>IFERROR(MAX(ABS(_xlfn._xlws.FILTER(Generator!$H$2:$H$1826,Generator!$B$2:$B$1826=$A8)-$C8))/$D8,"")</x:f>
      </x:c>
      <x:c r="M8" s="12" t="n">
        <x:f>IF(B8&lt;3,"",3.5+0.04*LN(B8))</x:f>
        <x:v>3.7359958941433</x:v>
      </x:c>
      <x:c r="N8" t="str">
        <x:f>IF(OR(L8="",M8=""),"",IF(L8&gt;M8,"Outlier detected","No Grubbs outlier"))</x:f>
      </x:c>
    </x:row>
    <x:row r="9">
      <x:c r="A9" t="str">
        <x:f>Assumptions!D9</x:f>
        <x:v>Yutani Ridge</x:v>
      </x:c>
      <x:c r="B9" t="n">
        <x:f>COUNTIF(Generator!$B$2:$B$1826,$A9)</x:f>
        <x:v>365</x:v>
      </x:c>
      <x:c r="C9" s="11" t="n">
        <x:f>IFERROR(AVERAGEIF(Generator!$B$2:$B$1826,$A9,Generator!$H$2:$H$1826),"")</x:f>
        <x:v>1051.0485171513756</x:v>
      </x:c>
      <x:c r="D9" s="11" t="n">
        <x:f>IFERROR(_xlfn.STDEV.S(_xlfn._xlws.FILTER(Generator!$H$2:$H$1826,Generator!$B$2:$B$1826=$A9)),"")</x:f>
        <x:v>53.40977537025893</x:v>
      </x:c>
      <x:c r="E9" s="11" t="n">
        <x:f>IFERROR(MEDIAN(_xlfn._xlws.FILTER(Generator!$H$2:$H$1826,Generator!$B$2:$B$1826=$A9)),"")</x:f>
        <x:v>1049.77448454189</x:v>
      </x:c>
      <x:c r="F9" s="11" t="n">
        <x:f>IFERROR(_xlfn.QUARTILE.INC(_xlfn._xlws.FILTER(Generator!$H$2:$H$1826,Generator!$B$2:$B$1826=$A9),1),"")</x:f>
        <x:v>1014.5802279865266</x:v>
      </x:c>
      <x:c r="G9" s="11" t="n">
        <x:f>IFERROR(_xlfn.QUARTILE.INC(_xlfn._xlws.FILTER(Generator!$H$2:$H$1826,Generator!$B$2:$B$1826=$A9),3),"")</x:f>
        <x:v>1085.272871773448</x:v>
      </x:c>
      <x:c r="H9" s="11" t="n">
        <x:f>IF(OR(F9="",G9=""),"",G9-F9)</x:f>
        <x:v>70.69264378692151</x:v>
      </x:c>
      <x:c r="I9" t="n">
        <x:f>IFERROR(SUMPRODUCT((Generator!$B$2:$B$1826=$A9)*((Generator!$H$2:$H$1826&lt;$F9-Assumptions!$B$11*$H9)+(Generator!$H$2:$H$1826&gt;$G9+Assumptions!$B$11*$H9))),0)</x:f>
        <x:v>2</x:v>
      </x:c>
      <x:c r="J9" t="n">
        <x:f>IFERROR(SUMPRODUCT((Generator!$B$2:$B$1826=$A9)*(ABS(Generator!$H$2:$H$1826-$C9)&gt;Assumptions!$B$12*$D9)),0)</x:f>
        <x:v>0</x:v>
      </x:c>
      <x:c r="K9" t="n">
        <x:f>IFERROR(SUMPRODUCT((Generator!$B$2:$B$1826=$A9)*(ABS(Generator!$H$2:$H$1826-Generator!$I$2:$I$1826)&gt;Assumptions!$B$12*$D9)),0)</x:f>
        <x:v>0</x:v>
      </x:c>
      <x:c r="L9" s="12" t="str">
        <x:f>IFERROR(MAX(ABS(_xlfn._xlws.FILTER(Generator!$H$2:$H$1826,Generator!$B$2:$B$1826=$A9)-$C9))/$D9,"")</x:f>
      </x:c>
      <x:c r="M9" s="12" t="n">
        <x:f>IF(B9&lt;3,"",3.5+0.04*LN(B9))</x:f>
        <x:v>3.7359958941433</x:v>
      </x:c>
      <x:c r="N9" t="str">
        <x:f>IF(OR(L9="",M9=""),"",IF(L9&gt;M9,"Outlier detected","No Grubbs outlier"))</x:f>
      </x:c>
    </x:row>
    <x:row r="10">
      <x:c r="A10" t="str">
        <x:f>Assumptions!D10</x:f>
        <x:v>Reserve 6</x:v>
      </x:c>
      <x:c r="B10" t="n">
        <x:f>COUNTIF(Generator!$B$2:$B$1826,$A10)</x:f>
        <x:v>0</x:v>
      </x:c>
      <x:c r="C10" s="11" t="str">
        <x:f>IFERROR(AVERAGEIF(Generator!$B$2:$B$1826,$A10,Generator!$H$2:$H$1826),"")</x:f>
      </x:c>
      <x:c r="D10" s="11" t="n">
        <x:f>IFERROR(_xlfn.STDEV.S(_xlfn._xlws.FILTER(Generator!$H$2:$H$1826,Generator!$B$2:$B$1826=$A10)),"")</x:f>
        <x:v>0</x:v>
      </x:c>
      <x:c r="E10" s="11" t="str">
        <x:f>IFERROR(MEDIAN(_xlfn._xlws.FILTER(Generator!$H$2:$H$1826,Generator!$B$2:$B$1826=$A10)),"")</x:f>
      </x:c>
      <x:c r="F10" s="11" t="str">
        <x:f>IFERROR(_xlfn.QUARTILE.INC(_xlfn._xlws.FILTER(Generator!$H$2:$H$1826,Generator!$B$2:$B$1826=$A10),1),"")</x:f>
      </x:c>
      <x:c r="G10" s="11" t="str">
        <x:f>IFERROR(_xlfn.QUARTILE.INC(_xlfn._xlws.FILTER(Generator!$H$2:$H$1826,Generator!$B$2:$B$1826=$A10),3),"")</x:f>
      </x:c>
      <x:c r="H10" s="11" t="str">
        <x:f>IF(OR(F10="",G10=""),"",G10-F10)</x:f>
      </x:c>
      <x:c r="I10" t="n">
        <x:f>IFERROR(SUMPRODUCT((Generator!$B$2:$B$1826=$A10)*((Generator!$H$2:$H$1826&lt;$F10-Assumptions!$B$11*$H10)+(Generator!$H$2:$H$1826&gt;$G10+Assumptions!$B$11*$H10))),0)</x:f>
        <x:v>0</x:v>
      </x:c>
      <x:c r="J10" t="n">
        <x:f>IFERROR(SUMPRODUCT((Generator!$B$2:$B$1826=$A10)*(ABS(Generator!$H$2:$H$1826-$C10)&gt;Assumptions!$B$12*$D10)),0)</x:f>
        <x:v>0</x:v>
      </x:c>
      <x:c r="K10" t="n">
        <x:f>IFERROR(SUMPRODUCT((Generator!$B$2:$B$1826=$A10)*(ABS(Generator!$H$2:$H$1826-Generator!$I$2:$I$1826)&gt;Assumptions!$B$12*$D10)),0)</x:f>
        <x:v>0</x:v>
      </x:c>
      <x:c r="L10" s="12" t="str">
        <x:f>IFERROR(MAX(ABS(_xlfn._xlws.FILTER(Generator!$H$2:$H$1826,Generator!$B$2:$B$1826=$A10)-$C10))/$D10,"")</x:f>
      </x:c>
      <x:c r="M10" s="12" t="str">
        <x:f>IF(B10&lt;3,"",3.5+0.04*LN(B10))</x:f>
      </x:c>
      <x:c r="N10" t="str">
        <x:f>IF(OR(L10="",M10=""),"",IF(L10&gt;M10,"Outlier detected","No Grubbs outlier"))</x:f>
      </x:c>
    </x:row>
    <x:row r="11">
      <x:c r="A11" t="str">
        <x:f>Assumptions!D11</x:f>
        <x:v>Reserve 7</x:v>
      </x:c>
      <x:c r="B11" t="n">
        <x:f>COUNTIF(Generator!$B$2:$B$1826,$A11)</x:f>
        <x:v>0</x:v>
      </x:c>
      <x:c r="C11" s="11" t="str">
        <x:f>IFERROR(AVERAGEIF(Generator!$B$2:$B$1826,$A11,Generator!$H$2:$H$1826),"")</x:f>
      </x:c>
      <x:c r="D11" s="11" t="n">
        <x:f>IFERROR(_xlfn.STDEV.S(_xlfn._xlws.FILTER(Generator!$H$2:$H$1826,Generator!$B$2:$B$1826=$A11)),"")</x:f>
        <x:v>0</x:v>
      </x:c>
      <x:c r="E11" s="11" t="str">
        <x:f>IFERROR(MEDIAN(_xlfn._xlws.FILTER(Generator!$H$2:$H$1826,Generator!$B$2:$B$1826=$A11)),"")</x:f>
      </x:c>
      <x:c r="F11" s="11" t="str">
        <x:f>IFERROR(_xlfn.QUARTILE.INC(_xlfn._xlws.FILTER(Generator!$H$2:$H$1826,Generator!$B$2:$B$1826=$A11),1),"")</x:f>
      </x:c>
      <x:c r="G11" s="11" t="str">
        <x:f>IFERROR(_xlfn.QUARTILE.INC(_xlfn._xlws.FILTER(Generator!$H$2:$H$1826,Generator!$B$2:$B$1826=$A11),3),"")</x:f>
      </x:c>
      <x:c r="H11" s="11" t="str">
        <x:f>IF(OR(F11="",G11=""),"",G11-F11)</x:f>
      </x:c>
      <x:c r="I11" t="n">
        <x:f>IFERROR(SUMPRODUCT((Generator!$B$2:$B$1826=$A11)*((Generator!$H$2:$H$1826&lt;$F11-Assumptions!$B$11*$H11)+(Generator!$H$2:$H$1826&gt;$G11+Assumptions!$B$11*$H11))),0)</x:f>
        <x:v>0</x:v>
      </x:c>
      <x:c r="J11" t="n">
        <x:f>IFERROR(SUMPRODUCT((Generator!$B$2:$B$1826=$A11)*(ABS(Generator!$H$2:$H$1826-$C11)&gt;Assumptions!$B$12*$D11)),0)</x:f>
        <x:v>0</x:v>
      </x:c>
      <x:c r="K11" t="n">
        <x:f>IFERROR(SUMPRODUCT((Generator!$B$2:$B$1826=$A11)*(ABS(Generator!$H$2:$H$1826-Generator!$I$2:$I$1826)&gt;Assumptions!$B$12*$D11)),0)</x:f>
        <x:v>0</x:v>
      </x:c>
      <x:c r="L11" s="12" t="str">
        <x:f>IFERROR(MAX(ABS(_xlfn._xlws.FILTER(Generator!$H$2:$H$1826,Generator!$B$2:$B$1826=$A11)-$C11))/$D11,"")</x:f>
      </x:c>
      <x:c r="M11" s="12" t="str">
        <x:f>IF(B11&lt;3,"",3.5+0.04*LN(B11))</x:f>
      </x:c>
      <x:c r="N11" t="str">
        <x:f>IF(OR(L11="",M11=""),"",IF(L11&gt;M11,"Outlier detected","No Grubbs outlier"))</x:f>
      </x:c>
    </x:row>
    <x:row r="12">
      <x:c r="A12" t="str">
        <x:f>Assumptions!D12</x:f>
        <x:v>Reserve 8</x:v>
      </x:c>
      <x:c r="B12" t="n">
        <x:f>COUNTIF(Generator!$B$2:$B$1826,$A12)</x:f>
        <x:v>0</x:v>
      </x:c>
      <x:c r="C12" s="11" t="str">
        <x:f>IFERROR(AVERAGEIF(Generator!$B$2:$B$1826,$A12,Generator!$H$2:$H$1826),"")</x:f>
      </x:c>
      <x:c r="D12" s="11" t="n">
        <x:f>IFERROR(_xlfn.STDEV.S(_xlfn._xlws.FILTER(Generator!$H$2:$H$1826,Generator!$B$2:$B$1826=$A12)),"")</x:f>
        <x:v>0</x:v>
      </x:c>
      <x:c r="E12" s="11" t="str">
        <x:f>IFERROR(MEDIAN(_xlfn._xlws.FILTER(Generator!$H$2:$H$1826,Generator!$B$2:$B$1826=$A12)),"")</x:f>
      </x:c>
      <x:c r="F12" s="11" t="str">
        <x:f>IFERROR(_xlfn.QUARTILE.INC(_xlfn._xlws.FILTER(Generator!$H$2:$H$1826,Generator!$B$2:$B$1826=$A12),1),"")</x:f>
      </x:c>
      <x:c r="G12" s="11" t="str">
        <x:f>IFERROR(_xlfn.QUARTILE.INC(_xlfn._xlws.FILTER(Generator!$H$2:$H$1826,Generator!$B$2:$B$1826=$A12),3),"")</x:f>
      </x:c>
      <x:c r="H12" s="11" t="str">
        <x:f>IF(OR(F12="",G12=""),"",G12-F12)</x:f>
      </x:c>
      <x:c r="I12" t="n">
        <x:f>IFERROR(SUMPRODUCT((Generator!$B$2:$B$1826=$A12)*((Generator!$H$2:$H$1826&lt;$F12-Assumptions!$B$11*$H12)+(Generator!$H$2:$H$1826&gt;$G12+Assumptions!$B$11*$H12))),0)</x:f>
        <x:v>0</x:v>
      </x:c>
      <x:c r="J12" t="n">
        <x:f>IFERROR(SUMPRODUCT((Generator!$B$2:$B$1826=$A12)*(ABS(Generator!$H$2:$H$1826-$C12)&gt;Assumptions!$B$12*$D12)),0)</x:f>
        <x:v>0</x:v>
      </x:c>
      <x:c r="K12" t="n">
        <x:f>IFERROR(SUMPRODUCT((Generator!$B$2:$B$1826=$A12)*(ABS(Generator!$H$2:$H$1826-Generator!$I$2:$I$1826)&gt;Assumptions!$B$12*$D12)),0)</x:f>
        <x:v>0</x:v>
      </x:c>
      <x:c r="L12" s="12" t="str">
        <x:f>IFERROR(MAX(ABS(_xlfn._xlws.FILTER(Generator!$H$2:$H$1826,Generator!$B$2:$B$1826=$A12)-$C12))/$D12,"")</x:f>
      </x:c>
      <x:c r="M12" s="12" t="str">
        <x:f>IF(B12&lt;3,"",3.5+0.04*LN(B12))</x:f>
      </x:c>
      <x:c r="N12" t="str">
        <x:f>IF(OR(L12="",M12=""),"",IF(L12&gt;M12,"Outlier detected","No Grubbs outlier"))</x:f>
      </x:c>
    </x:row>
  </x:sheetData>
  <x:mergeCells>
    <x:mergeCell ref="A2:N2"/>
  </x:mergeCells>
  <x:conditionalFormatting sqref="N5:N12">
    <x:cfRule type="containsText" dxfId="0" priority="1" operator="containsText" text="Outlier detected"/>
  </x:conditionalFormatting>
  <x:pageMargins left="0.7" right="0.7" top="0.75" bottom="0.75" header="0.3" footer="0.3"/>
</x:worksheet>
</file>